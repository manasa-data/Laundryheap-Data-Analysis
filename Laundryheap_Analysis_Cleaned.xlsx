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9"/>
  <workbookPr/>
  <mc:AlternateContent xmlns:mc="http://schemas.openxmlformats.org/markup-compatibility/2006">
    <mc:Choice Requires="x15">
      <x15ac:absPath xmlns:x15ac="http://schemas.microsoft.com/office/spreadsheetml/2010/11/ac" url="https://d.docs.live.net/E7DDCB562789D29F/Documents/"/>
    </mc:Choice>
  </mc:AlternateContent>
  <xr:revisionPtr revIDLastSave="0" documentId="8_{C9F47B08-C45B-4C70-84AC-605CF7E971E2}" xr6:coauthVersionLast="47" xr6:coauthVersionMax="47" xr10:uidLastSave="{00000000-0000-0000-0000-000000000000}"/>
  <bookViews>
    <workbookView xWindow="-108" yWindow="-108" windowWidth="23256" windowHeight="12456" tabRatio="500" firstSheet="2" activeTab="2" xr2:uid="{00000000-000D-0000-FFFF-FFFF00000000}"/>
  </bookViews>
  <sheets>
    <sheet name="📖 README" sheetId="1" r:id="rId1"/>
    <sheet name="🔍 Null Audit" sheetId="2" r:id="rId2"/>
    <sheet name="📋 Orders" sheetId="3" r:id="rId3"/>
    <sheet name="👤 Customers" sheetId="4" r:id="rId4"/>
    <sheet name="🚴 Riders" sheetId="5" r:id="rId5"/>
    <sheet name="🏭 Facilities" sheetId="6" r:id="rId6"/>
  </sheets>
  <definedNames>
    <definedName name="_xlnm._FilterDatabase" localSheetId="2" hidden="1">'📋 Orders'!$A$1:$T$3001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V3" i="3" l="1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86" i="3"/>
  <c r="V487" i="3"/>
  <c r="V488" i="3"/>
  <c r="V489" i="3"/>
  <c r="V490" i="3"/>
  <c r="V491" i="3"/>
  <c r="V492" i="3"/>
  <c r="V493" i="3"/>
  <c r="V494" i="3"/>
  <c r="V495" i="3"/>
  <c r="V496" i="3"/>
  <c r="V497" i="3"/>
  <c r="V498" i="3"/>
  <c r="V499" i="3"/>
  <c r="V500" i="3"/>
  <c r="V501" i="3"/>
  <c r="V502" i="3"/>
  <c r="V503" i="3"/>
  <c r="V504" i="3"/>
  <c r="V505" i="3"/>
  <c r="V506" i="3"/>
  <c r="V507" i="3"/>
  <c r="V508" i="3"/>
  <c r="V509" i="3"/>
  <c r="V510" i="3"/>
  <c r="V511" i="3"/>
  <c r="V512" i="3"/>
  <c r="V513" i="3"/>
  <c r="V514" i="3"/>
  <c r="V515" i="3"/>
  <c r="V516" i="3"/>
  <c r="V517" i="3"/>
  <c r="V518" i="3"/>
  <c r="V519" i="3"/>
  <c r="V520" i="3"/>
  <c r="V521" i="3"/>
  <c r="V522" i="3"/>
  <c r="V523" i="3"/>
  <c r="V524" i="3"/>
  <c r="V525" i="3"/>
  <c r="V526" i="3"/>
  <c r="V527" i="3"/>
  <c r="V528" i="3"/>
  <c r="V529" i="3"/>
  <c r="V530" i="3"/>
  <c r="V531" i="3"/>
  <c r="V532" i="3"/>
  <c r="V533" i="3"/>
  <c r="V534" i="3"/>
  <c r="V535" i="3"/>
  <c r="V536" i="3"/>
  <c r="V537" i="3"/>
  <c r="V538" i="3"/>
  <c r="V539" i="3"/>
  <c r="V540" i="3"/>
  <c r="V541" i="3"/>
  <c r="V542" i="3"/>
  <c r="V543" i="3"/>
  <c r="V544" i="3"/>
  <c r="V545" i="3"/>
  <c r="V546" i="3"/>
  <c r="V547" i="3"/>
  <c r="V548" i="3"/>
  <c r="V549" i="3"/>
  <c r="V550" i="3"/>
  <c r="V551" i="3"/>
  <c r="V552" i="3"/>
  <c r="V553" i="3"/>
  <c r="V554" i="3"/>
  <c r="V555" i="3"/>
  <c r="V556" i="3"/>
  <c r="V557" i="3"/>
  <c r="V558" i="3"/>
  <c r="V559" i="3"/>
  <c r="V560" i="3"/>
  <c r="V561" i="3"/>
  <c r="V562" i="3"/>
  <c r="V563" i="3"/>
  <c r="V564" i="3"/>
  <c r="V565" i="3"/>
  <c r="V566" i="3"/>
  <c r="V567" i="3"/>
  <c r="V568" i="3"/>
  <c r="V569" i="3"/>
  <c r="V570" i="3"/>
  <c r="V571" i="3"/>
  <c r="V572" i="3"/>
  <c r="V573" i="3"/>
  <c r="V574" i="3"/>
  <c r="V575" i="3"/>
  <c r="V576" i="3"/>
  <c r="V577" i="3"/>
  <c r="V578" i="3"/>
  <c r="V579" i="3"/>
  <c r="V580" i="3"/>
  <c r="V581" i="3"/>
  <c r="V582" i="3"/>
  <c r="V583" i="3"/>
  <c r="V584" i="3"/>
  <c r="V585" i="3"/>
  <c r="V586" i="3"/>
  <c r="V587" i="3"/>
  <c r="V588" i="3"/>
  <c r="V589" i="3"/>
  <c r="V590" i="3"/>
  <c r="V591" i="3"/>
  <c r="V592" i="3"/>
  <c r="V593" i="3"/>
  <c r="V594" i="3"/>
  <c r="V595" i="3"/>
  <c r="V596" i="3"/>
  <c r="V597" i="3"/>
  <c r="V598" i="3"/>
  <c r="V599" i="3"/>
  <c r="V600" i="3"/>
  <c r="V601" i="3"/>
  <c r="V602" i="3"/>
  <c r="V603" i="3"/>
  <c r="V604" i="3"/>
  <c r="V605" i="3"/>
  <c r="V606" i="3"/>
  <c r="V607" i="3"/>
  <c r="V608" i="3"/>
  <c r="V609" i="3"/>
  <c r="V610" i="3"/>
  <c r="V611" i="3"/>
  <c r="V612" i="3"/>
  <c r="V613" i="3"/>
  <c r="V614" i="3"/>
  <c r="V615" i="3"/>
  <c r="V616" i="3"/>
  <c r="V617" i="3"/>
  <c r="V618" i="3"/>
  <c r="V619" i="3"/>
  <c r="V620" i="3"/>
  <c r="V621" i="3"/>
  <c r="V622" i="3"/>
  <c r="V623" i="3"/>
  <c r="V624" i="3"/>
  <c r="V625" i="3"/>
  <c r="V626" i="3"/>
  <c r="V627" i="3"/>
  <c r="V628" i="3"/>
  <c r="V629" i="3"/>
  <c r="V630" i="3"/>
  <c r="V631" i="3"/>
  <c r="V632" i="3"/>
  <c r="V633" i="3"/>
  <c r="V634" i="3"/>
  <c r="V635" i="3"/>
  <c r="V636" i="3"/>
  <c r="V637" i="3"/>
  <c r="V638" i="3"/>
  <c r="V639" i="3"/>
  <c r="V640" i="3"/>
  <c r="V641" i="3"/>
  <c r="V642" i="3"/>
  <c r="V643" i="3"/>
  <c r="V644" i="3"/>
  <c r="V645" i="3"/>
  <c r="V646" i="3"/>
  <c r="V647" i="3"/>
  <c r="V648" i="3"/>
  <c r="V649" i="3"/>
  <c r="V650" i="3"/>
  <c r="V651" i="3"/>
  <c r="V652" i="3"/>
  <c r="V653" i="3"/>
  <c r="V654" i="3"/>
  <c r="V655" i="3"/>
  <c r="V656" i="3"/>
  <c r="V657" i="3"/>
  <c r="V658" i="3"/>
  <c r="V659" i="3"/>
  <c r="V660" i="3"/>
  <c r="V661" i="3"/>
  <c r="V662" i="3"/>
  <c r="V663" i="3"/>
  <c r="V664" i="3"/>
  <c r="V665" i="3"/>
  <c r="V666" i="3"/>
  <c r="V667" i="3"/>
  <c r="V668" i="3"/>
  <c r="V669" i="3"/>
  <c r="V670" i="3"/>
  <c r="V671" i="3"/>
  <c r="V672" i="3"/>
  <c r="V673" i="3"/>
  <c r="V674" i="3"/>
  <c r="V675" i="3"/>
  <c r="V676" i="3"/>
  <c r="V677" i="3"/>
  <c r="V678" i="3"/>
  <c r="V679" i="3"/>
  <c r="V680" i="3"/>
  <c r="V681" i="3"/>
  <c r="V682" i="3"/>
  <c r="V683" i="3"/>
  <c r="V684" i="3"/>
  <c r="V685" i="3"/>
  <c r="V686" i="3"/>
  <c r="V687" i="3"/>
  <c r="V688" i="3"/>
  <c r="V689" i="3"/>
  <c r="V690" i="3"/>
  <c r="V691" i="3"/>
  <c r="V692" i="3"/>
  <c r="V693" i="3"/>
  <c r="V694" i="3"/>
  <c r="V695" i="3"/>
  <c r="V696" i="3"/>
  <c r="V697" i="3"/>
  <c r="V698" i="3"/>
  <c r="V699" i="3"/>
  <c r="V700" i="3"/>
  <c r="V701" i="3"/>
  <c r="V702" i="3"/>
  <c r="V703" i="3"/>
  <c r="V704" i="3"/>
  <c r="V705" i="3"/>
  <c r="V706" i="3"/>
  <c r="V707" i="3"/>
  <c r="V708" i="3"/>
  <c r="V709" i="3"/>
  <c r="V710" i="3"/>
  <c r="V711" i="3"/>
  <c r="V712" i="3"/>
  <c r="V713" i="3"/>
  <c r="V714" i="3"/>
  <c r="V715" i="3"/>
  <c r="V716" i="3"/>
  <c r="V717" i="3"/>
  <c r="V718" i="3"/>
  <c r="V719" i="3"/>
  <c r="V720" i="3"/>
  <c r="V721" i="3"/>
  <c r="V722" i="3"/>
  <c r="V723" i="3"/>
  <c r="V724" i="3"/>
  <c r="V725" i="3"/>
  <c r="V726" i="3"/>
  <c r="V727" i="3"/>
  <c r="V728" i="3"/>
  <c r="V729" i="3"/>
  <c r="V730" i="3"/>
  <c r="V731" i="3"/>
  <c r="V732" i="3"/>
  <c r="V733" i="3"/>
  <c r="V734" i="3"/>
  <c r="V735" i="3"/>
  <c r="V736" i="3"/>
  <c r="V737" i="3"/>
  <c r="V738" i="3"/>
  <c r="V739" i="3"/>
  <c r="V740" i="3"/>
  <c r="V741" i="3"/>
  <c r="V742" i="3"/>
  <c r="V743" i="3"/>
  <c r="V744" i="3"/>
  <c r="V745" i="3"/>
  <c r="V746" i="3"/>
  <c r="V747" i="3"/>
  <c r="V748" i="3"/>
  <c r="V749" i="3"/>
  <c r="V750" i="3"/>
  <c r="V751" i="3"/>
  <c r="V752" i="3"/>
  <c r="V753" i="3"/>
  <c r="V754" i="3"/>
  <c r="V755" i="3"/>
  <c r="V756" i="3"/>
  <c r="V757" i="3"/>
  <c r="V758" i="3"/>
  <c r="V759" i="3"/>
  <c r="V760" i="3"/>
  <c r="V761" i="3"/>
  <c r="V762" i="3"/>
  <c r="V763" i="3"/>
  <c r="V764" i="3"/>
  <c r="V765" i="3"/>
  <c r="V766" i="3"/>
  <c r="V767" i="3"/>
  <c r="V768" i="3"/>
  <c r="V769" i="3"/>
  <c r="V770" i="3"/>
  <c r="V771" i="3"/>
  <c r="V772" i="3"/>
  <c r="V773" i="3"/>
  <c r="V774" i="3"/>
  <c r="V775" i="3"/>
  <c r="V776" i="3"/>
  <c r="V777" i="3"/>
  <c r="V778" i="3"/>
  <c r="V779" i="3"/>
  <c r="V780" i="3"/>
  <c r="V781" i="3"/>
  <c r="V782" i="3"/>
  <c r="V783" i="3"/>
  <c r="V784" i="3"/>
  <c r="V785" i="3"/>
  <c r="V786" i="3"/>
  <c r="V787" i="3"/>
  <c r="V788" i="3"/>
  <c r="V789" i="3"/>
  <c r="V790" i="3"/>
  <c r="V791" i="3"/>
  <c r="V792" i="3"/>
  <c r="V793" i="3"/>
  <c r="V794" i="3"/>
  <c r="V795" i="3"/>
  <c r="V796" i="3"/>
  <c r="V797" i="3"/>
  <c r="V798" i="3"/>
  <c r="V799" i="3"/>
  <c r="V800" i="3"/>
  <c r="V801" i="3"/>
  <c r="V802" i="3"/>
  <c r="V803" i="3"/>
  <c r="V804" i="3"/>
  <c r="V805" i="3"/>
  <c r="V806" i="3"/>
  <c r="V807" i="3"/>
  <c r="V808" i="3"/>
  <c r="V809" i="3"/>
  <c r="V810" i="3"/>
  <c r="V811" i="3"/>
  <c r="V812" i="3"/>
  <c r="V813" i="3"/>
  <c r="V814" i="3"/>
  <c r="V815" i="3"/>
  <c r="V816" i="3"/>
  <c r="V817" i="3"/>
  <c r="V818" i="3"/>
  <c r="V819" i="3"/>
  <c r="V820" i="3"/>
  <c r="V821" i="3"/>
  <c r="V822" i="3"/>
  <c r="V823" i="3"/>
  <c r="V824" i="3"/>
  <c r="V825" i="3"/>
  <c r="V826" i="3"/>
  <c r="V827" i="3"/>
  <c r="V828" i="3"/>
  <c r="V829" i="3"/>
  <c r="V830" i="3"/>
  <c r="V831" i="3"/>
  <c r="V832" i="3"/>
  <c r="V833" i="3"/>
  <c r="V834" i="3"/>
  <c r="V835" i="3"/>
  <c r="V836" i="3"/>
  <c r="V837" i="3"/>
  <c r="V838" i="3"/>
  <c r="V839" i="3"/>
  <c r="V840" i="3"/>
  <c r="V841" i="3"/>
  <c r="V842" i="3"/>
  <c r="V843" i="3"/>
  <c r="V844" i="3"/>
  <c r="V845" i="3"/>
  <c r="V846" i="3"/>
  <c r="V847" i="3"/>
  <c r="V848" i="3"/>
  <c r="V849" i="3"/>
  <c r="V850" i="3"/>
  <c r="V851" i="3"/>
  <c r="V852" i="3"/>
  <c r="V853" i="3"/>
  <c r="V854" i="3"/>
  <c r="V855" i="3"/>
  <c r="V856" i="3"/>
  <c r="V857" i="3"/>
  <c r="V858" i="3"/>
  <c r="V859" i="3"/>
  <c r="V860" i="3"/>
  <c r="V861" i="3"/>
  <c r="V862" i="3"/>
  <c r="V863" i="3"/>
  <c r="V864" i="3"/>
  <c r="V865" i="3"/>
  <c r="V866" i="3"/>
  <c r="V867" i="3"/>
  <c r="V868" i="3"/>
  <c r="V869" i="3"/>
  <c r="V870" i="3"/>
  <c r="V871" i="3"/>
  <c r="V872" i="3"/>
  <c r="V873" i="3"/>
  <c r="V874" i="3"/>
  <c r="V875" i="3"/>
  <c r="V876" i="3"/>
  <c r="V877" i="3"/>
  <c r="V878" i="3"/>
  <c r="V879" i="3"/>
  <c r="V880" i="3"/>
  <c r="V881" i="3"/>
  <c r="V882" i="3"/>
  <c r="V883" i="3"/>
  <c r="V884" i="3"/>
  <c r="V885" i="3"/>
  <c r="V886" i="3"/>
  <c r="V887" i="3"/>
  <c r="V888" i="3"/>
  <c r="V889" i="3"/>
  <c r="V890" i="3"/>
  <c r="V891" i="3"/>
  <c r="V892" i="3"/>
  <c r="V893" i="3"/>
  <c r="V894" i="3"/>
  <c r="V895" i="3"/>
  <c r="V896" i="3"/>
  <c r="V897" i="3"/>
  <c r="V898" i="3"/>
  <c r="V899" i="3"/>
  <c r="V900" i="3"/>
  <c r="V901" i="3"/>
  <c r="V902" i="3"/>
  <c r="V903" i="3"/>
  <c r="V904" i="3"/>
  <c r="V905" i="3"/>
  <c r="V906" i="3"/>
  <c r="V907" i="3"/>
  <c r="V908" i="3"/>
  <c r="V909" i="3"/>
  <c r="V910" i="3"/>
  <c r="V911" i="3"/>
  <c r="V912" i="3"/>
  <c r="V913" i="3"/>
  <c r="V914" i="3"/>
  <c r="V915" i="3"/>
  <c r="V916" i="3"/>
  <c r="V917" i="3"/>
  <c r="V918" i="3"/>
  <c r="V919" i="3"/>
  <c r="V920" i="3"/>
  <c r="V921" i="3"/>
  <c r="V922" i="3"/>
  <c r="V923" i="3"/>
  <c r="V924" i="3"/>
  <c r="V925" i="3"/>
  <c r="V926" i="3"/>
  <c r="V927" i="3"/>
  <c r="V928" i="3"/>
  <c r="V929" i="3"/>
  <c r="V930" i="3"/>
  <c r="V931" i="3"/>
  <c r="V932" i="3"/>
  <c r="V933" i="3"/>
  <c r="V934" i="3"/>
  <c r="V935" i="3"/>
  <c r="V936" i="3"/>
  <c r="V937" i="3"/>
  <c r="V938" i="3"/>
  <c r="V939" i="3"/>
  <c r="V940" i="3"/>
  <c r="V941" i="3"/>
  <c r="V942" i="3"/>
  <c r="V943" i="3"/>
  <c r="V944" i="3"/>
  <c r="V945" i="3"/>
  <c r="V946" i="3"/>
  <c r="V947" i="3"/>
  <c r="V948" i="3"/>
  <c r="V949" i="3"/>
  <c r="V950" i="3"/>
  <c r="V951" i="3"/>
  <c r="V952" i="3"/>
  <c r="V953" i="3"/>
  <c r="V954" i="3"/>
  <c r="V955" i="3"/>
  <c r="V956" i="3"/>
  <c r="V957" i="3"/>
  <c r="V958" i="3"/>
  <c r="V959" i="3"/>
  <c r="V960" i="3"/>
  <c r="V961" i="3"/>
  <c r="V962" i="3"/>
  <c r="V963" i="3"/>
  <c r="V964" i="3"/>
  <c r="V965" i="3"/>
  <c r="V966" i="3"/>
  <c r="V967" i="3"/>
  <c r="V968" i="3"/>
  <c r="V969" i="3"/>
  <c r="V970" i="3"/>
  <c r="V971" i="3"/>
  <c r="V972" i="3"/>
  <c r="V973" i="3"/>
  <c r="V974" i="3"/>
  <c r="V975" i="3"/>
  <c r="V976" i="3"/>
  <c r="V977" i="3"/>
  <c r="V978" i="3"/>
  <c r="V979" i="3"/>
  <c r="V980" i="3"/>
  <c r="V981" i="3"/>
  <c r="V982" i="3"/>
  <c r="V983" i="3"/>
  <c r="V984" i="3"/>
  <c r="V985" i="3"/>
  <c r="V986" i="3"/>
  <c r="V987" i="3"/>
  <c r="V988" i="3"/>
  <c r="V989" i="3"/>
  <c r="V990" i="3"/>
  <c r="V991" i="3"/>
  <c r="V992" i="3"/>
  <c r="V993" i="3"/>
  <c r="V994" i="3"/>
  <c r="V995" i="3"/>
  <c r="V996" i="3"/>
  <c r="V997" i="3"/>
  <c r="V998" i="3"/>
  <c r="V999" i="3"/>
  <c r="V1000" i="3"/>
  <c r="V1001" i="3"/>
  <c r="V1002" i="3"/>
  <c r="V1003" i="3"/>
  <c r="V1004" i="3"/>
  <c r="V1005" i="3"/>
  <c r="V1006" i="3"/>
  <c r="V1007" i="3"/>
  <c r="V1008" i="3"/>
  <c r="V1009" i="3"/>
  <c r="V1010" i="3"/>
  <c r="V1011" i="3"/>
  <c r="V1012" i="3"/>
  <c r="V1013" i="3"/>
  <c r="V1014" i="3"/>
  <c r="V1015" i="3"/>
  <c r="V1016" i="3"/>
  <c r="V1017" i="3"/>
  <c r="V1018" i="3"/>
  <c r="V1019" i="3"/>
  <c r="V1020" i="3"/>
  <c r="V1021" i="3"/>
  <c r="V1022" i="3"/>
  <c r="V1023" i="3"/>
  <c r="V1024" i="3"/>
  <c r="V1025" i="3"/>
  <c r="V1026" i="3"/>
  <c r="V1027" i="3"/>
  <c r="V1028" i="3"/>
  <c r="V1029" i="3"/>
  <c r="V1030" i="3"/>
  <c r="V1031" i="3"/>
  <c r="V1032" i="3"/>
  <c r="V1033" i="3"/>
  <c r="V1034" i="3"/>
  <c r="V1035" i="3"/>
  <c r="V1036" i="3"/>
  <c r="V1037" i="3"/>
  <c r="V1038" i="3"/>
  <c r="V1039" i="3"/>
  <c r="V1040" i="3"/>
  <c r="V1041" i="3"/>
  <c r="V1042" i="3"/>
  <c r="V1043" i="3"/>
  <c r="V1044" i="3"/>
  <c r="V1045" i="3"/>
  <c r="V1046" i="3"/>
  <c r="V1047" i="3"/>
  <c r="V1048" i="3"/>
  <c r="V1049" i="3"/>
  <c r="V1050" i="3"/>
  <c r="V1051" i="3"/>
  <c r="V1052" i="3"/>
  <c r="V1053" i="3"/>
  <c r="V1054" i="3"/>
  <c r="V1055" i="3"/>
  <c r="V1056" i="3"/>
  <c r="V1057" i="3"/>
  <c r="V1058" i="3"/>
  <c r="V1059" i="3"/>
  <c r="V1060" i="3"/>
  <c r="V1061" i="3"/>
  <c r="V1062" i="3"/>
  <c r="V1063" i="3"/>
  <c r="V1064" i="3"/>
  <c r="V1065" i="3"/>
  <c r="V1066" i="3"/>
  <c r="V1067" i="3"/>
  <c r="V1068" i="3"/>
  <c r="V1069" i="3"/>
  <c r="V1070" i="3"/>
  <c r="V1071" i="3"/>
  <c r="V1072" i="3"/>
  <c r="V1073" i="3"/>
  <c r="V1074" i="3"/>
  <c r="V1075" i="3"/>
  <c r="V1076" i="3"/>
  <c r="V1077" i="3"/>
  <c r="V1078" i="3"/>
  <c r="V1079" i="3"/>
  <c r="V1080" i="3"/>
  <c r="V1081" i="3"/>
  <c r="V1082" i="3"/>
  <c r="V1083" i="3"/>
  <c r="V1084" i="3"/>
  <c r="V1085" i="3"/>
  <c r="V1086" i="3"/>
  <c r="V1087" i="3"/>
  <c r="V1088" i="3"/>
  <c r="V1089" i="3"/>
  <c r="V1090" i="3"/>
  <c r="V1091" i="3"/>
  <c r="V1092" i="3"/>
  <c r="V1093" i="3"/>
  <c r="V1094" i="3"/>
  <c r="V1095" i="3"/>
  <c r="V1096" i="3"/>
  <c r="V1097" i="3"/>
  <c r="V1098" i="3"/>
  <c r="V1099" i="3"/>
  <c r="V1100" i="3"/>
  <c r="V1101" i="3"/>
  <c r="V1102" i="3"/>
  <c r="V1103" i="3"/>
  <c r="V1104" i="3"/>
  <c r="V1105" i="3"/>
  <c r="V1106" i="3"/>
  <c r="V1107" i="3"/>
  <c r="V1108" i="3"/>
  <c r="V1109" i="3"/>
  <c r="V1110" i="3"/>
  <c r="V1111" i="3"/>
  <c r="V1112" i="3"/>
  <c r="V1113" i="3"/>
  <c r="V1114" i="3"/>
  <c r="V1115" i="3"/>
  <c r="V1116" i="3"/>
  <c r="V1117" i="3"/>
  <c r="V1118" i="3"/>
  <c r="V1119" i="3"/>
  <c r="V1120" i="3"/>
  <c r="V1121" i="3"/>
  <c r="V1122" i="3"/>
  <c r="V1123" i="3"/>
  <c r="V1124" i="3"/>
  <c r="V1125" i="3"/>
  <c r="V1126" i="3"/>
  <c r="V1127" i="3"/>
  <c r="V1128" i="3"/>
  <c r="V1129" i="3"/>
  <c r="V1130" i="3"/>
  <c r="V1131" i="3"/>
  <c r="V1132" i="3"/>
  <c r="V1133" i="3"/>
  <c r="V1134" i="3"/>
  <c r="V1135" i="3"/>
  <c r="V1136" i="3"/>
  <c r="V1137" i="3"/>
  <c r="V1138" i="3"/>
  <c r="V1139" i="3"/>
  <c r="V1140" i="3"/>
  <c r="V1141" i="3"/>
  <c r="V1142" i="3"/>
  <c r="V1143" i="3"/>
  <c r="V1144" i="3"/>
  <c r="V1145" i="3"/>
  <c r="V1146" i="3"/>
  <c r="V1147" i="3"/>
  <c r="V1148" i="3"/>
  <c r="V1149" i="3"/>
  <c r="V1150" i="3"/>
  <c r="V1151" i="3"/>
  <c r="V1152" i="3"/>
  <c r="V1153" i="3"/>
  <c r="V1154" i="3"/>
  <c r="V1155" i="3"/>
  <c r="V1156" i="3"/>
  <c r="V1157" i="3"/>
  <c r="V1158" i="3"/>
  <c r="V1159" i="3"/>
  <c r="V1160" i="3"/>
  <c r="V1161" i="3"/>
  <c r="V1162" i="3"/>
  <c r="V1163" i="3"/>
  <c r="V1164" i="3"/>
  <c r="V1165" i="3"/>
  <c r="V1166" i="3"/>
  <c r="V1167" i="3"/>
  <c r="V1168" i="3"/>
  <c r="V1169" i="3"/>
  <c r="V1170" i="3"/>
  <c r="V1171" i="3"/>
  <c r="V1172" i="3"/>
  <c r="V1173" i="3"/>
  <c r="V1174" i="3"/>
  <c r="V1175" i="3"/>
  <c r="V1176" i="3"/>
  <c r="V1177" i="3"/>
  <c r="V1178" i="3"/>
  <c r="V1179" i="3"/>
  <c r="V1180" i="3"/>
  <c r="V1181" i="3"/>
  <c r="V1182" i="3"/>
  <c r="V1183" i="3"/>
  <c r="V1184" i="3"/>
  <c r="V1185" i="3"/>
  <c r="V1186" i="3"/>
  <c r="V1187" i="3"/>
  <c r="V1188" i="3"/>
  <c r="V1189" i="3"/>
  <c r="V1190" i="3"/>
  <c r="V1191" i="3"/>
  <c r="V1192" i="3"/>
  <c r="V1193" i="3"/>
  <c r="V1194" i="3"/>
  <c r="V1195" i="3"/>
  <c r="V1196" i="3"/>
  <c r="V1197" i="3"/>
  <c r="V1198" i="3"/>
  <c r="V1199" i="3"/>
  <c r="V1200" i="3"/>
  <c r="V1201" i="3"/>
  <c r="V1202" i="3"/>
  <c r="V1203" i="3"/>
  <c r="V1204" i="3"/>
  <c r="V1205" i="3"/>
  <c r="V1206" i="3"/>
  <c r="V1207" i="3"/>
  <c r="V1208" i="3"/>
  <c r="V1209" i="3"/>
  <c r="V1210" i="3"/>
  <c r="V1211" i="3"/>
  <c r="V1212" i="3"/>
  <c r="V1213" i="3"/>
  <c r="V1214" i="3"/>
  <c r="V1215" i="3"/>
  <c r="V1216" i="3"/>
  <c r="V1217" i="3"/>
  <c r="V1218" i="3"/>
  <c r="V1219" i="3"/>
  <c r="V1220" i="3"/>
  <c r="V1221" i="3"/>
  <c r="V1222" i="3"/>
  <c r="V1223" i="3"/>
  <c r="V1224" i="3"/>
  <c r="V1225" i="3"/>
  <c r="V1226" i="3"/>
  <c r="V1227" i="3"/>
  <c r="V1228" i="3"/>
  <c r="V1229" i="3"/>
  <c r="V1230" i="3"/>
  <c r="V1231" i="3"/>
  <c r="V1232" i="3"/>
  <c r="V1233" i="3"/>
  <c r="V1234" i="3"/>
  <c r="V1235" i="3"/>
  <c r="V1236" i="3"/>
  <c r="V1237" i="3"/>
  <c r="V1238" i="3"/>
  <c r="V1239" i="3"/>
  <c r="V1240" i="3"/>
  <c r="V1241" i="3"/>
  <c r="V1242" i="3"/>
  <c r="V1243" i="3"/>
  <c r="V1244" i="3"/>
  <c r="V1245" i="3"/>
  <c r="V1246" i="3"/>
  <c r="V1247" i="3"/>
  <c r="V1248" i="3"/>
  <c r="V1249" i="3"/>
  <c r="V1250" i="3"/>
  <c r="V1251" i="3"/>
  <c r="V1252" i="3"/>
  <c r="V1253" i="3"/>
  <c r="V1254" i="3"/>
  <c r="V1255" i="3"/>
  <c r="V1256" i="3"/>
  <c r="V1257" i="3"/>
  <c r="V1258" i="3"/>
  <c r="V1259" i="3"/>
  <c r="V1260" i="3"/>
  <c r="V1261" i="3"/>
  <c r="V1262" i="3"/>
  <c r="V1263" i="3"/>
  <c r="V1264" i="3"/>
  <c r="V1265" i="3"/>
  <c r="V1266" i="3"/>
  <c r="V1267" i="3"/>
  <c r="V1268" i="3"/>
  <c r="V1269" i="3"/>
  <c r="V1270" i="3"/>
  <c r="V1271" i="3"/>
  <c r="V1272" i="3"/>
  <c r="V1273" i="3"/>
  <c r="V1274" i="3"/>
  <c r="V1275" i="3"/>
  <c r="V1276" i="3"/>
  <c r="V1277" i="3"/>
  <c r="V1278" i="3"/>
  <c r="V1279" i="3"/>
  <c r="V1280" i="3"/>
  <c r="V1281" i="3"/>
  <c r="V1282" i="3"/>
  <c r="V1283" i="3"/>
  <c r="V1284" i="3"/>
  <c r="V1285" i="3"/>
  <c r="V1286" i="3"/>
  <c r="V1287" i="3"/>
  <c r="V1288" i="3"/>
  <c r="V1289" i="3"/>
  <c r="V1290" i="3"/>
  <c r="V1291" i="3"/>
  <c r="V1292" i="3"/>
  <c r="V1293" i="3"/>
  <c r="V1294" i="3"/>
  <c r="V1295" i="3"/>
  <c r="V1296" i="3"/>
  <c r="V1297" i="3"/>
  <c r="V1298" i="3"/>
  <c r="V1299" i="3"/>
  <c r="V1300" i="3"/>
  <c r="V1301" i="3"/>
  <c r="V1302" i="3"/>
  <c r="V1303" i="3"/>
  <c r="V1304" i="3"/>
  <c r="V1305" i="3"/>
  <c r="V1306" i="3"/>
  <c r="V1307" i="3"/>
  <c r="V1308" i="3"/>
  <c r="V1309" i="3"/>
  <c r="V1310" i="3"/>
  <c r="V1311" i="3"/>
  <c r="V1312" i="3"/>
  <c r="V1313" i="3"/>
  <c r="V1314" i="3"/>
  <c r="V1315" i="3"/>
  <c r="V1316" i="3"/>
  <c r="V1317" i="3"/>
  <c r="V1318" i="3"/>
  <c r="V1319" i="3"/>
  <c r="V1320" i="3"/>
  <c r="V1321" i="3"/>
  <c r="V1322" i="3"/>
  <c r="V1323" i="3"/>
  <c r="V1324" i="3"/>
  <c r="V1325" i="3"/>
  <c r="V1326" i="3"/>
  <c r="V1327" i="3"/>
  <c r="V1328" i="3"/>
  <c r="V1329" i="3"/>
  <c r="V1330" i="3"/>
  <c r="V1331" i="3"/>
  <c r="V1332" i="3"/>
  <c r="V1333" i="3"/>
  <c r="V1334" i="3"/>
  <c r="V1335" i="3"/>
  <c r="V1336" i="3"/>
  <c r="V1337" i="3"/>
  <c r="V1338" i="3"/>
  <c r="V1339" i="3"/>
  <c r="V1340" i="3"/>
  <c r="V1341" i="3"/>
  <c r="V1342" i="3"/>
  <c r="V1343" i="3"/>
  <c r="V1344" i="3"/>
  <c r="V1345" i="3"/>
  <c r="V1346" i="3"/>
  <c r="V1347" i="3"/>
  <c r="V1348" i="3"/>
  <c r="V1349" i="3"/>
  <c r="V1350" i="3"/>
  <c r="V1351" i="3"/>
  <c r="V1352" i="3"/>
  <c r="V1353" i="3"/>
  <c r="V1354" i="3"/>
  <c r="V1355" i="3"/>
  <c r="V1356" i="3"/>
  <c r="V1357" i="3"/>
  <c r="V1358" i="3"/>
  <c r="V1359" i="3"/>
  <c r="V1360" i="3"/>
  <c r="V1361" i="3"/>
  <c r="V1362" i="3"/>
  <c r="V1363" i="3"/>
  <c r="V1364" i="3"/>
  <c r="V1365" i="3"/>
  <c r="V1366" i="3"/>
  <c r="V1367" i="3"/>
  <c r="V1368" i="3"/>
  <c r="V1369" i="3"/>
  <c r="V1370" i="3"/>
  <c r="V1371" i="3"/>
  <c r="V1372" i="3"/>
  <c r="V1373" i="3"/>
  <c r="V1374" i="3"/>
  <c r="V1375" i="3"/>
  <c r="V1376" i="3"/>
  <c r="V1377" i="3"/>
  <c r="V1378" i="3"/>
  <c r="V1379" i="3"/>
  <c r="V1380" i="3"/>
  <c r="V1381" i="3"/>
  <c r="V1382" i="3"/>
  <c r="V1383" i="3"/>
  <c r="V1384" i="3"/>
  <c r="V1385" i="3"/>
  <c r="V1386" i="3"/>
  <c r="V1387" i="3"/>
  <c r="V1388" i="3"/>
  <c r="V1389" i="3"/>
  <c r="V1390" i="3"/>
  <c r="V1391" i="3"/>
  <c r="V1392" i="3"/>
  <c r="V1393" i="3"/>
  <c r="V1394" i="3"/>
  <c r="V1395" i="3"/>
  <c r="V1396" i="3"/>
  <c r="V1397" i="3"/>
  <c r="V1398" i="3"/>
  <c r="V1399" i="3"/>
  <c r="V1400" i="3"/>
  <c r="V1401" i="3"/>
  <c r="V1402" i="3"/>
  <c r="V1403" i="3"/>
  <c r="V1404" i="3"/>
  <c r="V1405" i="3"/>
  <c r="V1406" i="3"/>
  <c r="V1407" i="3"/>
  <c r="V1408" i="3"/>
  <c r="V1409" i="3"/>
  <c r="V1410" i="3"/>
  <c r="V1411" i="3"/>
  <c r="V1412" i="3"/>
  <c r="V1413" i="3"/>
  <c r="V1414" i="3"/>
  <c r="V1415" i="3"/>
  <c r="V1416" i="3"/>
  <c r="V1417" i="3"/>
  <c r="V1418" i="3"/>
  <c r="V1419" i="3"/>
  <c r="V1420" i="3"/>
  <c r="V1421" i="3"/>
  <c r="V1422" i="3"/>
  <c r="V1423" i="3"/>
  <c r="V1424" i="3"/>
  <c r="V1425" i="3"/>
  <c r="V1426" i="3"/>
  <c r="V1427" i="3"/>
  <c r="V1428" i="3"/>
  <c r="V1429" i="3"/>
  <c r="V1430" i="3"/>
  <c r="V1431" i="3"/>
  <c r="V1432" i="3"/>
  <c r="V1433" i="3"/>
  <c r="V1434" i="3"/>
  <c r="V1435" i="3"/>
  <c r="V1436" i="3"/>
  <c r="V1437" i="3"/>
  <c r="V1438" i="3"/>
  <c r="V1439" i="3"/>
  <c r="V1440" i="3"/>
  <c r="V1441" i="3"/>
  <c r="V1442" i="3"/>
  <c r="V1443" i="3"/>
  <c r="V1444" i="3"/>
  <c r="V1445" i="3"/>
  <c r="V1446" i="3"/>
  <c r="V1447" i="3"/>
  <c r="V1448" i="3"/>
  <c r="V1449" i="3"/>
  <c r="V1450" i="3"/>
  <c r="V1451" i="3"/>
  <c r="V1452" i="3"/>
  <c r="V1453" i="3"/>
  <c r="V1454" i="3"/>
  <c r="V1455" i="3"/>
  <c r="V1456" i="3"/>
  <c r="V1457" i="3"/>
  <c r="V1458" i="3"/>
  <c r="V1459" i="3"/>
  <c r="V1460" i="3"/>
  <c r="V1461" i="3"/>
  <c r="V1462" i="3"/>
  <c r="V1463" i="3"/>
  <c r="V1464" i="3"/>
  <c r="V1465" i="3"/>
  <c r="V1466" i="3"/>
  <c r="V1467" i="3"/>
  <c r="V1468" i="3"/>
  <c r="V1469" i="3"/>
  <c r="V1470" i="3"/>
  <c r="V1471" i="3"/>
  <c r="V1472" i="3"/>
  <c r="V1473" i="3"/>
  <c r="V1474" i="3"/>
  <c r="V1475" i="3"/>
  <c r="V1476" i="3"/>
  <c r="V1477" i="3"/>
  <c r="V1478" i="3"/>
  <c r="V1479" i="3"/>
  <c r="V1480" i="3"/>
  <c r="V1481" i="3"/>
  <c r="V1482" i="3"/>
  <c r="V1483" i="3"/>
  <c r="V1484" i="3"/>
  <c r="V1485" i="3"/>
  <c r="V1486" i="3"/>
  <c r="V1487" i="3"/>
  <c r="V1488" i="3"/>
  <c r="V1489" i="3"/>
  <c r="V1490" i="3"/>
  <c r="V1491" i="3"/>
  <c r="V1492" i="3"/>
  <c r="V1493" i="3"/>
  <c r="V1494" i="3"/>
  <c r="V1495" i="3"/>
  <c r="V1496" i="3"/>
  <c r="V1497" i="3"/>
  <c r="V1498" i="3"/>
  <c r="V1499" i="3"/>
  <c r="V1500" i="3"/>
  <c r="V1501" i="3"/>
  <c r="V1502" i="3"/>
  <c r="V1503" i="3"/>
  <c r="V1504" i="3"/>
  <c r="V1505" i="3"/>
  <c r="V1506" i="3"/>
  <c r="V1507" i="3"/>
  <c r="V1508" i="3"/>
  <c r="V1509" i="3"/>
  <c r="V1510" i="3"/>
  <c r="V1511" i="3"/>
  <c r="V1512" i="3"/>
  <c r="V1513" i="3"/>
  <c r="V1514" i="3"/>
  <c r="V1515" i="3"/>
  <c r="V1516" i="3"/>
  <c r="V1517" i="3"/>
  <c r="V1518" i="3"/>
  <c r="V1519" i="3"/>
  <c r="V1520" i="3"/>
  <c r="V1521" i="3"/>
  <c r="V1522" i="3"/>
  <c r="V1523" i="3"/>
  <c r="V1524" i="3"/>
  <c r="V1525" i="3"/>
  <c r="V1526" i="3"/>
  <c r="V1527" i="3"/>
  <c r="V1528" i="3"/>
  <c r="V1529" i="3"/>
  <c r="V1530" i="3"/>
  <c r="V1531" i="3"/>
  <c r="V1532" i="3"/>
  <c r="V1533" i="3"/>
  <c r="V1534" i="3"/>
  <c r="V1535" i="3"/>
  <c r="V1536" i="3"/>
  <c r="V1537" i="3"/>
  <c r="V1538" i="3"/>
  <c r="V1539" i="3"/>
  <c r="V1540" i="3"/>
  <c r="V1541" i="3"/>
  <c r="V1542" i="3"/>
  <c r="V1543" i="3"/>
  <c r="V1544" i="3"/>
  <c r="V1545" i="3"/>
  <c r="V1546" i="3"/>
  <c r="V1547" i="3"/>
  <c r="V1548" i="3"/>
  <c r="V1549" i="3"/>
  <c r="V1550" i="3"/>
  <c r="V1551" i="3"/>
  <c r="V1552" i="3"/>
  <c r="V1553" i="3"/>
  <c r="V1554" i="3"/>
  <c r="V1555" i="3"/>
  <c r="V1556" i="3"/>
  <c r="V1557" i="3"/>
  <c r="V1558" i="3"/>
  <c r="V1559" i="3"/>
  <c r="V1560" i="3"/>
  <c r="V1561" i="3"/>
  <c r="V1562" i="3"/>
  <c r="V1563" i="3"/>
  <c r="V1564" i="3"/>
  <c r="V1565" i="3"/>
  <c r="V1566" i="3"/>
  <c r="V1567" i="3"/>
  <c r="V1568" i="3"/>
  <c r="V1569" i="3"/>
  <c r="V1570" i="3"/>
  <c r="V1571" i="3"/>
  <c r="V1572" i="3"/>
  <c r="V1573" i="3"/>
  <c r="V1574" i="3"/>
  <c r="V1575" i="3"/>
  <c r="V1576" i="3"/>
  <c r="V1577" i="3"/>
  <c r="V1578" i="3"/>
  <c r="V1579" i="3"/>
  <c r="V1580" i="3"/>
  <c r="V1581" i="3"/>
  <c r="V1582" i="3"/>
  <c r="V1583" i="3"/>
  <c r="V1584" i="3"/>
  <c r="V1585" i="3"/>
  <c r="V1586" i="3"/>
  <c r="V1587" i="3"/>
  <c r="V1588" i="3"/>
  <c r="V1589" i="3"/>
  <c r="V1590" i="3"/>
  <c r="V1591" i="3"/>
  <c r="V1592" i="3"/>
  <c r="V1593" i="3"/>
  <c r="V1594" i="3"/>
  <c r="V1595" i="3"/>
  <c r="V1596" i="3"/>
  <c r="V1597" i="3"/>
  <c r="V1598" i="3"/>
  <c r="V1599" i="3"/>
  <c r="V1600" i="3"/>
  <c r="V1601" i="3"/>
  <c r="V1602" i="3"/>
  <c r="V1603" i="3"/>
  <c r="V1604" i="3"/>
  <c r="V1605" i="3"/>
  <c r="V1606" i="3"/>
  <c r="V1607" i="3"/>
  <c r="V1608" i="3"/>
  <c r="V1609" i="3"/>
  <c r="V1610" i="3"/>
  <c r="V1611" i="3"/>
  <c r="V1612" i="3"/>
  <c r="V1613" i="3"/>
  <c r="V1614" i="3"/>
  <c r="V1615" i="3"/>
  <c r="V1616" i="3"/>
  <c r="V1617" i="3"/>
  <c r="V1618" i="3"/>
  <c r="V1619" i="3"/>
  <c r="V1620" i="3"/>
  <c r="V1621" i="3"/>
  <c r="V1622" i="3"/>
  <c r="V1623" i="3"/>
  <c r="V1624" i="3"/>
  <c r="V1625" i="3"/>
  <c r="V1626" i="3"/>
  <c r="V1627" i="3"/>
  <c r="V1628" i="3"/>
  <c r="V1629" i="3"/>
  <c r="V1630" i="3"/>
  <c r="V1631" i="3"/>
  <c r="V1632" i="3"/>
  <c r="V1633" i="3"/>
  <c r="V1634" i="3"/>
  <c r="V1635" i="3"/>
  <c r="V1636" i="3"/>
  <c r="V1637" i="3"/>
  <c r="V1638" i="3"/>
  <c r="V1639" i="3"/>
  <c r="V1640" i="3"/>
  <c r="V1641" i="3"/>
  <c r="V1642" i="3"/>
  <c r="V1643" i="3"/>
  <c r="V1644" i="3"/>
  <c r="V1645" i="3"/>
  <c r="V1646" i="3"/>
  <c r="V1647" i="3"/>
  <c r="V1648" i="3"/>
  <c r="V1649" i="3"/>
  <c r="V1650" i="3"/>
  <c r="V1651" i="3"/>
  <c r="V1652" i="3"/>
  <c r="V1653" i="3"/>
  <c r="V1654" i="3"/>
  <c r="V1655" i="3"/>
  <c r="V1656" i="3"/>
  <c r="V1657" i="3"/>
  <c r="V1658" i="3"/>
  <c r="V1659" i="3"/>
  <c r="V1660" i="3"/>
  <c r="V1661" i="3"/>
  <c r="V1662" i="3"/>
  <c r="V1663" i="3"/>
  <c r="V1664" i="3"/>
  <c r="V1665" i="3"/>
  <c r="V1666" i="3"/>
  <c r="V1667" i="3"/>
  <c r="V1668" i="3"/>
  <c r="V1669" i="3"/>
  <c r="V1670" i="3"/>
  <c r="V1671" i="3"/>
  <c r="V1672" i="3"/>
  <c r="V1673" i="3"/>
  <c r="V1674" i="3"/>
  <c r="V1675" i="3"/>
  <c r="V1676" i="3"/>
  <c r="V1677" i="3"/>
  <c r="V1678" i="3"/>
  <c r="V1679" i="3"/>
  <c r="V1680" i="3"/>
  <c r="V1681" i="3"/>
  <c r="V1682" i="3"/>
  <c r="V1683" i="3"/>
  <c r="V1684" i="3"/>
  <c r="V1685" i="3"/>
  <c r="V1686" i="3"/>
  <c r="V1687" i="3"/>
  <c r="V1688" i="3"/>
  <c r="V1689" i="3"/>
  <c r="V1690" i="3"/>
  <c r="V1691" i="3"/>
  <c r="V1692" i="3"/>
  <c r="V1693" i="3"/>
  <c r="V1694" i="3"/>
  <c r="V1695" i="3"/>
  <c r="V1696" i="3"/>
  <c r="V1697" i="3"/>
  <c r="V1698" i="3"/>
  <c r="V1699" i="3"/>
  <c r="V1700" i="3"/>
  <c r="V1701" i="3"/>
  <c r="V1702" i="3"/>
  <c r="V1703" i="3"/>
  <c r="V1704" i="3"/>
  <c r="V1705" i="3"/>
  <c r="V1706" i="3"/>
  <c r="V1707" i="3"/>
  <c r="V1708" i="3"/>
  <c r="V1709" i="3"/>
  <c r="V1710" i="3"/>
  <c r="V1711" i="3"/>
  <c r="V1712" i="3"/>
  <c r="V1713" i="3"/>
  <c r="V1714" i="3"/>
  <c r="V1715" i="3"/>
  <c r="V1716" i="3"/>
  <c r="V1717" i="3"/>
  <c r="V1718" i="3"/>
  <c r="V1719" i="3"/>
  <c r="V1720" i="3"/>
  <c r="V1721" i="3"/>
  <c r="V1722" i="3"/>
  <c r="V1723" i="3"/>
  <c r="V1724" i="3"/>
  <c r="V1725" i="3"/>
  <c r="V1726" i="3"/>
  <c r="V1727" i="3"/>
  <c r="V1728" i="3"/>
  <c r="V1729" i="3"/>
  <c r="V1730" i="3"/>
  <c r="V1731" i="3"/>
  <c r="V1732" i="3"/>
  <c r="V1733" i="3"/>
  <c r="V1734" i="3"/>
  <c r="V1735" i="3"/>
  <c r="V1736" i="3"/>
  <c r="V1737" i="3"/>
  <c r="V1738" i="3"/>
  <c r="V1739" i="3"/>
  <c r="V1740" i="3"/>
  <c r="V1741" i="3"/>
  <c r="V1742" i="3"/>
  <c r="V1743" i="3"/>
  <c r="V1744" i="3"/>
  <c r="V1745" i="3"/>
  <c r="V1746" i="3"/>
  <c r="V1747" i="3"/>
  <c r="V1748" i="3"/>
  <c r="V1749" i="3"/>
  <c r="V1750" i="3"/>
  <c r="V1751" i="3"/>
  <c r="V1752" i="3"/>
  <c r="V1753" i="3"/>
  <c r="V1754" i="3"/>
  <c r="V1755" i="3"/>
  <c r="V1756" i="3"/>
  <c r="V1757" i="3"/>
  <c r="V1758" i="3"/>
  <c r="V1759" i="3"/>
  <c r="V1760" i="3"/>
  <c r="V1761" i="3"/>
  <c r="V1762" i="3"/>
  <c r="V1763" i="3"/>
  <c r="V1764" i="3"/>
  <c r="V1765" i="3"/>
  <c r="V1766" i="3"/>
  <c r="V1767" i="3"/>
  <c r="V1768" i="3"/>
  <c r="V1769" i="3"/>
  <c r="V1770" i="3"/>
  <c r="V1771" i="3"/>
  <c r="V1772" i="3"/>
  <c r="V1773" i="3"/>
  <c r="V1774" i="3"/>
  <c r="V1775" i="3"/>
  <c r="V1776" i="3"/>
  <c r="V1777" i="3"/>
  <c r="V1778" i="3"/>
  <c r="V1779" i="3"/>
  <c r="V1780" i="3"/>
  <c r="V1781" i="3"/>
  <c r="V1782" i="3"/>
  <c r="V1783" i="3"/>
  <c r="V1784" i="3"/>
  <c r="V1785" i="3"/>
  <c r="V1786" i="3"/>
  <c r="V1787" i="3"/>
  <c r="V1788" i="3"/>
  <c r="V1789" i="3"/>
  <c r="V1790" i="3"/>
  <c r="V1791" i="3"/>
  <c r="V1792" i="3"/>
  <c r="V1793" i="3"/>
  <c r="V1794" i="3"/>
  <c r="V1795" i="3"/>
  <c r="V1796" i="3"/>
  <c r="V1797" i="3"/>
  <c r="V1798" i="3"/>
  <c r="V1799" i="3"/>
  <c r="V1800" i="3"/>
  <c r="V1801" i="3"/>
  <c r="V1802" i="3"/>
  <c r="V1803" i="3"/>
  <c r="V1804" i="3"/>
  <c r="V1805" i="3"/>
  <c r="V1806" i="3"/>
  <c r="V1807" i="3"/>
  <c r="V1808" i="3"/>
  <c r="V1809" i="3"/>
  <c r="V1810" i="3"/>
  <c r="V1811" i="3"/>
  <c r="V1812" i="3"/>
  <c r="V1813" i="3"/>
  <c r="V1814" i="3"/>
  <c r="V1815" i="3"/>
  <c r="V1816" i="3"/>
  <c r="V1817" i="3"/>
  <c r="V1818" i="3"/>
  <c r="V1819" i="3"/>
  <c r="V1820" i="3"/>
  <c r="V1821" i="3"/>
  <c r="V1822" i="3"/>
  <c r="V1823" i="3"/>
  <c r="V1824" i="3"/>
  <c r="V1825" i="3"/>
  <c r="V1826" i="3"/>
  <c r="V1827" i="3"/>
  <c r="V1828" i="3"/>
  <c r="V1829" i="3"/>
  <c r="V1830" i="3"/>
  <c r="V1831" i="3"/>
  <c r="V1832" i="3"/>
  <c r="V1833" i="3"/>
  <c r="V1834" i="3"/>
  <c r="V1835" i="3"/>
  <c r="V1836" i="3"/>
  <c r="V1837" i="3"/>
  <c r="V1838" i="3"/>
  <c r="V1839" i="3"/>
  <c r="V1840" i="3"/>
  <c r="V1841" i="3"/>
  <c r="V1842" i="3"/>
  <c r="V1843" i="3"/>
  <c r="V1844" i="3"/>
  <c r="V1845" i="3"/>
  <c r="V1846" i="3"/>
  <c r="V1847" i="3"/>
  <c r="V1848" i="3"/>
  <c r="V1849" i="3"/>
  <c r="V1850" i="3"/>
  <c r="V1851" i="3"/>
  <c r="V1852" i="3"/>
  <c r="V1853" i="3"/>
  <c r="V1854" i="3"/>
  <c r="V1855" i="3"/>
  <c r="V1856" i="3"/>
  <c r="V1857" i="3"/>
  <c r="V1858" i="3"/>
  <c r="V1859" i="3"/>
  <c r="V1860" i="3"/>
  <c r="V1861" i="3"/>
  <c r="V1862" i="3"/>
  <c r="V1863" i="3"/>
  <c r="V1864" i="3"/>
  <c r="V1865" i="3"/>
  <c r="V1866" i="3"/>
  <c r="V1867" i="3"/>
  <c r="V1868" i="3"/>
  <c r="V1869" i="3"/>
  <c r="V1870" i="3"/>
  <c r="V1871" i="3"/>
  <c r="V1872" i="3"/>
  <c r="V1873" i="3"/>
  <c r="V1874" i="3"/>
  <c r="V1875" i="3"/>
  <c r="V1876" i="3"/>
  <c r="V1877" i="3"/>
  <c r="V1878" i="3"/>
  <c r="V1879" i="3"/>
  <c r="V1880" i="3"/>
  <c r="V1881" i="3"/>
  <c r="V1882" i="3"/>
  <c r="V1883" i="3"/>
  <c r="V1884" i="3"/>
  <c r="V1885" i="3"/>
  <c r="V1886" i="3"/>
  <c r="V1887" i="3"/>
  <c r="V1888" i="3"/>
  <c r="V1889" i="3"/>
  <c r="V1890" i="3"/>
  <c r="V1891" i="3"/>
  <c r="V1892" i="3"/>
  <c r="V1893" i="3"/>
  <c r="V1894" i="3"/>
  <c r="V1895" i="3"/>
  <c r="V1896" i="3"/>
  <c r="V1897" i="3"/>
  <c r="V1898" i="3"/>
  <c r="V1899" i="3"/>
  <c r="V1900" i="3"/>
  <c r="V1901" i="3"/>
  <c r="V1902" i="3"/>
  <c r="V1903" i="3"/>
  <c r="V1904" i="3"/>
  <c r="V1905" i="3"/>
  <c r="V1906" i="3"/>
  <c r="V1907" i="3"/>
  <c r="V1908" i="3"/>
  <c r="V1909" i="3"/>
  <c r="V1910" i="3"/>
  <c r="V1911" i="3"/>
  <c r="V1912" i="3"/>
  <c r="V1913" i="3"/>
  <c r="V1914" i="3"/>
  <c r="V1915" i="3"/>
  <c r="V1916" i="3"/>
  <c r="V1917" i="3"/>
  <c r="V1918" i="3"/>
  <c r="V1919" i="3"/>
  <c r="V1920" i="3"/>
  <c r="V1921" i="3"/>
  <c r="V1922" i="3"/>
  <c r="V1923" i="3"/>
  <c r="V1924" i="3"/>
  <c r="V1925" i="3"/>
  <c r="V1926" i="3"/>
  <c r="V1927" i="3"/>
  <c r="V1928" i="3"/>
  <c r="V1929" i="3"/>
  <c r="V1930" i="3"/>
  <c r="V1931" i="3"/>
  <c r="V1932" i="3"/>
  <c r="V1933" i="3"/>
  <c r="V1934" i="3"/>
  <c r="V1935" i="3"/>
  <c r="V1936" i="3"/>
  <c r="V1937" i="3"/>
  <c r="V1938" i="3"/>
  <c r="V1939" i="3"/>
  <c r="V1940" i="3"/>
  <c r="V1941" i="3"/>
  <c r="V1942" i="3"/>
  <c r="V1943" i="3"/>
  <c r="V1944" i="3"/>
  <c r="V1945" i="3"/>
  <c r="V1946" i="3"/>
  <c r="V1947" i="3"/>
  <c r="V1948" i="3"/>
  <c r="V1949" i="3"/>
  <c r="V1950" i="3"/>
  <c r="V1951" i="3"/>
  <c r="V1952" i="3"/>
  <c r="V1953" i="3"/>
  <c r="V1954" i="3"/>
  <c r="V1955" i="3"/>
  <c r="V1956" i="3"/>
  <c r="V1957" i="3"/>
  <c r="V1958" i="3"/>
  <c r="V1959" i="3"/>
  <c r="V1960" i="3"/>
  <c r="V1961" i="3"/>
  <c r="V1962" i="3"/>
  <c r="V1963" i="3"/>
  <c r="V1964" i="3"/>
  <c r="V1965" i="3"/>
  <c r="V1966" i="3"/>
  <c r="V1967" i="3"/>
  <c r="V1968" i="3"/>
  <c r="V1969" i="3"/>
  <c r="V1970" i="3"/>
  <c r="V1971" i="3"/>
  <c r="V1972" i="3"/>
  <c r="V1973" i="3"/>
  <c r="V1974" i="3"/>
  <c r="V1975" i="3"/>
  <c r="V1976" i="3"/>
  <c r="V1977" i="3"/>
  <c r="V1978" i="3"/>
  <c r="V1979" i="3"/>
  <c r="V1980" i="3"/>
  <c r="V1981" i="3"/>
  <c r="V1982" i="3"/>
  <c r="V1983" i="3"/>
  <c r="V1984" i="3"/>
  <c r="V1985" i="3"/>
  <c r="V1986" i="3"/>
  <c r="V1987" i="3"/>
  <c r="V1988" i="3"/>
  <c r="V1989" i="3"/>
  <c r="V1990" i="3"/>
  <c r="V1991" i="3"/>
  <c r="V1992" i="3"/>
  <c r="V1993" i="3"/>
  <c r="V1994" i="3"/>
  <c r="V1995" i="3"/>
  <c r="V1996" i="3"/>
  <c r="V1997" i="3"/>
  <c r="V1998" i="3"/>
  <c r="V1999" i="3"/>
  <c r="V2000" i="3"/>
  <c r="V2001" i="3"/>
  <c r="V2002" i="3"/>
  <c r="V2003" i="3"/>
  <c r="V2004" i="3"/>
  <c r="V2005" i="3"/>
  <c r="V2006" i="3"/>
  <c r="V2007" i="3"/>
  <c r="V2008" i="3"/>
  <c r="V2009" i="3"/>
  <c r="V2010" i="3"/>
  <c r="V2011" i="3"/>
  <c r="V2012" i="3"/>
  <c r="V2013" i="3"/>
  <c r="V2014" i="3"/>
  <c r="V2015" i="3"/>
  <c r="V2016" i="3"/>
  <c r="V2017" i="3"/>
  <c r="V2018" i="3"/>
  <c r="V2019" i="3"/>
  <c r="V2020" i="3"/>
  <c r="V2021" i="3"/>
  <c r="V2022" i="3"/>
  <c r="V2023" i="3"/>
  <c r="V2024" i="3"/>
  <c r="V2025" i="3"/>
  <c r="V2026" i="3"/>
  <c r="V2027" i="3"/>
  <c r="V2028" i="3"/>
  <c r="V2029" i="3"/>
  <c r="V2030" i="3"/>
  <c r="V2031" i="3"/>
  <c r="V2032" i="3"/>
  <c r="V2033" i="3"/>
  <c r="V2034" i="3"/>
  <c r="V2035" i="3"/>
  <c r="V2036" i="3"/>
  <c r="V2037" i="3"/>
  <c r="V2038" i="3"/>
  <c r="V2039" i="3"/>
  <c r="V2040" i="3"/>
  <c r="V2041" i="3"/>
  <c r="V2042" i="3"/>
  <c r="V2043" i="3"/>
  <c r="V2044" i="3"/>
  <c r="V2045" i="3"/>
  <c r="V2046" i="3"/>
  <c r="V2047" i="3"/>
  <c r="V2048" i="3"/>
  <c r="V2049" i="3"/>
  <c r="V2050" i="3"/>
  <c r="V2051" i="3"/>
  <c r="V2052" i="3"/>
  <c r="V2053" i="3"/>
  <c r="V2054" i="3"/>
  <c r="V2055" i="3"/>
  <c r="V2056" i="3"/>
  <c r="V2057" i="3"/>
  <c r="V2058" i="3"/>
  <c r="V2059" i="3"/>
  <c r="V2060" i="3"/>
  <c r="V2061" i="3"/>
  <c r="V2062" i="3"/>
  <c r="V2063" i="3"/>
  <c r="V2064" i="3"/>
  <c r="V2065" i="3"/>
  <c r="V2066" i="3"/>
  <c r="V2067" i="3"/>
  <c r="V2068" i="3"/>
  <c r="V2069" i="3"/>
  <c r="V2070" i="3"/>
  <c r="V2071" i="3"/>
  <c r="V2072" i="3"/>
  <c r="V2073" i="3"/>
  <c r="V2074" i="3"/>
  <c r="V2075" i="3"/>
  <c r="V2076" i="3"/>
  <c r="V2077" i="3"/>
  <c r="V2078" i="3"/>
  <c r="V2079" i="3"/>
  <c r="V2080" i="3"/>
  <c r="V2081" i="3"/>
  <c r="V2082" i="3"/>
  <c r="V2083" i="3"/>
  <c r="V2084" i="3"/>
  <c r="V2085" i="3"/>
  <c r="V2086" i="3"/>
  <c r="V2087" i="3"/>
  <c r="V2088" i="3"/>
  <c r="V2089" i="3"/>
  <c r="V2090" i="3"/>
  <c r="V2091" i="3"/>
  <c r="V2092" i="3"/>
  <c r="V2093" i="3"/>
  <c r="V2094" i="3"/>
  <c r="V2095" i="3"/>
  <c r="V2096" i="3"/>
  <c r="V2097" i="3"/>
  <c r="V2098" i="3"/>
  <c r="V2099" i="3"/>
  <c r="V2100" i="3"/>
  <c r="V2101" i="3"/>
  <c r="V2102" i="3"/>
  <c r="V2103" i="3"/>
  <c r="V2104" i="3"/>
  <c r="V2105" i="3"/>
  <c r="V2106" i="3"/>
  <c r="V2107" i="3"/>
  <c r="V2108" i="3"/>
  <c r="V2109" i="3"/>
  <c r="V2110" i="3"/>
  <c r="V2111" i="3"/>
  <c r="V2112" i="3"/>
  <c r="V2113" i="3"/>
  <c r="V2114" i="3"/>
  <c r="V2115" i="3"/>
  <c r="V2116" i="3"/>
  <c r="V2117" i="3"/>
  <c r="V2118" i="3"/>
  <c r="V2119" i="3"/>
  <c r="V2120" i="3"/>
  <c r="V2121" i="3"/>
  <c r="V2122" i="3"/>
  <c r="V2123" i="3"/>
  <c r="V2124" i="3"/>
  <c r="V2125" i="3"/>
  <c r="V2126" i="3"/>
  <c r="V2127" i="3"/>
  <c r="V2128" i="3"/>
  <c r="V2129" i="3"/>
  <c r="V2130" i="3"/>
  <c r="V2131" i="3"/>
  <c r="V2132" i="3"/>
  <c r="V2133" i="3"/>
  <c r="V2134" i="3"/>
  <c r="V2135" i="3"/>
  <c r="V2136" i="3"/>
  <c r="V2137" i="3"/>
  <c r="V2138" i="3"/>
  <c r="V2139" i="3"/>
  <c r="V2140" i="3"/>
  <c r="V2141" i="3"/>
  <c r="V2142" i="3"/>
  <c r="V2143" i="3"/>
  <c r="V2144" i="3"/>
  <c r="V2145" i="3"/>
  <c r="V2146" i="3"/>
  <c r="V2147" i="3"/>
  <c r="V2148" i="3"/>
  <c r="V2149" i="3"/>
  <c r="V2150" i="3"/>
  <c r="V2151" i="3"/>
  <c r="V2152" i="3"/>
  <c r="V2153" i="3"/>
  <c r="V2154" i="3"/>
  <c r="V2155" i="3"/>
  <c r="V2156" i="3"/>
  <c r="V2157" i="3"/>
  <c r="V2158" i="3"/>
  <c r="V2159" i="3"/>
  <c r="V2160" i="3"/>
  <c r="V2161" i="3"/>
  <c r="V2162" i="3"/>
  <c r="V2163" i="3"/>
  <c r="V2164" i="3"/>
  <c r="V2165" i="3"/>
  <c r="V2166" i="3"/>
  <c r="V2167" i="3"/>
  <c r="V2168" i="3"/>
  <c r="V2169" i="3"/>
  <c r="V2170" i="3"/>
  <c r="V2171" i="3"/>
  <c r="V2172" i="3"/>
  <c r="V2173" i="3"/>
  <c r="V2174" i="3"/>
  <c r="V2175" i="3"/>
  <c r="V2176" i="3"/>
  <c r="V2177" i="3"/>
  <c r="V2178" i="3"/>
  <c r="V2179" i="3"/>
  <c r="V2180" i="3"/>
  <c r="V2181" i="3"/>
  <c r="V2182" i="3"/>
  <c r="V2183" i="3"/>
  <c r="V2184" i="3"/>
  <c r="V2185" i="3"/>
  <c r="V2186" i="3"/>
  <c r="V2187" i="3"/>
  <c r="V2188" i="3"/>
  <c r="V2189" i="3"/>
  <c r="V2190" i="3"/>
  <c r="V2191" i="3"/>
  <c r="V2192" i="3"/>
  <c r="V2193" i="3"/>
  <c r="V2194" i="3"/>
  <c r="V2195" i="3"/>
  <c r="V2196" i="3"/>
  <c r="V2197" i="3"/>
  <c r="V2198" i="3"/>
  <c r="V2199" i="3"/>
  <c r="V2200" i="3"/>
  <c r="V2201" i="3"/>
  <c r="V2202" i="3"/>
  <c r="V2203" i="3"/>
  <c r="V2204" i="3"/>
  <c r="V2205" i="3"/>
  <c r="V2206" i="3"/>
  <c r="V2207" i="3"/>
  <c r="V2208" i="3"/>
  <c r="V2209" i="3"/>
  <c r="V2210" i="3"/>
  <c r="V2211" i="3"/>
  <c r="V2212" i="3"/>
  <c r="V2213" i="3"/>
  <c r="V2214" i="3"/>
  <c r="V2215" i="3"/>
  <c r="V2216" i="3"/>
  <c r="V2217" i="3"/>
  <c r="V2218" i="3"/>
  <c r="V2219" i="3"/>
  <c r="V2220" i="3"/>
  <c r="V2221" i="3"/>
  <c r="V2222" i="3"/>
  <c r="V2223" i="3"/>
  <c r="V2224" i="3"/>
  <c r="V2225" i="3"/>
  <c r="V2226" i="3"/>
  <c r="V2227" i="3"/>
  <c r="V2228" i="3"/>
  <c r="V2229" i="3"/>
  <c r="V2230" i="3"/>
  <c r="V2231" i="3"/>
  <c r="V2232" i="3"/>
  <c r="V2233" i="3"/>
  <c r="V2234" i="3"/>
  <c r="V2235" i="3"/>
  <c r="V2236" i="3"/>
  <c r="V2237" i="3"/>
  <c r="V2238" i="3"/>
  <c r="V2239" i="3"/>
  <c r="V2240" i="3"/>
  <c r="V2241" i="3"/>
  <c r="V2242" i="3"/>
  <c r="V2243" i="3"/>
  <c r="V2244" i="3"/>
  <c r="V2245" i="3"/>
  <c r="V2246" i="3"/>
  <c r="V2247" i="3"/>
  <c r="V2248" i="3"/>
  <c r="V2249" i="3"/>
  <c r="V2250" i="3"/>
  <c r="V2251" i="3"/>
  <c r="V2252" i="3"/>
  <c r="V2253" i="3"/>
  <c r="V2254" i="3"/>
  <c r="V2255" i="3"/>
  <c r="V2256" i="3"/>
  <c r="V2257" i="3"/>
  <c r="V2258" i="3"/>
  <c r="V2259" i="3"/>
  <c r="V2260" i="3"/>
  <c r="V2261" i="3"/>
  <c r="V2262" i="3"/>
  <c r="V2263" i="3"/>
  <c r="V2264" i="3"/>
  <c r="V2265" i="3"/>
  <c r="V2266" i="3"/>
  <c r="V2267" i="3"/>
  <c r="V2268" i="3"/>
  <c r="V2269" i="3"/>
  <c r="V2270" i="3"/>
  <c r="V2271" i="3"/>
  <c r="V2272" i="3"/>
  <c r="V2273" i="3"/>
  <c r="V2274" i="3"/>
  <c r="V2275" i="3"/>
  <c r="V2276" i="3"/>
  <c r="V2277" i="3"/>
  <c r="V2278" i="3"/>
  <c r="V2279" i="3"/>
  <c r="V2280" i="3"/>
  <c r="V2281" i="3"/>
  <c r="V2282" i="3"/>
  <c r="V2283" i="3"/>
  <c r="V2284" i="3"/>
  <c r="V2285" i="3"/>
  <c r="V2286" i="3"/>
  <c r="V2287" i="3"/>
  <c r="V2288" i="3"/>
  <c r="V2289" i="3"/>
  <c r="V2290" i="3"/>
  <c r="V2291" i="3"/>
  <c r="V2292" i="3"/>
  <c r="V2293" i="3"/>
  <c r="V2294" i="3"/>
  <c r="V2295" i="3"/>
  <c r="V2296" i="3"/>
  <c r="V2297" i="3"/>
  <c r="V2298" i="3"/>
  <c r="V2299" i="3"/>
  <c r="V2300" i="3"/>
  <c r="V2301" i="3"/>
  <c r="V2302" i="3"/>
  <c r="V2303" i="3"/>
  <c r="V2304" i="3"/>
  <c r="V2305" i="3"/>
  <c r="V2306" i="3"/>
  <c r="V2307" i="3"/>
  <c r="V2308" i="3"/>
  <c r="V2309" i="3"/>
  <c r="V2310" i="3"/>
  <c r="V2311" i="3"/>
  <c r="V2312" i="3"/>
  <c r="V2313" i="3"/>
  <c r="V2314" i="3"/>
  <c r="V2315" i="3"/>
  <c r="V2316" i="3"/>
  <c r="V2317" i="3"/>
  <c r="V2318" i="3"/>
  <c r="V2319" i="3"/>
  <c r="V2320" i="3"/>
  <c r="V2321" i="3"/>
  <c r="V2322" i="3"/>
  <c r="V2323" i="3"/>
  <c r="V2324" i="3"/>
  <c r="V2325" i="3"/>
  <c r="V2326" i="3"/>
  <c r="V2327" i="3"/>
  <c r="V2328" i="3"/>
  <c r="V2329" i="3"/>
  <c r="V2330" i="3"/>
  <c r="V2331" i="3"/>
  <c r="V2332" i="3"/>
  <c r="V2333" i="3"/>
  <c r="V2334" i="3"/>
  <c r="V2335" i="3"/>
  <c r="V2336" i="3"/>
  <c r="V2337" i="3"/>
  <c r="V2338" i="3"/>
  <c r="V2339" i="3"/>
  <c r="V2340" i="3"/>
  <c r="V2341" i="3"/>
  <c r="V2342" i="3"/>
  <c r="V2343" i="3"/>
  <c r="V2344" i="3"/>
  <c r="V2345" i="3"/>
  <c r="V2346" i="3"/>
  <c r="V2347" i="3"/>
  <c r="V2348" i="3"/>
  <c r="V2349" i="3"/>
  <c r="V2350" i="3"/>
  <c r="V2351" i="3"/>
  <c r="V2352" i="3"/>
  <c r="V2353" i="3"/>
  <c r="V2354" i="3"/>
  <c r="V2355" i="3"/>
  <c r="V2356" i="3"/>
  <c r="V2357" i="3"/>
  <c r="V2358" i="3"/>
  <c r="V2359" i="3"/>
  <c r="V2360" i="3"/>
  <c r="V2361" i="3"/>
  <c r="V2362" i="3"/>
  <c r="V2363" i="3"/>
  <c r="V2364" i="3"/>
  <c r="V2365" i="3"/>
  <c r="V2366" i="3"/>
  <c r="V2367" i="3"/>
  <c r="V2368" i="3"/>
  <c r="V2369" i="3"/>
  <c r="V2370" i="3"/>
  <c r="V2371" i="3"/>
  <c r="V2372" i="3"/>
  <c r="V2373" i="3"/>
  <c r="V2374" i="3"/>
  <c r="V2375" i="3"/>
  <c r="V2376" i="3"/>
  <c r="V2377" i="3"/>
  <c r="V2378" i="3"/>
  <c r="V2379" i="3"/>
  <c r="V2380" i="3"/>
  <c r="V2381" i="3"/>
  <c r="V2382" i="3"/>
  <c r="V2383" i="3"/>
  <c r="V2384" i="3"/>
  <c r="V2385" i="3"/>
  <c r="V2386" i="3"/>
  <c r="V2387" i="3"/>
  <c r="V2388" i="3"/>
  <c r="V2389" i="3"/>
  <c r="V2390" i="3"/>
  <c r="V2391" i="3"/>
  <c r="V2392" i="3"/>
  <c r="V2393" i="3"/>
  <c r="V2394" i="3"/>
  <c r="V2395" i="3"/>
  <c r="V2396" i="3"/>
  <c r="V2397" i="3"/>
  <c r="V2398" i="3"/>
  <c r="V2399" i="3"/>
  <c r="V2400" i="3"/>
  <c r="V2401" i="3"/>
  <c r="V2402" i="3"/>
  <c r="V2403" i="3"/>
  <c r="V2404" i="3"/>
  <c r="V2405" i="3"/>
  <c r="V2406" i="3"/>
  <c r="V2407" i="3"/>
  <c r="V2408" i="3"/>
  <c r="V2409" i="3"/>
  <c r="V2410" i="3"/>
  <c r="V2411" i="3"/>
  <c r="V2412" i="3"/>
  <c r="V2413" i="3"/>
  <c r="V2414" i="3"/>
  <c r="V2415" i="3"/>
  <c r="V2416" i="3"/>
  <c r="V2417" i="3"/>
  <c r="V2418" i="3"/>
  <c r="V2419" i="3"/>
  <c r="V2420" i="3"/>
  <c r="V2421" i="3"/>
  <c r="V2422" i="3"/>
  <c r="V2423" i="3"/>
  <c r="V2424" i="3"/>
  <c r="V2425" i="3"/>
  <c r="V2426" i="3"/>
  <c r="V2427" i="3"/>
  <c r="V2428" i="3"/>
  <c r="V2429" i="3"/>
  <c r="V2430" i="3"/>
  <c r="V2431" i="3"/>
  <c r="V2432" i="3"/>
  <c r="V2433" i="3"/>
  <c r="V2434" i="3"/>
  <c r="V2435" i="3"/>
  <c r="V2436" i="3"/>
  <c r="V2437" i="3"/>
  <c r="V2438" i="3"/>
  <c r="V2439" i="3"/>
  <c r="V2440" i="3"/>
  <c r="V2441" i="3"/>
  <c r="V2442" i="3"/>
  <c r="V2443" i="3"/>
  <c r="V2444" i="3"/>
  <c r="V2445" i="3"/>
  <c r="V2446" i="3"/>
  <c r="V2447" i="3"/>
  <c r="V2448" i="3"/>
  <c r="V2449" i="3"/>
  <c r="V2450" i="3"/>
  <c r="V2451" i="3"/>
  <c r="V2452" i="3"/>
  <c r="V2453" i="3"/>
  <c r="V2454" i="3"/>
  <c r="V2455" i="3"/>
  <c r="V2456" i="3"/>
  <c r="V2457" i="3"/>
  <c r="V2458" i="3"/>
  <c r="V2459" i="3"/>
  <c r="V2460" i="3"/>
  <c r="V2461" i="3"/>
  <c r="V2462" i="3"/>
  <c r="V2463" i="3"/>
  <c r="V2464" i="3"/>
  <c r="V2465" i="3"/>
  <c r="V2466" i="3"/>
  <c r="V2467" i="3"/>
  <c r="V2468" i="3"/>
  <c r="V2469" i="3"/>
  <c r="V2470" i="3"/>
  <c r="V2471" i="3"/>
  <c r="V2472" i="3"/>
  <c r="V2473" i="3"/>
  <c r="V2474" i="3"/>
  <c r="V2475" i="3"/>
  <c r="V2476" i="3"/>
  <c r="V2477" i="3"/>
  <c r="V2478" i="3"/>
  <c r="V2479" i="3"/>
  <c r="V2480" i="3"/>
  <c r="V2481" i="3"/>
  <c r="V2482" i="3"/>
  <c r="V2483" i="3"/>
  <c r="V2484" i="3"/>
  <c r="V2485" i="3"/>
  <c r="V2486" i="3"/>
  <c r="V2487" i="3"/>
  <c r="V2488" i="3"/>
  <c r="V2489" i="3"/>
  <c r="V2490" i="3"/>
  <c r="V2491" i="3"/>
  <c r="V2492" i="3"/>
  <c r="V2493" i="3"/>
  <c r="V2494" i="3"/>
  <c r="V2495" i="3"/>
  <c r="V2496" i="3"/>
  <c r="V2497" i="3"/>
  <c r="V2498" i="3"/>
  <c r="V2499" i="3"/>
  <c r="V2500" i="3"/>
  <c r="V2501" i="3"/>
  <c r="V2502" i="3"/>
  <c r="V2503" i="3"/>
  <c r="V2504" i="3"/>
  <c r="V2505" i="3"/>
  <c r="V2506" i="3"/>
  <c r="V2507" i="3"/>
  <c r="V2508" i="3"/>
  <c r="V2509" i="3"/>
  <c r="V2510" i="3"/>
  <c r="V2511" i="3"/>
  <c r="V2512" i="3"/>
  <c r="V2513" i="3"/>
  <c r="V2514" i="3"/>
  <c r="V2515" i="3"/>
  <c r="V2516" i="3"/>
  <c r="V2517" i="3"/>
  <c r="V2518" i="3"/>
  <c r="V2519" i="3"/>
  <c r="V2520" i="3"/>
  <c r="V2521" i="3"/>
  <c r="V2522" i="3"/>
  <c r="V2523" i="3"/>
  <c r="V2524" i="3"/>
  <c r="V2525" i="3"/>
  <c r="V2526" i="3"/>
  <c r="V2527" i="3"/>
  <c r="V2528" i="3"/>
  <c r="V2529" i="3"/>
  <c r="V2530" i="3"/>
  <c r="V2531" i="3"/>
  <c r="V2532" i="3"/>
  <c r="V2533" i="3"/>
  <c r="V2534" i="3"/>
  <c r="V2535" i="3"/>
  <c r="V2536" i="3"/>
  <c r="V2537" i="3"/>
  <c r="V2538" i="3"/>
  <c r="V2539" i="3"/>
  <c r="V2540" i="3"/>
  <c r="V2541" i="3"/>
  <c r="V2542" i="3"/>
  <c r="V2543" i="3"/>
  <c r="V2544" i="3"/>
  <c r="V2545" i="3"/>
  <c r="V2546" i="3"/>
  <c r="V2547" i="3"/>
  <c r="V2548" i="3"/>
  <c r="V2549" i="3"/>
  <c r="V2550" i="3"/>
  <c r="V2551" i="3"/>
  <c r="V2552" i="3"/>
  <c r="V2553" i="3"/>
  <c r="V2554" i="3"/>
  <c r="V2555" i="3"/>
  <c r="V2556" i="3"/>
  <c r="V2557" i="3"/>
  <c r="V2558" i="3"/>
  <c r="V2559" i="3"/>
  <c r="V2560" i="3"/>
  <c r="V2561" i="3"/>
  <c r="V2562" i="3"/>
  <c r="V2563" i="3"/>
  <c r="V2564" i="3"/>
  <c r="V2565" i="3"/>
  <c r="V2566" i="3"/>
  <c r="V2567" i="3"/>
  <c r="V2568" i="3"/>
  <c r="V2569" i="3"/>
  <c r="V2570" i="3"/>
  <c r="V2571" i="3"/>
  <c r="V2572" i="3"/>
  <c r="V2573" i="3"/>
  <c r="V2574" i="3"/>
  <c r="V2575" i="3"/>
  <c r="V2576" i="3"/>
  <c r="V2577" i="3"/>
  <c r="V2578" i="3"/>
  <c r="V2579" i="3"/>
  <c r="V2580" i="3"/>
  <c r="V2581" i="3"/>
  <c r="V2582" i="3"/>
  <c r="V2583" i="3"/>
  <c r="V2584" i="3"/>
  <c r="V2585" i="3"/>
  <c r="V2586" i="3"/>
  <c r="V2587" i="3"/>
  <c r="V2588" i="3"/>
  <c r="V2589" i="3"/>
  <c r="V2590" i="3"/>
  <c r="V2591" i="3"/>
  <c r="V2592" i="3"/>
  <c r="V2593" i="3"/>
  <c r="V2594" i="3"/>
  <c r="V2595" i="3"/>
  <c r="V2596" i="3"/>
  <c r="V2597" i="3"/>
  <c r="V2598" i="3"/>
  <c r="V2599" i="3"/>
  <c r="V2600" i="3"/>
  <c r="V2601" i="3"/>
  <c r="V2602" i="3"/>
  <c r="V2603" i="3"/>
  <c r="V2604" i="3"/>
  <c r="V2605" i="3"/>
  <c r="V2606" i="3"/>
  <c r="V2607" i="3"/>
  <c r="V2608" i="3"/>
  <c r="V2609" i="3"/>
  <c r="V2610" i="3"/>
  <c r="V2611" i="3"/>
  <c r="V2612" i="3"/>
  <c r="V2613" i="3"/>
  <c r="V2614" i="3"/>
  <c r="V2615" i="3"/>
  <c r="V2616" i="3"/>
  <c r="V2617" i="3"/>
  <c r="V2618" i="3"/>
  <c r="V2619" i="3"/>
  <c r="V2620" i="3"/>
  <c r="V2621" i="3"/>
  <c r="V2622" i="3"/>
  <c r="V2623" i="3"/>
  <c r="V2624" i="3"/>
  <c r="V2625" i="3"/>
  <c r="V2626" i="3"/>
  <c r="V2627" i="3"/>
  <c r="V2628" i="3"/>
  <c r="V2629" i="3"/>
  <c r="V2630" i="3"/>
  <c r="V2631" i="3"/>
  <c r="V2632" i="3"/>
  <c r="V2633" i="3"/>
  <c r="V2634" i="3"/>
  <c r="V2635" i="3"/>
  <c r="V2636" i="3"/>
  <c r="V2637" i="3"/>
  <c r="V2638" i="3"/>
  <c r="V2639" i="3"/>
  <c r="V2640" i="3"/>
  <c r="V2641" i="3"/>
  <c r="V2642" i="3"/>
  <c r="V2643" i="3"/>
  <c r="V2644" i="3"/>
  <c r="V2645" i="3"/>
  <c r="V2646" i="3"/>
  <c r="V2647" i="3"/>
  <c r="V2648" i="3"/>
  <c r="V2649" i="3"/>
  <c r="V2650" i="3"/>
  <c r="V2651" i="3"/>
  <c r="V2652" i="3"/>
  <c r="V2653" i="3"/>
  <c r="V2654" i="3"/>
  <c r="V2655" i="3"/>
  <c r="V2656" i="3"/>
  <c r="V2657" i="3"/>
  <c r="V2658" i="3"/>
  <c r="V2659" i="3"/>
  <c r="V2660" i="3"/>
  <c r="V2661" i="3"/>
  <c r="V2662" i="3"/>
  <c r="V2663" i="3"/>
  <c r="V2664" i="3"/>
  <c r="V2665" i="3"/>
  <c r="V2666" i="3"/>
  <c r="V2667" i="3"/>
  <c r="V2668" i="3"/>
  <c r="V2669" i="3"/>
  <c r="V2670" i="3"/>
  <c r="V2671" i="3"/>
  <c r="V2672" i="3"/>
  <c r="V2673" i="3"/>
  <c r="V2674" i="3"/>
  <c r="V2675" i="3"/>
  <c r="V2676" i="3"/>
  <c r="V2677" i="3"/>
  <c r="V2678" i="3"/>
  <c r="V2679" i="3"/>
  <c r="V2680" i="3"/>
  <c r="V2681" i="3"/>
  <c r="V2682" i="3"/>
  <c r="V2683" i="3"/>
  <c r="V2684" i="3"/>
  <c r="V2685" i="3"/>
  <c r="V2686" i="3"/>
  <c r="V2687" i="3"/>
  <c r="V2688" i="3"/>
  <c r="V2689" i="3"/>
  <c r="V2690" i="3"/>
  <c r="V2691" i="3"/>
  <c r="V2692" i="3"/>
  <c r="V2693" i="3"/>
  <c r="V2694" i="3"/>
  <c r="V2695" i="3"/>
  <c r="V2696" i="3"/>
  <c r="V2697" i="3"/>
  <c r="V2698" i="3"/>
  <c r="V2699" i="3"/>
  <c r="V2700" i="3"/>
  <c r="V2701" i="3"/>
  <c r="V2702" i="3"/>
  <c r="V2703" i="3"/>
  <c r="V2704" i="3"/>
  <c r="V2705" i="3"/>
  <c r="V2706" i="3"/>
  <c r="V2707" i="3"/>
  <c r="V2708" i="3"/>
  <c r="V2709" i="3"/>
  <c r="V2710" i="3"/>
  <c r="V2711" i="3"/>
  <c r="V2712" i="3"/>
  <c r="V2713" i="3"/>
  <c r="V2714" i="3"/>
  <c r="V2715" i="3"/>
  <c r="V2716" i="3"/>
  <c r="V2717" i="3"/>
  <c r="V2718" i="3"/>
  <c r="V2719" i="3"/>
  <c r="V2720" i="3"/>
  <c r="V2721" i="3"/>
  <c r="V2722" i="3"/>
  <c r="V2723" i="3"/>
  <c r="V2724" i="3"/>
  <c r="V2725" i="3"/>
  <c r="V2726" i="3"/>
  <c r="V2727" i="3"/>
  <c r="V2728" i="3"/>
  <c r="V2729" i="3"/>
  <c r="V2730" i="3"/>
  <c r="V2731" i="3"/>
  <c r="V2732" i="3"/>
  <c r="V2733" i="3"/>
  <c r="V2734" i="3"/>
  <c r="V2735" i="3"/>
  <c r="V2736" i="3"/>
  <c r="V2737" i="3"/>
  <c r="V2738" i="3"/>
  <c r="V2739" i="3"/>
  <c r="V2740" i="3"/>
  <c r="V2741" i="3"/>
  <c r="V2742" i="3"/>
  <c r="V2743" i="3"/>
  <c r="V2744" i="3"/>
  <c r="V2745" i="3"/>
  <c r="V2746" i="3"/>
  <c r="V2747" i="3"/>
  <c r="V2748" i="3"/>
  <c r="V2749" i="3"/>
  <c r="V2750" i="3"/>
  <c r="V2751" i="3"/>
  <c r="V2752" i="3"/>
  <c r="V2753" i="3"/>
  <c r="V2754" i="3"/>
  <c r="V2755" i="3"/>
  <c r="V2756" i="3"/>
  <c r="V2757" i="3"/>
  <c r="V2758" i="3"/>
  <c r="V2759" i="3"/>
  <c r="V2760" i="3"/>
  <c r="V2761" i="3"/>
  <c r="V2762" i="3"/>
  <c r="V2763" i="3"/>
  <c r="V2764" i="3"/>
  <c r="V2765" i="3"/>
  <c r="V2766" i="3"/>
  <c r="V2767" i="3"/>
  <c r="V2768" i="3"/>
  <c r="V2769" i="3"/>
  <c r="V2770" i="3"/>
  <c r="V2771" i="3"/>
  <c r="V2772" i="3"/>
  <c r="V2773" i="3"/>
  <c r="V2774" i="3"/>
  <c r="V2775" i="3"/>
  <c r="V2776" i="3"/>
  <c r="V2777" i="3"/>
  <c r="V2778" i="3"/>
  <c r="V2779" i="3"/>
  <c r="V2780" i="3"/>
  <c r="V2781" i="3"/>
  <c r="V2782" i="3"/>
  <c r="V2783" i="3"/>
  <c r="V2784" i="3"/>
  <c r="V2785" i="3"/>
  <c r="V2786" i="3"/>
  <c r="V2787" i="3"/>
  <c r="V2788" i="3"/>
  <c r="V2789" i="3"/>
  <c r="V2790" i="3"/>
  <c r="V2791" i="3"/>
  <c r="V2792" i="3"/>
  <c r="V2793" i="3"/>
  <c r="V2794" i="3"/>
  <c r="V2795" i="3"/>
  <c r="V2796" i="3"/>
  <c r="V2797" i="3"/>
  <c r="V2798" i="3"/>
  <c r="V2799" i="3"/>
  <c r="V2800" i="3"/>
  <c r="V2801" i="3"/>
  <c r="V2802" i="3"/>
  <c r="V2803" i="3"/>
  <c r="V2804" i="3"/>
  <c r="V2805" i="3"/>
  <c r="V2806" i="3"/>
  <c r="V2807" i="3"/>
  <c r="V2808" i="3"/>
  <c r="V2809" i="3"/>
  <c r="V2810" i="3"/>
  <c r="V2811" i="3"/>
  <c r="V2812" i="3"/>
  <c r="V2813" i="3"/>
  <c r="V2814" i="3"/>
  <c r="V2815" i="3"/>
  <c r="V2816" i="3"/>
  <c r="V2817" i="3"/>
  <c r="V2818" i="3"/>
  <c r="V2819" i="3"/>
  <c r="V2820" i="3"/>
  <c r="V2821" i="3"/>
  <c r="V2822" i="3"/>
  <c r="V2823" i="3"/>
  <c r="V2824" i="3"/>
  <c r="V2825" i="3"/>
  <c r="V2826" i="3"/>
  <c r="V2827" i="3"/>
  <c r="V2828" i="3"/>
  <c r="V2829" i="3"/>
  <c r="V2830" i="3"/>
  <c r="V2831" i="3"/>
  <c r="V2832" i="3"/>
  <c r="V2833" i="3"/>
  <c r="V2834" i="3"/>
  <c r="V2835" i="3"/>
  <c r="V2836" i="3"/>
  <c r="V2837" i="3"/>
  <c r="V2838" i="3"/>
  <c r="V2839" i="3"/>
  <c r="V2840" i="3"/>
  <c r="V2841" i="3"/>
  <c r="V2842" i="3"/>
  <c r="V2843" i="3"/>
  <c r="V2844" i="3"/>
  <c r="V2845" i="3"/>
  <c r="V2846" i="3"/>
  <c r="V2847" i="3"/>
  <c r="V2848" i="3"/>
  <c r="V2849" i="3"/>
  <c r="V2850" i="3"/>
  <c r="V2851" i="3"/>
  <c r="V2852" i="3"/>
  <c r="V2853" i="3"/>
  <c r="V2854" i="3"/>
  <c r="V2855" i="3"/>
  <c r="V2856" i="3"/>
  <c r="V2857" i="3"/>
  <c r="V2858" i="3"/>
  <c r="V2859" i="3"/>
  <c r="V2860" i="3"/>
  <c r="V2861" i="3"/>
  <c r="V2862" i="3"/>
  <c r="V2863" i="3"/>
  <c r="V2864" i="3"/>
  <c r="V2865" i="3"/>
  <c r="V2866" i="3"/>
  <c r="V2867" i="3"/>
  <c r="V2868" i="3"/>
  <c r="V2869" i="3"/>
  <c r="V2870" i="3"/>
  <c r="V2871" i="3"/>
  <c r="V2872" i="3"/>
  <c r="V2873" i="3"/>
  <c r="V2874" i="3"/>
  <c r="V2875" i="3"/>
  <c r="V2876" i="3"/>
  <c r="V2877" i="3"/>
  <c r="V2878" i="3"/>
  <c r="V2879" i="3"/>
  <c r="V2880" i="3"/>
  <c r="V2881" i="3"/>
  <c r="V2882" i="3"/>
  <c r="V2883" i="3"/>
  <c r="V2884" i="3"/>
  <c r="V2885" i="3"/>
  <c r="V2886" i="3"/>
  <c r="V2887" i="3"/>
  <c r="V2888" i="3"/>
  <c r="V2889" i="3"/>
  <c r="V2890" i="3"/>
  <c r="V2891" i="3"/>
  <c r="V2892" i="3"/>
  <c r="V2893" i="3"/>
  <c r="V2894" i="3"/>
  <c r="V2895" i="3"/>
  <c r="V2896" i="3"/>
  <c r="V2897" i="3"/>
  <c r="V2898" i="3"/>
  <c r="V2899" i="3"/>
  <c r="V2900" i="3"/>
  <c r="V2901" i="3"/>
  <c r="V2902" i="3"/>
  <c r="V2903" i="3"/>
  <c r="V2904" i="3"/>
  <c r="V2905" i="3"/>
  <c r="V2906" i="3"/>
  <c r="V2907" i="3"/>
  <c r="V2908" i="3"/>
  <c r="V2909" i="3"/>
  <c r="V2910" i="3"/>
  <c r="V2911" i="3"/>
  <c r="V2912" i="3"/>
  <c r="V2913" i="3"/>
  <c r="V2914" i="3"/>
  <c r="V2915" i="3"/>
  <c r="V2916" i="3"/>
  <c r="V2917" i="3"/>
  <c r="V2918" i="3"/>
  <c r="V2919" i="3"/>
  <c r="V2920" i="3"/>
  <c r="V2921" i="3"/>
  <c r="V2922" i="3"/>
  <c r="V2923" i="3"/>
  <c r="V2924" i="3"/>
  <c r="V2925" i="3"/>
  <c r="V2926" i="3"/>
  <c r="V2927" i="3"/>
  <c r="V2928" i="3"/>
  <c r="V2929" i="3"/>
  <c r="V2930" i="3"/>
  <c r="V2931" i="3"/>
  <c r="V2932" i="3"/>
  <c r="V2933" i="3"/>
  <c r="V2934" i="3"/>
  <c r="V2935" i="3"/>
  <c r="V2936" i="3"/>
  <c r="V2937" i="3"/>
  <c r="V2938" i="3"/>
  <c r="V2939" i="3"/>
  <c r="V2940" i="3"/>
  <c r="V2941" i="3"/>
  <c r="V2942" i="3"/>
  <c r="V2943" i="3"/>
  <c r="V2944" i="3"/>
  <c r="V2945" i="3"/>
  <c r="V2946" i="3"/>
  <c r="V2947" i="3"/>
  <c r="V2948" i="3"/>
  <c r="V2949" i="3"/>
  <c r="V2950" i="3"/>
  <c r="V2951" i="3"/>
  <c r="V2952" i="3"/>
  <c r="V2953" i="3"/>
  <c r="V2954" i="3"/>
  <c r="V2955" i="3"/>
  <c r="V2956" i="3"/>
  <c r="V2957" i="3"/>
  <c r="V2958" i="3"/>
  <c r="V2959" i="3"/>
  <c r="V2960" i="3"/>
  <c r="V2961" i="3"/>
  <c r="V2962" i="3"/>
  <c r="V2963" i="3"/>
  <c r="V2964" i="3"/>
  <c r="V2965" i="3"/>
  <c r="V2966" i="3"/>
  <c r="V2967" i="3"/>
  <c r="V2968" i="3"/>
  <c r="V2969" i="3"/>
  <c r="V2970" i="3"/>
  <c r="V2971" i="3"/>
  <c r="V2972" i="3"/>
  <c r="V2973" i="3"/>
  <c r="V2974" i="3"/>
  <c r="V2975" i="3"/>
  <c r="V2976" i="3"/>
  <c r="V2977" i="3"/>
  <c r="V2978" i="3"/>
  <c r="V2979" i="3"/>
  <c r="V2980" i="3"/>
  <c r="V2981" i="3"/>
  <c r="V2982" i="3"/>
  <c r="V2983" i="3"/>
  <c r="V2984" i="3"/>
  <c r="V2985" i="3"/>
  <c r="V2986" i="3"/>
  <c r="V2987" i="3"/>
  <c r="V2988" i="3"/>
  <c r="V2989" i="3"/>
  <c r="V2990" i="3"/>
  <c r="V2991" i="3"/>
  <c r="V2992" i="3"/>
  <c r="V2993" i="3"/>
  <c r="V2994" i="3"/>
  <c r="V2995" i="3"/>
  <c r="V2996" i="3"/>
  <c r="V2997" i="3"/>
  <c r="V2998" i="3"/>
  <c r="V2999" i="3"/>
  <c r="V3000" i="3"/>
  <c r="V3001" i="3"/>
  <c r="V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370" i="3"/>
  <c r="U371" i="3"/>
  <c r="U372" i="3"/>
  <c r="U373" i="3"/>
  <c r="U374" i="3"/>
  <c r="U375" i="3"/>
  <c r="U376" i="3"/>
  <c r="U377" i="3"/>
  <c r="U378" i="3"/>
  <c r="U379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392" i="3"/>
  <c r="U393" i="3"/>
  <c r="U394" i="3"/>
  <c r="U395" i="3"/>
  <c r="U396" i="3"/>
  <c r="U397" i="3"/>
  <c r="U398" i="3"/>
  <c r="U399" i="3"/>
  <c r="U400" i="3"/>
  <c r="U401" i="3"/>
  <c r="U402" i="3"/>
  <c r="U403" i="3"/>
  <c r="U404" i="3"/>
  <c r="U405" i="3"/>
  <c r="U406" i="3"/>
  <c r="U407" i="3"/>
  <c r="U408" i="3"/>
  <c r="U409" i="3"/>
  <c r="U410" i="3"/>
  <c r="U411" i="3"/>
  <c r="U412" i="3"/>
  <c r="U413" i="3"/>
  <c r="U414" i="3"/>
  <c r="U415" i="3"/>
  <c r="U416" i="3"/>
  <c r="U417" i="3"/>
  <c r="U418" i="3"/>
  <c r="U419" i="3"/>
  <c r="U420" i="3"/>
  <c r="U421" i="3"/>
  <c r="U422" i="3"/>
  <c r="U423" i="3"/>
  <c r="U424" i="3"/>
  <c r="U425" i="3"/>
  <c r="U426" i="3"/>
  <c r="U427" i="3"/>
  <c r="U428" i="3"/>
  <c r="U429" i="3"/>
  <c r="U430" i="3"/>
  <c r="U431" i="3"/>
  <c r="U432" i="3"/>
  <c r="U433" i="3"/>
  <c r="U434" i="3"/>
  <c r="U435" i="3"/>
  <c r="U436" i="3"/>
  <c r="U437" i="3"/>
  <c r="U438" i="3"/>
  <c r="U439" i="3"/>
  <c r="U440" i="3"/>
  <c r="U441" i="3"/>
  <c r="U442" i="3"/>
  <c r="U443" i="3"/>
  <c r="U444" i="3"/>
  <c r="U445" i="3"/>
  <c r="U446" i="3"/>
  <c r="U447" i="3"/>
  <c r="U448" i="3"/>
  <c r="U449" i="3"/>
  <c r="U450" i="3"/>
  <c r="U451" i="3"/>
  <c r="U452" i="3"/>
  <c r="U453" i="3"/>
  <c r="U454" i="3"/>
  <c r="U455" i="3"/>
  <c r="U456" i="3"/>
  <c r="U457" i="3"/>
  <c r="U458" i="3"/>
  <c r="U459" i="3"/>
  <c r="U460" i="3"/>
  <c r="U461" i="3"/>
  <c r="U462" i="3"/>
  <c r="U463" i="3"/>
  <c r="U464" i="3"/>
  <c r="U465" i="3"/>
  <c r="U466" i="3"/>
  <c r="U467" i="3"/>
  <c r="U468" i="3"/>
  <c r="U469" i="3"/>
  <c r="U470" i="3"/>
  <c r="U471" i="3"/>
  <c r="U472" i="3"/>
  <c r="U473" i="3"/>
  <c r="U474" i="3"/>
  <c r="U475" i="3"/>
  <c r="U476" i="3"/>
  <c r="U477" i="3"/>
  <c r="U478" i="3"/>
  <c r="U479" i="3"/>
  <c r="U480" i="3"/>
  <c r="U481" i="3"/>
  <c r="U482" i="3"/>
  <c r="U483" i="3"/>
  <c r="U484" i="3"/>
  <c r="U485" i="3"/>
  <c r="U486" i="3"/>
  <c r="U487" i="3"/>
  <c r="U488" i="3"/>
  <c r="U489" i="3"/>
  <c r="U490" i="3"/>
  <c r="U491" i="3"/>
  <c r="U492" i="3"/>
  <c r="U493" i="3"/>
  <c r="U494" i="3"/>
  <c r="U495" i="3"/>
  <c r="U496" i="3"/>
  <c r="U497" i="3"/>
  <c r="U498" i="3"/>
  <c r="U499" i="3"/>
  <c r="U500" i="3"/>
  <c r="U501" i="3"/>
  <c r="U502" i="3"/>
  <c r="U503" i="3"/>
  <c r="U504" i="3"/>
  <c r="U505" i="3"/>
  <c r="U506" i="3"/>
  <c r="U507" i="3"/>
  <c r="U508" i="3"/>
  <c r="U509" i="3"/>
  <c r="U510" i="3"/>
  <c r="U511" i="3"/>
  <c r="U512" i="3"/>
  <c r="U513" i="3"/>
  <c r="U514" i="3"/>
  <c r="U515" i="3"/>
  <c r="U516" i="3"/>
  <c r="U517" i="3"/>
  <c r="U518" i="3"/>
  <c r="U519" i="3"/>
  <c r="U520" i="3"/>
  <c r="U521" i="3"/>
  <c r="U522" i="3"/>
  <c r="U523" i="3"/>
  <c r="U524" i="3"/>
  <c r="U525" i="3"/>
  <c r="U526" i="3"/>
  <c r="U527" i="3"/>
  <c r="U528" i="3"/>
  <c r="U529" i="3"/>
  <c r="U530" i="3"/>
  <c r="U531" i="3"/>
  <c r="U532" i="3"/>
  <c r="U533" i="3"/>
  <c r="U534" i="3"/>
  <c r="U535" i="3"/>
  <c r="U536" i="3"/>
  <c r="U537" i="3"/>
  <c r="U538" i="3"/>
  <c r="U539" i="3"/>
  <c r="U540" i="3"/>
  <c r="U541" i="3"/>
  <c r="U542" i="3"/>
  <c r="U543" i="3"/>
  <c r="U544" i="3"/>
  <c r="U545" i="3"/>
  <c r="U546" i="3"/>
  <c r="U547" i="3"/>
  <c r="U548" i="3"/>
  <c r="U549" i="3"/>
  <c r="U550" i="3"/>
  <c r="U551" i="3"/>
  <c r="U552" i="3"/>
  <c r="U553" i="3"/>
  <c r="U554" i="3"/>
  <c r="U555" i="3"/>
  <c r="U556" i="3"/>
  <c r="U557" i="3"/>
  <c r="U558" i="3"/>
  <c r="U559" i="3"/>
  <c r="U560" i="3"/>
  <c r="U561" i="3"/>
  <c r="U562" i="3"/>
  <c r="U563" i="3"/>
  <c r="U564" i="3"/>
  <c r="U565" i="3"/>
  <c r="U566" i="3"/>
  <c r="U567" i="3"/>
  <c r="U568" i="3"/>
  <c r="U569" i="3"/>
  <c r="U570" i="3"/>
  <c r="U571" i="3"/>
  <c r="U572" i="3"/>
  <c r="U573" i="3"/>
  <c r="U574" i="3"/>
  <c r="U575" i="3"/>
  <c r="U576" i="3"/>
  <c r="U577" i="3"/>
  <c r="U578" i="3"/>
  <c r="U579" i="3"/>
  <c r="U580" i="3"/>
  <c r="U581" i="3"/>
  <c r="U582" i="3"/>
  <c r="U583" i="3"/>
  <c r="U584" i="3"/>
  <c r="U585" i="3"/>
  <c r="U586" i="3"/>
  <c r="U587" i="3"/>
  <c r="U588" i="3"/>
  <c r="U589" i="3"/>
  <c r="U590" i="3"/>
  <c r="U591" i="3"/>
  <c r="U592" i="3"/>
  <c r="U593" i="3"/>
  <c r="U594" i="3"/>
  <c r="U595" i="3"/>
  <c r="U596" i="3"/>
  <c r="U597" i="3"/>
  <c r="U598" i="3"/>
  <c r="U599" i="3"/>
  <c r="U600" i="3"/>
  <c r="U601" i="3"/>
  <c r="U602" i="3"/>
  <c r="U603" i="3"/>
  <c r="U604" i="3"/>
  <c r="U605" i="3"/>
  <c r="U606" i="3"/>
  <c r="U607" i="3"/>
  <c r="U608" i="3"/>
  <c r="U609" i="3"/>
  <c r="U610" i="3"/>
  <c r="U611" i="3"/>
  <c r="U612" i="3"/>
  <c r="U613" i="3"/>
  <c r="U614" i="3"/>
  <c r="U615" i="3"/>
  <c r="U616" i="3"/>
  <c r="U617" i="3"/>
  <c r="U618" i="3"/>
  <c r="U619" i="3"/>
  <c r="U620" i="3"/>
  <c r="U621" i="3"/>
  <c r="U622" i="3"/>
  <c r="U623" i="3"/>
  <c r="U624" i="3"/>
  <c r="U625" i="3"/>
  <c r="U626" i="3"/>
  <c r="U627" i="3"/>
  <c r="U628" i="3"/>
  <c r="U629" i="3"/>
  <c r="U630" i="3"/>
  <c r="U631" i="3"/>
  <c r="U632" i="3"/>
  <c r="U633" i="3"/>
  <c r="U634" i="3"/>
  <c r="U635" i="3"/>
  <c r="U636" i="3"/>
  <c r="U637" i="3"/>
  <c r="U638" i="3"/>
  <c r="U639" i="3"/>
  <c r="U640" i="3"/>
  <c r="U641" i="3"/>
  <c r="U642" i="3"/>
  <c r="U643" i="3"/>
  <c r="U644" i="3"/>
  <c r="U645" i="3"/>
  <c r="U646" i="3"/>
  <c r="U647" i="3"/>
  <c r="U648" i="3"/>
  <c r="U649" i="3"/>
  <c r="U650" i="3"/>
  <c r="U651" i="3"/>
  <c r="U652" i="3"/>
  <c r="U653" i="3"/>
  <c r="U654" i="3"/>
  <c r="U655" i="3"/>
  <c r="U656" i="3"/>
  <c r="U657" i="3"/>
  <c r="U658" i="3"/>
  <c r="U659" i="3"/>
  <c r="U660" i="3"/>
  <c r="U661" i="3"/>
  <c r="U662" i="3"/>
  <c r="U663" i="3"/>
  <c r="U664" i="3"/>
  <c r="U665" i="3"/>
  <c r="U666" i="3"/>
  <c r="U667" i="3"/>
  <c r="U668" i="3"/>
  <c r="U669" i="3"/>
  <c r="U670" i="3"/>
  <c r="U671" i="3"/>
  <c r="U672" i="3"/>
  <c r="U673" i="3"/>
  <c r="U674" i="3"/>
  <c r="U675" i="3"/>
  <c r="U676" i="3"/>
  <c r="U677" i="3"/>
  <c r="U678" i="3"/>
  <c r="U679" i="3"/>
  <c r="U680" i="3"/>
  <c r="U681" i="3"/>
  <c r="U682" i="3"/>
  <c r="U683" i="3"/>
  <c r="U684" i="3"/>
  <c r="U685" i="3"/>
  <c r="U686" i="3"/>
  <c r="U687" i="3"/>
  <c r="U688" i="3"/>
  <c r="U689" i="3"/>
  <c r="U690" i="3"/>
  <c r="U691" i="3"/>
  <c r="U692" i="3"/>
  <c r="U693" i="3"/>
  <c r="U694" i="3"/>
  <c r="U695" i="3"/>
  <c r="U696" i="3"/>
  <c r="U697" i="3"/>
  <c r="U698" i="3"/>
  <c r="U699" i="3"/>
  <c r="U700" i="3"/>
  <c r="U701" i="3"/>
  <c r="U702" i="3"/>
  <c r="U703" i="3"/>
  <c r="U704" i="3"/>
  <c r="U705" i="3"/>
  <c r="U706" i="3"/>
  <c r="U707" i="3"/>
  <c r="U708" i="3"/>
  <c r="U709" i="3"/>
  <c r="U710" i="3"/>
  <c r="U711" i="3"/>
  <c r="U712" i="3"/>
  <c r="U713" i="3"/>
  <c r="U714" i="3"/>
  <c r="U715" i="3"/>
  <c r="U716" i="3"/>
  <c r="U717" i="3"/>
  <c r="U718" i="3"/>
  <c r="U719" i="3"/>
  <c r="U720" i="3"/>
  <c r="U721" i="3"/>
  <c r="U722" i="3"/>
  <c r="U723" i="3"/>
  <c r="U724" i="3"/>
  <c r="U725" i="3"/>
  <c r="U726" i="3"/>
  <c r="U727" i="3"/>
  <c r="U728" i="3"/>
  <c r="U729" i="3"/>
  <c r="U730" i="3"/>
  <c r="U731" i="3"/>
  <c r="U732" i="3"/>
  <c r="U733" i="3"/>
  <c r="U734" i="3"/>
  <c r="U735" i="3"/>
  <c r="U736" i="3"/>
  <c r="U737" i="3"/>
  <c r="U738" i="3"/>
  <c r="U739" i="3"/>
  <c r="U740" i="3"/>
  <c r="U741" i="3"/>
  <c r="U742" i="3"/>
  <c r="U743" i="3"/>
  <c r="U744" i="3"/>
  <c r="U745" i="3"/>
  <c r="U746" i="3"/>
  <c r="U747" i="3"/>
  <c r="U748" i="3"/>
  <c r="U749" i="3"/>
  <c r="U750" i="3"/>
  <c r="U751" i="3"/>
  <c r="U752" i="3"/>
  <c r="U753" i="3"/>
  <c r="U754" i="3"/>
  <c r="U755" i="3"/>
  <c r="U756" i="3"/>
  <c r="U757" i="3"/>
  <c r="U758" i="3"/>
  <c r="U759" i="3"/>
  <c r="U760" i="3"/>
  <c r="U761" i="3"/>
  <c r="U762" i="3"/>
  <c r="U763" i="3"/>
  <c r="U764" i="3"/>
  <c r="U765" i="3"/>
  <c r="U766" i="3"/>
  <c r="U767" i="3"/>
  <c r="U768" i="3"/>
  <c r="U769" i="3"/>
  <c r="U770" i="3"/>
  <c r="U771" i="3"/>
  <c r="U772" i="3"/>
  <c r="U773" i="3"/>
  <c r="U774" i="3"/>
  <c r="U775" i="3"/>
  <c r="U776" i="3"/>
  <c r="U777" i="3"/>
  <c r="U778" i="3"/>
  <c r="U779" i="3"/>
  <c r="U780" i="3"/>
  <c r="U781" i="3"/>
  <c r="U782" i="3"/>
  <c r="U783" i="3"/>
  <c r="U784" i="3"/>
  <c r="U785" i="3"/>
  <c r="U786" i="3"/>
  <c r="U787" i="3"/>
  <c r="U788" i="3"/>
  <c r="U789" i="3"/>
  <c r="U790" i="3"/>
  <c r="U791" i="3"/>
  <c r="U792" i="3"/>
  <c r="U793" i="3"/>
  <c r="U794" i="3"/>
  <c r="U795" i="3"/>
  <c r="U796" i="3"/>
  <c r="U797" i="3"/>
  <c r="U798" i="3"/>
  <c r="U799" i="3"/>
  <c r="U800" i="3"/>
  <c r="U801" i="3"/>
  <c r="U802" i="3"/>
  <c r="U803" i="3"/>
  <c r="U804" i="3"/>
  <c r="U805" i="3"/>
  <c r="U806" i="3"/>
  <c r="U807" i="3"/>
  <c r="U808" i="3"/>
  <c r="U809" i="3"/>
  <c r="U810" i="3"/>
  <c r="U811" i="3"/>
  <c r="U812" i="3"/>
  <c r="U813" i="3"/>
  <c r="U814" i="3"/>
  <c r="U815" i="3"/>
  <c r="U816" i="3"/>
  <c r="U817" i="3"/>
  <c r="U818" i="3"/>
  <c r="U819" i="3"/>
  <c r="U820" i="3"/>
  <c r="U821" i="3"/>
  <c r="U822" i="3"/>
  <c r="U823" i="3"/>
  <c r="U824" i="3"/>
  <c r="U825" i="3"/>
  <c r="U826" i="3"/>
  <c r="U827" i="3"/>
  <c r="U828" i="3"/>
  <c r="U829" i="3"/>
  <c r="U830" i="3"/>
  <c r="U831" i="3"/>
  <c r="U832" i="3"/>
  <c r="U833" i="3"/>
  <c r="U834" i="3"/>
  <c r="U835" i="3"/>
  <c r="U836" i="3"/>
  <c r="U837" i="3"/>
  <c r="U838" i="3"/>
  <c r="U839" i="3"/>
  <c r="U840" i="3"/>
  <c r="U841" i="3"/>
  <c r="U842" i="3"/>
  <c r="U843" i="3"/>
  <c r="U844" i="3"/>
  <c r="U845" i="3"/>
  <c r="U846" i="3"/>
  <c r="U847" i="3"/>
  <c r="U848" i="3"/>
  <c r="U849" i="3"/>
  <c r="U850" i="3"/>
  <c r="U851" i="3"/>
  <c r="U852" i="3"/>
  <c r="U853" i="3"/>
  <c r="U854" i="3"/>
  <c r="U855" i="3"/>
  <c r="U856" i="3"/>
  <c r="U857" i="3"/>
  <c r="U858" i="3"/>
  <c r="U859" i="3"/>
  <c r="U860" i="3"/>
  <c r="U861" i="3"/>
  <c r="U862" i="3"/>
  <c r="U863" i="3"/>
  <c r="U864" i="3"/>
  <c r="U865" i="3"/>
  <c r="U866" i="3"/>
  <c r="U867" i="3"/>
  <c r="U868" i="3"/>
  <c r="U869" i="3"/>
  <c r="U870" i="3"/>
  <c r="U871" i="3"/>
  <c r="U872" i="3"/>
  <c r="U873" i="3"/>
  <c r="U874" i="3"/>
  <c r="U875" i="3"/>
  <c r="U876" i="3"/>
  <c r="U877" i="3"/>
  <c r="U878" i="3"/>
  <c r="U879" i="3"/>
  <c r="U880" i="3"/>
  <c r="U881" i="3"/>
  <c r="U882" i="3"/>
  <c r="U883" i="3"/>
  <c r="U884" i="3"/>
  <c r="U885" i="3"/>
  <c r="U886" i="3"/>
  <c r="U887" i="3"/>
  <c r="U888" i="3"/>
  <c r="U889" i="3"/>
  <c r="U890" i="3"/>
  <c r="U891" i="3"/>
  <c r="U892" i="3"/>
  <c r="U893" i="3"/>
  <c r="U894" i="3"/>
  <c r="U895" i="3"/>
  <c r="U896" i="3"/>
  <c r="U897" i="3"/>
  <c r="U898" i="3"/>
  <c r="U899" i="3"/>
  <c r="U900" i="3"/>
  <c r="U901" i="3"/>
  <c r="U902" i="3"/>
  <c r="U903" i="3"/>
  <c r="U904" i="3"/>
  <c r="U905" i="3"/>
  <c r="U906" i="3"/>
  <c r="U907" i="3"/>
  <c r="U908" i="3"/>
  <c r="U909" i="3"/>
  <c r="U910" i="3"/>
  <c r="U911" i="3"/>
  <c r="U912" i="3"/>
  <c r="U913" i="3"/>
  <c r="U914" i="3"/>
  <c r="U915" i="3"/>
  <c r="U916" i="3"/>
  <c r="U917" i="3"/>
  <c r="U918" i="3"/>
  <c r="U919" i="3"/>
  <c r="U920" i="3"/>
  <c r="U921" i="3"/>
  <c r="U922" i="3"/>
  <c r="U923" i="3"/>
  <c r="U924" i="3"/>
  <c r="U925" i="3"/>
  <c r="U926" i="3"/>
  <c r="U927" i="3"/>
  <c r="U928" i="3"/>
  <c r="U929" i="3"/>
  <c r="U930" i="3"/>
  <c r="U931" i="3"/>
  <c r="U932" i="3"/>
  <c r="U933" i="3"/>
  <c r="U934" i="3"/>
  <c r="U935" i="3"/>
  <c r="U936" i="3"/>
  <c r="U937" i="3"/>
  <c r="U938" i="3"/>
  <c r="U939" i="3"/>
  <c r="U940" i="3"/>
  <c r="U941" i="3"/>
  <c r="U942" i="3"/>
  <c r="U943" i="3"/>
  <c r="U944" i="3"/>
  <c r="U945" i="3"/>
  <c r="U946" i="3"/>
  <c r="U947" i="3"/>
  <c r="U948" i="3"/>
  <c r="U949" i="3"/>
  <c r="U950" i="3"/>
  <c r="U951" i="3"/>
  <c r="U952" i="3"/>
  <c r="U953" i="3"/>
  <c r="U954" i="3"/>
  <c r="U955" i="3"/>
  <c r="U956" i="3"/>
  <c r="U957" i="3"/>
  <c r="U958" i="3"/>
  <c r="U959" i="3"/>
  <c r="U960" i="3"/>
  <c r="U961" i="3"/>
  <c r="U962" i="3"/>
  <c r="U963" i="3"/>
  <c r="U964" i="3"/>
  <c r="U965" i="3"/>
  <c r="U966" i="3"/>
  <c r="U967" i="3"/>
  <c r="U968" i="3"/>
  <c r="U969" i="3"/>
  <c r="U970" i="3"/>
  <c r="U971" i="3"/>
  <c r="U972" i="3"/>
  <c r="U973" i="3"/>
  <c r="U974" i="3"/>
  <c r="U975" i="3"/>
  <c r="U976" i="3"/>
  <c r="U977" i="3"/>
  <c r="U978" i="3"/>
  <c r="U979" i="3"/>
  <c r="U980" i="3"/>
  <c r="U981" i="3"/>
  <c r="U982" i="3"/>
  <c r="U983" i="3"/>
  <c r="U984" i="3"/>
  <c r="U985" i="3"/>
  <c r="U986" i="3"/>
  <c r="U987" i="3"/>
  <c r="U988" i="3"/>
  <c r="U989" i="3"/>
  <c r="U990" i="3"/>
  <c r="U991" i="3"/>
  <c r="U992" i="3"/>
  <c r="U993" i="3"/>
  <c r="U994" i="3"/>
  <c r="U995" i="3"/>
  <c r="U996" i="3"/>
  <c r="U997" i="3"/>
  <c r="U998" i="3"/>
  <c r="U999" i="3"/>
  <c r="U1000" i="3"/>
  <c r="U1001" i="3"/>
  <c r="U1002" i="3"/>
  <c r="U1003" i="3"/>
  <c r="U1004" i="3"/>
  <c r="U1005" i="3"/>
  <c r="U1006" i="3"/>
  <c r="U1007" i="3"/>
  <c r="U1008" i="3"/>
  <c r="U1009" i="3"/>
  <c r="U1010" i="3"/>
  <c r="U1011" i="3"/>
  <c r="U1012" i="3"/>
  <c r="U1013" i="3"/>
  <c r="U1014" i="3"/>
  <c r="U1015" i="3"/>
  <c r="U1016" i="3"/>
  <c r="U1017" i="3"/>
  <c r="U1018" i="3"/>
  <c r="U1019" i="3"/>
  <c r="U1020" i="3"/>
  <c r="U1021" i="3"/>
  <c r="U1022" i="3"/>
  <c r="U1023" i="3"/>
  <c r="U1024" i="3"/>
  <c r="U1025" i="3"/>
  <c r="U1026" i="3"/>
  <c r="U1027" i="3"/>
  <c r="U1028" i="3"/>
  <c r="U1029" i="3"/>
  <c r="U1030" i="3"/>
  <c r="U1031" i="3"/>
  <c r="U1032" i="3"/>
  <c r="U1033" i="3"/>
  <c r="U1034" i="3"/>
  <c r="U1035" i="3"/>
  <c r="U1036" i="3"/>
  <c r="U1037" i="3"/>
  <c r="U1038" i="3"/>
  <c r="U1039" i="3"/>
  <c r="U1040" i="3"/>
  <c r="U1041" i="3"/>
  <c r="U1042" i="3"/>
  <c r="U1043" i="3"/>
  <c r="U1044" i="3"/>
  <c r="U1045" i="3"/>
  <c r="U1046" i="3"/>
  <c r="U1047" i="3"/>
  <c r="U1048" i="3"/>
  <c r="U1049" i="3"/>
  <c r="U1050" i="3"/>
  <c r="U1051" i="3"/>
  <c r="U1052" i="3"/>
  <c r="U1053" i="3"/>
  <c r="U1054" i="3"/>
  <c r="U1055" i="3"/>
  <c r="U1056" i="3"/>
  <c r="U1057" i="3"/>
  <c r="U1058" i="3"/>
  <c r="U1059" i="3"/>
  <c r="U1060" i="3"/>
  <c r="U1061" i="3"/>
  <c r="U1062" i="3"/>
  <c r="U1063" i="3"/>
  <c r="U1064" i="3"/>
  <c r="U1065" i="3"/>
  <c r="U1066" i="3"/>
  <c r="U1067" i="3"/>
  <c r="U1068" i="3"/>
  <c r="U1069" i="3"/>
  <c r="U1070" i="3"/>
  <c r="U1071" i="3"/>
  <c r="U1072" i="3"/>
  <c r="U1073" i="3"/>
  <c r="U1074" i="3"/>
  <c r="U1075" i="3"/>
  <c r="U1076" i="3"/>
  <c r="U1077" i="3"/>
  <c r="U1078" i="3"/>
  <c r="U1079" i="3"/>
  <c r="U1080" i="3"/>
  <c r="U1081" i="3"/>
  <c r="U1082" i="3"/>
  <c r="U1083" i="3"/>
  <c r="U1084" i="3"/>
  <c r="U1085" i="3"/>
  <c r="U1086" i="3"/>
  <c r="U1087" i="3"/>
  <c r="U1088" i="3"/>
  <c r="U1089" i="3"/>
  <c r="U1090" i="3"/>
  <c r="U1091" i="3"/>
  <c r="U1092" i="3"/>
  <c r="U1093" i="3"/>
  <c r="U1094" i="3"/>
  <c r="U1095" i="3"/>
  <c r="U1096" i="3"/>
  <c r="U1097" i="3"/>
  <c r="U1098" i="3"/>
  <c r="U1099" i="3"/>
  <c r="U1100" i="3"/>
  <c r="U1101" i="3"/>
  <c r="U1102" i="3"/>
  <c r="U1103" i="3"/>
  <c r="U1104" i="3"/>
  <c r="U1105" i="3"/>
  <c r="U1106" i="3"/>
  <c r="U1107" i="3"/>
  <c r="U1108" i="3"/>
  <c r="U1109" i="3"/>
  <c r="U1110" i="3"/>
  <c r="U1111" i="3"/>
  <c r="U1112" i="3"/>
  <c r="U1113" i="3"/>
  <c r="U1114" i="3"/>
  <c r="U1115" i="3"/>
  <c r="U1116" i="3"/>
  <c r="U1117" i="3"/>
  <c r="U1118" i="3"/>
  <c r="U1119" i="3"/>
  <c r="U1120" i="3"/>
  <c r="U1121" i="3"/>
  <c r="U1122" i="3"/>
  <c r="U1123" i="3"/>
  <c r="U1124" i="3"/>
  <c r="U1125" i="3"/>
  <c r="U1126" i="3"/>
  <c r="U1127" i="3"/>
  <c r="U1128" i="3"/>
  <c r="U1129" i="3"/>
  <c r="U1130" i="3"/>
  <c r="U1131" i="3"/>
  <c r="U1132" i="3"/>
  <c r="U1133" i="3"/>
  <c r="U1134" i="3"/>
  <c r="U1135" i="3"/>
  <c r="U1136" i="3"/>
  <c r="U1137" i="3"/>
  <c r="U1138" i="3"/>
  <c r="U1139" i="3"/>
  <c r="U1140" i="3"/>
  <c r="U1141" i="3"/>
  <c r="U1142" i="3"/>
  <c r="U1143" i="3"/>
  <c r="U1144" i="3"/>
  <c r="U1145" i="3"/>
  <c r="U1146" i="3"/>
  <c r="U1147" i="3"/>
  <c r="U1148" i="3"/>
  <c r="U1149" i="3"/>
  <c r="U1150" i="3"/>
  <c r="U1151" i="3"/>
  <c r="U1152" i="3"/>
  <c r="U1153" i="3"/>
  <c r="U1154" i="3"/>
  <c r="U1155" i="3"/>
  <c r="U1156" i="3"/>
  <c r="U1157" i="3"/>
  <c r="U1158" i="3"/>
  <c r="U1159" i="3"/>
  <c r="U1160" i="3"/>
  <c r="U1161" i="3"/>
  <c r="U1162" i="3"/>
  <c r="U1163" i="3"/>
  <c r="U1164" i="3"/>
  <c r="U1165" i="3"/>
  <c r="U1166" i="3"/>
  <c r="U1167" i="3"/>
  <c r="U1168" i="3"/>
  <c r="U1169" i="3"/>
  <c r="U1170" i="3"/>
  <c r="U1171" i="3"/>
  <c r="U1172" i="3"/>
  <c r="U1173" i="3"/>
  <c r="U1174" i="3"/>
  <c r="U1175" i="3"/>
  <c r="U1176" i="3"/>
  <c r="U1177" i="3"/>
  <c r="U1178" i="3"/>
  <c r="U1179" i="3"/>
  <c r="U1180" i="3"/>
  <c r="U1181" i="3"/>
  <c r="U1182" i="3"/>
  <c r="U1183" i="3"/>
  <c r="U1184" i="3"/>
  <c r="U1185" i="3"/>
  <c r="U1186" i="3"/>
  <c r="U1187" i="3"/>
  <c r="U1188" i="3"/>
  <c r="U1189" i="3"/>
  <c r="U1190" i="3"/>
  <c r="U1191" i="3"/>
  <c r="U1192" i="3"/>
  <c r="U1193" i="3"/>
  <c r="U1194" i="3"/>
  <c r="U1195" i="3"/>
  <c r="U1196" i="3"/>
  <c r="U1197" i="3"/>
  <c r="U1198" i="3"/>
  <c r="U1199" i="3"/>
  <c r="U1200" i="3"/>
  <c r="U1201" i="3"/>
  <c r="U1202" i="3"/>
  <c r="U1203" i="3"/>
  <c r="U1204" i="3"/>
  <c r="U1205" i="3"/>
  <c r="U1206" i="3"/>
  <c r="U1207" i="3"/>
  <c r="U1208" i="3"/>
  <c r="U1209" i="3"/>
  <c r="U1210" i="3"/>
  <c r="U1211" i="3"/>
  <c r="U1212" i="3"/>
  <c r="U1213" i="3"/>
  <c r="U1214" i="3"/>
  <c r="U1215" i="3"/>
  <c r="U1216" i="3"/>
  <c r="U1217" i="3"/>
  <c r="U1218" i="3"/>
  <c r="U1219" i="3"/>
  <c r="U1220" i="3"/>
  <c r="U1221" i="3"/>
  <c r="U1222" i="3"/>
  <c r="U1223" i="3"/>
  <c r="U1224" i="3"/>
  <c r="U1225" i="3"/>
  <c r="U1226" i="3"/>
  <c r="U1227" i="3"/>
  <c r="U1228" i="3"/>
  <c r="U1229" i="3"/>
  <c r="U1230" i="3"/>
  <c r="U1231" i="3"/>
  <c r="U1232" i="3"/>
  <c r="U1233" i="3"/>
  <c r="U1234" i="3"/>
  <c r="U1235" i="3"/>
  <c r="U1236" i="3"/>
  <c r="U1237" i="3"/>
  <c r="U1238" i="3"/>
  <c r="U1239" i="3"/>
  <c r="U1240" i="3"/>
  <c r="U1241" i="3"/>
  <c r="U1242" i="3"/>
  <c r="U1243" i="3"/>
  <c r="U1244" i="3"/>
  <c r="U1245" i="3"/>
  <c r="U1246" i="3"/>
  <c r="U1247" i="3"/>
  <c r="U1248" i="3"/>
  <c r="U1249" i="3"/>
  <c r="U1250" i="3"/>
  <c r="U1251" i="3"/>
  <c r="U1252" i="3"/>
  <c r="U1253" i="3"/>
  <c r="U1254" i="3"/>
  <c r="U1255" i="3"/>
  <c r="U1256" i="3"/>
  <c r="U1257" i="3"/>
  <c r="U1258" i="3"/>
  <c r="U1259" i="3"/>
  <c r="U1260" i="3"/>
  <c r="U1261" i="3"/>
  <c r="U1262" i="3"/>
  <c r="U1263" i="3"/>
  <c r="U1264" i="3"/>
  <c r="U1265" i="3"/>
  <c r="U1266" i="3"/>
  <c r="U1267" i="3"/>
  <c r="U1268" i="3"/>
  <c r="U1269" i="3"/>
  <c r="U1270" i="3"/>
  <c r="U1271" i="3"/>
  <c r="U1272" i="3"/>
  <c r="U1273" i="3"/>
  <c r="U1274" i="3"/>
  <c r="U1275" i="3"/>
  <c r="U1276" i="3"/>
  <c r="U1277" i="3"/>
  <c r="U1278" i="3"/>
  <c r="U1279" i="3"/>
  <c r="U1280" i="3"/>
  <c r="U1281" i="3"/>
  <c r="U1282" i="3"/>
  <c r="U1283" i="3"/>
  <c r="U1284" i="3"/>
  <c r="U1285" i="3"/>
  <c r="U1286" i="3"/>
  <c r="U1287" i="3"/>
  <c r="U1288" i="3"/>
  <c r="U1289" i="3"/>
  <c r="U1290" i="3"/>
  <c r="U1291" i="3"/>
  <c r="U1292" i="3"/>
  <c r="U1293" i="3"/>
  <c r="U1294" i="3"/>
  <c r="U1295" i="3"/>
  <c r="U1296" i="3"/>
  <c r="U1297" i="3"/>
  <c r="U1298" i="3"/>
  <c r="U1299" i="3"/>
  <c r="U1300" i="3"/>
  <c r="U1301" i="3"/>
  <c r="U1302" i="3"/>
  <c r="U1303" i="3"/>
  <c r="U1304" i="3"/>
  <c r="U1305" i="3"/>
  <c r="U1306" i="3"/>
  <c r="U1307" i="3"/>
  <c r="U1308" i="3"/>
  <c r="U1309" i="3"/>
  <c r="U1310" i="3"/>
  <c r="U1311" i="3"/>
  <c r="U1312" i="3"/>
  <c r="U1313" i="3"/>
  <c r="U1314" i="3"/>
  <c r="U1315" i="3"/>
  <c r="U1316" i="3"/>
  <c r="U1317" i="3"/>
  <c r="U1318" i="3"/>
  <c r="U1319" i="3"/>
  <c r="U1320" i="3"/>
  <c r="U1321" i="3"/>
  <c r="U1322" i="3"/>
  <c r="U1323" i="3"/>
  <c r="U1324" i="3"/>
  <c r="U1325" i="3"/>
  <c r="U1326" i="3"/>
  <c r="U1327" i="3"/>
  <c r="U1328" i="3"/>
  <c r="U1329" i="3"/>
  <c r="U1330" i="3"/>
  <c r="U1331" i="3"/>
  <c r="U1332" i="3"/>
  <c r="U1333" i="3"/>
  <c r="U1334" i="3"/>
  <c r="U1335" i="3"/>
  <c r="U1336" i="3"/>
  <c r="U1337" i="3"/>
  <c r="U1338" i="3"/>
  <c r="U1339" i="3"/>
  <c r="U1340" i="3"/>
  <c r="U1341" i="3"/>
  <c r="U1342" i="3"/>
  <c r="U1343" i="3"/>
  <c r="U1344" i="3"/>
  <c r="U1345" i="3"/>
  <c r="U1346" i="3"/>
  <c r="U1347" i="3"/>
  <c r="U1348" i="3"/>
  <c r="U1349" i="3"/>
  <c r="U1350" i="3"/>
  <c r="U1351" i="3"/>
  <c r="U1352" i="3"/>
  <c r="U1353" i="3"/>
  <c r="U1354" i="3"/>
  <c r="U1355" i="3"/>
  <c r="U1356" i="3"/>
  <c r="U1357" i="3"/>
  <c r="U1358" i="3"/>
  <c r="U1359" i="3"/>
  <c r="U1360" i="3"/>
  <c r="U1361" i="3"/>
  <c r="U1362" i="3"/>
  <c r="U1363" i="3"/>
  <c r="U1364" i="3"/>
  <c r="U1365" i="3"/>
  <c r="U1366" i="3"/>
  <c r="U1367" i="3"/>
  <c r="U1368" i="3"/>
  <c r="U1369" i="3"/>
  <c r="U1370" i="3"/>
  <c r="U1371" i="3"/>
  <c r="U1372" i="3"/>
  <c r="U1373" i="3"/>
  <c r="U1374" i="3"/>
  <c r="U1375" i="3"/>
  <c r="U1376" i="3"/>
  <c r="U1377" i="3"/>
  <c r="U1378" i="3"/>
  <c r="U1379" i="3"/>
  <c r="U1380" i="3"/>
  <c r="U1381" i="3"/>
  <c r="U1382" i="3"/>
  <c r="U1383" i="3"/>
  <c r="U1384" i="3"/>
  <c r="U1385" i="3"/>
  <c r="U1386" i="3"/>
  <c r="U1387" i="3"/>
  <c r="U1388" i="3"/>
  <c r="U1389" i="3"/>
  <c r="U1390" i="3"/>
  <c r="U1391" i="3"/>
  <c r="U1392" i="3"/>
  <c r="U1393" i="3"/>
  <c r="U1394" i="3"/>
  <c r="U1395" i="3"/>
  <c r="U1396" i="3"/>
  <c r="U1397" i="3"/>
  <c r="U1398" i="3"/>
  <c r="U1399" i="3"/>
  <c r="U1400" i="3"/>
  <c r="U1401" i="3"/>
  <c r="U1402" i="3"/>
  <c r="U1403" i="3"/>
  <c r="U1404" i="3"/>
  <c r="U1405" i="3"/>
  <c r="U1406" i="3"/>
  <c r="U1407" i="3"/>
  <c r="U1408" i="3"/>
  <c r="U1409" i="3"/>
  <c r="U1410" i="3"/>
  <c r="U1411" i="3"/>
  <c r="U1412" i="3"/>
  <c r="U1413" i="3"/>
  <c r="U1414" i="3"/>
  <c r="U1415" i="3"/>
  <c r="U1416" i="3"/>
  <c r="U1417" i="3"/>
  <c r="U1418" i="3"/>
  <c r="U1419" i="3"/>
  <c r="U1420" i="3"/>
  <c r="U1421" i="3"/>
  <c r="U1422" i="3"/>
  <c r="U1423" i="3"/>
  <c r="U1424" i="3"/>
  <c r="U1425" i="3"/>
  <c r="U1426" i="3"/>
  <c r="U1427" i="3"/>
  <c r="U1428" i="3"/>
  <c r="U1429" i="3"/>
  <c r="U1430" i="3"/>
  <c r="U1431" i="3"/>
  <c r="U1432" i="3"/>
  <c r="U1433" i="3"/>
  <c r="U1434" i="3"/>
  <c r="U1435" i="3"/>
  <c r="U1436" i="3"/>
  <c r="U1437" i="3"/>
  <c r="U1438" i="3"/>
  <c r="U1439" i="3"/>
  <c r="U1440" i="3"/>
  <c r="U1441" i="3"/>
  <c r="U1442" i="3"/>
  <c r="U1443" i="3"/>
  <c r="U1444" i="3"/>
  <c r="U1445" i="3"/>
  <c r="U1446" i="3"/>
  <c r="U1447" i="3"/>
  <c r="U1448" i="3"/>
  <c r="U1449" i="3"/>
  <c r="U1450" i="3"/>
  <c r="U1451" i="3"/>
  <c r="U1452" i="3"/>
  <c r="U1453" i="3"/>
  <c r="U1454" i="3"/>
  <c r="U1455" i="3"/>
  <c r="U1456" i="3"/>
  <c r="U1457" i="3"/>
  <c r="U1458" i="3"/>
  <c r="U1459" i="3"/>
  <c r="U1460" i="3"/>
  <c r="U1461" i="3"/>
  <c r="U1462" i="3"/>
  <c r="U1463" i="3"/>
  <c r="U1464" i="3"/>
  <c r="U1465" i="3"/>
  <c r="U1466" i="3"/>
  <c r="U1467" i="3"/>
  <c r="U1468" i="3"/>
  <c r="U1469" i="3"/>
  <c r="U1470" i="3"/>
  <c r="U1471" i="3"/>
  <c r="U1472" i="3"/>
  <c r="U1473" i="3"/>
  <c r="U1474" i="3"/>
  <c r="U1475" i="3"/>
  <c r="U1476" i="3"/>
  <c r="U1477" i="3"/>
  <c r="U1478" i="3"/>
  <c r="U1479" i="3"/>
  <c r="U1480" i="3"/>
  <c r="U1481" i="3"/>
  <c r="U1482" i="3"/>
  <c r="U1483" i="3"/>
  <c r="U1484" i="3"/>
  <c r="U1485" i="3"/>
  <c r="U1486" i="3"/>
  <c r="U1487" i="3"/>
  <c r="U1488" i="3"/>
  <c r="U1489" i="3"/>
  <c r="U1490" i="3"/>
  <c r="U1491" i="3"/>
  <c r="U1492" i="3"/>
  <c r="U1493" i="3"/>
  <c r="U1494" i="3"/>
  <c r="U1495" i="3"/>
  <c r="U1496" i="3"/>
  <c r="U1497" i="3"/>
  <c r="U1498" i="3"/>
  <c r="U1499" i="3"/>
  <c r="U1500" i="3"/>
  <c r="U1501" i="3"/>
  <c r="U1502" i="3"/>
  <c r="U1503" i="3"/>
  <c r="U1504" i="3"/>
  <c r="U1505" i="3"/>
  <c r="U1506" i="3"/>
  <c r="U1507" i="3"/>
  <c r="U1508" i="3"/>
  <c r="U1509" i="3"/>
  <c r="U1510" i="3"/>
  <c r="U1511" i="3"/>
  <c r="U1512" i="3"/>
  <c r="U1513" i="3"/>
  <c r="U1514" i="3"/>
  <c r="U1515" i="3"/>
  <c r="U1516" i="3"/>
  <c r="U1517" i="3"/>
  <c r="U1518" i="3"/>
  <c r="U1519" i="3"/>
  <c r="U1520" i="3"/>
  <c r="U1521" i="3"/>
  <c r="U1522" i="3"/>
  <c r="U1523" i="3"/>
  <c r="U1524" i="3"/>
  <c r="U1525" i="3"/>
  <c r="U1526" i="3"/>
  <c r="U1527" i="3"/>
  <c r="U1528" i="3"/>
  <c r="U1529" i="3"/>
  <c r="U1530" i="3"/>
  <c r="U1531" i="3"/>
  <c r="U1532" i="3"/>
  <c r="U1533" i="3"/>
  <c r="U1534" i="3"/>
  <c r="U1535" i="3"/>
  <c r="U1536" i="3"/>
  <c r="U1537" i="3"/>
  <c r="U1538" i="3"/>
  <c r="U1539" i="3"/>
  <c r="U1540" i="3"/>
  <c r="U1541" i="3"/>
  <c r="U1542" i="3"/>
  <c r="U1543" i="3"/>
  <c r="U1544" i="3"/>
  <c r="U1545" i="3"/>
  <c r="U1546" i="3"/>
  <c r="U1547" i="3"/>
  <c r="U1548" i="3"/>
  <c r="U1549" i="3"/>
  <c r="U1550" i="3"/>
  <c r="U1551" i="3"/>
  <c r="U1552" i="3"/>
  <c r="U1553" i="3"/>
  <c r="U1554" i="3"/>
  <c r="U1555" i="3"/>
  <c r="U1556" i="3"/>
  <c r="U1557" i="3"/>
  <c r="U1558" i="3"/>
  <c r="U1559" i="3"/>
  <c r="U1560" i="3"/>
  <c r="U1561" i="3"/>
  <c r="U1562" i="3"/>
  <c r="U1563" i="3"/>
  <c r="U1564" i="3"/>
  <c r="U1565" i="3"/>
  <c r="U1566" i="3"/>
  <c r="U1567" i="3"/>
  <c r="U1568" i="3"/>
  <c r="U1569" i="3"/>
  <c r="U1570" i="3"/>
  <c r="U1571" i="3"/>
  <c r="U1572" i="3"/>
  <c r="U1573" i="3"/>
  <c r="U1574" i="3"/>
  <c r="U1575" i="3"/>
  <c r="U1576" i="3"/>
  <c r="U1577" i="3"/>
  <c r="U1578" i="3"/>
  <c r="U1579" i="3"/>
  <c r="U1580" i="3"/>
  <c r="U1581" i="3"/>
  <c r="U1582" i="3"/>
  <c r="U1583" i="3"/>
  <c r="U1584" i="3"/>
  <c r="U1585" i="3"/>
  <c r="U1586" i="3"/>
  <c r="U1587" i="3"/>
  <c r="U1588" i="3"/>
  <c r="U1589" i="3"/>
  <c r="U1590" i="3"/>
  <c r="U1591" i="3"/>
  <c r="U1592" i="3"/>
  <c r="U1593" i="3"/>
  <c r="U1594" i="3"/>
  <c r="U1595" i="3"/>
  <c r="U1596" i="3"/>
  <c r="U1597" i="3"/>
  <c r="U1598" i="3"/>
  <c r="U1599" i="3"/>
  <c r="U1600" i="3"/>
  <c r="U1601" i="3"/>
  <c r="U1602" i="3"/>
  <c r="U1603" i="3"/>
  <c r="U1604" i="3"/>
  <c r="U1605" i="3"/>
  <c r="U1606" i="3"/>
  <c r="U1607" i="3"/>
  <c r="U1608" i="3"/>
  <c r="U1609" i="3"/>
  <c r="U1610" i="3"/>
  <c r="U1611" i="3"/>
  <c r="U1612" i="3"/>
  <c r="U1613" i="3"/>
  <c r="U1614" i="3"/>
  <c r="U1615" i="3"/>
  <c r="U1616" i="3"/>
  <c r="U1617" i="3"/>
  <c r="U1618" i="3"/>
  <c r="U1619" i="3"/>
  <c r="U1620" i="3"/>
  <c r="U1621" i="3"/>
  <c r="U1622" i="3"/>
  <c r="U1623" i="3"/>
  <c r="U1624" i="3"/>
  <c r="U1625" i="3"/>
  <c r="U1626" i="3"/>
  <c r="U1627" i="3"/>
  <c r="U1628" i="3"/>
  <c r="U1629" i="3"/>
  <c r="U1630" i="3"/>
  <c r="U1631" i="3"/>
  <c r="U1632" i="3"/>
  <c r="U1633" i="3"/>
  <c r="U1634" i="3"/>
  <c r="U1635" i="3"/>
  <c r="U1636" i="3"/>
  <c r="U1637" i="3"/>
  <c r="U1638" i="3"/>
  <c r="U1639" i="3"/>
  <c r="U1640" i="3"/>
  <c r="U1641" i="3"/>
  <c r="U1642" i="3"/>
  <c r="U1643" i="3"/>
  <c r="U1644" i="3"/>
  <c r="U1645" i="3"/>
  <c r="U1646" i="3"/>
  <c r="U1647" i="3"/>
  <c r="U1648" i="3"/>
  <c r="U1649" i="3"/>
  <c r="U1650" i="3"/>
  <c r="U1651" i="3"/>
  <c r="U1652" i="3"/>
  <c r="U1653" i="3"/>
  <c r="U1654" i="3"/>
  <c r="U1655" i="3"/>
  <c r="U1656" i="3"/>
  <c r="U1657" i="3"/>
  <c r="U1658" i="3"/>
  <c r="U1659" i="3"/>
  <c r="U1660" i="3"/>
  <c r="U1661" i="3"/>
  <c r="U1662" i="3"/>
  <c r="U1663" i="3"/>
  <c r="U1664" i="3"/>
  <c r="U1665" i="3"/>
  <c r="U1666" i="3"/>
  <c r="U1667" i="3"/>
  <c r="U1668" i="3"/>
  <c r="U1669" i="3"/>
  <c r="U1670" i="3"/>
  <c r="U1671" i="3"/>
  <c r="U1672" i="3"/>
  <c r="U1673" i="3"/>
  <c r="U1674" i="3"/>
  <c r="U1675" i="3"/>
  <c r="U1676" i="3"/>
  <c r="U1677" i="3"/>
  <c r="U1678" i="3"/>
  <c r="U1679" i="3"/>
  <c r="U1680" i="3"/>
  <c r="U1681" i="3"/>
  <c r="U1682" i="3"/>
  <c r="U1683" i="3"/>
  <c r="U1684" i="3"/>
  <c r="U1685" i="3"/>
  <c r="U1686" i="3"/>
  <c r="U1687" i="3"/>
  <c r="U1688" i="3"/>
  <c r="U1689" i="3"/>
  <c r="U1690" i="3"/>
  <c r="U1691" i="3"/>
  <c r="U1692" i="3"/>
  <c r="U1693" i="3"/>
  <c r="U1694" i="3"/>
  <c r="U1695" i="3"/>
  <c r="U1696" i="3"/>
  <c r="U1697" i="3"/>
  <c r="U1698" i="3"/>
  <c r="U1699" i="3"/>
  <c r="U1700" i="3"/>
  <c r="U1701" i="3"/>
  <c r="U1702" i="3"/>
  <c r="U1703" i="3"/>
  <c r="U1704" i="3"/>
  <c r="U1705" i="3"/>
  <c r="U1706" i="3"/>
  <c r="U1707" i="3"/>
  <c r="U1708" i="3"/>
  <c r="U1709" i="3"/>
  <c r="U1710" i="3"/>
  <c r="U1711" i="3"/>
  <c r="U1712" i="3"/>
  <c r="U1713" i="3"/>
  <c r="U1714" i="3"/>
  <c r="U1715" i="3"/>
  <c r="U1716" i="3"/>
  <c r="U1717" i="3"/>
  <c r="U1718" i="3"/>
  <c r="U1719" i="3"/>
  <c r="U1720" i="3"/>
  <c r="U1721" i="3"/>
  <c r="U1722" i="3"/>
  <c r="U1723" i="3"/>
  <c r="U1724" i="3"/>
  <c r="U1725" i="3"/>
  <c r="U1726" i="3"/>
  <c r="U1727" i="3"/>
  <c r="U1728" i="3"/>
  <c r="U1729" i="3"/>
  <c r="U1730" i="3"/>
  <c r="U1731" i="3"/>
  <c r="U1732" i="3"/>
  <c r="U1733" i="3"/>
  <c r="U1734" i="3"/>
  <c r="U1735" i="3"/>
  <c r="U1736" i="3"/>
  <c r="U1737" i="3"/>
  <c r="U1738" i="3"/>
  <c r="U1739" i="3"/>
  <c r="U1740" i="3"/>
  <c r="U1741" i="3"/>
  <c r="U1742" i="3"/>
  <c r="U1743" i="3"/>
  <c r="U1744" i="3"/>
  <c r="U1745" i="3"/>
  <c r="U1746" i="3"/>
  <c r="U1747" i="3"/>
  <c r="U1748" i="3"/>
  <c r="U1749" i="3"/>
  <c r="U1750" i="3"/>
  <c r="U1751" i="3"/>
  <c r="U1752" i="3"/>
  <c r="U1753" i="3"/>
  <c r="U1754" i="3"/>
  <c r="U1755" i="3"/>
  <c r="U1756" i="3"/>
  <c r="U1757" i="3"/>
  <c r="U1758" i="3"/>
  <c r="U1759" i="3"/>
  <c r="U1760" i="3"/>
  <c r="U1761" i="3"/>
  <c r="U1762" i="3"/>
  <c r="U1763" i="3"/>
  <c r="U1764" i="3"/>
  <c r="U1765" i="3"/>
  <c r="U1766" i="3"/>
  <c r="U1767" i="3"/>
  <c r="U1768" i="3"/>
  <c r="U1769" i="3"/>
  <c r="U1770" i="3"/>
  <c r="U1771" i="3"/>
  <c r="U1772" i="3"/>
  <c r="U1773" i="3"/>
  <c r="U1774" i="3"/>
  <c r="U1775" i="3"/>
  <c r="U1776" i="3"/>
  <c r="U1777" i="3"/>
  <c r="U1778" i="3"/>
  <c r="U1779" i="3"/>
  <c r="U1780" i="3"/>
  <c r="U1781" i="3"/>
  <c r="U1782" i="3"/>
  <c r="U1783" i="3"/>
  <c r="U1784" i="3"/>
  <c r="U1785" i="3"/>
  <c r="U1786" i="3"/>
  <c r="U1787" i="3"/>
  <c r="U1788" i="3"/>
  <c r="U1789" i="3"/>
  <c r="U1790" i="3"/>
  <c r="U1791" i="3"/>
  <c r="U1792" i="3"/>
  <c r="U1793" i="3"/>
  <c r="U1794" i="3"/>
  <c r="U1795" i="3"/>
  <c r="U1796" i="3"/>
  <c r="U1797" i="3"/>
  <c r="U1798" i="3"/>
  <c r="U1799" i="3"/>
  <c r="U1800" i="3"/>
  <c r="U1801" i="3"/>
  <c r="U1802" i="3"/>
  <c r="U1803" i="3"/>
  <c r="U1804" i="3"/>
  <c r="U1805" i="3"/>
  <c r="U1806" i="3"/>
  <c r="U1807" i="3"/>
  <c r="U1808" i="3"/>
  <c r="U1809" i="3"/>
  <c r="U1810" i="3"/>
  <c r="U1811" i="3"/>
  <c r="U1812" i="3"/>
  <c r="U1813" i="3"/>
  <c r="U1814" i="3"/>
  <c r="U1815" i="3"/>
  <c r="U1816" i="3"/>
  <c r="U1817" i="3"/>
  <c r="U1818" i="3"/>
  <c r="U1819" i="3"/>
  <c r="U1820" i="3"/>
  <c r="U1821" i="3"/>
  <c r="U1822" i="3"/>
  <c r="U1823" i="3"/>
  <c r="U1824" i="3"/>
  <c r="U1825" i="3"/>
  <c r="U1826" i="3"/>
  <c r="U1827" i="3"/>
  <c r="U1828" i="3"/>
  <c r="U1829" i="3"/>
  <c r="U1830" i="3"/>
  <c r="U1831" i="3"/>
  <c r="U1832" i="3"/>
  <c r="U1833" i="3"/>
  <c r="U1834" i="3"/>
  <c r="U1835" i="3"/>
  <c r="U1836" i="3"/>
  <c r="U1837" i="3"/>
  <c r="U1838" i="3"/>
  <c r="U1839" i="3"/>
  <c r="U1840" i="3"/>
  <c r="U1841" i="3"/>
  <c r="U1842" i="3"/>
  <c r="U1843" i="3"/>
  <c r="U1844" i="3"/>
  <c r="U1845" i="3"/>
  <c r="U1846" i="3"/>
  <c r="U1847" i="3"/>
  <c r="U1848" i="3"/>
  <c r="U1849" i="3"/>
  <c r="U1850" i="3"/>
  <c r="U1851" i="3"/>
  <c r="U1852" i="3"/>
  <c r="U1853" i="3"/>
  <c r="U1854" i="3"/>
  <c r="U1855" i="3"/>
  <c r="U1856" i="3"/>
  <c r="U1857" i="3"/>
  <c r="U1858" i="3"/>
  <c r="U1859" i="3"/>
  <c r="U1860" i="3"/>
  <c r="U1861" i="3"/>
  <c r="U1862" i="3"/>
  <c r="U1863" i="3"/>
  <c r="U1864" i="3"/>
  <c r="U1865" i="3"/>
  <c r="U1866" i="3"/>
  <c r="U1867" i="3"/>
  <c r="U1868" i="3"/>
  <c r="U1869" i="3"/>
  <c r="U1870" i="3"/>
  <c r="U1871" i="3"/>
  <c r="U1872" i="3"/>
  <c r="U1873" i="3"/>
  <c r="U1874" i="3"/>
  <c r="U1875" i="3"/>
  <c r="U1876" i="3"/>
  <c r="U1877" i="3"/>
  <c r="U1878" i="3"/>
  <c r="U1879" i="3"/>
  <c r="U1880" i="3"/>
  <c r="U1881" i="3"/>
  <c r="U1882" i="3"/>
  <c r="U1883" i="3"/>
  <c r="U1884" i="3"/>
  <c r="U1885" i="3"/>
  <c r="U1886" i="3"/>
  <c r="U1887" i="3"/>
  <c r="U1888" i="3"/>
  <c r="U1889" i="3"/>
  <c r="U1890" i="3"/>
  <c r="U1891" i="3"/>
  <c r="U1892" i="3"/>
  <c r="U1893" i="3"/>
  <c r="U1894" i="3"/>
  <c r="U1895" i="3"/>
  <c r="U1896" i="3"/>
  <c r="U1897" i="3"/>
  <c r="U1898" i="3"/>
  <c r="U1899" i="3"/>
  <c r="U1900" i="3"/>
  <c r="U1901" i="3"/>
  <c r="U1902" i="3"/>
  <c r="U1903" i="3"/>
  <c r="U1904" i="3"/>
  <c r="U1905" i="3"/>
  <c r="U1906" i="3"/>
  <c r="U1907" i="3"/>
  <c r="U1908" i="3"/>
  <c r="U1909" i="3"/>
  <c r="U1910" i="3"/>
  <c r="U1911" i="3"/>
  <c r="U1912" i="3"/>
  <c r="U1913" i="3"/>
  <c r="U1914" i="3"/>
  <c r="U1915" i="3"/>
  <c r="U1916" i="3"/>
  <c r="U1917" i="3"/>
  <c r="U1918" i="3"/>
  <c r="U1919" i="3"/>
  <c r="U1920" i="3"/>
  <c r="U1921" i="3"/>
  <c r="U1922" i="3"/>
  <c r="U1923" i="3"/>
  <c r="U1924" i="3"/>
  <c r="U1925" i="3"/>
  <c r="U1926" i="3"/>
  <c r="U1927" i="3"/>
  <c r="U1928" i="3"/>
  <c r="U1929" i="3"/>
  <c r="U1930" i="3"/>
  <c r="U1931" i="3"/>
  <c r="U1932" i="3"/>
  <c r="U1933" i="3"/>
  <c r="U1934" i="3"/>
  <c r="U1935" i="3"/>
  <c r="U1936" i="3"/>
  <c r="U1937" i="3"/>
  <c r="U1938" i="3"/>
  <c r="U1939" i="3"/>
  <c r="U1940" i="3"/>
  <c r="U1941" i="3"/>
  <c r="U1942" i="3"/>
  <c r="U1943" i="3"/>
  <c r="U1944" i="3"/>
  <c r="U1945" i="3"/>
  <c r="U1946" i="3"/>
  <c r="U1947" i="3"/>
  <c r="U1948" i="3"/>
  <c r="U1949" i="3"/>
  <c r="U1950" i="3"/>
  <c r="U1951" i="3"/>
  <c r="U1952" i="3"/>
  <c r="U1953" i="3"/>
  <c r="U1954" i="3"/>
  <c r="U1955" i="3"/>
  <c r="U1956" i="3"/>
  <c r="U1957" i="3"/>
  <c r="U1958" i="3"/>
  <c r="U1959" i="3"/>
  <c r="U1960" i="3"/>
  <c r="U1961" i="3"/>
  <c r="U1962" i="3"/>
  <c r="U1963" i="3"/>
  <c r="U1964" i="3"/>
  <c r="U1965" i="3"/>
  <c r="U1966" i="3"/>
  <c r="U1967" i="3"/>
  <c r="U1968" i="3"/>
  <c r="U1969" i="3"/>
  <c r="U1970" i="3"/>
  <c r="U1971" i="3"/>
  <c r="U1972" i="3"/>
  <c r="U1973" i="3"/>
  <c r="U1974" i="3"/>
  <c r="U1975" i="3"/>
  <c r="U1976" i="3"/>
  <c r="U1977" i="3"/>
  <c r="U1978" i="3"/>
  <c r="U1979" i="3"/>
  <c r="U1980" i="3"/>
  <c r="U1981" i="3"/>
  <c r="U1982" i="3"/>
  <c r="U1983" i="3"/>
  <c r="U1984" i="3"/>
  <c r="U1985" i="3"/>
  <c r="U1986" i="3"/>
  <c r="U1987" i="3"/>
  <c r="U1988" i="3"/>
  <c r="U1989" i="3"/>
  <c r="U1990" i="3"/>
  <c r="U1991" i="3"/>
  <c r="U1992" i="3"/>
  <c r="U1993" i="3"/>
  <c r="U1994" i="3"/>
  <c r="U1995" i="3"/>
  <c r="U1996" i="3"/>
  <c r="U1997" i="3"/>
  <c r="U1998" i="3"/>
  <c r="U1999" i="3"/>
  <c r="U2000" i="3"/>
  <c r="U2001" i="3"/>
  <c r="U2002" i="3"/>
  <c r="U2003" i="3"/>
  <c r="U2004" i="3"/>
  <c r="U2005" i="3"/>
  <c r="U2006" i="3"/>
  <c r="U2007" i="3"/>
  <c r="U2008" i="3"/>
  <c r="U2009" i="3"/>
  <c r="U2010" i="3"/>
  <c r="U2011" i="3"/>
  <c r="U2012" i="3"/>
  <c r="U2013" i="3"/>
  <c r="U2014" i="3"/>
  <c r="U2015" i="3"/>
  <c r="U2016" i="3"/>
  <c r="U2017" i="3"/>
  <c r="U2018" i="3"/>
  <c r="U2019" i="3"/>
  <c r="U2020" i="3"/>
  <c r="U2021" i="3"/>
  <c r="U2022" i="3"/>
  <c r="U2023" i="3"/>
  <c r="U2024" i="3"/>
  <c r="U2025" i="3"/>
  <c r="U2026" i="3"/>
  <c r="U2027" i="3"/>
  <c r="U2028" i="3"/>
  <c r="U2029" i="3"/>
  <c r="U2030" i="3"/>
  <c r="U2031" i="3"/>
  <c r="U2032" i="3"/>
  <c r="U2033" i="3"/>
  <c r="U2034" i="3"/>
  <c r="U2035" i="3"/>
  <c r="U2036" i="3"/>
  <c r="U2037" i="3"/>
  <c r="U2038" i="3"/>
  <c r="U2039" i="3"/>
  <c r="U2040" i="3"/>
  <c r="U2041" i="3"/>
  <c r="U2042" i="3"/>
  <c r="U2043" i="3"/>
  <c r="U2044" i="3"/>
  <c r="U2045" i="3"/>
  <c r="U2046" i="3"/>
  <c r="U2047" i="3"/>
  <c r="U2048" i="3"/>
  <c r="U2049" i="3"/>
  <c r="U2050" i="3"/>
  <c r="U2051" i="3"/>
  <c r="U2052" i="3"/>
  <c r="U2053" i="3"/>
  <c r="U2054" i="3"/>
  <c r="U2055" i="3"/>
  <c r="U2056" i="3"/>
  <c r="U2057" i="3"/>
  <c r="U2058" i="3"/>
  <c r="U2059" i="3"/>
  <c r="U2060" i="3"/>
  <c r="U2061" i="3"/>
  <c r="U2062" i="3"/>
  <c r="U2063" i="3"/>
  <c r="U2064" i="3"/>
  <c r="U2065" i="3"/>
  <c r="U2066" i="3"/>
  <c r="U2067" i="3"/>
  <c r="U2068" i="3"/>
  <c r="U2069" i="3"/>
  <c r="U2070" i="3"/>
  <c r="U2071" i="3"/>
  <c r="U2072" i="3"/>
  <c r="U2073" i="3"/>
  <c r="U2074" i="3"/>
  <c r="U2075" i="3"/>
  <c r="U2076" i="3"/>
  <c r="U2077" i="3"/>
  <c r="U2078" i="3"/>
  <c r="U2079" i="3"/>
  <c r="U2080" i="3"/>
  <c r="U2081" i="3"/>
  <c r="U2082" i="3"/>
  <c r="U2083" i="3"/>
  <c r="U2084" i="3"/>
  <c r="U2085" i="3"/>
  <c r="U2086" i="3"/>
  <c r="U2087" i="3"/>
  <c r="U2088" i="3"/>
  <c r="U2089" i="3"/>
  <c r="U2090" i="3"/>
  <c r="U2091" i="3"/>
  <c r="U2092" i="3"/>
  <c r="U2093" i="3"/>
  <c r="U2094" i="3"/>
  <c r="U2095" i="3"/>
  <c r="U2096" i="3"/>
  <c r="U2097" i="3"/>
  <c r="U2098" i="3"/>
  <c r="U2099" i="3"/>
  <c r="U2100" i="3"/>
  <c r="U2101" i="3"/>
  <c r="U2102" i="3"/>
  <c r="U2103" i="3"/>
  <c r="U2104" i="3"/>
  <c r="U2105" i="3"/>
  <c r="U2106" i="3"/>
  <c r="U2107" i="3"/>
  <c r="U2108" i="3"/>
  <c r="U2109" i="3"/>
  <c r="U2110" i="3"/>
  <c r="U2111" i="3"/>
  <c r="U2112" i="3"/>
  <c r="U2113" i="3"/>
  <c r="U2114" i="3"/>
  <c r="U2115" i="3"/>
  <c r="U2116" i="3"/>
  <c r="U2117" i="3"/>
  <c r="U2118" i="3"/>
  <c r="U2119" i="3"/>
  <c r="U2120" i="3"/>
  <c r="U2121" i="3"/>
  <c r="U2122" i="3"/>
  <c r="U2123" i="3"/>
  <c r="U2124" i="3"/>
  <c r="U2125" i="3"/>
  <c r="U2126" i="3"/>
  <c r="U2127" i="3"/>
  <c r="U2128" i="3"/>
  <c r="U2129" i="3"/>
  <c r="U2130" i="3"/>
  <c r="U2131" i="3"/>
  <c r="U2132" i="3"/>
  <c r="U2133" i="3"/>
  <c r="U2134" i="3"/>
  <c r="U2135" i="3"/>
  <c r="U2136" i="3"/>
  <c r="U2137" i="3"/>
  <c r="U2138" i="3"/>
  <c r="U2139" i="3"/>
  <c r="U2140" i="3"/>
  <c r="U2141" i="3"/>
  <c r="U2142" i="3"/>
  <c r="U2143" i="3"/>
  <c r="U2144" i="3"/>
  <c r="U2145" i="3"/>
  <c r="U2146" i="3"/>
  <c r="U2147" i="3"/>
  <c r="U2148" i="3"/>
  <c r="U2149" i="3"/>
  <c r="U2150" i="3"/>
  <c r="U2151" i="3"/>
  <c r="U2152" i="3"/>
  <c r="U2153" i="3"/>
  <c r="U2154" i="3"/>
  <c r="U2155" i="3"/>
  <c r="U2156" i="3"/>
  <c r="U2157" i="3"/>
  <c r="U2158" i="3"/>
  <c r="U2159" i="3"/>
  <c r="U2160" i="3"/>
  <c r="U2161" i="3"/>
  <c r="U2162" i="3"/>
  <c r="U2163" i="3"/>
  <c r="U2164" i="3"/>
  <c r="U2165" i="3"/>
  <c r="U2166" i="3"/>
  <c r="U2167" i="3"/>
  <c r="U2168" i="3"/>
  <c r="U2169" i="3"/>
  <c r="U2170" i="3"/>
  <c r="U2171" i="3"/>
  <c r="U2172" i="3"/>
  <c r="U2173" i="3"/>
  <c r="U2174" i="3"/>
  <c r="U2175" i="3"/>
  <c r="U2176" i="3"/>
  <c r="U2177" i="3"/>
  <c r="U2178" i="3"/>
  <c r="U2179" i="3"/>
  <c r="U2180" i="3"/>
  <c r="U2181" i="3"/>
  <c r="U2182" i="3"/>
  <c r="U2183" i="3"/>
  <c r="U2184" i="3"/>
  <c r="U2185" i="3"/>
  <c r="U2186" i="3"/>
  <c r="U2187" i="3"/>
  <c r="U2188" i="3"/>
  <c r="U2189" i="3"/>
  <c r="U2190" i="3"/>
  <c r="U2191" i="3"/>
  <c r="U2192" i="3"/>
  <c r="U2193" i="3"/>
  <c r="U2194" i="3"/>
  <c r="U2195" i="3"/>
  <c r="U2196" i="3"/>
  <c r="U2197" i="3"/>
  <c r="U2198" i="3"/>
  <c r="U2199" i="3"/>
  <c r="U2200" i="3"/>
  <c r="U2201" i="3"/>
  <c r="U2202" i="3"/>
  <c r="U2203" i="3"/>
  <c r="U2204" i="3"/>
  <c r="U2205" i="3"/>
  <c r="U2206" i="3"/>
  <c r="U2207" i="3"/>
  <c r="U2208" i="3"/>
  <c r="U2209" i="3"/>
  <c r="U2210" i="3"/>
  <c r="U2211" i="3"/>
  <c r="U2212" i="3"/>
  <c r="U2213" i="3"/>
  <c r="U2214" i="3"/>
  <c r="U2215" i="3"/>
  <c r="U2216" i="3"/>
  <c r="U2217" i="3"/>
  <c r="U2218" i="3"/>
  <c r="U2219" i="3"/>
  <c r="U2220" i="3"/>
  <c r="U2221" i="3"/>
  <c r="U2222" i="3"/>
  <c r="U2223" i="3"/>
  <c r="U2224" i="3"/>
  <c r="U2225" i="3"/>
  <c r="U2226" i="3"/>
  <c r="U2227" i="3"/>
  <c r="U2228" i="3"/>
  <c r="U2229" i="3"/>
  <c r="U2230" i="3"/>
  <c r="U2231" i="3"/>
  <c r="U2232" i="3"/>
  <c r="U2233" i="3"/>
  <c r="U2234" i="3"/>
  <c r="U2235" i="3"/>
  <c r="U2236" i="3"/>
  <c r="U2237" i="3"/>
  <c r="U2238" i="3"/>
  <c r="U2239" i="3"/>
  <c r="U2240" i="3"/>
  <c r="U2241" i="3"/>
  <c r="U2242" i="3"/>
  <c r="U2243" i="3"/>
  <c r="U2244" i="3"/>
  <c r="U2245" i="3"/>
  <c r="U2246" i="3"/>
  <c r="U2247" i="3"/>
  <c r="U2248" i="3"/>
  <c r="U2249" i="3"/>
  <c r="U2250" i="3"/>
  <c r="U2251" i="3"/>
  <c r="U2252" i="3"/>
  <c r="U2253" i="3"/>
  <c r="U2254" i="3"/>
  <c r="U2255" i="3"/>
  <c r="U2256" i="3"/>
  <c r="U2257" i="3"/>
  <c r="U2258" i="3"/>
  <c r="U2259" i="3"/>
  <c r="U2260" i="3"/>
  <c r="U2261" i="3"/>
  <c r="U2262" i="3"/>
  <c r="U2263" i="3"/>
  <c r="U2264" i="3"/>
  <c r="U2265" i="3"/>
  <c r="U2266" i="3"/>
  <c r="U2267" i="3"/>
  <c r="U2268" i="3"/>
  <c r="U2269" i="3"/>
  <c r="U2270" i="3"/>
  <c r="U2271" i="3"/>
  <c r="U2272" i="3"/>
  <c r="U2273" i="3"/>
  <c r="U2274" i="3"/>
  <c r="U2275" i="3"/>
  <c r="U2276" i="3"/>
  <c r="U2277" i="3"/>
  <c r="U2278" i="3"/>
  <c r="U2279" i="3"/>
  <c r="U2280" i="3"/>
  <c r="U2281" i="3"/>
  <c r="U2282" i="3"/>
  <c r="U2283" i="3"/>
  <c r="U2284" i="3"/>
  <c r="U2285" i="3"/>
  <c r="U2286" i="3"/>
  <c r="U2287" i="3"/>
  <c r="U2288" i="3"/>
  <c r="U2289" i="3"/>
  <c r="U2290" i="3"/>
  <c r="U2291" i="3"/>
  <c r="U2292" i="3"/>
  <c r="U2293" i="3"/>
  <c r="U2294" i="3"/>
  <c r="U2295" i="3"/>
  <c r="U2296" i="3"/>
  <c r="U2297" i="3"/>
  <c r="U2298" i="3"/>
  <c r="U2299" i="3"/>
  <c r="U2300" i="3"/>
  <c r="U2301" i="3"/>
  <c r="U2302" i="3"/>
  <c r="U2303" i="3"/>
  <c r="U2304" i="3"/>
  <c r="U2305" i="3"/>
  <c r="U2306" i="3"/>
  <c r="U2307" i="3"/>
  <c r="U2308" i="3"/>
  <c r="U2309" i="3"/>
  <c r="U2310" i="3"/>
  <c r="U2311" i="3"/>
  <c r="U2312" i="3"/>
  <c r="U2313" i="3"/>
  <c r="U2314" i="3"/>
  <c r="U2315" i="3"/>
  <c r="U2316" i="3"/>
  <c r="U2317" i="3"/>
  <c r="U2318" i="3"/>
  <c r="U2319" i="3"/>
  <c r="U2320" i="3"/>
  <c r="U2321" i="3"/>
  <c r="U2322" i="3"/>
  <c r="U2323" i="3"/>
  <c r="U2324" i="3"/>
  <c r="U2325" i="3"/>
  <c r="U2326" i="3"/>
  <c r="U2327" i="3"/>
  <c r="U2328" i="3"/>
  <c r="U2329" i="3"/>
  <c r="U2330" i="3"/>
  <c r="U2331" i="3"/>
  <c r="U2332" i="3"/>
  <c r="U2333" i="3"/>
  <c r="U2334" i="3"/>
  <c r="U2335" i="3"/>
  <c r="U2336" i="3"/>
  <c r="U2337" i="3"/>
  <c r="U2338" i="3"/>
  <c r="U2339" i="3"/>
  <c r="U2340" i="3"/>
  <c r="U2341" i="3"/>
  <c r="U2342" i="3"/>
  <c r="U2343" i="3"/>
  <c r="U2344" i="3"/>
  <c r="U2345" i="3"/>
  <c r="U2346" i="3"/>
  <c r="U2347" i="3"/>
  <c r="U2348" i="3"/>
  <c r="U2349" i="3"/>
  <c r="U2350" i="3"/>
  <c r="U2351" i="3"/>
  <c r="U2352" i="3"/>
  <c r="U2353" i="3"/>
  <c r="U2354" i="3"/>
  <c r="U2355" i="3"/>
  <c r="U2356" i="3"/>
  <c r="U2357" i="3"/>
  <c r="U2358" i="3"/>
  <c r="U2359" i="3"/>
  <c r="U2360" i="3"/>
  <c r="U2361" i="3"/>
  <c r="U2362" i="3"/>
  <c r="U2363" i="3"/>
  <c r="U2364" i="3"/>
  <c r="U2365" i="3"/>
  <c r="U2366" i="3"/>
  <c r="U2367" i="3"/>
  <c r="U2368" i="3"/>
  <c r="U2369" i="3"/>
  <c r="U2370" i="3"/>
  <c r="U2371" i="3"/>
  <c r="U2372" i="3"/>
  <c r="U2373" i="3"/>
  <c r="U2374" i="3"/>
  <c r="U2375" i="3"/>
  <c r="U2376" i="3"/>
  <c r="U2377" i="3"/>
  <c r="U2378" i="3"/>
  <c r="U2379" i="3"/>
  <c r="U2380" i="3"/>
  <c r="U2381" i="3"/>
  <c r="U2382" i="3"/>
  <c r="U2383" i="3"/>
  <c r="U2384" i="3"/>
  <c r="U2385" i="3"/>
  <c r="U2386" i="3"/>
  <c r="U2387" i="3"/>
  <c r="U2388" i="3"/>
  <c r="U2389" i="3"/>
  <c r="U2390" i="3"/>
  <c r="U2391" i="3"/>
  <c r="U2392" i="3"/>
  <c r="U2393" i="3"/>
  <c r="U2394" i="3"/>
  <c r="U2395" i="3"/>
  <c r="U2396" i="3"/>
  <c r="U2397" i="3"/>
  <c r="U2398" i="3"/>
  <c r="U2399" i="3"/>
  <c r="U2400" i="3"/>
  <c r="U2401" i="3"/>
  <c r="U2402" i="3"/>
  <c r="U2403" i="3"/>
  <c r="U2404" i="3"/>
  <c r="U2405" i="3"/>
  <c r="U2406" i="3"/>
  <c r="U2407" i="3"/>
  <c r="U2408" i="3"/>
  <c r="U2409" i="3"/>
  <c r="U2410" i="3"/>
  <c r="U2411" i="3"/>
  <c r="U2412" i="3"/>
  <c r="U2413" i="3"/>
  <c r="U2414" i="3"/>
  <c r="U2415" i="3"/>
  <c r="U2416" i="3"/>
  <c r="U2417" i="3"/>
  <c r="U2418" i="3"/>
  <c r="U2419" i="3"/>
  <c r="U2420" i="3"/>
  <c r="U2421" i="3"/>
  <c r="U2422" i="3"/>
  <c r="U2423" i="3"/>
  <c r="U2424" i="3"/>
  <c r="U2425" i="3"/>
  <c r="U2426" i="3"/>
  <c r="U2427" i="3"/>
  <c r="U2428" i="3"/>
  <c r="U2429" i="3"/>
  <c r="U2430" i="3"/>
  <c r="U2431" i="3"/>
  <c r="U2432" i="3"/>
  <c r="U2433" i="3"/>
  <c r="U2434" i="3"/>
  <c r="U2435" i="3"/>
  <c r="U2436" i="3"/>
  <c r="U2437" i="3"/>
  <c r="U2438" i="3"/>
  <c r="U2439" i="3"/>
  <c r="U2440" i="3"/>
  <c r="U2441" i="3"/>
  <c r="U2442" i="3"/>
  <c r="U2443" i="3"/>
  <c r="U2444" i="3"/>
  <c r="U2445" i="3"/>
  <c r="U2446" i="3"/>
  <c r="U2447" i="3"/>
  <c r="U2448" i="3"/>
  <c r="U2449" i="3"/>
  <c r="U2450" i="3"/>
  <c r="U2451" i="3"/>
  <c r="U2452" i="3"/>
  <c r="U2453" i="3"/>
  <c r="U2454" i="3"/>
  <c r="U2455" i="3"/>
  <c r="U2456" i="3"/>
  <c r="U2457" i="3"/>
  <c r="U2458" i="3"/>
  <c r="U2459" i="3"/>
  <c r="U2460" i="3"/>
  <c r="U2461" i="3"/>
  <c r="U2462" i="3"/>
  <c r="U2463" i="3"/>
  <c r="U2464" i="3"/>
  <c r="U2465" i="3"/>
  <c r="U2466" i="3"/>
  <c r="U2467" i="3"/>
  <c r="U2468" i="3"/>
  <c r="U2469" i="3"/>
  <c r="U2470" i="3"/>
  <c r="U2471" i="3"/>
  <c r="U2472" i="3"/>
  <c r="U2473" i="3"/>
  <c r="U2474" i="3"/>
  <c r="U2475" i="3"/>
  <c r="U2476" i="3"/>
  <c r="U2477" i="3"/>
  <c r="U2478" i="3"/>
  <c r="U2479" i="3"/>
  <c r="U2480" i="3"/>
  <c r="U2481" i="3"/>
  <c r="U2482" i="3"/>
  <c r="U2483" i="3"/>
  <c r="U2484" i="3"/>
  <c r="U2485" i="3"/>
  <c r="U2486" i="3"/>
  <c r="U2487" i="3"/>
  <c r="U2488" i="3"/>
  <c r="U2489" i="3"/>
  <c r="U2490" i="3"/>
  <c r="U2491" i="3"/>
  <c r="U2492" i="3"/>
  <c r="U2493" i="3"/>
  <c r="U2494" i="3"/>
  <c r="U2495" i="3"/>
  <c r="U2496" i="3"/>
  <c r="U2497" i="3"/>
  <c r="U2498" i="3"/>
  <c r="U2499" i="3"/>
  <c r="U2500" i="3"/>
  <c r="U2501" i="3"/>
  <c r="U2502" i="3"/>
  <c r="U2503" i="3"/>
  <c r="U2504" i="3"/>
  <c r="U2505" i="3"/>
  <c r="U2506" i="3"/>
  <c r="U2507" i="3"/>
  <c r="U2508" i="3"/>
  <c r="U2509" i="3"/>
  <c r="U2510" i="3"/>
  <c r="U2511" i="3"/>
  <c r="U2512" i="3"/>
  <c r="U2513" i="3"/>
  <c r="U2514" i="3"/>
  <c r="U2515" i="3"/>
  <c r="U2516" i="3"/>
  <c r="U2517" i="3"/>
  <c r="U2518" i="3"/>
  <c r="U2519" i="3"/>
  <c r="U2520" i="3"/>
  <c r="U2521" i="3"/>
  <c r="U2522" i="3"/>
  <c r="U2523" i="3"/>
  <c r="U2524" i="3"/>
  <c r="U2525" i="3"/>
  <c r="U2526" i="3"/>
  <c r="U2527" i="3"/>
  <c r="U2528" i="3"/>
  <c r="U2529" i="3"/>
  <c r="U2530" i="3"/>
  <c r="U2531" i="3"/>
  <c r="U2532" i="3"/>
  <c r="U2533" i="3"/>
  <c r="U2534" i="3"/>
  <c r="U2535" i="3"/>
  <c r="U2536" i="3"/>
  <c r="U2537" i="3"/>
  <c r="U2538" i="3"/>
  <c r="U2539" i="3"/>
  <c r="U2540" i="3"/>
  <c r="U2541" i="3"/>
  <c r="U2542" i="3"/>
  <c r="U2543" i="3"/>
  <c r="U2544" i="3"/>
  <c r="U2545" i="3"/>
  <c r="U2546" i="3"/>
  <c r="U2547" i="3"/>
  <c r="U2548" i="3"/>
  <c r="U2549" i="3"/>
  <c r="U2550" i="3"/>
  <c r="U2551" i="3"/>
  <c r="U2552" i="3"/>
  <c r="U2553" i="3"/>
  <c r="U2554" i="3"/>
  <c r="U2555" i="3"/>
  <c r="U2556" i="3"/>
  <c r="U2557" i="3"/>
  <c r="U2558" i="3"/>
  <c r="U2559" i="3"/>
  <c r="U2560" i="3"/>
  <c r="U2561" i="3"/>
  <c r="U2562" i="3"/>
  <c r="U2563" i="3"/>
  <c r="U2564" i="3"/>
  <c r="U2565" i="3"/>
  <c r="U2566" i="3"/>
  <c r="U2567" i="3"/>
  <c r="U2568" i="3"/>
  <c r="U2569" i="3"/>
  <c r="U2570" i="3"/>
  <c r="U2571" i="3"/>
  <c r="U2572" i="3"/>
  <c r="U2573" i="3"/>
  <c r="U2574" i="3"/>
  <c r="U2575" i="3"/>
  <c r="U2576" i="3"/>
  <c r="U2577" i="3"/>
  <c r="U2578" i="3"/>
  <c r="U2579" i="3"/>
  <c r="U2580" i="3"/>
  <c r="U2581" i="3"/>
  <c r="U2582" i="3"/>
  <c r="U2583" i="3"/>
  <c r="U2584" i="3"/>
  <c r="U2585" i="3"/>
  <c r="U2586" i="3"/>
  <c r="U2587" i="3"/>
  <c r="U2588" i="3"/>
  <c r="U2589" i="3"/>
  <c r="U2590" i="3"/>
  <c r="U2591" i="3"/>
  <c r="U2592" i="3"/>
  <c r="U2593" i="3"/>
  <c r="U2594" i="3"/>
  <c r="U2595" i="3"/>
  <c r="U2596" i="3"/>
  <c r="U2597" i="3"/>
  <c r="U2598" i="3"/>
  <c r="U2599" i="3"/>
  <c r="U2600" i="3"/>
  <c r="U2601" i="3"/>
  <c r="U2602" i="3"/>
  <c r="U2603" i="3"/>
  <c r="U2604" i="3"/>
  <c r="U2605" i="3"/>
  <c r="U2606" i="3"/>
  <c r="U2607" i="3"/>
  <c r="U2608" i="3"/>
  <c r="U2609" i="3"/>
  <c r="U2610" i="3"/>
  <c r="U2611" i="3"/>
  <c r="U2612" i="3"/>
  <c r="U2613" i="3"/>
  <c r="U2614" i="3"/>
  <c r="U2615" i="3"/>
  <c r="U2616" i="3"/>
  <c r="U2617" i="3"/>
  <c r="U2618" i="3"/>
  <c r="U2619" i="3"/>
  <c r="U2620" i="3"/>
  <c r="U2621" i="3"/>
  <c r="U2622" i="3"/>
  <c r="U2623" i="3"/>
  <c r="U2624" i="3"/>
  <c r="U2625" i="3"/>
  <c r="U2626" i="3"/>
  <c r="U2627" i="3"/>
  <c r="U2628" i="3"/>
  <c r="U2629" i="3"/>
  <c r="U2630" i="3"/>
  <c r="U2631" i="3"/>
  <c r="U2632" i="3"/>
  <c r="U2633" i="3"/>
  <c r="U2634" i="3"/>
  <c r="U2635" i="3"/>
  <c r="U2636" i="3"/>
  <c r="U2637" i="3"/>
  <c r="U2638" i="3"/>
  <c r="U2639" i="3"/>
  <c r="U2640" i="3"/>
  <c r="U2641" i="3"/>
  <c r="U2642" i="3"/>
  <c r="U2643" i="3"/>
  <c r="U2644" i="3"/>
  <c r="U2645" i="3"/>
  <c r="U2646" i="3"/>
  <c r="U2647" i="3"/>
  <c r="U2648" i="3"/>
  <c r="U2649" i="3"/>
  <c r="U2650" i="3"/>
  <c r="U2651" i="3"/>
  <c r="U2652" i="3"/>
  <c r="U2653" i="3"/>
  <c r="U2654" i="3"/>
  <c r="U2655" i="3"/>
  <c r="U2656" i="3"/>
  <c r="U2657" i="3"/>
  <c r="U2658" i="3"/>
  <c r="U2659" i="3"/>
  <c r="U2660" i="3"/>
  <c r="U2661" i="3"/>
  <c r="U2662" i="3"/>
  <c r="U2663" i="3"/>
  <c r="U2664" i="3"/>
  <c r="U2665" i="3"/>
  <c r="U2666" i="3"/>
  <c r="U2667" i="3"/>
  <c r="U2668" i="3"/>
  <c r="U2669" i="3"/>
  <c r="U2670" i="3"/>
  <c r="U2671" i="3"/>
  <c r="U2672" i="3"/>
  <c r="U2673" i="3"/>
  <c r="U2674" i="3"/>
  <c r="U2675" i="3"/>
  <c r="U2676" i="3"/>
  <c r="U2677" i="3"/>
  <c r="U2678" i="3"/>
  <c r="U2679" i="3"/>
  <c r="U2680" i="3"/>
  <c r="U2681" i="3"/>
  <c r="U2682" i="3"/>
  <c r="U2683" i="3"/>
  <c r="U2684" i="3"/>
  <c r="U2685" i="3"/>
  <c r="U2686" i="3"/>
  <c r="U2687" i="3"/>
  <c r="U2688" i="3"/>
  <c r="U2689" i="3"/>
  <c r="U2690" i="3"/>
  <c r="U2691" i="3"/>
  <c r="U2692" i="3"/>
  <c r="U2693" i="3"/>
  <c r="U2694" i="3"/>
  <c r="U2695" i="3"/>
  <c r="U2696" i="3"/>
  <c r="U2697" i="3"/>
  <c r="U2698" i="3"/>
  <c r="U2699" i="3"/>
  <c r="U2700" i="3"/>
  <c r="U2701" i="3"/>
  <c r="U2702" i="3"/>
  <c r="U2703" i="3"/>
  <c r="U2704" i="3"/>
  <c r="U2705" i="3"/>
  <c r="U2706" i="3"/>
  <c r="U2707" i="3"/>
  <c r="U2708" i="3"/>
  <c r="U2709" i="3"/>
  <c r="U2710" i="3"/>
  <c r="U2711" i="3"/>
  <c r="U2712" i="3"/>
  <c r="U2713" i="3"/>
  <c r="U2714" i="3"/>
  <c r="U2715" i="3"/>
  <c r="U2716" i="3"/>
  <c r="U2717" i="3"/>
  <c r="U2718" i="3"/>
  <c r="U2719" i="3"/>
  <c r="U2720" i="3"/>
  <c r="U2721" i="3"/>
  <c r="U2722" i="3"/>
  <c r="U2723" i="3"/>
  <c r="U2724" i="3"/>
  <c r="U2725" i="3"/>
  <c r="U2726" i="3"/>
  <c r="U2727" i="3"/>
  <c r="U2728" i="3"/>
  <c r="U2729" i="3"/>
  <c r="U2730" i="3"/>
  <c r="U2731" i="3"/>
  <c r="U2732" i="3"/>
  <c r="U2733" i="3"/>
  <c r="U2734" i="3"/>
  <c r="U2735" i="3"/>
  <c r="U2736" i="3"/>
  <c r="U2737" i="3"/>
  <c r="U2738" i="3"/>
  <c r="U2739" i="3"/>
  <c r="U2740" i="3"/>
  <c r="U2741" i="3"/>
  <c r="U2742" i="3"/>
  <c r="U2743" i="3"/>
  <c r="U2744" i="3"/>
  <c r="U2745" i="3"/>
  <c r="U2746" i="3"/>
  <c r="U2747" i="3"/>
  <c r="U2748" i="3"/>
  <c r="U2749" i="3"/>
  <c r="U2750" i="3"/>
  <c r="U2751" i="3"/>
  <c r="U2752" i="3"/>
  <c r="U2753" i="3"/>
  <c r="U2754" i="3"/>
  <c r="U2755" i="3"/>
  <c r="U2756" i="3"/>
  <c r="U2757" i="3"/>
  <c r="U2758" i="3"/>
  <c r="U2759" i="3"/>
  <c r="U2760" i="3"/>
  <c r="U2761" i="3"/>
  <c r="U2762" i="3"/>
  <c r="U2763" i="3"/>
  <c r="U2764" i="3"/>
  <c r="U2765" i="3"/>
  <c r="U2766" i="3"/>
  <c r="U2767" i="3"/>
  <c r="U2768" i="3"/>
  <c r="U2769" i="3"/>
  <c r="U2770" i="3"/>
  <c r="U2771" i="3"/>
  <c r="U2772" i="3"/>
  <c r="U2773" i="3"/>
  <c r="U2774" i="3"/>
  <c r="U2775" i="3"/>
  <c r="U2776" i="3"/>
  <c r="U2777" i="3"/>
  <c r="U2778" i="3"/>
  <c r="U2779" i="3"/>
  <c r="U2780" i="3"/>
  <c r="U2781" i="3"/>
  <c r="U2782" i="3"/>
  <c r="U2783" i="3"/>
  <c r="U2784" i="3"/>
  <c r="U2785" i="3"/>
  <c r="U2786" i="3"/>
  <c r="U2787" i="3"/>
  <c r="U2788" i="3"/>
  <c r="U2789" i="3"/>
  <c r="U2790" i="3"/>
  <c r="U2791" i="3"/>
  <c r="U2792" i="3"/>
  <c r="U2793" i="3"/>
  <c r="U2794" i="3"/>
  <c r="U2795" i="3"/>
  <c r="U2796" i="3"/>
  <c r="U2797" i="3"/>
  <c r="U2798" i="3"/>
  <c r="U2799" i="3"/>
  <c r="U2800" i="3"/>
  <c r="U2801" i="3"/>
  <c r="U2802" i="3"/>
  <c r="U2803" i="3"/>
  <c r="U2804" i="3"/>
  <c r="U2805" i="3"/>
  <c r="U2806" i="3"/>
  <c r="U2807" i="3"/>
  <c r="U2808" i="3"/>
  <c r="U2809" i="3"/>
  <c r="U2810" i="3"/>
  <c r="U2811" i="3"/>
  <c r="U2812" i="3"/>
  <c r="U2813" i="3"/>
  <c r="U2814" i="3"/>
  <c r="U2815" i="3"/>
  <c r="U2816" i="3"/>
  <c r="U2817" i="3"/>
  <c r="U2818" i="3"/>
  <c r="U2819" i="3"/>
  <c r="U2820" i="3"/>
  <c r="U2821" i="3"/>
  <c r="U2822" i="3"/>
  <c r="U2823" i="3"/>
  <c r="U2824" i="3"/>
  <c r="U2825" i="3"/>
  <c r="U2826" i="3"/>
  <c r="U2827" i="3"/>
  <c r="U2828" i="3"/>
  <c r="U2829" i="3"/>
  <c r="U2830" i="3"/>
  <c r="U2831" i="3"/>
  <c r="U2832" i="3"/>
  <c r="U2833" i="3"/>
  <c r="U2834" i="3"/>
  <c r="U2835" i="3"/>
  <c r="U2836" i="3"/>
  <c r="U2837" i="3"/>
  <c r="U2838" i="3"/>
  <c r="U2839" i="3"/>
  <c r="U2840" i="3"/>
  <c r="U2841" i="3"/>
  <c r="U2842" i="3"/>
  <c r="U2843" i="3"/>
  <c r="U2844" i="3"/>
  <c r="U2845" i="3"/>
  <c r="U2846" i="3"/>
  <c r="U2847" i="3"/>
  <c r="U2848" i="3"/>
  <c r="U2849" i="3"/>
  <c r="U2850" i="3"/>
  <c r="U2851" i="3"/>
  <c r="U2852" i="3"/>
  <c r="U2853" i="3"/>
  <c r="U2854" i="3"/>
  <c r="U2855" i="3"/>
  <c r="U2856" i="3"/>
  <c r="U2857" i="3"/>
  <c r="U2858" i="3"/>
  <c r="U2859" i="3"/>
  <c r="U2860" i="3"/>
  <c r="U2861" i="3"/>
  <c r="U2862" i="3"/>
  <c r="U2863" i="3"/>
  <c r="U2864" i="3"/>
  <c r="U2865" i="3"/>
  <c r="U2866" i="3"/>
  <c r="U2867" i="3"/>
  <c r="U2868" i="3"/>
  <c r="U2869" i="3"/>
  <c r="U2870" i="3"/>
  <c r="U2871" i="3"/>
  <c r="U2872" i="3"/>
  <c r="U2873" i="3"/>
  <c r="U2874" i="3"/>
  <c r="U2875" i="3"/>
  <c r="U2876" i="3"/>
  <c r="U2877" i="3"/>
  <c r="U2878" i="3"/>
  <c r="U2879" i="3"/>
  <c r="U2880" i="3"/>
  <c r="U2881" i="3"/>
  <c r="U2882" i="3"/>
  <c r="U2883" i="3"/>
  <c r="U2884" i="3"/>
  <c r="U2885" i="3"/>
  <c r="U2886" i="3"/>
  <c r="U2887" i="3"/>
  <c r="U2888" i="3"/>
  <c r="U2889" i="3"/>
  <c r="U2890" i="3"/>
  <c r="U2891" i="3"/>
  <c r="U2892" i="3"/>
  <c r="U2893" i="3"/>
  <c r="U2894" i="3"/>
  <c r="U2895" i="3"/>
  <c r="U2896" i="3"/>
  <c r="U2897" i="3"/>
  <c r="U2898" i="3"/>
  <c r="U2899" i="3"/>
  <c r="U2900" i="3"/>
  <c r="U2901" i="3"/>
  <c r="U2902" i="3"/>
  <c r="U2903" i="3"/>
  <c r="U2904" i="3"/>
  <c r="U2905" i="3"/>
  <c r="U2906" i="3"/>
  <c r="U2907" i="3"/>
  <c r="U2908" i="3"/>
  <c r="U2909" i="3"/>
  <c r="U2910" i="3"/>
  <c r="U2911" i="3"/>
  <c r="U2912" i="3"/>
  <c r="U2913" i="3"/>
  <c r="U2914" i="3"/>
  <c r="U2915" i="3"/>
  <c r="U2916" i="3"/>
  <c r="U2917" i="3"/>
  <c r="U2918" i="3"/>
  <c r="U2919" i="3"/>
  <c r="U2920" i="3"/>
  <c r="U2921" i="3"/>
  <c r="U2922" i="3"/>
  <c r="U2923" i="3"/>
  <c r="U2924" i="3"/>
  <c r="U2925" i="3"/>
  <c r="U2926" i="3"/>
  <c r="U2927" i="3"/>
  <c r="U2928" i="3"/>
  <c r="U2929" i="3"/>
  <c r="U2930" i="3"/>
  <c r="U2931" i="3"/>
  <c r="U2932" i="3"/>
  <c r="U2933" i="3"/>
  <c r="U2934" i="3"/>
  <c r="U2935" i="3"/>
  <c r="U2936" i="3"/>
  <c r="U2937" i="3"/>
  <c r="U2938" i="3"/>
  <c r="U2939" i="3"/>
  <c r="U2940" i="3"/>
  <c r="U2941" i="3"/>
  <c r="U2942" i="3"/>
  <c r="U2943" i="3"/>
  <c r="U2944" i="3"/>
  <c r="U2945" i="3"/>
  <c r="U2946" i="3"/>
  <c r="U2947" i="3"/>
  <c r="U2948" i="3"/>
  <c r="U2949" i="3"/>
  <c r="U2950" i="3"/>
  <c r="U2951" i="3"/>
  <c r="U2952" i="3"/>
  <c r="U2953" i="3"/>
  <c r="U2954" i="3"/>
  <c r="U2955" i="3"/>
  <c r="U2956" i="3"/>
  <c r="U2957" i="3"/>
  <c r="U2958" i="3"/>
  <c r="U2959" i="3"/>
  <c r="U2960" i="3"/>
  <c r="U2961" i="3"/>
  <c r="U2962" i="3"/>
  <c r="U2963" i="3"/>
  <c r="U2964" i="3"/>
  <c r="U2965" i="3"/>
  <c r="U2966" i="3"/>
  <c r="U2967" i="3"/>
  <c r="U2968" i="3"/>
  <c r="U2969" i="3"/>
  <c r="U2970" i="3"/>
  <c r="U2971" i="3"/>
  <c r="U2972" i="3"/>
  <c r="U2973" i="3"/>
  <c r="U2974" i="3"/>
  <c r="U2975" i="3"/>
  <c r="U2976" i="3"/>
  <c r="U2977" i="3"/>
  <c r="U2978" i="3"/>
  <c r="U2979" i="3"/>
  <c r="U2980" i="3"/>
  <c r="U2981" i="3"/>
  <c r="U2982" i="3"/>
  <c r="U2983" i="3"/>
  <c r="U2984" i="3"/>
  <c r="U2985" i="3"/>
  <c r="U2986" i="3"/>
  <c r="U2987" i="3"/>
  <c r="U2988" i="3"/>
  <c r="U2989" i="3"/>
  <c r="U2990" i="3"/>
  <c r="U2991" i="3"/>
  <c r="U2992" i="3"/>
  <c r="U2993" i="3"/>
  <c r="U2994" i="3"/>
  <c r="U2995" i="3"/>
  <c r="U2996" i="3"/>
  <c r="U2997" i="3"/>
  <c r="U2998" i="3"/>
  <c r="U2999" i="3"/>
  <c r="U3000" i="3"/>
  <c r="U3001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0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5" i="3"/>
  <c r="T706" i="3"/>
  <c r="T707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1" i="3"/>
  <c r="T722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7" i="3"/>
  <c r="T738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69" i="3"/>
  <c r="T770" i="3"/>
  <c r="T771" i="3"/>
  <c r="T772" i="3"/>
  <c r="T773" i="3"/>
  <c r="T774" i="3"/>
  <c r="T775" i="3"/>
  <c r="T776" i="3"/>
  <c r="T777" i="3"/>
  <c r="T778" i="3"/>
  <c r="T779" i="3"/>
  <c r="T780" i="3"/>
  <c r="T781" i="3"/>
  <c r="T782" i="3"/>
  <c r="T783" i="3"/>
  <c r="T784" i="3"/>
  <c r="T785" i="3"/>
  <c r="T786" i="3"/>
  <c r="T787" i="3"/>
  <c r="T788" i="3"/>
  <c r="T789" i="3"/>
  <c r="T790" i="3"/>
  <c r="T791" i="3"/>
  <c r="T792" i="3"/>
  <c r="T793" i="3"/>
  <c r="T794" i="3"/>
  <c r="T795" i="3"/>
  <c r="T796" i="3"/>
  <c r="T797" i="3"/>
  <c r="T798" i="3"/>
  <c r="T799" i="3"/>
  <c r="T800" i="3"/>
  <c r="T801" i="3"/>
  <c r="T802" i="3"/>
  <c r="T803" i="3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17" i="3"/>
  <c r="T818" i="3"/>
  <c r="T819" i="3"/>
  <c r="T820" i="3"/>
  <c r="T821" i="3"/>
  <c r="T822" i="3"/>
  <c r="T823" i="3"/>
  <c r="T824" i="3"/>
  <c r="T825" i="3"/>
  <c r="T826" i="3"/>
  <c r="T827" i="3"/>
  <c r="T828" i="3"/>
  <c r="T829" i="3"/>
  <c r="T830" i="3"/>
  <c r="T831" i="3"/>
  <c r="T832" i="3"/>
  <c r="T833" i="3"/>
  <c r="T834" i="3"/>
  <c r="T835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49" i="3"/>
  <c r="T850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883" i="3"/>
  <c r="T884" i="3"/>
  <c r="T885" i="3"/>
  <c r="T886" i="3"/>
  <c r="T887" i="3"/>
  <c r="T888" i="3"/>
  <c r="T889" i="3"/>
  <c r="T890" i="3"/>
  <c r="T891" i="3"/>
  <c r="T892" i="3"/>
  <c r="T893" i="3"/>
  <c r="T894" i="3"/>
  <c r="T895" i="3"/>
  <c r="T896" i="3"/>
  <c r="T897" i="3"/>
  <c r="T898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29" i="3"/>
  <c r="T930" i="3"/>
  <c r="T931" i="3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945" i="3"/>
  <c r="T946" i="3"/>
  <c r="T947" i="3"/>
  <c r="T948" i="3"/>
  <c r="T949" i="3"/>
  <c r="T950" i="3"/>
  <c r="T951" i="3"/>
  <c r="T952" i="3"/>
  <c r="T953" i="3"/>
  <c r="T954" i="3"/>
  <c r="T955" i="3"/>
  <c r="T956" i="3"/>
  <c r="T957" i="3"/>
  <c r="T958" i="3"/>
  <c r="T959" i="3"/>
  <c r="T960" i="3"/>
  <c r="T961" i="3"/>
  <c r="T962" i="3"/>
  <c r="T963" i="3"/>
  <c r="T964" i="3"/>
  <c r="T965" i="3"/>
  <c r="T966" i="3"/>
  <c r="T967" i="3"/>
  <c r="T968" i="3"/>
  <c r="T969" i="3"/>
  <c r="T970" i="3"/>
  <c r="T971" i="3"/>
  <c r="T972" i="3"/>
  <c r="T973" i="3"/>
  <c r="T974" i="3"/>
  <c r="T975" i="3"/>
  <c r="T976" i="3"/>
  <c r="T977" i="3"/>
  <c r="T978" i="3"/>
  <c r="T979" i="3"/>
  <c r="T980" i="3"/>
  <c r="T981" i="3"/>
  <c r="T982" i="3"/>
  <c r="T983" i="3"/>
  <c r="T984" i="3"/>
  <c r="T985" i="3"/>
  <c r="T986" i="3"/>
  <c r="T987" i="3"/>
  <c r="T988" i="3"/>
  <c r="T989" i="3"/>
  <c r="T990" i="3"/>
  <c r="T991" i="3"/>
  <c r="T992" i="3"/>
  <c r="T993" i="3"/>
  <c r="T994" i="3"/>
  <c r="T995" i="3"/>
  <c r="T996" i="3"/>
  <c r="T997" i="3"/>
  <c r="T998" i="3"/>
  <c r="T999" i="3"/>
  <c r="T1000" i="3"/>
  <c r="T1001" i="3"/>
  <c r="T1002" i="3"/>
  <c r="T1003" i="3"/>
  <c r="T1004" i="3"/>
  <c r="T1005" i="3"/>
  <c r="T1006" i="3"/>
  <c r="T1007" i="3"/>
  <c r="T1008" i="3"/>
  <c r="T1009" i="3"/>
  <c r="T1010" i="3"/>
  <c r="T1011" i="3"/>
  <c r="T1012" i="3"/>
  <c r="T1013" i="3"/>
  <c r="T1014" i="3"/>
  <c r="T1015" i="3"/>
  <c r="T1016" i="3"/>
  <c r="T1017" i="3"/>
  <c r="T1018" i="3"/>
  <c r="T1019" i="3"/>
  <c r="T1020" i="3"/>
  <c r="T1021" i="3"/>
  <c r="T1022" i="3"/>
  <c r="T1023" i="3"/>
  <c r="T1024" i="3"/>
  <c r="T1025" i="3"/>
  <c r="T1026" i="3"/>
  <c r="T1027" i="3"/>
  <c r="T1028" i="3"/>
  <c r="T1029" i="3"/>
  <c r="T1030" i="3"/>
  <c r="T1031" i="3"/>
  <c r="T1032" i="3"/>
  <c r="T1033" i="3"/>
  <c r="T1034" i="3"/>
  <c r="T1035" i="3"/>
  <c r="T1036" i="3"/>
  <c r="T1037" i="3"/>
  <c r="T1038" i="3"/>
  <c r="T1039" i="3"/>
  <c r="T1040" i="3"/>
  <c r="T1041" i="3"/>
  <c r="T1042" i="3"/>
  <c r="T1043" i="3"/>
  <c r="T1044" i="3"/>
  <c r="T1045" i="3"/>
  <c r="T1046" i="3"/>
  <c r="T1047" i="3"/>
  <c r="T1048" i="3"/>
  <c r="T1049" i="3"/>
  <c r="T1050" i="3"/>
  <c r="T1051" i="3"/>
  <c r="T1052" i="3"/>
  <c r="T1053" i="3"/>
  <c r="T1054" i="3"/>
  <c r="T1055" i="3"/>
  <c r="T1056" i="3"/>
  <c r="T1057" i="3"/>
  <c r="T1058" i="3"/>
  <c r="T1059" i="3"/>
  <c r="T1060" i="3"/>
  <c r="T1061" i="3"/>
  <c r="T1062" i="3"/>
  <c r="T1063" i="3"/>
  <c r="T1064" i="3"/>
  <c r="T1065" i="3"/>
  <c r="T1066" i="3"/>
  <c r="T1067" i="3"/>
  <c r="T1068" i="3"/>
  <c r="T1069" i="3"/>
  <c r="T1070" i="3"/>
  <c r="T1071" i="3"/>
  <c r="T1072" i="3"/>
  <c r="T1073" i="3"/>
  <c r="T1074" i="3"/>
  <c r="T1075" i="3"/>
  <c r="T1076" i="3"/>
  <c r="T1077" i="3"/>
  <c r="T1078" i="3"/>
  <c r="T1079" i="3"/>
  <c r="T1080" i="3"/>
  <c r="T1081" i="3"/>
  <c r="T1082" i="3"/>
  <c r="T1083" i="3"/>
  <c r="T1084" i="3"/>
  <c r="T1085" i="3"/>
  <c r="T1086" i="3"/>
  <c r="T1087" i="3"/>
  <c r="T1088" i="3"/>
  <c r="T1089" i="3"/>
  <c r="T1090" i="3"/>
  <c r="T1091" i="3"/>
  <c r="T1092" i="3"/>
  <c r="T1093" i="3"/>
  <c r="T1094" i="3"/>
  <c r="T1095" i="3"/>
  <c r="T1096" i="3"/>
  <c r="T1097" i="3"/>
  <c r="T1098" i="3"/>
  <c r="T1099" i="3"/>
  <c r="T1100" i="3"/>
  <c r="T1101" i="3"/>
  <c r="T1102" i="3"/>
  <c r="T1103" i="3"/>
  <c r="T1104" i="3"/>
  <c r="T1105" i="3"/>
  <c r="T1106" i="3"/>
  <c r="T1107" i="3"/>
  <c r="T1108" i="3"/>
  <c r="T1109" i="3"/>
  <c r="T1110" i="3"/>
  <c r="T1111" i="3"/>
  <c r="T1112" i="3"/>
  <c r="T1113" i="3"/>
  <c r="T1114" i="3"/>
  <c r="T1115" i="3"/>
  <c r="T1116" i="3"/>
  <c r="T1117" i="3"/>
  <c r="T1118" i="3"/>
  <c r="T1119" i="3"/>
  <c r="T1120" i="3"/>
  <c r="T1121" i="3"/>
  <c r="T1122" i="3"/>
  <c r="T1123" i="3"/>
  <c r="T1124" i="3"/>
  <c r="T1125" i="3"/>
  <c r="T1126" i="3"/>
  <c r="T1127" i="3"/>
  <c r="T1128" i="3"/>
  <c r="T1129" i="3"/>
  <c r="T1130" i="3"/>
  <c r="T1131" i="3"/>
  <c r="T1132" i="3"/>
  <c r="T1133" i="3"/>
  <c r="T1134" i="3"/>
  <c r="T1135" i="3"/>
  <c r="T1136" i="3"/>
  <c r="T1137" i="3"/>
  <c r="T1138" i="3"/>
  <c r="T1139" i="3"/>
  <c r="T1140" i="3"/>
  <c r="T1141" i="3"/>
  <c r="T1142" i="3"/>
  <c r="T1143" i="3"/>
  <c r="T1144" i="3"/>
  <c r="T1145" i="3"/>
  <c r="T1146" i="3"/>
  <c r="T1147" i="3"/>
  <c r="T1148" i="3"/>
  <c r="T1149" i="3"/>
  <c r="T1150" i="3"/>
  <c r="T1151" i="3"/>
  <c r="T1152" i="3"/>
  <c r="T1153" i="3"/>
  <c r="T1154" i="3"/>
  <c r="T1155" i="3"/>
  <c r="T1156" i="3"/>
  <c r="T1157" i="3"/>
  <c r="T1158" i="3"/>
  <c r="T1159" i="3"/>
  <c r="T1160" i="3"/>
  <c r="T1161" i="3"/>
  <c r="T1162" i="3"/>
  <c r="T1163" i="3"/>
  <c r="T1164" i="3"/>
  <c r="T1165" i="3"/>
  <c r="T1166" i="3"/>
  <c r="T1167" i="3"/>
  <c r="T1168" i="3"/>
  <c r="T1169" i="3"/>
  <c r="T1170" i="3"/>
  <c r="T1171" i="3"/>
  <c r="T1172" i="3"/>
  <c r="T1173" i="3"/>
  <c r="T1174" i="3"/>
  <c r="T1175" i="3"/>
  <c r="T1176" i="3"/>
  <c r="T1177" i="3"/>
  <c r="T1178" i="3"/>
  <c r="T1179" i="3"/>
  <c r="T1180" i="3"/>
  <c r="T1181" i="3"/>
  <c r="T1182" i="3"/>
  <c r="T1183" i="3"/>
  <c r="T1184" i="3"/>
  <c r="T1185" i="3"/>
  <c r="T1186" i="3"/>
  <c r="T1187" i="3"/>
  <c r="T1188" i="3"/>
  <c r="T1189" i="3"/>
  <c r="T1190" i="3"/>
  <c r="T1191" i="3"/>
  <c r="T1192" i="3"/>
  <c r="T1193" i="3"/>
  <c r="T1194" i="3"/>
  <c r="T1195" i="3"/>
  <c r="T1196" i="3"/>
  <c r="T1197" i="3"/>
  <c r="T1198" i="3"/>
  <c r="T1199" i="3"/>
  <c r="T1200" i="3"/>
  <c r="T1201" i="3"/>
  <c r="T1202" i="3"/>
  <c r="T1203" i="3"/>
  <c r="T1204" i="3"/>
  <c r="T1205" i="3"/>
  <c r="T1206" i="3"/>
  <c r="T1207" i="3"/>
  <c r="T1208" i="3"/>
  <c r="T1209" i="3"/>
  <c r="T1210" i="3"/>
  <c r="T1211" i="3"/>
  <c r="T1212" i="3"/>
  <c r="T1213" i="3"/>
  <c r="T1214" i="3"/>
  <c r="T1215" i="3"/>
  <c r="T1216" i="3"/>
  <c r="T1217" i="3"/>
  <c r="T1218" i="3"/>
  <c r="T1219" i="3"/>
  <c r="T1220" i="3"/>
  <c r="T1221" i="3"/>
  <c r="T1222" i="3"/>
  <c r="T1223" i="3"/>
  <c r="T1224" i="3"/>
  <c r="T1225" i="3"/>
  <c r="T1226" i="3"/>
  <c r="T1227" i="3"/>
  <c r="T1228" i="3"/>
  <c r="T1229" i="3"/>
  <c r="T1230" i="3"/>
  <c r="T1231" i="3"/>
  <c r="T1232" i="3"/>
  <c r="T1233" i="3"/>
  <c r="T1234" i="3"/>
  <c r="T1235" i="3"/>
  <c r="T1236" i="3"/>
  <c r="T1237" i="3"/>
  <c r="T1238" i="3"/>
  <c r="T1239" i="3"/>
  <c r="T1240" i="3"/>
  <c r="T1241" i="3"/>
  <c r="T1242" i="3"/>
  <c r="T1243" i="3"/>
  <c r="T1244" i="3"/>
  <c r="T1245" i="3"/>
  <c r="T1246" i="3"/>
  <c r="T1247" i="3"/>
  <c r="T1248" i="3"/>
  <c r="T1249" i="3"/>
  <c r="T1250" i="3"/>
  <c r="T1251" i="3"/>
  <c r="T1252" i="3"/>
  <c r="T1253" i="3"/>
  <c r="T1254" i="3"/>
  <c r="T1255" i="3"/>
  <c r="T1256" i="3"/>
  <c r="T1257" i="3"/>
  <c r="T1258" i="3"/>
  <c r="T1259" i="3"/>
  <c r="T1260" i="3"/>
  <c r="T1261" i="3"/>
  <c r="T1262" i="3"/>
  <c r="T1263" i="3"/>
  <c r="T1264" i="3"/>
  <c r="T1265" i="3"/>
  <c r="T1266" i="3"/>
  <c r="T1267" i="3"/>
  <c r="T1268" i="3"/>
  <c r="T1269" i="3"/>
  <c r="T1270" i="3"/>
  <c r="T1271" i="3"/>
  <c r="T1272" i="3"/>
  <c r="T1273" i="3"/>
  <c r="T1274" i="3"/>
  <c r="T1275" i="3"/>
  <c r="T1276" i="3"/>
  <c r="T1277" i="3"/>
  <c r="T1278" i="3"/>
  <c r="T1279" i="3"/>
  <c r="T1280" i="3"/>
  <c r="T1281" i="3"/>
  <c r="T1282" i="3"/>
  <c r="T1283" i="3"/>
  <c r="T1284" i="3"/>
  <c r="T1285" i="3"/>
  <c r="T1286" i="3"/>
  <c r="T1287" i="3"/>
  <c r="T1288" i="3"/>
  <c r="T1289" i="3"/>
  <c r="T1290" i="3"/>
  <c r="T1291" i="3"/>
  <c r="T1292" i="3"/>
  <c r="T1293" i="3"/>
  <c r="T1294" i="3"/>
  <c r="T1295" i="3"/>
  <c r="T1296" i="3"/>
  <c r="T1297" i="3"/>
  <c r="T1298" i="3"/>
  <c r="T1299" i="3"/>
  <c r="T1300" i="3"/>
  <c r="T1301" i="3"/>
  <c r="T1302" i="3"/>
  <c r="T1303" i="3"/>
  <c r="T1304" i="3"/>
  <c r="T1305" i="3"/>
  <c r="T1306" i="3"/>
  <c r="T1307" i="3"/>
  <c r="T1308" i="3"/>
  <c r="T1309" i="3"/>
  <c r="T1310" i="3"/>
  <c r="T1311" i="3"/>
  <c r="T1312" i="3"/>
  <c r="T1313" i="3"/>
  <c r="T1314" i="3"/>
  <c r="T1315" i="3"/>
  <c r="T1316" i="3"/>
  <c r="T1317" i="3"/>
  <c r="T1318" i="3"/>
  <c r="T1319" i="3"/>
  <c r="T1320" i="3"/>
  <c r="T1321" i="3"/>
  <c r="T1322" i="3"/>
  <c r="T1323" i="3"/>
  <c r="T1324" i="3"/>
  <c r="T1325" i="3"/>
  <c r="T1326" i="3"/>
  <c r="T1327" i="3"/>
  <c r="T1328" i="3"/>
  <c r="T1329" i="3"/>
  <c r="T1330" i="3"/>
  <c r="T1331" i="3"/>
  <c r="T1332" i="3"/>
  <c r="T1333" i="3"/>
  <c r="T1334" i="3"/>
  <c r="T1335" i="3"/>
  <c r="T1336" i="3"/>
  <c r="T1337" i="3"/>
  <c r="T1338" i="3"/>
  <c r="T1339" i="3"/>
  <c r="T1340" i="3"/>
  <c r="T1341" i="3"/>
  <c r="T1342" i="3"/>
  <c r="T1343" i="3"/>
  <c r="T1344" i="3"/>
  <c r="T1345" i="3"/>
  <c r="T1346" i="3"/>
  <c r="T1347" i="3"/>
  <c r="T1348" i="3"/>
  <c r="T1349" i="3"/>
  <c r="T1350" i="3"/>
  <c r="T1351" i="3"/>
  <c r="T1352" i="3"/>
  <c r="T1353" i="3"/>
  <c r="T1354" i="3"/>
  <c r="T1355" i="3"/>
  <c r="T1356" i="3"/>
  <c r="T1357" i="3"/>
  <c r="T1358" i="3"/>
  <c r="T1359" i="3"/>
  <c r="T1360" i="3"/>
  <c r="T1361" i="3"/>
  <c r="T1362" i="3"/>
  <c r="T1363" i="3"/>
  <c r="T1364" i="3"/>
  <c r="T1365" i="3"/>
  <c r="T1366" i="3"/>
  <c r="T1367" i="3"/>
  <c r="T1368" i="3"/>
  <c r="T1369" i="3"/>
  <c r="T1370" i="3"/>
  <c r="T1371" i="3"/>
  <c r="T1372" i="3"/>
  <c r="T1373" i="3"/>
  <c r="T1374" i="3"/>
  <c r="T1375" i="3"/>
  <c r="T1376" i="3"/>
  <c r="T1377" i="3"/>
  <c r="T1378" i="3"/>
  <c r="T1379" i="3"/>
  <c r="T1380" i="3"/>
  <c r="T1381" i="3"/>
  <c r="T1382" i="3"/>
  <c r="T1383" i="3"/>
  <c r="T1384" i="3"/>
  <c r="T1385" i="3"/>
  <c r="T1386" i="3"/>
  <c r="T1387" i="3"/>
  <c r="T1388" i="3"/>
  <c r="T1389" i="3"/>
  <c r="T1390" i="3"/>
  <c r="T1391" i="3"/>
  <c r="T1392" i="3"/>
  <c r="T1393" i="3"/>
  <c r="T1394" i="3"/>
  <c r="T1395" i="3"/>
  <c r="T1396" i="3"/>
  <c r="T1397" i="3"/>
  <c r="T1398" i="3"/>
  <c r="T1399" i="3"/>
  <c r="T1400" i="3"/>
  <c r="T1401" i="3"/>
  <c r="T1402" i="3"/>
  <c r="T1403" i="3"/>
  <c r="T1404" i="3"/>
  <c r="T1405" i="3"/>
  <c r="T1406" i="3"/>
  <c r="T1407" i="3"/>
  <c r="T1408" i="3"/>
  <c r="T1409" i="3"/>
  <c r="T1410" i="3"/>
  <c r="T1411" i="3"/>
  <c r="T1412" i="3"/>
  <c r="T1413" i="3"/>
  <c r="T1414" i="3"/>
  <c r="T1415" i="3"/>
  <c r="T1416" i="3"/>
  <c r="T1417" i="3"/>
  <c r="T1418" i="3"/>
  <c r="T1419" i="3"/>
  <c r="T1420" i="3"/>
  <c r="T1421" i="3"/>
  <c r="T1422" i="3"/>
  <c r="T1423" i="3"/>
  <c r="T1424" i="3"/>
  <c r="T1425" i="3"/>
  <c r="T1426" i="3"/>
  <c r="T1427" i="3"/>
  <c r="T1428" i="3"/>
  <c r="T1429" i="3"/>
  <c r="T1430" i="3"/>
  <c r="T1431" i="3"/>
  <c r="T1432" i="3"/>
  <c r="T1433" i="3"/>
  <c r="T1434" i="3"/>
  <c r="T1435" i="3"/>
  <c r="T1436" i="3"/>
  <c r="T1437" i="3"/>
  <c r="T1438" i="3"/>
  <c r="T1439" i="3"/>
  <c r="T1440" i="3"/>
  <c r="T1441" i="3"/>
  <c r="T1442" i="3"/>
  <c r="T1443" i="3"/>
  <c r="T1444" i="3"/>
  <c r="T1445" i="3"/>
  <c r="T1446" i="3"/>
  <c r="T1447" i="3"/>
  <c r="T1448" i="3"/>
  <c r="T1449" i="3"/>
  <c r="T1450" i="3"/>
  <c r="T1451" i="3"/>
  <c r="T1452" i="3"/>
  <c r="T1453" i="3"/>
  <c r="T1454" i="3"/>
  <c r="T1455" i="3"/>
  <c r="T1456" i="3"/>
  <c r="T1457" i="3"/>
  <c r="T1458" i="3"/>
  <c r="T1459" i="3"/>
  <c r="T1460" i="3"/>
  <c r="T1461" i="3"/>
  <c r="T1462" i="3"/>
  <c r="T1463" i="3"/>
  <c r="T1464" i="3"/>
  <c r="T1465" i="3"/>
  <c r="T1466" i="3"/>
  <c r="T1467" i="3"/>
  <c r="T1468" i="3"/>
  <c r="T1469" i="3"/>
  <c r="T1470" i="3"/>
  <c r="T1471" i="3"/>
  <c r="T1472" i="3"/>
  <c r="T1473" i="3"/>
  <c r="T1474" i="3"/>
  <c r="T1475" i="3"/>
  <c r="T1476" i="3"/>
  <c r="T1477" i="3"/>
  <c r="T1478" i="3"/>
  <c r="T1479" i="3"/>
  <c r="T1480" i="3"/>
  <c r="T1481" i="3"/>
  <c r="T1482" i="3"/>
  <c r="T1483" i="3"/>
  <c r="T1484" i="3"/>
  <c r="T1485" i="3"/>
  <c r="T1486" i="3"/>
  <c r="T1487" i="3"/>
  <c r="T1488" i="3"/>
  <c r="T1489" i="3"/>
  <c r="T1490" i="3"/>
  <c r="T1491" i="3"/>
  <c r="T1492" i="3"/>
  <c r="T1493" i="3"/>
  <c r="T1494" i="3"/>
  <c r="T1495" i="3"/>
  <c r="T1496" i="3"/>
  <c r="T1497" i="3"/>
  <c r="T1498" i="3"/>
  <c r="T1499" i="3"/>
  <c r="T1500" i="3"/>
  <c r="T1501" i="3"/>
  <c r="T1502" i="3"/>
  <c r="T1503" i="3"/>
  <c r="T1504" i="3"/>
  <c r="T1505" i="3"/>
  <c r="T1506" i="3"/>
  <c r="T1507" i="3"/>
  <c r="T1508" i="3"/>
  <c r="T1509" i="3"/>
  <c r="T1510" i="3"/>
  <c r="T1511" i="3"/>
  <c r="T1512" i="3"/>
  <c r="T1513" i="3"/>
  <c r="T1514" i="3"/>
  <c r="T1515" i="3"/>
  <c r="T1516" i="3"/>
  <c r="T1517" i="3"/>
  <c r="T1518" i="3"/>
  <c r="T1519" i="3"/>
  <c r="T1520" i="3"/>
  <c r="T1521" i="3"/>
  <c r="T1522" i="3"/>
  <c r="T1523" i="3"/>
  <c r="T1524" i="3"/>
  <c r="T1525" i="3"/>
  <c r="T1526" i="3"/>
  <c r="T1527" i="3"/>
  <c r="T1528" i="3"/>
  <c r="T1529" i="3"/>
  <c r="T1530" i="3"/>
  <c r="T1531" i="3"/>
  <c r="T1532" i="3"/>
  <c r="T1533" i="3"/>
  <c r="T1534" i="3"/>
  <c r="T1535" i="3"/>
  <c r="T1536" i="3"/>
  <c r="T1537" i="3"/>
  <c r="T1538" i="3"/>
  <c r="T1539" i="3"/>
  <c r="T1540" i="3"/>
  <c r="T1541" i="3"/>
  <c r="T1542" i="3"/>
  <c r="T1543" i="3"/>
  <c r="T1544" i="3"/>
  <c r="T1545" i="3"/>
  <c r="T1546" i="3"/>
  <c r="T1547" i="3"/>
  <c r="T1548" i="3"/>
  <c r="T1549" i="3"/>
  <c r="T1550" i="3"/>
  <c r="T1551" i="3"/>
  <c r="T1552" i="3"/>
  <c r="T1553" i="3"/>
  <c r="T1554" i="3"/>
  <c r="T1555" i="3"/>
  <c r="T1556" i="3"/>
  <c r="T1557" i="3"/>
  <c r="T1558" i="3"/>
  <c r="T1559" i="3"/>
  <c r="T1560" i="3"/>
  <c r="T1561" i="3"/>
  <c r="T1562" i="3"/>
  <c r="T1563" i="3"/>
  <c r="T1564" i="3"/>
  <c r="T1565" i="3"/>
  <c r="T1566" i="3"/>
  <c r="T1567" i="3"/>
  <c r="T1568" i="3"/>
  <c r="T1569" i="3"/>
  <c r="T1570" i="3"/>
  <c r="T1571" i="3"/>
  <c r="T1572" i="3"/>
  <c r="T1573" i="3"/>
  <c r="T1574" i="3"/>
  <c r="T1575" i="3"/>
  <c r="T1576" i="3"/>
  <c r="T1577" i="3"/>
  <c r="T1578" i="3"/>
  <c r="T1579" i="3"/>
  <c r="T1580" i="3"/>
  <c r="T1581" i="3"/>
  <c r="T1582" i="3"/>
  <c r="T1583" i="3"/>
  <c r="T1584" i="3"/>
  <c r="T1585" i="3"/>
  <c r="T1586" i="3"/>
  <c r="T1587" i="3"/>
  <c r="T1588" i="3"/>
  <c r="T1589" i="3"/>
  <c r="T1590" i="3"/>
  <c r="T1591" i="3"/>
  <c r="T1592" i="3"/>
  <c r="T1593" i="3"/>
  <c r="T1594" i="3"/>
  <c r="T1595" i="3"/>
  <c r="T1596" i="3"/>
  <c r="T1597" i="3"/>
  <c r="T1598" i="3"/>
  <c r="T1599" i="3"/>
  <c r="T1600" i="3"/>
  <c r="T1601" i="3"/>
  <c r="T1602" i="3"/>
  <c r="T1603" i="3"/>
  <c r="T1604" i="3"/>
  <c r="T1605" i="3"/>
  <c r="T1606" i="3"/>
  <c r="T1607" i="3"/>
  <c r="T1608" i="3"/>
  <c r="T1609" i="3"/>
  <c r="T1610" i="3"/>
  <c r="T1611" i="3"/>
  <c r="T1612" i="3"/>
  <c r="T1613" i="3"/>
  <c r="T1614" i="3"/>
  <c r="T1615" i="3"/>
  <c r="T1616" i="3"/>
  <c r="T1617" i="3"/>
  <c r="T1618" i="3"/>
  <c r="T1619" i="3"/>
  <c r="T1620" i="3"/>
  <c r="T1621" i="3"/>
  <c r="T1622" i="3"/>
  <c r="T1623" i="3"/>
  <c r="T1624" i="3"/>
  <c r="T1625" i="3"/>
  <c r="T1626" i="3"/>
  <c r="T1627" i="3"/>
  <c r="T1628" i="3"/>
  <c r="T1629" i="3"/>
  <c r="T1630" i="3"/>
  <c r="T1631" i="3"/>
  <c r="T1632" i="3"/>
  <c r="T1633" i="3"/>
  <c r="T1634" i="3"/>
  <c r="T1635" i="3"/>
  <c r="T1636" i="3"/>
  <c r="T1637" i="3"/>
  <c r="T1638" i="3"/>
  <c r="T1639" i="3"/>
  <c r="T1640" i="3"/>
  <c r="T1641" i="3"/>
  <c r="T1642" i="3"/>
  <c r="T1643" i="3"/>
  <c r="T1644" i="3"/>
  <c r="T1645" i="3"/>
  <c r="T1646" i="3"/>
  <c r="T1647" i="3"/>
  <c r="T1648" i="3"/>
  <c r="T1649" i="3"/>
  <c r="T1650" i="3"/>
  <c r="T1651" i="3"/>
  <c r="T1652" i="3"/>
  <c r="T1653" i="3"/>
  <c r="T1654" i="3"/>
  <c r="T1655" i="3"/>
  <c r="T1656" i="3"/>
  <c r="T1657" i="3"/>
  <c r="T1658" i="3"/>
  <c r="T1659" i="3"/>
  <c r="T1660" i="3"/>
  <c r="T1661" i="3"/>
  <c r="T1662" i="3"/>
  <c r="T1663" i="3"/>
  <c r="T1664" i="3"/>
  <c r="T1665" i="3"/>
  <c r="T1666" i="3"/>
  <c r="T1667" i="3"/>
  <c r="T1668" i="3"/>
  <c r="T1669" i="3"/>
  <c r="T1670" i="3"/>
  <c r="T1671" i="3"/>
  <c r="T1672" i="3"/>
  <c r="T1673" i="3"/>
  <c r="T1674" i="3"/>
  <c r="T1675" i="3"/>
  <c r="T1676" i="3"/>
  <c r="T1677" i="3"/>
  <c r="T1678" i="3"/>
  <c r="T1679" i="3"/>
  <c r="T1680" i="3"/>
  <c r="T1681" i="3"/>
  <c r="T1682" i="3"/>
  <c r="T1683" i="3"/>
  <c r="T1684" i="3"/>
  <c r="T1685" i="3"/>
  <c r="T1686" i="3"/>
  <c r="T1687" i="3"/>
  <c r="T1688" i="3"/>
  <c r="T1689" i="3"/>
  <c r="T1690" i="3"/>
  <c r="T1691" i="3"/>
  <c r="T1692" i="3"/>
  <c r="T1693" i="3"/>
  <c r="T1694" i="3"/>
  <c r="T1695" i="3"/>
  <c r="T1696" i="3"/>
  <c r="T1697" i="3"/>
  <c r="T1698" i="3"/>
  <c r="T1699" i="3"/>
  <c r="T1700" i="3"/>
  <c r="T1701" i="3"/>
  <c r="T1702" i="3"/>
  <c r="T1703" i="3"/>
  <c r="T1704" i="3"/>
  <c r="T1705" i="3"/>
  <c r="T1706" i="3"/>
  <c r="T1707" i="3"/>
  <c r="T1708" i="3"/>
  <c r="T1709" i="3"/>
  <c r="T1710" i="3"/>
  <c r="T1711" i="3"/>
  <c r="T1712" i="3"/>
  <c r="T1713" i="3"/>
  <c r="T1714" i="3"/>
  <c r="T1715" i="3"/>
  <c r="T1716" i="3"/>
  <c r="T1717" i="3"/>
  <c r="T1718" i="3"/>
  <c r="T1719" i="3"/>
  <c r="T1720" i="3"/>
  <c r="T1721" i="3"/>
  <c r="T1722" i="3"/>
  <c r="T1723" i="3"/>
  <c r="T1724" i="3"/>
  <c r="T1725" i="3"/>
  <c r="T1726" i="3"/>
  <c r="T1727" i="3"/>
  <c r="T1728" i="3"/>
  <c r="T1729" i="3"/>
  <c r="T1730" i="3"/>
  <c r="T1731" i="3"/>
  <c r="T1732" i="3"/>
  <c r="T1733" i="3"/>
  <c r="T1734" i="3"/>
  <c r="T1735" i="3"/>
  <c r="T1736" i="3"/>
  <c r="T1737" i="3"/>
  <c r="T1738" i="3"/>
  <c r="T1739" i="3"/>
  <c r="T1740" i="3"/>
  <c r="T1741" i="3"/>
  <c r="T1742" i="3"/>
  <c r="T1743" i="3"/>
  <c r="T1744" i="3"/>
  <c r="T1745" i="3"/>
  <c r="T1746" i="3"/>
  <c r="T1747" i="3"/>
  <c r="T1748" i="3"/>
  <c r="T1749" i="3"/>
  <c r="T1750" i="3"/>
  <c r="T1751" i="3"/>
  <c r="T1752" i="3"/>
  <c r="T1753" i="3"/>
  <c r="T1754" i="3"/>
  <c r="T1755" i="3"/>
  <c r="T1756" i="3"/>
  <c r="T1757" i="3"/>
  <c r="T1758" i="3"/>
  <c r="T1759" i="3"/>
  <c r="T1760" i="3"/>
  <c r="T1761" i="3"/>
  <c r="T1762" i="3"/>
  <c r="T1763" i="3"/>
  <c r="T1764" i="3"/>
  <c r="T1765" i="3"/>
  <c r="T1766" i="3"/>
  <c r="T1767" i="3"/>
  <c r="T1768" i="3"/>
  <c r="T1769" i="3"/>
  <c r="T1770" i="3"/>
  <c r="T1771" i="3"/>
  <c r="T1772" i="3"/>
  <c r="T1773" i="3"/>
  <c r="T1774" i="3"/>
  <c r="T1775" i="3"/>
  <c r="T1776" i="3"/>
  <c r="T1777" i="3"/>
  <c r="T1778" i="3"/>
  <c r="T1779" i="3"/>
  <c r="T1780" i="3"/>
  <c r="T1781" i="3"/>
  <c r="T1782" i="3"/>
  <c r="T1783" i="3"/>
  <c r="T1784" i="3"/>
  <c r="T1785" i="3"/>
  <c r="T1786" i="3"/>
  <c r="T1787" i="3"/>
  <c r="T1788" i="3"/>
  <c r="T1789" i="3"/>
  <c r="T1790" i="3"/>
  <c r="T1791" i="3"/>
  <c r="T1792" i="3"/>
  <c r="T1793" i="3"/>
  <c r="T1794" i="3"/>
  <c r="T1795" i="3"/>
  <c r="T1796" i="3"/>
  <c r="T1797" i="3"/>
  <c r="T1798" i="3"/>
  <c r="T1799" i="3"/>
  <c r="T1800" i="3"/>
  <c r="T1801" i="3"/>
  <c r="T1802" i="3"/>
  <c r="T1803" i="3"/>
  <c r="T1804" i="3"/>
  <c r="T1805" i="3"/>
  <c r="T1806" i="3"/>
  <c r="T1807" i="3"/>
  <c r="T1808" i="3"/>
  <c r="T1809" i="3"/>
  <c r="T1810" i="3"/>
  <c r="T1811" i="3"/>
  <c r="T1812" i="3"/>
  <c r="T1813" i="3"/>
  <c r="T1814" i="3"/>
  <c r="T1815" i="3"/>
  <c r="T1816" i="3"/>
  <c r="T1817" i="3"/>
  <c r="T1818" i="3"/>
  <c r="T1819" i="3"/>
  <c r="T1820" i="3"/>
  <c r="T1821" i="3"/>
  <c r="T1822" i="3"/>
  <c r="T1823" i="3"/>
  <c r="T1824" i="3"/>
  <c r="T1825" i="3"/>
  <c r="T1826" i="3"/>
  <c r="T1827" i="3"/>
  <c r="T1828" i="3"/>
  <c r="T1829" i="3"/>
  <c r="T1830" i="3"/>
  <c r="T1831" i="3"/>
  <c r="T1832" i="3"/>
  <c r="T1833" i="3"/>
  <c r="T1834" i="3"/>
  <c r="T1835" i="3"/>
  <c r="T1836" i="3"/>
  <c r="T1837" i="3"/>
  <c r="T1838" i="3"/>
  <c r="T1839" i="3"/>
  <c r="T1840" i="3"/>
  <c r="T1841" i="3"/>
  <c r="T1842" i="3"/>
  <c r="T1843" i="3"/>
  <c r="T1844" i="3"/>
  <c r="T1845" i="3"/>
  <c r="T1846" i="3"/>
  <c r="T1847" i="3"/>
  <c r="T1848" i="3"/>
  <c r="T1849" i="3"/>
  <c r="T1850" i="3"/>
  <c r="T1851" i="3"/>
  <c r="T1852" i="3"/>
  <c r="T1853" i="3"/>
  <c r="T1854" i="3"/>
  <c r="T1855" i="3"/>
  <c r="T1856" i="3"/>
  <c r="T1857" i="3"/>
  <c r="T1858" i="3"/>
  <c r="T1859" i="3"/>
  <c r="T1860" i="3"/>
  <c r="T1861" i="3"/>
  <c r="T1862" i="3"/>
  <c r="T1863" i="3"/>
  <c r="T1864" i="3"/>
  <c r="T1865" i="3"/>
  <c r="T1866" i="3"/>
  <c r="T1867" i="3"/>
  <c r="T1868" i="3"/>
  <c r="T1869" i="3"/>
  <c r="T1870" i="3"/>
  <c r="T1871" i="3"/>
  <c r="T1872" i="3"/>
  <c r="T1873" i="3"/>
  <c r="T1874" i="3"/>
  <c r="T1875" i="3"/>
  <c r="T1876" i="3"/>
  <c r="T1877" i="3"/>
  <c r="T1878" i="3"/>
  <c r="T1879" i="3"/>
  <c r="T1880" i="3"/>
  <c r="T1881" i="3"/>
  <c r="T1882" i="3"/>
  <c r="T1883" i="3"/>
  <c r="T1884" i="3"/>
  <c r="T1885" i="3"/>
  <c r="T1886" i="3"/>
  <c r="T1887" i="3"/>
  <c r="T1888" i="3"/>
  <c r="T1889" i="3"/>
  <c r="T1890" i="3"/>
  <c r="T1891" i="3"/>
  <c r="T1892" i="3"/>
  <c r="T1893" i="3"/>
  <c r="T1894" i="3"/>
  <c r="T1895" i="3"/>
  <c r="T1896" i="3"/>
  <c r="T1897" i="3"/>
  <c r="T1898" i="3"/>
  <c r="T1899" i="3"/>
  <c r="T1900" i="3"/>
  <c r="T1901" i="3"/>
  <c r="T1902" i="3"/>
  <c r="T1903" i="3"/>
  <c r="T1904" i="3"/>
  <c r="T1905" i="3"/>
  <c r="T1906" i="3"/>
  <c r="T1907" i="3"/>
  <c r="T1908" i="3"/>
  <c r="T1909" i="3"/>
  <c r="T1910" i="3"/>
  <c r="T1911" i="3"/>
  <c r="T1912" i="3"/>
  <c r="T1913" i="3"/>
  <c r="T1914" i="3"/>
  <c r="T1915" i="3"/>
  <c r="T1916" i="3"/>
  <c r="T1917" i="3"/>
  <c r="T1918" i="3"/>
  <c r="T1919" i="3"/>
  <c r="T1920" i="3"/>
  <c r="T1921" i="3"/>
  <c r="T1922" i="3"/>
  <c r="T1923" i="3"/>
  <c r="T1924" i="3"/>
  <c r="T1925" i="3"/>
  <c r="T1926" i="3"/>
  <c r="T1927" i="3"/>
  <c r="T1928" i="3"/>
  <c r="T1929" i="3"/>
  <c r="T1930" i="3"/>
  <c r="T1931" i="3"/>
  <c r="T1932" i="3"/>
  <c r="T1933" i="3"/>
  <c r="T1934" i="3"/>
  <c r="T1935" i="3"/>
  <c r="T1936" i="3"/>
  <c r="T1937" i="3"/>
  <c r="T1938" i="3"/>
  <c r="T1939" i="3"/>
  <c r="T1940" i="3"/>
  <c r="T1941" i="3"/>
  <c r="T1942" i="3"/>
  <c r="T1943" i="3"/>
  <c r="T1944" i="3"/>
  <c r="T1945" i="3"/>
  <c r="T1946" i="3"/>
  <c r="T1947" i="3"/>
  <c r="T1948" i="3"/>
  <c r="T1949" i="3"/>
  <c r="T1950" i="3"/>
  <c r="T1951" i="3"/>
  <c r="T1952" i="3"/>
  <c r="T1953" i="3"/>
  <c r="T1954" i="3"/>
  <c r="T1955" i="3"/>
  <c r="T1956" i="3"/>
  <c r="T1957" i="3"/>
  <c r="T1958" i="3"/>
  <c r="T1959" i="3"/>
  <c r="T1960" i="3"/>
  <c r="T1961" i="3"/>
  <c r="T1962" i="3"/>
  <c r="T1963" i="3"/>
  <c r="T1964" i="3"/>
  <c r="T1965" i="3"/>
  <c r="T1966" i="3"/>
  <c r="T1967" i="3"/>
  <c r="T1968" i="3"/>
  <c r="T1969" i="3"/>
  <c r="T1970" i="3"/>
  <c r="T1971" i="3"/>
  <c r="T1972" i="3"/>
  <c r="T1973" i="3"/>
  <c r="T1974" i="3"/>
  <c r="T1975" i="3"/>
  <c r="T1976" i="3"/>
  <c r="T1977" i="3"/>
  <c r="T1978" i="3"/>
  <c r="T1979" i="3"/>
  <c r="T1980" i="3"/>
  <c r="T1981" i="3"/>
  <c r="T1982" i="3"/>
  <c r="T1983" i="3"/>
  <c r="T1984" i="3"/>
  <c r="T1985" i="3"/>
  <c r="T1986" i="3"/>
  <c r="T1987" i="3"/>
  <c r="T1988" i="3"/>
  <c r="T1989" i="3"/>
  <c r="T1990" i="3"/>
  <c r="T1991" i="3"/>
  <c r="T1992" i="3"/>
  <c r="T1993" i="3"/>
  <c r="T1994" i="3"/>
  <c r="T1995" i="3"/>
  <c r="T1996" i="3"/>
  <c r="T1997" i="3"/>
  <c r="T1998" i="3"/>
  <c r="T1999" i="3"/>
  <c r="T2000" i="3"/>
  <c r="T2001" i="3"/>
  <c r="T2002" i="3"/>
  <c r="T2003" i="3"/>
  <c r="T2004" i="3"/>
  <c r="T2005" i="3"/>
  <c r="T2006" i="3"/>
  <c r="T2007" i="3"/>
  <c r="T2008" i="3"/>
  <c r="T2009" i="3"/>
  <c r="T2010" i="3"/>
  <c r="T2011" i="3"/>
  <c r="T2012" i="3"/>
  <c r="T2013" i="3"/>
  <c r="T2014" i="3"/>
  <c r="T2015" i="3"/>
  <c r="T2016" i="3"/>
  <c r="T2017" i="3"/>
  <c r="T2018" i="3"/>
  <c r="T2019" i="3"/>
  <c r="T2020" i="3"/>
  <c r="T2021" i="3"/>
  <c r="T2022" i="3"/>
  <c r="T2023" i="3"/>
  <c r="T2024" i="3"/>
  <c r="T2025" i="3"/>
  <c r="T2026" i="3"/>
  <c r="T2027" i="3"/>
  <c r="T2028" i="3"/>
  <c r="T2029" i="3"/>
  <c r="T2030" i="3"/>
  <c r="T2031" i="3"/>
  <c r="T2032" i="3"/>
  <c r="T2033" i="3"/>
  <c r="T2034" i="3"/>
  <c r="T2035" i="3"/>
  <c r="T2036" i="3"/>
  <c r="T2037" i="3"/>
  <c r="T2038" i="3"/>
  <c r="T2039" i="3"/>
  <c r="T2040" i="3"/>
  <c r="T2041" i="3"/>
  <c r="T2042" i="3"/>
  <c r="T2043" i="3"/>
  <c r="T2044" i="3"/>
  <c r="T2045" i="3"/>
  <c r="T2046" i="3"/>
  <c r="T2047" i="3"/>
  <c r="T2048" i="3"/>
  <c r="T2049" i="3"/>
  <c r="T2050" i="3"/>
  <c r="T2051" i="3"/>
  <c r="T2052" i="3"/>
  <c r="T2053" i="3"/>
  <c r="T2054" i="3"/>
  <c r="T2055" i="3"/>
  <c r="T2056" i="3"/>
  <c r="T2057" i="3"/>
  <c r="T2058" i="3"/>
  <c r="T2059" i="3"/>
  <c r="T2060" i="3"/>
  <c r="T2061" i="3"/>
  <c r="T2062" i="3"/>
  <c r="T2063" i="3"/>
  <c r="T2064" i="3"/>
  <c r="T2065" i="3"/>
  <c r="T2066" i="3"/>
  <c r="T2067" i="3"/>
  <c r="T2068" i="3"/>
  <c r="T2069" i="3"/>
  <c r="T2070" i="3"/>
  <c r="T2071" i="3"/>
  <c r="T2072" i="3"/>
  <c r="T2073" i="3"/>
  <c r="T2074" i="3"/>
  <c r="T2075" i="3"/>
  <c r="T2076" i="3"/>
  <c r="T2077" i="3"/>
  <c r="T2078" i="3"/>
  <c r="T2079" i="3"/>
  <c r="T2080" i="3"/>
  <c r="T2081" i="3"/>
  <c r="T2082" i="3"/>
  <c r="T2083" i="3"/>
  <c r="T2084" i="3"/>
  <c r="T2085" i="3"/>
  <c r="T2086" i="3"/>
  <c r="T2087" i="3"/>
  <c r="T2088" i="3"/>
  <c r="T2089" i="3"/>
  <c r="T2090" i="3"/>
  <c r="T2091" i="3"/>
  <c r="T2092" i="3"/>
  <c r="T2093" i="3"/>
  <c r="T2094" i="3"/>
  <c r="T2095" i="3"/>
  <c r="T2096" i="3"/>
  <c r="T2097" i="3"/>
  <c r="T2098" i="3"/>
  <c r="T2099" i="3"/>
  <c r="T2100" i="3"/>
  <c r="T2101" i="3"/>
  <c r="T2102" i="3"/>
  <c r="T2103" i="3"/>
  <c r="T2104" i="3"/>
  <c r="T2105" i="3"/>
  <c r="T2106" i="3"/>
  <c r="T2107" i="3"/>
  <c r="T2108" i="3"/>
  <c r="T2109" i="3"/>
  <c r="T2110" i="3"/>
  <c r="T2111" i="3"/>
  <c r="T2112" i="3"/>
  <c r="T2113" i="3"/>
  <c r="T2114" i="3"/>
  <c r="T2115" i="3"/>
  <c r="T2116" i="3"/>
  <c r="T2117" i="3"/>
  <c r="T2118" i="3"/>
  <c r="T2119" i="3"/>
  <c r="T2120" i="3"/>
  <c r="T2121" i="3"/>
  <c r="T2122" i="3"/>
  <c r="T2123" i="3"/>
  <c r="T2124" i="3"/>
  <c r="T2125" i="3"/>
  <c r="T2126" i="3"/>
  <c r="T2127" i="3"/>
  <c r="T2128" i="3"/>
  <c r="T2129" i="3"/>
  <c r="T2130" i="3"/>
  <c r="T2131" i="3"/>
  <c r="T2132" i="3"/>
  <c r="T2133" i="3"/>
  <c r="T2134" i="3"/>
  <c r="T2135" i="3"/>
  <c r="T2136" i="3"/>
  <c r="T2137" i="3"/>
  <c r="T2138" i="3"/>
  <c r="T2139" i="3"/>
  <c r="T2140" i="3"/>
  <c r="T2141" i="3"/>
  <c r="T2142" i="3"/>
  <c r="T2143" i="3"/>
  <c r="T2144" i="3"/>
  <c r="T2145" i="3"/>
  <c r="T2146" i="3"/>
  <c r="T2147" i="3"/>
  <c r="T2148" i="3"/>
  <c r="T2149" i="3"/>
  <c r="T2150" i="3"/>
  <c r="T2151" i="3"/>
  <c r="T2152" i="3"/>
  <c r="T2153" i="3"/>
  <c r="T2154" i="3"/>
  <c r="T2155" i="3"/>
  <c r="T2156" i="3"/>
  <c r="T2157" i="3"/>
  <c r="T2158" i="3"/>
  <c r="T2159" i="3"/>
  <c r="T2160" i="3"/>
  <c r="T2161" i="3"/>
  <c r="T2162" i="3"/>
  <c r="T2163" i="3"/>
  <c r="T2164" i="3"/>
  <c r="T2165" i="3"/>
  <c r="T2166" i="3"/>
  <c r="T2167" i="3"/>
  <c r="T2168" i="3"/>
  <c r="T2169" i="3"/>
  <c r="T2170" i="3"/>
  <c r="T2171" i="3"/>
  <c r="T2172" i="3"/>
  <c r="T2173" i="3"/>
  <c r="T2174" i="3"/>
  <c r="T2175" i="3"/>
  <c r="T2176" i="3"/>
  <c r="T2177" i="3"/>
  <c r="T2178" i="3"/>
  <c r="T2179" i="3"/>
  <c r="T2180" i="3"/>
  <c r="T2181" i="3"/>
  <c r="T2182" i="3"/>
  <c r="T2183" i="3"/>
  <c r="T2184" i="3"/>
  <c r="T2185" i="3"/>
  <c r="T2186" i="3"/>
  <c r="T2187" i="3"/>
  <c r="T2188" i="3"/>
  <c r="T2189" i="3"/>
  <c r="T2190" i="3"/>
  <c r="T2191" i="3"/>
  <c r="T2192" i="3"/>
  <c r="T2193" i="3"/>
  <c r="T2194" i="3"/>
  <c r="T2195" i="3"/>
  <c r="T2196" i="3"/>
  <c r="T2197" i="3"/>
  <c r="T2198" i="3"/>
  <c r="T2199" i="3"/>
  <c r="T2200" i="3"/>
  <c r="T2201" i="3"/>
  <c r="T2202" i="3"/>
  <c r="T2203" i="3"/>
  <c r="T2204" i="3"/>
  <c r="T2205" i="3"/>
  <c r="T2206" i="3"/>
  <c r="T2207" i="3"/>
  <c r="T2208" i="3"/>
  <c r="T2209" i="3"/>
  <c r="T2210" i="3"/>
  <c r="T2211" i="3"/>
  <c r="T2212" i="3"/>
  <c r="T2213" i="3"/>
  <c r="T2214" i="3"/>
  <c r="T2215" i="3"/>
  <c r="T2216" i="3"/>
  <c r="T2217" i="3"/>
  <c r="T2218" i="3"/>
  <c r="T2219" i="3"/>
  <c r="T2220" i="3"/>
  <c r="T2221" i="3"/>
  <c r="T2222" i="3"/>
  <c r="T2223" i="3"/>
  <c r="T2224" i="3"/>
  <c r="T2225" i="3"/>
  <c r="T2226" i="3"/>
  <c r="T2227" i="3"/>
  <c r="T2228" i="3"/>
  <c r="T2229" i="3"/>
  <c r="T2230" i="3"/>
  <c r="T2231" i="3"/>
  <c r="T2232" i="3"/>
  <c r="T2233" i="3"/>
  <c r="T2234" i="3"/>
  <c r="T2235" i="3"/>
  <c r="T2236" i="3"/>
  <c r="T2237" i="3"/>
  <c r="T2238" i="3"/>
  <c r="T2239" i="3"/>
  <c r="T2240" i="3"/>
  <c r="T2241" i="3"/>
  <c r="T2242" i="3"/>
  <c r="T2243" i="3"/>
  <c r="T2244" i="3"/>
  <c r="T2245" i="3"/>
  <c r="T2246" i="3"/>
  <c r="T2247" i="3"/>
  <c r="T2248" i="3"/>
  <c r="T2249" i="3"/>
  <c r="T2250" i="3"/>
  <c r="T2251" i="3"/>
  <c r="T2252" i="3"/>
  <c r="T2253" i="3"/>
  <c r="T2254" i="3"/>
  <c r="T2255" i="3"/>
  <c r="T2256" i="3"/>
  <c r="T2257" i="3"/>
  <c r="T2258" i="3"/>
  <c r="T2259" i="3"/>
  <c r="T2260" i="3"/>
  <c r="T2261" i="3"/>
  <c r="T2262" i="3"/>
  <c r="T2263" i="3"/>
  <c r="T2264" i="3"/>
  <c r="T2265" i="3"/>
  <c r="T2266" i="3"/>
  <c r="T2267" i="3"/>
  <c r="T2268" i="3"/>
  <c r="T2269" i="3"/>
  <c r="T2270" i="3"/>
  <c r="T2271" i="3"/>
  <c r="T2272" i="3"/>
  <c r="T2273" i="3"/>
  <c r="T2274" i="3"/>
  <c r="T2275" i="3"/>
  <c r="T2276" i="3"/>
  <c r="T2277" i="3"/>
  <c r="T2278" i="3"/>
  <c r="T2279" i="3"/>
  <c r="T2280" i="3"/>
  <c r="T2281" i="3"/>
  <c r="T2282" i="3"/>
  <c r="T2283" i="3"/>
  <c r="T2284" i="3"/>
  <c r="T2285" i="3"/>
  <c r="T2286" i="3"/>
  <c r="T2287" i="3"/>
  <c r="T2288" i="3"/>
  <c r="T2289" i="3"/>
  <c r="T2290" i="3"/>
  <c r="T2291" i="3"/>
  <c r="T2292" i="3"/>
  <c r="T2293" i="3"/>
  <c r="T2294" i="3"/>
  <c r="T2295" i="3"/>
  <c r="T2296" i="3"/>
  <c r="T2297" i="3"/>
  <c r="T2298" i="3"/>
  <c r="T2299" i="3"/>
  <c r="T2300" i="3"/>
  <c r="T2301" i="3"/>
  <c r="T2302" i="3"/>
  <c r="T2303" i="3"/>
  <c r="T2304" i="3"/>
  <c r="T2305" i="3"/>
  <c r="T2306" i="3"/>
  <c r="T2307" i="3"/>
  <c r="T2308" i="3"/>
  <c r="T2309" i="3"/>
  <c r="T2310" i="3"/>
  <c r="T2311" i="3"/>
  <c r="T2312" i="3"/>
  <c r="T2313" i="3"/>
  <c r="T2314" i="3"/>
  <c r="T2315" i="3"/>
  <c r="T2316" i="3"/>
  <c r="T2317" i="3"/>
  <c r="T2318" i="3"/>
  <c r="T2319" i="3"/>
  <c r="T2320" i="3"/>
  <c r="T2321" i="3"/>
  <c r="T2322" i="3"/>
  <c r="T2323" i="3"/>
  <c r="T2324" i="3"/>
  <c r="T2325" i="3"/>
  <c r="T2326" i="3"/>
  <c r="T2327" i="3"/>
  <c r="T2328" i="3"/>
  <c r="T2329" i="3"/>
  <c r="T2330" i="3"/>
  <c r="T2331" i="3"/>
  <c r="T2332" i="3"/>
  <c r="T2333" i="3"/>
  <c r="T2334" i="3"/>
  <c r="T2335" i="3"/>
  <c r="T2336" i="3"/>
  <c r="T2337" i="3"/>
  <c r="T2338" i="3"/>
  <c r="T2339" i="3"/>
  <c r="T2340" i="3"/>
  <c r="T2341" i="3"/>
  <c r="T2342" i="3"/>
  <c r="T2343" i="3"/>
  <c r="T2344" i="3"/>
  <c r="T2345" i="3"/>
  <c r="T2346" i="3"/>
  <c r="T2347" i="3"/>
  <c r="T2348" i="3"/>
  <c r="T2349" i="3"/>
  <c r="T2350" i="3"/>
  <c r="T2351" i="3"/>
  <c r="T2352" i="3"/>
  <c r="T2353" i="3"/>
  <c r="T2354" i="3"/>
  <c r="T2355" i="3"/>
  <c r="T2356" i="3"/>
  <c r="T2357" i="3"/>
  <c r="T2358" i="3"/>
  <c r="T2359" i="3"/>
  <c r="T2360" i="3"/>
  <c r="T2361" i="3"/>
  <c r="T2362" i="3"/>
  <c r="T2363" i="3"/>
  <c r="T2364" i="3"/>
  <c r="T2365" i="3"/>
  <c r="T2366" i="3"/>
  <c r="T2367" i="3"/>
  <c r="T2368" i="3"/>
  <c r="T2369" i="3"/>
  <c r="T2370" i="3"/>
  <c r="T2371" i="3"/>
  <c r="T2372" i="3"/>
  <c r="T2373" i="3"/>
  <c r="T2374" i="3"/>
  <c r="T2375" i="3"/>
  <c r="T2376" i="3"/>
  <c r="T2377" i="3"/>
  <c r="T2378" i="3"/>
  <c r="T2379" i="3"/>
  <c r="T2380" i="3"/>
  <c r="T2381" i="3"/>
  <c r="T2382" i="3"/>
  <c r="T2383" i="3"/>
  <c r="T2384" i="3"/>
  <c r="T2385" i="3"/>
  <c r="T2386" i="3"/>
  <c r="T2387" i="3"/>
  <c r="T2388" i="3"/>
  <c r="T2389" i="3"/>
  <c r="T2390" i="3"/>
  <c r="T2391" i="3"/>
  <c r="T2392" i="3"/>
  <c r="T2393" i="3"/>
  <c r="T2394" i="3"/>
  <c r="T2395" i="3"/>
  <c r="T2396" i="3"/>
  <c r="T2397" i="3"/>
  <c r="T2398" i="3"/>
  <c r="T2399" i="3"/>
  <c r="T2400" i="3"/>
  <c r="T2401" i="3"/>
  <c r="T2402" i="3"/>
  <c r="T2403" i="3"/>
  <c r="T2404" i="3"/>
  <c r="T2405" i="3"/>
  <c r="T2406" i="3"/>
  <c r="T2407" i="3"/>
  <c r="T2408" i="3"/>
  <c r="T2409" i="3"/>
  <c r="T2410" i="3"/>
  <c r="T2411" i="3"/>
  <c r="T2412" i="3"/>
  <c r="T2413" i="3"/>
  <c r="T2414" i="3"/>
  <c r="T2415" i="3"/>
  <c r="T2416" i="3"/>
  <c r="T2417" i="3"/>
  <c r="T2418" i="3"/>
  <c r="T2419" i="3"/>
  <c r="T2420" i="3"/>
  <c r="T2421" i="3"/>
  <c r="T2422" i="3"/>
  <c r="T2423" i="3"/>
  <c r="T2424" i="3"/>
  <c r="T2425" i="3"/>
  <c r="T2426" i="3"/>
  <c r="T2427" i="3"/>
  <c r="T2428" i="3"/>
  <c r="T2429" i="3"/>
  <c r="T2430" i="3"/>
  <c r="T2431" i="3"/>
  <c r="T2432" i="3"/>
  <c r="T2433" i="3"/>
  <c r="T2434" i="3"/>
  <c r="T2435" i="3"/>
  <c r="T2436" i="3"/>
  <c r="T2437" i="3"/>
  <c r="T2438" i="3"/>
  <c r="T2439" i="3"/>
  <c r="T2440" i="3"/>
  <c r="T2441" i="3"/>
  <c r="T2442" i="3"/>
  <c r="T2443" i="3"/>
  <c r="T2444" i="3"/>
  <c r="T2445" i="3"/>
  <c r="T2446" i="3"/>
  <c r="T2447" i="3"/>
  <c r="T2448" i="3"/>
  <c r="T2449" i="3"/>
  <c r="T2450" i="3"/>
  <c r="T2451" i="3"/>
  <c r="T2452" i="3"/>
  <c r="T2453" i="3"/>
  <c r="T2454" i="3"/>
  <c r="T2455" i="3"/>
  <c r="T2456" i="3"/>
  <c r="T2457" i="3"/>
  <c r="T2458" i="3"/>
  <c r="T2459" i="3"/>
  <c r="T2460" i="3"/>
  <c r="T2461" i="3"/>
  <c r="T2462" i="3"/>
  <c r="T2463" i="3"/>
  <c r="T2464" i="3"/>
  <c r="T2465" i="3"/>
  <c r="T2466" i="3"/>
  <c r="T2467" i="3"/>
  <c r="T2468" i="3"/>
  <c r="T2469" i="3"/>
  <c r="T2470" i="3"/>
  <c r="T2471" i="3"/>
  <c r="T2472" i="3"/>
  <c r="T2473" i="3"/>
  <c r="T2474" i="3"/>
  <c r="T2475" i="3"/>
  <c r="T2476" i="3"/>
  <c r="T2477" i="3"/>
  <c r="T2478" i="3"/>
  <c r="T2479" i="3"/>
  <c r="T2480" i="3"/>
  <c r="T2481" i="3"/>
  <c r="T2482" i="3"/>
  <c r="T2483" i="3"/>
  <c r="T2484" i="3"/>
  <c r="T2485" i="3"/>
  <c r="T2486" i="3"/>
  <c r="T2487" i="3"/>
  <c r="T2488" i="3"/>
  <c r="T2489" i="3"/>
  <c r="T2490" i="3"/>
  <c r="T2491" i="3"/>
  <c r="T2492" i="3"/>
  <c r="T2493" i="3"/>
  <c r="T2494" i="3"/>
  <c r="T2495" i="3"/>
  <c r="T2496" i="3"/>
  <c r="T2497" i="3"/>
  <c r="T2498" i="3"/>
  <c r="T2499" i="3"/>
  <c r="T2500" i="3"/>
  <c r="T2501" i="3"/>
  <c r="T2502" i="3"/>
  <c r="T2503" i="3"/>
  <c r="T2504" i="3"/>
  <c r="T2505" i="3"/>
  <c r="T2506" i="3"/>
  <c r="T2507" i="3"/>
  <c r="T2508" i="3"/>
  <c r="T2509" i="3"/>
  <c r="T2510" i="3"/>
  <c r="T2511" i="3"/>
  <c r="T2512" i="3"/>
  <c r="T2513" i="3"/>
  <c r="T2514" i="3"/>
  <c r="T2515" i="3"/>
  <c r="T2516" i="3"/>
  <c r="T2517" i="3"/>
  <c r="T2518" i="3"/>
  <c r="T2519" i="3"/>
  <c r="T2520" i="3"/>
  <c r="T2521" i="3"/>
  <c r="T2522" i="3"/>
  <c r="T2523" i="3"/>
  <c r="T2524" i="3"/>
  <c r="T2525" i="3"/>
  <c r="T2526" i="3"/>
  <c r="T2527" i="3"/>
  <c r="T2528" i="3"/>
  <c r="T2529" i="3"/>
  <c r="T2530" i="3"/>
  <c r="T2531" i="3"/>
  <c r="T2532" i="3"/>
  <c r="T2533" i="3"/>
  <c r="T2534" i="3"/>
  <c r="T2535" i="3"/>
  <c r="T2536" i="3"/>
  <c r="T2537" i="3"/>
  <c r="T2538" i="3"/>
  <c r="T2539" i="3"/>
  <c r="T2540" i="3"/>
  <c r="T2541" i="3"/>
  <c r="T2542" i="3"/>
  <c r="T2543" i="3"/>
  <c r="T2544" i="3"/>
  <c r="T2545" i="3"/>
  <c r="T2546" i="3"/>
  <c r="T2547" i="3"/>
  <c r="T2548" i="3"/>
  <c r="T2549" i="3"/>
  <c r="T2550" i="3"/>
  <c r="T2551" i="3"/>
  <c r="T2552" i="3"/>
  <c r="T2553" i="3"/>
  <c r="T2554" i="3"/>
  <c r="T2555" i="3"/>
  <c r="T2556" i="3"/>
  <c r="T2557" i="3"/>
  <c r="T2558" i="3"/>
  <c r="T2559" i="3"/>
  <c r="T2560" i="3"/>
  <c r="T2561" i="3"/>
  <c r="T2562" i="3"/>
  <c r="T2563" i="3"/>
  <c r="T2564" i="3"/>
  <c r="T2565" i="3"/>
  <c r="T2566" i="3"/>
  <c r="T2567" i="3"/>
  <c r="T2568" i="3"/>
  <c r="T2569" i="3"/>
  <c r="T2570" i="3"/>
  <c r="T2571" i="3"/>
  <c r="T2572" i="3"/>
  <c r="T2573" i="3"/>
  <c r="T2574" i="3"/>
  <c r="T2575" i="3"/>
  <c r="T2576" i="3"/>
  <c r="T2577" i="3"/>
  <c r="T2578" i="3"/>
  <c r="T2579" i="3"/>
  <c r="T2580" i="3"/>
  <c r="T2581" i="3"/>
  <c r="T2582" i="3"/>
  <c r="T2583" i="3"/>
  <c r="T2584" i="3"/>
  <c r="T2585" i="3"/>
  <c r="T2586" i="3"/>
  <c r="T2587" i="3"/>
  <c r="T2588" i="3"/>
  <c r="T2589" i="3"/>
  <c r="T2590" i="3"/>
  <c r="T2591" i="3"/>
  <c r="T2592" i="3"/>
  <c r="T2593" i="3"/>
  <c r="T2594" i="3"/>
  <c r="T2595" i="3"/>
  <c r="T2596" i="3"/>
  <c r="T2597" i="3"/>
  <c r="T2598" i="3"/>
  <c r="T2599" i="3"/>
  <c r="T2600" i="3"/>
  <c r="T2601" i="3"/>
  <c r="T2602" i="3"/>
  <c r="T2603" i="3"/>
  <c r="T2604" i="3"/>
  <c r="T2605" i="3"/>
  <c r="T2606" i="3"/>
  <c r="T2607" i="3"/>
  <c r="T2608" i="3"/>
  <c r="T2609" i="3"/>
  <c r="T2610" i="3"/>
  <c r="T2611" i="3"/>
  <c r="T2612" i="3"/>
  <c r="T2613" i="3"/>
  <c r="T2614" i="3"/>
  <c r="T2615" i="3"/>
  <c r="T2616" i="3"/>
  <c r="T2617" i="3"/>
  <c r="T2618" i="3"/>
  <c r="T2619" i="3"/>
  <c r="T2620" i="3"/>
  <c r="T2621" i="3"/>
  <c r="T2622" i="3"/>
  <c r="T2623" i="3"/>
  <c r="T2624" i="3"/>
  <c r="T2625" i="3"/>
  <c r="T2626" i="3"/>
  <c r="T2627" i="3"/>
  <c r="T2628" i="3"/>
  <c r="T2629" i="3"/>
  <c r="T2630" i="3"/>
  <c r="T2631" i="3"/>
  <c r="T2632" i="3"/>
  <c r="T2633" i="3"/>
  <c r="T2634" i="3"/>
  <c r="T2635" i="3"/>
  <c r="T2636" i="3"/>
  <c r="T2637" i="3"/>
  <c r="T2638" i="3"/>
  <c r="T2639" i="3"/>
  <c r="T2640" i="3"/>
  <c r="T2641" i="3"/>
  <c r="T2642" i="3"/>
  <c r="T2643" i="3"/>
  <c r="T2644" i="3"/>
  <c r="T2645" i="3"/>
  <c r="T2646" i="3"/>
  <c r="T2647" i="3"/>
  <c r="T2648" i="3"/>
  <c r="T2649" i="3"/>
  <c r="T2650" i="3"/>
  <c r="T2651" i="3"/>
  <c r="T2652" i="3"/>
  <c r="T2653" i="3"/>
  <c r="T2654" i="3"/>
  <c r="T2655" i="3"/>
  <c r="T2656" i="3"/>
  <c r="T2657" i="3"/>
  <c r="T2658" i="3"/>
  <c r="T2659" i="3"/>
  <c r="T2660" i="3"/>
  <c r="T2661" i="3"/>
  <c r="T2662" i="3"/>
  <c r="T2663" i="3"/>
  <c r="T2664" i="3"/>
  <c r="T2665" i="3"/>
  <c r="T2666" i="3"/>
  <c r="T2667" i="3"/>
  <c r="T2668" i="3"/>
  <c r="T2669" i="3"/>
  <c r="T2670" i="3"/>
  <c r="T2671" i="3"/>
  <c r="T2672" i="3"/>
  <c r="T2673" i="3"/>
  <c r="T2674" i="3"/>
  <c r="T2675" i="3"/>
  <c r="T2676" i="3"/>
  <c r="T2677" i="3"/>
  <c r="T2678" i="3"/>
  <c r="T2679" i="3"/>
  <c r="T2680" i="3"/>
  <c r="T2681" i="3"/>
  <c r="T2682" i="3"/>
  <c r="T2683" i="3"/>
  <c r="T2684" i="3"/>
  <c r="T2685" i="3"/>
  <c r="T2686" i="3"/>
  <c r="T2687" i="3"/>
  <c r="T2688" i="3"/>
  <c r="T2689" i="3"/>
  <c r="T2690" i="3"/>
  <c r="T2691" i="3"/>
  <c r="T2692" i="3"/>
  <c r="T2693" i="3"/>
  <c r="T2694" i="3"/>
  <c r="T2695" i="3"/>
  <c r="T2696" i="3"/>
  <c r="T2697" i="3"/>
  <c r="T2698" i="3"/>
  <c r="T2699" i="3"/>
  <c r="T2700" i="3"/>
  <c r="T2701" i="3"/>
  <c r="T2702" i="3"/>
  <c r="T2703" i="3"/>
  <c r="T2704" i="3"/>
  <c r="T2705" i="3"/>
  <c r="T2706" i="3"/>
  <c r="T2707" i="3"/>
  <c r="T2708" i="3"/>
  <c r="T2709" i="3"/>
  <c r="T2710" i="3"/>
  <c r="T2711" i="3"/>
  <c r="T2712" i="3"/>
  <c r="T2713" i="3"/>
  <c r="T2714" i="3"/>
  <c r="T2715" i="3"/>
  <c r="T2716" i="3"/>
  <c r="T2717" i="3"/>
  <c r="T2718" i="3"/>
  <c r="T2719" i="3"/>
  <c r="T2720" i="3"/>
  <c r="T2721" i="3"/>
  <c r="T2722" i="3"/>
  <c r="T2723" i="3"/>
  <c r="T2724" i="3"/>
  <c r="T2725" i="3"/>
  <c r="T2726" i="3"/>
  <c r="T2727" i="3"/>
  <c r="T2728" i="3"/>
  <c r="T2729" i="3"/>
  <c r="T2730" i="3"/>
  <c r="T2731" i="3"/>
  <c r="T2732" i="3"/>
  <c r="T2733" i="3"/>
  <c r="T2734" i="3"/>
  <c r="T2735" i="3"/>
  <c r="T2736" i="3"/>
  <c r="T2737" i="3"/>
  <c r="T2738" i="3"/>
  <c r="T2739" i="3"/>
  <c r="T2740" i="3"/>
  <c r="T2741" i="3"/>
  <c r="T2742" i="3"/>
  <c r="T2743" i="3"/>
  <c r="T2744" i="3"/>
  <c r="T2745" i="3"/>
  <c r="T2746" i="3"/>
  <c r="T2747" i="3"/>
  <c r="T2748" i="3"/>
  <c r="T2749" i="3"/>
  <c r="T2750" i="3"/>
  <c r="T2751" i="3"/>
  <c r="T2752" i="3"/>
  <c r="T2753" i="3"/>
  <c r="T2754" i="3"/>
  <c r="T2755" i="3"/>
  <c r="T2756" i="3"/>
  <c r="T2757" i="3"/>
  <c r="T2758" i="3"/>
  <c r="T2759" i="3"/>
  <c r="T2760" i="3"/>
  <c r="T2761" i="3"/>
  <c r="T2762" i="3"/>
  <c r="T2763" i="3"/>
  <c r="T2764" i="3"/>
  <c r="T2765" i="3"/>
  <c r="T2766" i="3"/>
  <c r="T2767" i="3"/>
  <c r="T2768" i="3"/>
  <c r="T2769" i="3"/>
  <c r="T2770" i="3"/>
  <c r="T2771" i="3"/>
  <c r="T2772" i="3"/>
  <c r="T2773" i="3"/>
  <c r="T2774" i="3"/>
  <c r="T2775" i="3"/>
  <c r="T2776" i="3"/>
  <c r="T2777" i="3"/>
  <c r="T2778" i="3"/>
  <c r="T2779" i="3"/>
  <c r="T2780" i="3"/>
  <c r="T2781" i="3"/>
  <c r="T2782" i="3"/>
  <c r="T2783" i="3"/>
  <c r="T2784" i="3"/>
  <c r="T2785" i="3"/>
  <c r="T2786" i="3"/>
  <c r="T2787" i="3"/>
  <c r="T2788" i="3"/>
  <c r="T2789" i="3"/>
  <c r="T2790" i="3"/>
  <c r="T2791" i="3"/>
  <c r="T2792" i="3"/>
  <c r="T2793" i="3"/>
  <c r="T2794" i="3"/>
  <c r="T2795" i="3"/>
  <c r="T2796" i="3"/>
  <c r="T2797" i="3"/>
  <c r="T2798" i="3"/>
  <c r="T2799" i="3"/>
  <c r="T2800" i="3"/>
  <c r="T2801" i="3"/>
  <c r="T2802" i="3"/>
  <c r="T2803" i="3"/>
  <c r="T2804" i="3"/>
  <c r="T2805" i="3"/>
  <c r="T2806" i="3"/>
  <c r="T2807" i="3"/>
  <c r="T2808" i="3"/>
  <c r="T2809" i="3"/>
  <c r="T2810" i="3"/>
  <c r="T2811" i="3"/>
  <c r="T2812" i="3"/>
  <c r="T2813" i="3"/>
  <c r="T2814" i="3"/>
  <c r="T2815" i="3"/>
  <c r="T2816" i="3"/>
  <c r="T2817" i="3"/>
  <c r="T2818" i="3"/>
  <c r="T2819" i="3"/>
  <c r="T2820" i="3"/>
  <c r="T2821" i="3"/>
  <c r="T2822" i="3"/>
  <c r="T2823" i="3"/>
  <c r="T2824" i="3"/>
  <c r="T2825" i="3"/>
  <c r="T2826" i="3"/>
  <c r="T2827" i="3"/>
  <c r="T2828" i="3"/>
  <c r="T2829" i="3"/>
  <c r="T2830" i="3"/>
  <c r="T2831" i="3"/>
  <c r="T2832" i="3"/>
  <c r="T2833" i="3"/>
  <c r="T2834" i="3"/>
  <c r="T2835" i="3"/>
  <c r="T2836" i="3"/>
  <c r="T2837" i="3"/>
  <c r="T2838" i="3"/>
  <c r="T2839" i="3"/>
  <c r="T2840" i="3"/>
  <c r="T2841" i="3"/>
  <c r="T2842" i="3"/>
  <c r="T2843" i="3"/>
  <c r="T2844" i="3"/>
  <c r="T2845" i="3"/>
  <c r="T2846" i="3"/>
  <c r="T2847" i="3"/>
  <c r="T2848" i="3"/>
  <c r="T2849" i="3"/>
  <c r="T2850" i="3"/>
  <c r="T2851" i="3"/>
  <c r="T2852" i="3"/>
  <c r="T2853" i="3"/>
  <c r="T2854" i="3"/>
  <c r="T2855" i="3"/>
  <c r="T2856" i="3"/>
  <c r="T2857" i="3"/>
  <c r="T2858" i="3"/>
  <c r="T2859" i="3"/>
  <c r="T2860" i="3"/>
  <c r="T2861" i="3"/>
  <c r="T2862" i="3"/>
  <c r="T2863" i="3"/>
  <c r="T2864" i="3"/>
  <c r="T2865" i="3"/>
  <c r="T2866" i="3"/>
  <c r="T2867" i="3"/>
  <c r="T2868" i="3"/>
  <c r="T2869" i="3"/>
  <c r="T2870" i="3"/>
  <c r="T2871" i="3"/>
  <c r="T2872" i="3"/>
  <c r="T2873" i="3"/>
  <c r="T2874" i="3"/>
  <c r="T2875" i="3"/>
  <c r="T2876" i="3"/>
  <c r="T2877" i="3"/>
  <c r="T2878" i="3"/>
  <c r="T2879" i="3"/>
  <c r="T2880" i="3"/>
  <c r="T2881" i="3"/>
  <c r="T2882" i="3"/>
  <c r="T2883" i="3"/>
  <c r="T2884" i="3"/>
  <c r="T2885" i="3"/>
  <c r="T2886" i="3"/>
  <c r="T2887" i="3"/>
  <c r="T2888" i="3"/>
  <c r="T2889" i="3"/>
  <c r="T2890" i="3"/>
  <c r="T2891" i="3"/>
  <c r="T2892" i="3"/>
  <c r="T2893" i="3"/>
  <c r="T2894" i="3"/>
  <c r="T2895" i="3"/>
  <c r="T2896" i="3"/>
  <c r="T2897" i="3"/>
  <c r="T2898" i="3"/>
  <c r="T2899" i="3"/>
  <c r="T2900" i="3"/>
  <c r="T2901" i="3"/>
  <c r="T2902" i="3"/>
  <c r="T2903" i="3"/>
  <c r="T2904" i="3"/>
  <c r="T2905" i="3"/>
  <c r="T2906" i="3"/>
  <c r="T2907" i="3"/>
  <c r="T2908" i="3"/>
  <c r="T2909" i="3"/>
  <c r="T2910" i="3"/>
  <c r="T2911" i="3"/>
  <c r="T2912" i="3"/>
  <c r="T2913" i="3"/>
  <c r="T2914" i="3"/>
  <c r="T2915" i="3"/>
  <c r="T2916" i="3"/>
  <c r="T2917" i="3"/>
  <c r="T2918" i="3"/>
  <c r="T2919" i="3"/>
  <c r="T2920" i="3"/>
  <c r="T2921" i="3"/>
  <c r="T2922" i="3"/>
  <c r="T2923" i="3"/>
  <c r="T2924" i="3"/>
  <c r="T2925" i="3"/>
  <c r="T2926" i="3"/>
  <c r="T2927" i="3"/>
  <c r="T2928" i="3"/>
  <c r="T2929" i="3"/>
  <c r="T2930" i="3"/>
  <c r="T2931" i="3"/>
  <c r="T2932" i="3"/>
  <c r="T2933" i="3"/>
  <c r="T2934" i="3"/>
  <c r="T2935" i="3"/>
  <c r="T2936" i="3"/>
  <c r="T2937" i="3"/>
  <c r="T2938" i="3"/>
  <c r="T2939" i="3"/>
  <c r="T2940" i="3"/>
  <c r="T2941" i="3"/>
  <c r="T2942" i="3"/>
  <c r="T2943" i="3"/>
  <c r="T2944" i="3"/>
  <c r="T2945" i="3"/>
  <c r="T2946" i="3"/>
  <c r="T2947" i="3"/>
  <c r="T2948" i="3"/>
  <c r="T2949" i="3"/>
  <c r="T2950" i="3"/>
  <c r="T2951" i="3"/>
  <c r="T2952" i="3"/>
  <c r="T2953" i="3"/>
  <c r="T2954" i="3"/>
  <c r="T2955" i="3"/>
  <c r="T2956" i="3"/>
  <c r="T2957" i="3"/>
  <c r="T2958" i="3"/>
  <c r="T2959" i="3"/>
  <c r="T2960" i="3"/>
  <c r="T2961" i="3"/>
  <c r="T2962" i="3"/>
  <c r="T2963" i="3"/>
  <c r="T2964" i="3"/>
  <c r="T2965" i="3"/>
  <c r="T2966" i="3"/>
  <c r="T2967" i="3"/>
  <c r="T2968" i="3"/>
  <c r="T2969" i="3"/>
  <c r="T2970" i="3"/>
  <c r="T2971" i="3"/>
  <c r="T2972" i="3"/>
  <c r="T2973" i="3"/>
  <c r="T2974" i="3"/>
  <c r="T2975" i="3"/>
  <c r="T2976" i="3"/>
  <c r="T2977" i="3"/>
  <c r="T2978" i="3"/>
  <c r="T2979" i="3"/>
  <c r="T2980" i="3"/>
  <c r="T2981" i="3"/>
  <c r="T2982" i="3"/>
  <c r="T2983" i="3"/>
  <c r="T2984" i="3"/>
  <c r="T2985" i="3"/>
  <c r="T2986" i="3"/>
  <c r="T2987" i="3"/>
  <c r="T2988" i="3"/>
  <c r="T2989" i="3"/>
  <c r="T2990" i="3"/>
  <c r="T2991" i="3"/>
  <c r="T2992" i="3"/>
  <c r="T2993" i="3"/>
  <c r="T2994" i="3"/>
  <c r="T2995" i="3"/>
  <c r="T2996" i="3"/>
  <c r="T2997" i="3"/>
  <c r="T2998" i="3"/>
  <c r="T2999" i="3"/>
  <c r="T3000" i="3"/>
  <c r="T3001" i="3"/>
  <c r="T2" i="3"/>
  <c r="G9" i="6"/>
  <c r="G8" i="6"/>
  <c r="G7" i="6"/>
  <c r="G6" i="6"/>
  <c r="G5" i="6"/>
  <c r="G4" i="6"/>
  <c r="G3" i="6"/>
  <c r="G2" i="6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2" i="5"/>
  <c r="S3001" i="3"/>
  <c r="R3001" i="3"/>
  <c r="Q3001" i="3"/>
  <c r="S3000" i="3"/>
  <c r="R3000" i="3"/>
  <c r="Q3000" i="3"/>
  <c r="S2999" i="3"/>
  <c r="R2999" i="3"/>
  <c r="Q2999" i="3"/>
  <c r="S2998" i="3"/>
  <c r="R2998" i="3"/>
  <c r="Q2998" i="3"/>
  <c r="S2997" i="3"/>
  <c r="R2997" i="3"/>
  <c r="Q2997" i="3"/>
  <c r="S2996" i="3"/>
  <c r="R2996" i="3"/>
  <c r="Q2996" i="3"/>
  <c r="S2995" i="3"/>
  <c r="R2995" i="3"/>
  <c r="Q2995" i="3"/>
  <c r="S2994" i="3"/>
  <c r="R2994" i="3"/>
  <c r="Q2994" i="3"/>
  <c r="S2993" i="3"/>
  <c r="R2993" i="3"/>
  <c r="Q2993" i="3"/>
  <c r="S2992" i="3"/>
  <c r="R2992" i="3"/>
  <c r="Q2992" i="3"/>
  <c r="S2991" i="3"/>
  <c r="R2991" i="3"/>
  <c r="Q2991" i="3"/>
  <c r="S2990" i="3"/>
  <c r="R2990" i="3"/>
  <c r="Q2990" i="3"/>
  <c r="S2989" i="3"/>
  <c r="R2989" i="3"/>
  <c r="Q2989" i="3"/>
  <c r="S2988" i="3"/>
  <c r="R2988" i="3"/>
  <c r="Q2988" i="3"/>
  <c r="S2987" i="3"/>
  <c r="R2987" i="3"/>
  <c r="Q2987" i="3"/>
  <c r="S2986" i="3"/>
  <c r="R2986" i="3"/>
  <c r="Q2986" i="3"/>
  <c r="S2985" i="3"/>
  <c r="R2985" i="3"/>
  <c r="Q2985" i="3"/>
  <c r="S2984" i="3"/>
  <c r="R2984" i="3"/>
  <c r="Q2984" i="3"/>
  <c r="S2983" i="3"/>
  <c r="R2983" i="3"/>
  <c r="Q2983" i="3"/>
  <c r="S2982" i="3"/>
  <c r="R2982" i="3"/>
  <c r="Q2982" i="3"/>
  <c r="S2981" i="3"/>
  <c r="R2981" i="3"/>
  <c r="Q2981" i="3"/>
  <c r="S2980" i="3"/>
  <c r="R2980" i="3"/>
  <c r="Q2980" i="3"/>
  <c r="S2979" i="3"/>
  <c r="R2979" i="3"/>
  <c r="Q2979" i="3"/>
  <c r="S2978" i="3"/>
  <c r="R2978" i="3"/>
  <c r="Q2978" i="3"/>
  <c r="S2977" i="3"/>
  <c r="R2977" i="3"/>
  <c r="Q2977" i="3"/>
  <c r="S2976" i="3"/>
  <c r="R2976" i="3"/>
  <c r="Q2976" i="3"/>
  <c r="S2975" i="3"/>
  <c r="R2975" i="3"/>
  <c r="Q2975" i="3"/>
  <c r="S2974" i="3"/>
  <c r="R2974" i="3"/>
  <c r="Q2974" i="3"/>
  <c r="S2973" i="3"/>
  <c r="R2973" i="3"/>
  <c r="Q2973" i="3"/>
  <c r="S2972" i="3"/>
  <c r="R2972" i="3"/>
  <c r="Q2972" i="3"/>
  <c r="S2971" i="3"/>
  <c r="R2971" i="3"/>
  <c r="Q2971" i="3"/>
  <c r="S2970" i="3"/>
  <c r="R2970" i="3"/>
  <c r="Q2970" i="3"/>
  <c r="S2969" i="3"/>
  <c r="R2969" i="3"/>
  <c r="Q2969" i="3"/>
  <c r="S2968" i="3"/>
  <c r="R2968" i="3"/>
  <c r="Q2968" i="3"/>
  <c r="S2967" i="3"/>
  <c r="R2967" i="3"/>
  <c r="Q2967" i="3"/>
  <c r="S2966" i="3"/>
  <c r="R2966" i="3"/>
  <c r="Q2966" i="3"/>
  <c r="S2965" i="3"/>
  <c r="R2965" i="3"/>
  <c r="Q2965" i="3"/>
  <c r="S2964" i="3"/>
  <c r="R2964" i="3"/>
  <c r="Q2964" i="3"/>
  <c r="S2963" i="3"/>
  <c r="R2963" i="3"/>
  <c r="Q2963" i="3"/>
  <c r="S2962" i="3"/>
  <c r="R2962" i="3"/>
  <c r="Q2962" i="3"/>
  <c r="S2961" i="3"/>
  <c r="R2961" i="3"/>
  <c r="Q2961" i="3"/>
  <c r="S2960" i="3"/>
  <c r="R2960" i="3"/>
  <c r="Q2960" i="3"/>
  <c r="S2959" i="3"/>
  <c r="R2959" i="3"/>
  <c r="Q2959" i="3"/>
  <c r="S2958" i="3"/>
  <c r="R2958" i="3"/>
  <c r="Q2958" i="3"/>
  <c r="S2957" i="3"/>
  <c r="R2957" i="3"/>
  <c r="Q2957" i="3"/>
  <c r="S2956" i="3"/>
  <c r="R2956" i="3"/>
  <c r="Q2956" i="3"/>
  <c r="S2955" i="3"/>
  <c r="R2955" i="3"/>
  <c r="Q2955" i="3"/>
  <c r="S2954" i="3"/>
  <c r="R2954" i="3"/>
  <c r="Q2954" i="3"/>
  <c r="S2953" i="3"/>
  <c r="R2953" i="3"/>
  <c r="Q2953" i="3"/>
  <c r="S2952" i="3"/>
  <c r="R2952" i="3"/>
  <c r="Q2952" i="3"/>
  <c r="S2951" i="3"/>
  <c r="R2951" i="3"/>
  <c r="Q2951" i="3"/>
  <c r="S2950" i="3"/>
  <c r="R2950" i="3"/>
  <c r="Q2950" i="3"/>
  <c r="S2949" i="3"/>
  <c r="R2949" i="3"/>
  <c r="Q2949" i="3"/>
  <c r="S2948" i="3"/>
  <c r="R2948" i="3"/>
  <c r="Q2948" i="3"/>
  <c r="S2947" i="3"/>
  <c r="R2947" i="3"/>
  <c r="Q2947" i="3"/>
  <c r="S2946" i="3"/>
  <c r="R2946" i="3"/>
  <c r="Q2946" i="3"/>
  <c r="S2945" i="3"/>
  <c r="R2945" i="3"/>
  <c r="Q2945" i="3"/>
  <c r="S2944" i="3"/>
  <c r="R2944" i="3"/>
  <c r="Q2944" i="3"/>
  <c r="S2943" i="3"/>
  <c r="R2943" i="3"/>
  <c r="Q2943" i="3"/>
  <c r="S2942" i="3"/>
  <c r="R2942" i="3"/>
  <c r="Q2942" i="3"/>
  <c r="S2941" i="3"/>
  <c r="R2941" i="3"/>
  <c r="Q2941" i="3"/>
  <c r="S2940" i="3"/>
  <c r="R2940" i="3"/>
  <c r="Q2940" i="3"/>
  <c r="S2939" i="3"/>
  <c r="R2939" i="3"/>
  <c r="Q2939" i="3"/>
  <c r="S2938" i="3"/>
  <c r="R2938" i="3"/>
  <c r="Q2938" i="3"/>
  <c r="S2937" i="3"/>
  <c r="R2937" i="3"/>
  <c r="Q2937" i="3"/>
  <c r="S2936" i="3"/>
  <c r="R2936" i="3"/>
  <c r="Q2936" i="3"/>
  <c r="S2935" i="3"/>
  <c r="R2935" i="3"/>
  <c r="Q2935" i="3"/>
  <c r="S2934" i="3"/>
  <c r="R2934" i="3"/>
  <c r="Q2934" i="3"/>
  <c r="S2933" i="3"/>
  <c r="R2933" i="3"/>
  <c r="Q2933" i="3"/>
  <c r="S2932" i="3"/>
  <c r="R2932" i="3"/>
  <c r="Q2932" i="3"/>
  <c r="S2931" i="3"/>
  <c r="R2931" i="3"/>
  <c r="Q2931" i="3"/>
  <c r="S2930" i="3"/>
  <c r="R2930" i="3"/>
  <c r="Q2930" i="3"/>
  <c r="S2929" i="3"/>
  <c r="R2929" i="3"/>
  <c r="Q2929" i="3"/>
  <c r="S2928" i="3"/>
  <c r="R2928" i="3"/>
  <c r="Q2928" i="3"/>
  <c r="S2927" i="3"/>
  <c r="R2927" i="3"/>
  <c r="Q2927" i="3"/>
  <c r="S2926" i="3"/>
  <c r="R2926" i="3"/>
  <c r="Q2926" i="3"/>
  <c r="S2925" i="3"/>
  <c r="R2925" i="3"/>
  <c r="Q2925" i="3"/>
  <c r="S2924" i="3"/>
  <c r="R2924" i="3"/>
  <c r="Q2924" i="3"/>
  <c r="S2923" i="3"/>
  <c r="R2923" i="3"/>
  <c r="Q2923" i="3"/>
  <c r="S2922" i="3"/>
  <c r="R2922" i="3"/>
  <c r="Q2922" i="3"/>
  <c r="S2921" i="3"/>
  <c r="R2921" i="3"/>
  <c r="Q2921" i="3"/>
  <c r="S2920" i="3"/>
  <c r="R2920" i="3"/>
  <c r="Q2920" i="3"/>
  <c r="S2919" i="3"/>
  <c r="R2919" i="3"/>
  <c r="Q2919" i="3"/>
  <c r="S2918" i="3"/>
  <c r="R2918" i="3"/>
  <c r="Q2918" i="3"/>
  <c r="S2917" i="3"/>
  <c r="R2917" i="3"/>
  <c r="Q2917" i="3"/>
  <c r="S2916" i="3"/>
  <c r="R2916" i="3"/>
  <c r="Q2916" i="3"/>
  <c r="S2915" i="3"/>
  <c r="R2915" i="3"/>
  <c r="Q2915" i="3"/>
  <c r="S2914" i="3"/>
  <c r="R2914" i="3"/>
  <c r="Q2914" i="3"/>
  <c r="S2913" i="3"/>
  <c r="R2913" i="3"/>
  <c r="Q2913" i="3"/>
  <c r="S2912" i="3"/>
  <c r="R2912" i="3"/>
  <c r="Q2912" i="3"/>
  <c r="S2911" i="3"/>
  <c r="R2911" i="3"/>
  <c r="Q2911" i="3"/>
  <c r="S2910" i="3"/>
  <c r="R2910" i="3"/>
  <c r="Q2910" i="3"/>
  <c r="S2909" i="3"/>
  <c r="R2909" i="3"/>
  <c r="Q2909" i="3"/>
  <c r="S2908" i="3"/>
  <c r="R2908" i="3"/>
  <c r="Q2908" i="3"/>
  <c r="S2907" i="3"/>
  <c r="R2907" i="3"/>
  <c r="Q2907" i="3"/>
  <c r="S2906" i="3"/>
  <c r="R2906" i="3"/>
  <c r="Q2906" i="3"/>
  <c r="S2905" i="3"/>
  <c r="R2905" i="3"/>
  <c r="Q2905" i="3"/>
  <c r="S2904" i="3"/>
  <c r="R2904" i="3"/>
  <c r="Q2904" i="3"/>
  <c r="S2903" i="3"/>
  <c r="R2903" i="3"/>
  <c r="Q2903" i="3"/>
  <c r="S2902" i="3"/>
  <c r="R2902" i="3"/>
  <c r="Q2902" i="3"/>
  <c r="S2901" i="3"/>
  <c r="R2901" i="3"/>
  <c r="Q2901" i="3"/>
  <c r="S2900" i="3"/>
  <c r="R2900" i="3"/>
  <c r="Q2900" i="3"/>
  <c r="S2899" i="3"/>
  <c r="R2899" i="3"/>
  <c r="Q2899" i="3"/>
  <c r="S2898" i="3"/>
  <c r="R2898" i="3"/>
  <c r="Q2898" i="3"/>
  <c r="S2897" i="3"/>
  <c r="R2897" i="3"/>
  <c r="Q2897" i="3"/>
  <c r="S2896" i="3"/>
  <c r="R2896" i="3"/>
  <c r="Q2896" i="3"/>
  <c r="S2895" i="3"/>
  <c r="R2895" i="3"/>
  <c r="Q2895" i="3"/>
  <c r="S2894" i="3"/>
  <c r="R2894" i="3"/>
  <c r="Q2894" i="3"/>
  <c r="S2893" i="3"/>
  <c r="R2893" i="3"/>
  <c r="Q2893" i="3"/>
  <c r="S2892" i="3"/>
  <c r="R2892" i="3"/>
  <c r="Q2892" i="3"/>
  <c r="S2891" i="3"/>
  <c r="R2891" i="3"/>
  <c r="Q2891" i="3"/>
  <c r="S2890" i="3"/>
  <c r="R2890" i="3"/>
  <c r="Q2890" i="3"/>
  <c r="S2889" i="3"/>
  <c r="R2889" i="3"/>
  <c r="Q2889" i="3"/>
  <c r="S2888" i="3"/>
  <c r="R2888" i="3"/>
  <c r="Q2888" i="3"/>
  <c r="S2887" i="3"/>
  <c r="R2887" i="3"/>
  <c r="Q2887" i="3"/>
  <c r="S2886" i="3"/>
  <c r="R2886" i="3"/>
  <c r="Q2886" i="3"/>
  <c r="S2885" i="3"/>
  <c r="R2885" i="3"/>
  <c r="Q2885" i="3"/>
  <c r="S2884" i="3"/>
  <c r="R2884" i="3"/>
  <c r="Q2884" i="3"/>
  <c r="S2883" i="3"/>
  <c r="R2883" i="3"/>
  <c r="Q2883" i="3"/>
  <c r="S2882" i="3"/>
  <c r="R2882" i="3"/>
  <c r="Q2882" i="3"/>
  <c r="S2881" i="3"/>
  <c r="R2881" i="3"/>
  <c r="Q2881" i="3"/>
  <c r="S2880" i="3"/>
  <c r="R2880" i="3"/>
  <c r="Q2880" i="3"/>
  <c r="S2879" i="3"/>
  <c r="R2879" i="3"/>
  <c r="Q2879" i="3"/>
  <c r="S2878" i="3"/>
  <c r="R2878" i="3"/>
  <c r="Q2878" i="3"/>
  <c r="S2877" i="3"/>
  <c r="R2877" i="3"/>
  <c r="Q2877" i="3"/>
  <c r="S2876" i="3"/>
  <c r="R2876" i="3"/>
  <c r="Q2876" i="3"/>
  <c r="S2875" i="3"/>
  <c r="R2875" i="3"/>
  <c r="Q2875" i="3"/>
  <c r="S2874" i="3"/>
  <c r="R2874" i="3"/>
  <c r="Q2874" i="3"/>
  <c r="S2873" i="3"/>
  <c r="R2873" i="3"/>
  <c r="Q2873" i="3"/>
  <c r="S2872" i="3"/>
  <c r="R2872" i="3"/>
  <c r="Q2872" i="3"/>
  <c r="S2871" i="3"/>
  <c r="R2871" i="3"/>
  <c r="Q2871" i="3"/>
  <c r="S2870" i="3"/>
  <c r="R2870" i="3"/>
  <c r="Q2870" i="3"/>
  <c r="S2869" i="3"/>
  <c r="R2869" i="3"/>
  <c r="Q2869" i="3"/>
  <c r="S2868" i="3"/>
  <c r="R2868" i="3"/>
  <c r="Q2868" i="3"/>
  <c r="S2867" i="3"/>
  <c r="R2867" i="3"/>
  <c r="Q2867" i="3"/>
  <c r="S2866" i="3"/>
  <c r="R2866" i="3"/>
  <c r="Q2866" i="3"/>
  <c r="S2865" i="3"/>
  <c r="R2865" i="3"/>
  <c r="Q2865" i="3"/>
  <c r="S2864" i="3"/>
  <c r="R2864" i="3"/>
  <c r="Q2864" i="3"/>
  <c r="S2863" i="3"/>
  <c r="R2863" i="3"/>
  <c r="Q2863" i="3"/>
  <c r="S2862" i="3"/>
  <c r="R2862" i="3"/>
  <c r="Q2862" i="3"/>
  <c r="S2861" i="3"/>
  <c r="R2861" i="3"/>
  <c r="Q2861" i="3"/>
  <c r="S2860" i="3"/>
  <c r="R2860" i="3"/>
  <c r="Q2860" i="3"/>
  <c r="S2859" i="3"/>
  <c r="R2859" i="3"/>
  <c r="Q2859" i="3"/>
  <c r="S2858" i="3"/>
  <c r="R2858" i="3"/>
  <c r="Q2858" i="3"/>
  <c r="S2857" i="3"/>
  <c r="R2857" i="3"/>
  <c r="Q2857" i="3"/>
  <c r="S2856" i="3"/>
  <c r="R2856" i="3"/>
  <c r="Q2856" i="3"/>
  <c r="S2855" i="3"/>
  <c r="R2855" i="3"/>
  <c r="Q2855" i="3"/>
  <c r="S2854" i="3"/>
  <c r="R2854" i="3"/>
  <c r="Q2854" i="3"/>
  <c r="S2853" i="3"/>
  <c r="R2853" i="3"/>
  <c r="Q2853" i="3"/>
  <c r="S2852" i="3"/>
  <c r="R2852" i="3"/>
  <c r="Q2852" i="3"/>
  <c r="S2851" i="3"/>
  <c r="R2851" i="3"/>
  <c r="Q2851" i="3"/>
  <c r="S2850" i="3"/>
  <c r="R2850" i="3"/>
  <c r="Q2850" i="3"/>
  <c r="S2849" i="3"/>
  <c r="R2849" i="3"/>
  <c r="Q2849" i="3"/>
  <c r="S2848" i="3"/>
  <c r="R2848" i="3"/>
  <c r="Q2848" i="3"/>
  <c r="S2847" i="3"/>
  <c r="R2847" i="3"/>
  <c r="Q2847" i="3"/>
  <c r="S2846" i="3"/>
  <c r="R2846" i="3"/>
  <c r="Q2846" i="3"/>
  <c r="S2845" i="3"/>
  <c r="R2845" i="3"/>
  <c r="Q2845" i="3"/>
  <c r="S2844" i="3"/>
  <c r="R2844" i="3"/>
  <c r="Q2844" i="3"/>
  <c r="S2843" i="3"/>
  <c r="R2843" i="3"/>
  <c r="Q2843" i="3"/>
  <c r="S2842" i="3"/>
  <c r="R2842" i="3"/>
  <c r="Q2842" i="3"/>
  <c r="S2841" i="3"/>
  <c r="R2841" i="3"/>
  <c r="Q2841" i="3"/>
  <c r="S2840" i="3"/>
  <c r="R2840" i="3"/>
  <c r="Q2840" i="3"/>
  <c r="S2839" i="3"/>
  <c r="R2839" i="3"/>
  <c r="Q2839" i="3"/>
  <c r="S2838" i="3"/>
  <c r="R2838" i="3"/>
  <c r="Q2838" i="3"/>
  <c r="S2837" i="3"/>
  <c r="R2837" i="3"/>
  <c r="Q2837" i="3"/>
  <c r="S2836" i="3"/>
  <c r="R2836" i="3"/>
  <c r="Q2836" i="3"/>
  <c r="S2835" i="3"/>
  <c r="R2835" i="3"/>
  <c r="Q2835" i="3"/>
  <c r="S2834" i="3"/>
  <c r="R2834" i="3"/>
  <c r="Q2834" i="3"/>
  <c r="S2833" i="3"/>
  <c r="R2833" i="3"/>
  <c r="Q2833" i="3"/>
  <c r="S2832" i="3"/>
  <c r="R2832" i="3"/>
  <c r="Q2832" i="3"/>
  <c r="S2831" i="3"/>
  <c r="R2831" i="3"/>
  <c r="Q2831" i="3"/>
  <c r="S2830" i="3"/>
  <c r="R2830" i="3"/>
  <c r="Q2830" i="3"/>
  <c r="S2829" i="3"/>
  <c r="R2829" i="3"/>
  <c r="Q2829" i="3"/>
  <c r="S2828" i="3"/>
  <c r="R2828" i="3"/>
  <c r="Q2828" i="3"/>
  <c r="S2827" i="3"/>
  <c r="R2827" i="3"/>
  <c r="Q2827" i="3"/>
  <c r="S2826" i="3"/>
  <c r="R2826" i="3"/>
  <c r="Q2826" i="3"/>
  <c r="S2825" i="3"/>
  <c r="R2825" i="3"/>
  <c r="Q2825" i="3"/>
  <c r="S2824" i="3"/>
  <c r="R2824" i="3"/>
  <c r="Q2824" i="3"/>
  <c r="S2823" i="3"/>
  <c r="R2823" i="3"/>
  <c r="Q2823" i="3"/>
  <c r="S2822" i="3"/>
  <c r="R2822" i="3"/>
  <c r="Q2822" i="3"/>
  <c r="S2821" i="3"/>
  <c r="R2821" i="3"/>
  <c r="Q2821" i="3"/>
  <c r="S2820" i="3"/>
  <c r="R2820" i="3"/>
  <c r="Q2820" i="3"/>
  <c r="S2819" i="3"/>
  <c r="R2819" i="3"/>
  <c r="Q2819" i="3"/>
  <c r="S2818" i="3"/>
  <c r="R2818" i="3"/>
  <c r="Q2818" i="3"/>
  <c r="S2817" i="3"/>
  <c r="R2817" i="3"/>
  <c r="Q2817" i="3"/>
  <c r="S2816" i="3"/>
  <c r="R2816" i="3"/>
  <c r="Q2816" i="3"/>
  <c r="S2815" i="3"/>
  <c r="R2815" i="3"/>
  <c r="Q2815" i="3"/>
  <c r="S2814" i="3"/>
  <c r="R2814" i="3"/>
  <c r="Q2814" i="3"/>
  <c r="S2813" i="3"/>
  <c r="R2813" i="3"/>
  <c r="Q2813" i="3"/>
  <c r="S2812" i="3"/>
  <c r="R2812" i="3"/>
  <c r="Q2812" i="3"/>
  <c r="S2811" i="3"/>
  <c r="R2811" i="3"/>
  <c r="Q2811" i="3"/>
  <c r="S2810" i="3"/>
  <c r="R2810" i="3"/>
  <c r="Q2810" i="3"/>
  <c r="S2809" i="3"/>
  <c r="R2809" i="3"/>
  <c r="Q2809" i="3"/>
  <c r="S2808" i="3"/>
  <c r="R2808" i="3"/>
  <c r="Q2808" i="3"/>
  <c r="S2807" i="3"/>
  <c r="R2807" i="3"/>
  <c r="Q2807" i="3"/>
  <c r="S2806" i="3"/>
  <c r="R2806" i="3"/>
  <c r="Q2806" i="3"/>
  <c r="S2805" i="3"/>
  <c r="R2805" i="3"/>
  <c r="Q2805" i="3"/>
  <c r="S2804" i="3"/>
  <c r="R2804" i="3"/>
  <c r="Q2804" i="3"/>
  <c r="S2803" i="3"/>
  <c r="R2803" i="3"/>
  <c r="Q2803" i="3"/>
  <c r="S2802" i="3"/>
  <c r="R2802" i="3"/>
  <c r="Q2802" i="3"/>
  <c r="S2801" i="3"/>
  <c r="R2801" i="3"/>
  <c r="Q2801" i="3"/>
  <c r="S2800" i="3"/>
  <c r="R2800" i="3"/>
  <c r="Q2800" i="3"/>
  <c r="S2799" i="3"/>
  <c r="R2799" i="3"/>
  <c r="Q2799" i="3"/>
  <c r="S2798" i="3"/>
  <c r="R2798" i="3"/>
  <c r="Q2798" i="3"/>
  <c r="S2797" i="3"/>
  <c r="R2797" i="3"/>
  <c r="Q2797" i="3"/>
  <c r="S2796" i="3"/>
  <c r="R2796" i="3"/>
  <c r="Q2796" i="3"/>
  <c r="S2795" i="3"/>
  <c r="R2795" i="3"/>
  <c r="Q2795" i="3"/>
  <c r="S2794" i="3"/>
  <c r="R2794" i="3"/>
  <c r="Q2794" i="3"/>
  <c r="S2793" i="3"/>
  <c r="R2793" i="3"/>
  <c r="Q2793" i="3"/>
  <c r="S2792" i="3"/>
  <c r="R2792" i="3"/>
  <c r="Q2792" i="3"/>
  <c r="S2791" i="3"/>
  <c r="R2791" i="3"/>
  <c r="Q2791" i="3"/>
  <c r="S2790" i="3"/>
  <c r="R2790" i="3"/>
  <c r="Q2790" i="3"/>
  <c r="S2789" i="3"/>
  <c r="R2789" i="3"/>
  <c r="Q2789" i="3"/>
  <c r="S2788" i="3"/>
  <c r="R2788" i="3"/>
  <c r="Q2788" i="3"/>
  <c r="S2787" i="3"/>
  <c r="R2787" i="3"/>
  <c r="Q2787" i="3"/>
  <c r="S2786" i="3"/>
  <c r="R2786" i="3"/>
  <c r="Q2786" i="3"/>
  <c r="S2785" i="3"/>
  <c r="R2785" i="3"/>
  <c r="Q2785" i="3"/>
  <c r="S2784" i="3"/>
  <c r="R2784" i="3"/>
  <c r="Q2784" i="3"/>
  <c r="S2783" i="3"/>
  <c r="R2783" i="3"/>
  <c r="Q2783" i="3"/>
  <c r="S2782" i="3"/>
  <c r="R2782" i="3"/>
  <c r="Q2782" i="3"/>
  <c r="S2781" i="3"/>
  <c r="R2781" i="3"/>
  <c r="Q2781" i="3"/>
  <c r="S2780" i="3"/>
  <c r="R2780" i="3"/>
  <c r="Q2780" i="3"/>
  <c r="S2779" i="3"/>
  <c r="R2779" i="3"/>
  <c r="Q2779" i="3"/>
  <c r="S2778" i="3"/>
  <c r="R2778" i="3"/>
  <c r="Q2778" i="3"/>
  <c r="S2777" i="3"/>
  <c r="R2777" i="3"/>
  <c r="Q2777" i="3"/>
  <c r="S2776" i="3"/>
  <c r="R2776" i="3"/>
  <c r="Q2776" i="3"/>
  <c r="S2775" i="3"/>
  <c r="R2775" i="3"/>
  <c r="Q2775" i="3"/>
  <c r="S2774" i="3"/>
  <c r="R2774" i="3"/>
  <c r="Q2774" i="3"/>
  <c r="S2773" i="3"/>
  <c r="R2773" i="3"/>
  <c r="Q2773" i="3"/>
  <c r="S2772" i="3"/>
  <c r="R2772" i="3"/>
  <c r="Q2772" i="3"/>
  <c r="S2771" i="3"/>
  <c r="R2771" i="3"/>
  <c r="Q2771" i="3"/>
  <c r="S2770" i="3"/>
  <c r="R2770" i="3"/>
  <c r="Q2770" i="3"/>
  <c r="S2769" i="3"/>
  <c r="R2769" i="3"/>
  <c r="Q2769" i="3"/>
  <c r="S2768" i="3"/>
  <c r="R2768" i="3"/>
  <c r="Q2768" i="3"/>
  <c r="S2767" i="3"/>
  <c r="R2767" i="3"/>
  <c r="Q2767" i="3"/>
  <c r="S2766" i="3"/>
  <c r="R2766" i="3"/>
  <c r="Q2766" i="3"/>
  <c r="S2765" i="3"/>
  <c r="R2765" i="3"/>
  <c r="Q2765" i="3"/>
  <c r="S2764" i="3"/>
  <c r="R2764" i="3"/>
  <c r="Q2764" i="3"/>
  <c r="S2763" i="3"/>
  <c r="R2763" i="3"/>
  <c r="Q2763" i="3"/>
  <c r="S2762" i="3"/>
  <c r="R2762" i="3"/>
  <c r="Q2762" i="3"/>
  <c r="S2761" i="3"/>
  <c r="R2761" i="3"/>
  <c r="Q2761" i="3"/>
  <c r="S2760" i="3"/>
  <c r="R2760" i="3"/>
  <c r="Q2760" i="3"/>
  <c r="S2759" i="3"/>
  <c r="R2759" i="3"/>
  <c r="Q2759" i="3"/>
  <c r="S2758" i="3"/>
  <c r="R2758" i="3"/>
  <c r="Q2758" i="3"/>
  <c r="S2757" i="3"/>
  <c r="R2757" i="3"/>
  <c r="Q2757" i="3"/>
  <c r="S2756" i="3"/>
  <c r="R2756" i="3"/>
  <c r="Q2756" i="3"/>
  <c r="S2755" i="3"/>
  <c r="R2755" i="3"/>
  <c r="Q2755" i="3"/>
  <c r="S2754" i="3"/>
  <c r="R2754" i="3"/>
  <c r="Q2754" i="3"/>
  <c r="S2753" i="3"/>
  <c r="R2753" i="3"/>
  <c r="Q2753" i="3"/>
  <c r="S2752" i="3"/>
  <c r="R2752" i="3"/>
  <c r="Q2752" i="3"/>
  <c r="S2751" i="3"/>
  <c r="R2751" i="3"/>
  <c r="Q2751" i="3"/>
  <c r="S2750" i="3"/>
  <c r="R2750" i="3"/>
  <c r="Q2750" i="3"/>
  <c r="S2749" i="3"/>
  <c r="R2749" i="3"/>
  <c r="Q2749" i="3"/>
  <c r="S2748" i="3"/>
  <c r="R2748" i="3"/>
  <c r="Q2748" i="3"/>
  <c r="S2747" i="3"/>
  <c r="R2747" i="3"/>
  <c r="Q2747" i="3"/>
  <c r="S2746" i="3"/>
  <c r="R2746" i="3"/>
  <c r="Q2746" i="3"/>
  <c r="S2745" i="3"/>
  <c r="R2745" i="3"/>
  <c r="Q2745" i="3"/>
  <c r="S2744" i="3"/>
  <c r="R2744" i="3"/>
  <c r="Q2744" i="3"/>
  <c r="S2743" i="3"/>
  <c r="R2743" i="3"/>
  <c r="Q2743" i="3"/>
  <c r="S2742" i="3"/>
  <c r="R2742" i="3"/>
  <c r="Q2742" i="3"/>
  <c r="S2741" i="3"/>
  <c r="R2741" i="3"/>
  <c r="Q2741" i="3"/>
  <c r="S2740" i="3"/>
  <c r="R2740" i="3"/>
  <c r="Q2740" i="3"/>
  <c r="S2739" i="3"/>
  <c r="R2739" i="3"/>
  <c r="Q2739" i="3"/>
  <c r="S2738" i="3"/>
  <c r="R2738" i="3"/>
  <c r="Q2738" i="3"/>
  <c r="S2737" i="3"/>
  <c r="R2737" i="3"/>
  <c r="Q2737" i="3"/>
  <c r="S2736" i="3"/>
  <c r="R2736" i="3"/>
  <c r="Q2736" i="3"/>
  <c r="S2735" i="3"/>
  <c r="R2735" i="3"/>
  <c r="Q2735" i="3"/>
  <c r="S2734" i="3"/>
  <c r="R2734" i="3"/>
  <c r="Q2734" i="3"/>
  <c r="S2733" i="3"/>
  <c r="R2733" i="3"/>
  <c r="Q2733" i="3"/>
  <c r="S2732" i="3"/>
  <c r="R2732" i="3"/>
  <c r="Q2732" i="3"/>
  <c r="S2731" i="3"/>
  <c r="R2731" i="3"/>
  <c r="Q2731" i="3"/>
  <c r="S2730" i="3"/>
  <c r="R2730" i="3"/>
  <c r="Q2730" i="3"/>
  <c r="S2729" i="3"/>
  <c r="R2729" i="3"/>
  <c r="Q2729" i="3"/>
  <c r="S2728" i="3"/>
  <c r="R2728" i="3"/>
  <c r="Q2728" i="3"/>
  <c r="S2727" i="3"/>
  <c r="R2727" i="3"/>
  <c r="Q2727" i="3"/>
  <c r="S2726" i="3"/>
  <c r="R2726" i="3"/>
  <c r="Q2726" i="3"/>
  <c r="S2725" i="3"/>
  <c r="R2725" i="3"/>
  <c r="Q2725" i="3"/>
  <c r="S2724" i="3"/>
  <c r="R2724" i="3"/>
  <c r="Q2724" i="3"/>
  <c r="S2723" i="3"/>
  <c r="R2723" i="3"/>
  <c r="Q2723" i="3"/>
  <c r="S2722" i="3"/>
  <c r="R2722" i="3"/>
  <c r="Q2722" i="3"/>
  <c r="S2721" i="3"/>
  <c r="R2721" i="3"/>
  <c r="Q2721" i="3"/>
  <c r="S2720" i="3"/>
  <c r="R2720" i="3"/>
  <c r="Q2720" i="3"/>
  <c r="S2719" i="3"/>
  <c r="R2719" i="3"/>
  <c r="Q2719" i="3"/>
  <c r="S2718" i="3"/>
  <c r="R2718" i="3"/>
  <c r="Q2718" i="3"/>
  <c r="S2717" i="3"/>
  <c r="R2717" i="3"/>
  <c r="Q2717" i="3"/>
  <c r="S2716" i="3"/>
  <c r="R2716" i="3"/>
  <c r="Q2716" i="3"/>
  <c r="S2715" i="3"/>
  <c r="R2715" i="3"/>
  <c r="Q2715" i="3"/>
  <c r="S2714" i="3"/>
  <c r="R2714" i="3"/>
  <c r="Q2714" i="3"/>
  <c r="S2713" i="3"/>
  <c r="R2713" i="3"/>
  <c r="Q2713" i="3"/>
  <c r="S2712" i="3"/>
  <c r="R2712" i="3"/>
  <c r="Q2712" i="3"/>
  <c r="S2711" i="3"/>
  <c r="R2711" i="3"/>
  <c r="Q2711" i="3"/>
  <c r="S2710" i="3"/>
  <c r="R2710" i="3"/>
  <c r="Q2710" i="3"/>
  <c r="S2709" i="3"/>
  <c r="R2709" i="3"/>
  <c r="Q2709" i="3"/>
  <c r="S2708" i="3"/>
  <c r="R2708" i="3"/>
  <c r="Q2708" i="3"/>
  <c r="S2707" i="3"/>
  <c r="R2707" i="3"/>
  <c r="Q2707" i="3"/>
  <c r="S2706" i="3"/>
  <c r="R2706" i="3"/>
  <c r="Q2706" i="3"/>
  <c r="S2705" i="3"/>
  <c r="R2705" i="3"/>
  <c r="Q2705" i="3"/>
  <c r="S2704" i="3"/>
  <c r="R2704" i="3"/>
  <c r="Q2704" i="3"/>
  <c r="S2703" i="3"/>
  <c r="R2703" i="3"/>
  <c r="Q2703" i="3"/>
  <c r="S2702" i="3"/>
  <c r="R2702" i="3"/>
  <c r="Q2702" i="3"/>
  <c r="S2701" i="3"/>
  <c r="R2701" i="3"/>
  <c r="Q2701" i="3"/>
  <c r="S2700" i="3"/>
  <c r="R2700" i="3"/>
  <c r="Q2700" i="3"/>
  <c r="S2699" i="3"/>
  <c r="R2699" i="3"/>
  <c r="Q2699" i="3"/>
  <c r="S2698" i="3"/>
  <c r="R2698" i="3"/>
  <c r="Q2698" i="3"/>
  <c r="S2697" i="3"/>
  <c r="R2697" i="3"/>
  <c r="Q2697" i="3"/>
  <c r="S2696" i="3"/>
  <c r="R2696" i="3"/>
  <c r="Q2696" i="3"/>
  <c r="S2695" i="3"/>
  <c r="R2695" i="3"/>
  <c r="Q2695" i="3"/>
  <c r="S2694" i="3"/>
  <c r="R2694" i="3"/>
  <c r="Q2694" i="3"/>
  <c r="S2693" i="3"/>
  <c r="R2693" i="3"/>
  <c r="Q2693" i="3"/>
  <c r="S2692" i="3"/>
  <c r="R2692" i="3"/>
  <c r="Q2692" i="3"/>
  <c r="S2691" i="3"/>
  <c r="R2691" i="3"/>
  <c r="Q2691" i="3"/>
  <c r="S2690" i="3"/>
  <c r="R2690" i="3"/>
  <c r="Q2690" i="3"/>
  <c r="S2689" i="3"/>
  <c r="R2689" i="3"/>
  <c r="Q2689" i="3"/>
  <c r="S2688" i="3"/>
  <c r="R2688" i="3"/>
  <c r="Q2688" i="3"/>
  <c r="S2687" i="3"/>
  <c r="R2687" i="3"/>
  <c r="Q2687" i="3"/>
  <c r="S2686" i="3"/>
  <c r="R2686" i="3"/>
  <c r="Q2686" i="3"/>
  <c r="S2685" i="3"/>
  <c r="R2685" i="3"/>
  <c r="Q2685" i="3"/>
  <c r="S2684" i="3"/>
  <c r="R2684" i="3"/>
  <c r="Q2684" i="3"/>
  <c r="S2683" i="3"/>
  <c r="R2683" i="3"/>
  <c r="Q2683" i="3"/>
  <c r="S2682" i="3"/>
  <c r="R2682" i="3"/>
  <c r="Q2682" i="3"/>
  <c r="S2681" i="3"/>
  <c r="R2681" i="3"/>
  <c r="Q2681" i="3"/>
  <c r="S2680" i="3"/>
  <c r="R2680" i="3"/>
  <c r="Q2680" i="3"/>
  <c r="S2679" i="3"/>
  <c r="R2679" i="3"/>
  <c r="Q2679" i="3"/>
  <c r="S2678" i="3"/>
  <c r="R2678" i="3"/>
  <c r="Q2678" i="3"/>
  <c r="S2677" i="3"/>
  <c r="R2677" i="3"/>
  <c r="Q2677" i="3"/>
  <c r="S2676" i="3"/>
  <c r="R2676" i="3"/>
  <c r="Q2676" i="3"/>
  <c r="S2675" i="3"/>
  <c r="R2675" i="3"/>
  <c r="Q2675" i="3"/>
  <c r="S2674" i="3"/>
  <c r="R2674" i="3"/>
  <c r="Q2674" i="3"/>
  <c r="S2673" i="3"/>
  <c r="R2673" i="3"/>
  <c r="Q2673" i="3"/>
  <c r="S2672" i="3"/>
  <c r="R2672" i="3"/>
  <c r="Q2672" i="3"/>
  <c r="S2671" i="3"/>
  <c r="R2671" i="3"/>
  <c r="Q2671" i="3"/>
  <c r="S2670" i="3"/>
  <c r="R2670" i="3"/>
  <c r="Q2670" i="3"/>
  <c r="S2669" i="3"/>
  <c r="R2669" i="3"/>
  <c r="Q2669" i="3"/>
  <c r="S2668" i="3"/>
  <c r="R2668" i="3"/>
  <c r="Q2668" i="3"/>
  <c r="S2667" i="3"/>
  <c r="R2667" i="3"/>
  <c r="Q2667" i="3"/>
  <c r="S2666" i="3"/>
  <c r="R2666" i="3"/>
  <c r="Q2666" i="3"/>
  <c r="S2665" i="3"/>
  <c r="R2665" i="3"/>
  <c r="Q2665" i="3"/>
  <c r="S2664" i="3"/>
  <c r="R2664" i="3"/>
  <c r="Q2664" i="3"/>
  <c r="S2663" i="3"/>
  <c r="R2663" i="3"/>
  <c r="Q2663" i="3"/>
  <c r="S2662" i="3"/>
  <c r="R2662" i="3"/>
  <c r="Q2662" i="3"/>
  <c r="S2661" i="3"/>
  <c r="R2661" i="3"/>
  <c r="Q2661" i="3"/>
  <c r="S2660" i="3"/>
  <c r="R2660" i="3"/>
  <c r="Q2660" i="3"/>
  <c r="S2659" i="3"/>
  <c r="R2659" i="3"/>
  <c r="Q2659" i="3"/>
  <c r="S2658" i="3"/>
  <c r="R2658" i="3"/>
  <c r="Q2658" i="3"/>
  <c r="S2657" i="3"/>
  <c r="R2657" i="3"/>
  <c r="Q2657" i="3"/>
  <c r="S2656" i="3"/>
  <c r="R2656" i="3"/>
  <c r="Q2656" i="3"/>
  <c r="S2655" i="3"/>
  <c r="R2655" i="3"/>
  <c r="Q2655" i="3"/>
  <c r="S2654" i="3"/>
  <c r="R2654" i="3"/>
  <c r="Q2654" i="3"/>
  <c r="S2653" i="3"/>
  <c r="R2653" i="3"/>
  <c r="Q2653" i="3"/>
  <c r="S2652" i="3"/>
  <c r="R2652" i="3"/>
  <c r="Q2652" i="3"/>
  <c r="S2651" i="3"/>
  <c r="R2651" i="3"/>
  <c r="Q2651" i="3"/>
  <c r="S2650" i="3"/>
  <c r="R2650" i="3"/>
  <c r="Q2650" i="3"/>
  <c r="S2649" i="3"/>
  <c r="R2649" i="3"/>
  <c r="Q2649" i="3"/>
  <c r="S2648" i="3"/>
  <c r="R2648" i="3"/>
  <c r="Q2648" i="3"/>
  <c r="S2647" i="3"/>
  <c r="R2647" i="3"/>
  <c r="Q2647" i="3"/>
  <c r="S2646" i="3"/>
  <c r="R2646" i="3"/>
  <c r="Q2646" i="3"/>
  <c r="S2645" i="3"/>
  <c r="R2645" i="3"/>
  <c r="Q2645" i="3"/>
  <c r="S2644" i="3"/>
  <c r="R2644" i="3"/>
  <c r="Q2644" i="3"/>
  <c r="S2643" i="3"/>
  <c r="R2643" i="3"/>
  <c r="Q2643" i="3"/>
  <c r="S2642" i="3"/>
  <c r="R2642" i="3"/>
  <c r="Q2642" i="3"/>
  <c r="S2641" i="3"/>
  <c r="R2641" i="3"/>
  <c r="Q2641" i="3"/>
  <c r="S2640" i="3"/>
  <c r="R2640" i="3"/>
  <c r="Q2640" i="3"/>
  <c r="S2639" i="3"/>
  <c r="R2639" i="3"/>
  <c r="Q2639" i="3"/>
  <c r="S2638" i="3"/>
  <c r="R2638" i="3"/>
  <c r="Q2638" i="3"/>
  <c r="S2637" i="3"/>
  <c r="R2637" i="3"/>
  <c r="Q2637" i="3"/>
  <c r="S2636" i="3"/>
  <c r="R2636" i="3"/>
  <c r="Q2636" i="3"/>
  <c r="S2635" i="3"/>
  <c r="R2635" i="3"/>
  <c r="Q2635" i="3"/>
  <c r="S2634" i="3"/>
  <c r="R2634" i="3"/>
  <c r="Q2634" i="3"/>
  <c r="S2633" i="3"/>
  <c r="R2633" i="3"/>
  <c r="Q2633" i="3"/>
  <c r="S2632" i="3"/>
  <c r="R2632" i="3"/>
  <c r="Q2632" i="3"/>
  <c r="S2631" i="3"/>
  <c r="R2631" i="3"/>
  <c r="Q2631" i="3"/>
  <c r="S2630" i="3"/>
  <c r="R2630" i="3"/>
  <c r="Q2630" i="3"/>
  <c r="S2629" i="3"/>
  <c r="R2629" i="3"/>
  <c r="Q2629" i="3"/>
  <c r="S2628" i="3"/>
  <c r="R2628" i="3"/>
  <c r="Q2628" i="3"/>
  <c r="S2627" i="3"/>
  <c r="R2627" i="3"/>
  <c r="Q2627" i="3"/>
  <c r="S2626" i="3"/>
  <c r="R2626" i="3"/>
  <c r="Q2626" i="3"/>
  <c r="S2625" i="3"/>
  <c r="R2625" i="3"/>
  <c r="Q2625" i="3"/>
  <c r="S2624" i="3"/>
  <c r="R2624" i="3"/>
  <c r="Q2624" i="3"/>
  <c r="S2623" i="3"/>
  <c r="R2623" i="3"/>
  <c r="Q2623" i="3"/>
  <c r="S2622" i="3"/>
  <c r="R2622" i="3"/>
  <c r="Q2622" i="3"/>
  <c r="S2621" i="3"/>
  <c r="R2621" i="3"/>
  <c r="Q2621" i="3"/>
  <c r="S2620" i="3"/>
  <c r="R2620" i="3"/>
  <c r="Q2620" i="3"/>
  <c r="S2619" i="3"/>
  <c r="R2619" i="3"/>
  <c r="Q2619" i="3"/>
  <c r="S2618" i="3"/>
  <c r="R2618" i="3"/>
  <c r="Q2618" i="3"/>
  <c r="S2617" i="3"/>
  <c r="R2617" i="3"/>
  <c r="Q2617" i="3"/>
  <c r="S2616" i="3"/>
  <c r="R2616" i="3"/>
  <c r="Q2616" i="3"/>
  <c r="S2615" i="3"/>
  <c r="R2615" i="3"/>
  <c r="Q2615" i="3"/>
  <c r="S2614" i="3"/>
  <c r="R2614" i="3"/>
  <c r="Q2614" i="3"/>
  <c r="S2613" i="3"/>
  <c r="R2613" i="3"/>
  <c r="Q2613" i="3"/>
  <c r="S2612" i="3"/>
  <c r="R2612" i="3"/>
  <c r="Q2612" i="3"/>
  <c r="S2611" i="3"/>
  <c r="R2611" i="3"/>
  <c r="Q2611" i="3"/>
  <c r="S2610" i="3"/>
  <c r="R2610" i="3"/>
  <c r="Q2610" i="3"/>
  <c r="S2609" i="3"/>
  <c r="R2609" i="3"/>
  <c r="Q2609" i="3"/>
  <c r="S2608" i="3"/>
  <c r="R2608" i="3"/>
  <c r="Q2608" i="3"/>
  <c r="S2607" i="3"/>
  <c r="R2607" i="3"/>
  <c r="Q2607" i="3"/>
  <c r="S2606" i="3"/>
  <c r="R2606" i="3"/>
  <c r="Q2606" i="3"/>
  <c r="S2605" i="3"/>
  <c r="R2605" i="3"/>
  <c r="Q2605" i="3"/>
  <c r="S2604" i="3"/>
  <c r="R2604" i="3"/>
  <c r="Q2604" i="3"/>
  <c r="S2603" i="3"/>
  <c r="R2603" i="3"/>
  <c r="Q2603" i="3"/>
  <c r="S2602" i="3"/>
  <c r="R2602" i="3"/>
  <c r="Q2602" i="3"/>
  <c r="S2601" i="3"/>
  <c r="R2601" i="3"/>
  <c r="Q2601" i="3"/>
  <c r="S2600" i="3"/>
  <c r="R2600" i="3"/>
  <c r="Q2600" i="3"/>
  <c r="S2599" i="3"/>
  <c r="R2599" i="3"/>
  <c r="Q2599" i="3"/>
  <c r="S2598" i="3"/>
  <c r="R2598" i="3"/>
  <c r="Q2598" i="3"/>
  <c r="S2597" i="3"/>
  <c r="R2597" i="3"/>
  <c r="Q2597" i="3"/>
  <c r="S2596" i="3"/>
  <c r="R2596" i="3"/>
  <c r="Q2596" i="3"/>
  <c r="S2595" i="3"/>
  <c r="R2595" i="3"/>
  <c r="Q2595" i="3"/>
  <c r="S2594" i="3"/>
  <c r="R2594" i="3"/>
  <c r="Q2594" i="3"/>
  <c r="S2593" i="3"/>
  <c r="R2593" i="3"/>
  <c r="Q2593" i="3"/>
  <c r="S2592" i="3"/>
  <c r="R2592" i="3"/>
  <c r="Q2592" i="3"/>
  <c r="S2591" i="3"/>
  <c r="R2591" i="3"/>
  <c r="Q2591" i="3"/>
  <c r="S2590" i="3"/>
  <c r="R2590" i="3"/>
  <c r="Q2590" i="3"/>
  <c r="S2589" i="3"/>
  <c r="R2589" i="3"/>
  <c r="Q2589" i="3"/>
  <c r="S2588" i="3"/>
  <c r="R2588" i="3"/>
  <c r="Q2588" i="3"/>
  <c r="S2587" i="3"/>
  <c r="R2587" i="3"/>
  <c r="Q2587" i="3"/>
  <c r="S2586" i="3"/>
  <c r="R2586" i="3"/>
  <c r="Q2586" i="3"/>
  <c r="S2585" i="3"/>
  <c r="R2585" i="3"/>
  <c r="Q2585" i="3"/>
  <c r="S2584" i="3"/>
  <c r="R2584" i="3"/>
  <c r="Q2584" i="3"/>
  <c r="S2583" i="3"/>
  <c r="R2583" i="3"/>
  <c r="Q2583" i="3"/>
  <c r="S2582" i="3"/>
  <c r="R2582" i="3"/>
  <c r="Q2582" i="3"/>
  <c r="S2581" i="3"/>
  <c r="R2581" i="3"/>
  <c r="Q2581" i="3"/>
  <c r="S2580" i="3"/>
  <c r="R2580" i="3"/>
  <c r="Q2580" i="3"/>
  <c r="S2579" i="3"/>
  <c r="R2579" i="3"/>
  <c r="Q2579" i="3"/>
  <c r="S2578" i="3"/>
  <c r="R2578" i="3"/>
  <c r="Q2578" i="3"/>
  <c r="S2577" i="3"/>
  <c r="R2577" i="3"/>
  <c r="Q2577" i="3"/>
  <c r="S2576" i="3"/>
  <c r="R2576" i="3"/>
  <c r="Q2576" i="3"/>
  <c r="S2575" i="3"/>
  <c r="R2575" i="3"/>
  <c r="Q2575" i="3"/>
  <c r="S2574" i="3"/>
  <c r="R2574" i="3"/>
  <c r="Q2574" i="3"/>
  <c r="S2573" i="3"/>
  <c r="R2573" i="3"/>
  <c r="Q2573" i="3"/>
  <c r="S2572" i="3"/>
  <c r="R2572" i="3"/>
  <c r="Q2572" i="3"/>
  <c r="S2571" i="3"/>
  <c r="R2571" i="3"/>
  <c r="Q2571" i="3"/>
  <c r="S2570" i="3"/>
  <c r="R2570" i="3"/>
  <c r="Q2570" i="3"/>
  <c r="S2569" i="3"/>
  <c r="R2569" i="3"/>
  <c r="Q2569" i="3"/>
  <c r="S2568" i="3"/>
  <c r="R2568" i="3"/>
  <c r="Q2568" i="3"/>
  <c r="S2567" i="3"/>
  <c r="R2567" i="3"/>
  <c r="Q2567" i="3"/>
  <c r="S2566" i="3"/>
  <c r="R2566" i="3"/>
  <c r="Q2566" i="3"/>
  <c r="S2565" i="3"/>
  <c r="R2565" i="3"/>
  <c r="Q2565" i="3"/>
  <c r="S2564" i="3"/>
  <c r="R2564" i="3"/>
  <c r="Q2564" i="3"/>
  <c r="S2563" i="3"/>
  <c r="R2563" i="3"/>
  <c r="Q2563" i="3"/>
  <c r="S2562" i="3"/>
  <c r="R2562" i="3"/>
  <c r="Q2562" i="3"/>
  <c r="S2561" i="3"/>
  <c r="R2561" i="3"/>
  <c r="Q2561" i="3"/>
  <c r="S2560" i="3"/>
  <c r="R2560" i="3"/>
  <c r="Q2560" i="3"/>
  <c r="S2559" i="3"/>
  <c r="R2559" i="3"/>
  <c r="Q2559" i="3"/>
  <c r="S2558" i="3"/>
  <c r="R2558" i="3"/>
  <c r="Q2558" i="3"/>
  <c r="S2557" i="3"/>
  <c r="R2557" i="3"/>
  <c r="Q2557" i="3"/>
  <c r="S2556" i="3"/>
  <c r="R2556" i="3"/>
  <c r="Q2556" i="3"/>
  <c r="S2555" i="3"/>
  <c r="R2555" i="3"/>
  <c r="Q2555" i="3"/>
  <c r="S2554" i="3"/>
  <c r="R2554" i="3"/>
  <c r="Q2554" i="3"/>
  <c r="S2553" i="3"/>
  <c r="R2553" i="3"/>
  <c r="Q2553" i="3"/>
  <c r="S2552" i="3"/>
  <c r="R2552" i="3"/>
  <c r="Q2552" i="3"/>
  <c r="S2551" i="3"/>
  <c r="R2551" i="3"/>
  <c r="Q2551" i="3"/>
  <c r="S2550" i="3"/>
  <c r="R2550" i="3"/>
  <c r="Q2550" i="3"/>
  <c r="S2549" i="3"/>
  <c r="R2549" i="3"/>
  <c r="Q2549" i="3"/>
  <c r="S2548" i="3"/>
  <c r="R2548" i="3"/>
  <c r="Q2548" i="3"/>
  <c r="S2547" i="3"/>
  <c r="R2547" i="3"/>
  <c r="Q2547" i="3"/>
  <c r="S2546" i="3"/>
  <c r="R2546" i="3"/>
  <c r="Q2546" i="3"/>
  <c r="S2545" i="3"/>
  <c r="R2545" i="3"/>
  <c r="Q2545" i="3"/>
  <c r="S2544" i="3"/>
  <c r="R2544" i="3"/>
  <c r="Q2544" i="3"/>
  <c r="S2543" i="3"/>
  <c r="R2543" i="3"/>
  <c r="Q2543" i="3"/>
  <c r="S2542" i="3"/>
  <c r="R2542" i="3"/>
  <c r="Q2542" i="3"/>
  <c r="S2541" i="3"/>
  <c r="R2541" i="3"/>
  <c r="Q2541" i="3"/>
  <c r="S2540" i="3"/>
  <c r="R2540" i="3"/>
  <c r="Q2540" i="3"/>
  <c r="S2539" i="3"/>
  <c r="R2539" i="3"/>
  <c r="Q2539" i="3"/>
  <c r="S2538" i="3"/>
  <c r="R2538" i="3"/>
  <c r="Q2538" i="3"/>
  <c r="S2537" i="3"/>
  <c r="R2537" i="3"/>
  <c r="Q2537" i="3"/>
  <c r="S2536" i="3"/>
  <c r="R2536" i="3"/>
  <c r="Q2536" i="3"/>
  <c r="S2535" i="3"/>
  <c r="R2535" i="3"/>
  <c r="Q2535" i="3"/>
  <c r="S2534" i="3"/>
  <c r="R2534" i="3"/>
  <c r="Q2534" i="3"/>
  <c r="S2533" i="3"/>
  <c r="R2533" i="3"/>
  <c r="Q2533" i="3"/>
  <c r="S2532" i="3"/>
  <c r="R2532" i="3"/>
  <c r="Q2532" i="3"/>
  <c r="S2531" i="3"/>
  <c r="R2531" i="3"/>
  <c r="Q2531" i="3"/>
  <c r="S2530" i="3"/>
  <c r="R2530" i="3"/>
  <c r="Q2530" i="3"/>
  <c r="S2529" i="3"/>
  <c r="R2529" i="3"/>
  <c r="Q2529" i="3"/>
  <c r="S2528" i="3"/>
  <c r="R2528" i="3"/>
  <c r="Q2528" i="3"/>
  <c r="S2527" i="3"/>
  <c r="R2527" i="3"/>
  <c r="Q2527" i="3"/>
  <c r="S2526" i="3"/>
  <c r="R2526" i="3"/>
  <c r="Q2526" i="3"/>
  <c r="S2525" i="3"/>
  <c r="R2525" i="3"/>
  <c r="Q2525" i="3"/>
  <c r="S2524" i="3"/>
  <c r="R2524" i="3"/>
  <c r="Q2524" i="3"/>
  <c r="S2523" i="3"/>
  <c r="R2523" i="3"/>
  <c r="Q2523" i="3"/>
  <c r="S2522" i="3"/>
  <c r="R2522" i="3"/>
  <c r="Q2522" i="3"/>
  <c r="S2521" i="3"/>
  <c r="R2521" i="3"/>
  <c r="Q2521" i="3"/>
  <c r="S2520" i="3"/>
  <c r="R2520" i="3"/>
  <c r="Q2520" i="3"/>
  <c r="S2519" i="3"/>
  <c r="R2519" i="3"/>
  <c r="Q2519" i="3"/>
  <c r="S2518" i="3"/>
  <c r="R2518" i="3"/>
  <c r="Q2518" i="3"/>
  <c r="S2517" i="3"/>
  <c r="R2517" i="3"/>
  <c r="Q2517" i="3"/>
  <c r="S2516" i="3"/>
  <c r="R2516" i="3"/>
  <c r="Q2516" i="3"/>
  <c r="S2515" i="3"/>
  <c r="R2515" i="3"/>
  <c r="Q2515" i="3"/>
  <c r="S2514" i="3"/>
  <c r="R2514" i="3"/>
  <c r="Q2514" i="3"/>
  <c r="S2513" i="3"/>
  <c r="R2513" i="3"/>
  <c r="Q2513" i="3"/>
  <c r="S2512" i="3"/>
  <c r="R2512" i="3"/>
  <c r="Q2512" i="3"/>
  <c r="S2511" i="3"/>
  <c r="R2511" i="3"/>
  <c r="Q2511" i="3"/>
  <c r="S2510" i="3"/>
  <c r="R2510" i="3"/>
  <c r="Q2510" i="3"/>
  <c r="S2509" i="3"/>
  <c r="R2509" i="3"/>
  <c r="Q2509" i="3"/>
  <c r="S2508" i="3"/>
  <c r="R2508" i="3"/>
  <c r="Q2508" i="3"/>
  <c r="S2507" i="3"/>
  <c r="R2507" i="3"/>
  <c r="Q2507" i="3"/>
  <c r="S2506" i="3"/>
  <c r="R2506" i="3"/>
  <c r="Q2506" i="3"/>
  <c r="S2505" i="3"/>
  <c r="R2505" i="3"/>
  <c r="Q2505" i="3"/>
  <c r="S2504" i="3"/>
  <c r="R2504" i="3"/>
  <c r="Q2504" i="3"/>
  <c r="S2503" i="3"/>
  <c r="R2503" i="3"/>
  <c r="Q2503" i="3"/>
  <c r="S2502" i="3"/>
  <c r="R2502" i="3"/>
  <c r="Q2502" i="3"/>
  <c r="S2501" i="3"/>
  <c r="R2501" i="3"/>
  <c r="Q2501" i="3"/>
  <c r="S2500" i="3"/>
  <c r="R2500" i="3"/>
  <c r="Q2500" i="3"/>
  <c r="S2499" i="3"/>
  <c r="R2499" i="3"/>
  <c r="Q2499" i="3"/>
  <c r="S2498" i="3"/>
  <c r="R2498" i="3"/>
  <c r="Q2498" i="3"/>
  <c r="S2497" i="3"/>
  <c r="R2497" i="3"/>
  <c r="Q2497" i="3"/>
  <c r="S2496" i="3"/>
  <c r="R2496" i="3"/>
  <c r="Q2496" i="3"/>
  <c r="S2495" i="3"/>
  <c r="R2495" i="3"/>
  <c r="Q2495" i="3"/>
  <c r="S2494" i="3"/>
  <c r="R2494" i="3"/>
  <c r="Q2494" i="3"/>
  <c r="S2493" i="3"/>
  <c r="R2493" i="3"/>
  <c r="Q2493" i="3"/>
  <c r="S2492" i="3"/>
  <c r="R2492" i="3"/>
  <c r="Q2492" i="3"/>
  <c r="S2491" i="3"/>
  <c r="R2491" i="3"/>
  <c r="Q2491" i="3"/>
  <c r="S2490" i="3"/>
  <c r="R2490" i="3"/>
  <c r="Q2490" i="3"/>
  <c r="S2489" i="3"/>
  <c r="R2489" i="3"/>
  <c r="Q2489" i="3"/>
  <c r="S2488" i="3"/>
  <c r="R2488" i="3"/>
  <c r="Q2488" i="3"/>
  <c r="S2487" i="3"/>
  <c r="R2487" i="3"/>
  <c r="Q2487" i="3"/>
  <c r="S2486" i="3"/>
  <c r="R2486" i="3"/>
  <c r="Q2486" i="3"/>
  <c r="S2485" i="3"/>
  <c r="R2485" i="3"/>
  <c r="Q2485" i="3"/>
  <c r="S2484" i="3"/>
  <c r="R2484" i="3"/>
  <c r="Q2484" i="3"/>
  <c r="S2483" i="3"/>
  <c r="R2483" i="3"/>
  <c r="Q2483" i="3"/>
  <c r="S2482" i="3"/>
  <c r="R2482" i="3"/>
  <c r="Q2482" i="3"/>
  <c r="S2481" i="3"/>
  <c r="R2481" i="3"/>
  <c r="Q2481" i="3"/>
  <c r="S2480" i="3"/>
  <c r="R2480" i="3"/>
  <c r="Q2480" i="3"/>
  <c r="S2479" i="3"/>
  <c r="R2479" i="3"/>
  <c r="Q2479" i="3"/>
  <c r="S2478" i="3"/>
  <c r="R2478" i="3"/>
  <c r="Q2478" i="3"/>
  <c r="S2477" i="3"/>
  <c r="R2477" i="3"/>
  <c r="Q2477" i="3"/>
  <c r="S2476" i="3"/>
  <c r="R2476" i="3"/>
  <c r="Q2476" i="3"/>
  <c r="S2475" i="3"/>
  <c r="R2475" i="3"/>
  <c r="Q2475" i="3"/>
  <c r="S2474" i="3"/>
  <c r="R2474" i="3"/>
  <c r="Q2474" i="3"/>
  <c r="S2473" i="3"/>
  <c r="R2473" i="3"/>
  <c r="Q2473" i="3"/>
  <c r="S2472" i="3"/>
  <c r="R2472" i="3"/>
  <c r="Q2472" i="3"/>
  <c r="S2471" i="3"/>
  <c r="R2471" i="3"/>
  <c r="Q2471" i="3"/>
  <c r="S2470" i="3"/>
  <c r="R2470" i="3"/>
  <c r="Q2470" i="3"/>
  <c r="S2469" i="3"/>
  <c r="R2469" i="3"/>
  <c r="Q2469" i="3"/>
  <c r="S2468" i="3"/>
  <c r="R2468" i="3"/>
  <c r="Q2468" i="3"/>
  <c r="S2467" i="3"/>
  <c r="R2467" i="3"/>
  <c r="Q2467" i="3"/>
  <c r="S2466" i="3"/>
  <c r="R2466" i="3"/>
  <c r="Q2466" i="3"/>
  <c r="S2465" i="3"/>
  <c r="R2465" i="3"/>
  <c r="Q2465" i="3"/>
  <c r="S2464" i="3"/>
  <c r="R2464" i="3"/>
  <c r="Q2464" i="3"/>
  <c r="S2463" i="3"/>
  <c r="R2463" i="3"/>
  <c r="Q2463" i="3"/>
  <c r="S2462" i="3"/>
  <c r="R2462" i="3"/>
  <c r="Q2462" i="3"/>
  <c r="S2461" i="3"/>
  <c r="R2461" i="3"/>
  <c r="Q2461" i="3"/>
  <c r="S2460" i="3"/>
  <c r="R2460" i="3"/>
  <c r="Q2460" i="3"/>
  <c r="S2459" i="3"/>
  <c r="R2459" i="3"/>
  <c r="Q2459" i="3"/>
  <c r="S2458" i="3"/>
  <c r="R2458" i="3"/>
  <c r="Q2458" i="3"/>
  <c r="S2457" i="3"/>
  <c r="R2457" i="3"/>
  <c r="Q2457" i="3"/>
  <c r="S2456" i="3"/>
  <c r="R2456" i="3"/>
  <c r="Q2456" i="3"/>
  <c r="S2455" i="3"/>
  <c r="R2455" i="3"/>
  <c r="Q2455" i="3"/>
  <c r="S2454" i="3"/>
  <c r="R2454" i="3"/>
  <c r="Q2454" i="3"/>
  <c r="S2453" i="3"/>
  <c r="R2453" i="3"/>
  <c r="Q2453" i="3"/>
  <c r="S2452" i="3"/>
  <c r="R2452" i="3"/>
  <c r="Q2452" i="3"/>
  <c r="S2451" i="3"/>
  <c r="R2451" i="3"/>
  <c r="Q2451" i="3"/>
  <c r="S2450" i="3"/>
  <c r="R2450" i="3"/>
  <c r="Q2450" i="3"/>
  <c r="S2449" i="3"/>
  <c r="R2449" i="3"/>
  <c r="Q2449" i="3"/>
  <c r="S2448" i="3"/>
  <c r="R2448" i="3"/>
  <c r="Q2448" i="3"/>
  <c r="S2447" i="3"/>
  <c r="R2447" i="3"/>
  <c r="Q2447" i="3"/>
  <c r="S2446" i="3"/>
  <c r="R2446" i="3"/>
  <c r="Q2446" i="3"/>
  <c r="S2445" i="3"/>
  <c r="R2445" i="3"/>
  <c r="Q2445" i="3"/>
  <c r="S2444" i="3"/>
  <c r="R2444" i="3"/>
  <c r="Q2444" i="3"/>
  <c r="S2443" i="3"/>
  <c r="R2443" i="3"/>
  <c r="Q2443" i="3"/>
  <c r="S2442" i="3"/>
  <c r="R2442" i="3"/>
  <c r="Q2442" i="3"/>
  <c r="S2441" i="3"/>
  <c r="R2441" i="3"/>
  <c r="Q2441" i="3"/>
  <c r="S2440" i="3"/>
  <c r="R2440" i="3"/>
  <c r="Q2440" i="3"/>
  <c r="S2439" i="3"/>
  <c r="R2439" i="3"/>
  <c r="Q2439" i="3"/>
  <c r="S2438" i="3"/>
  <c r="R2438" i="3"/>
  <c r="Q2438" i="3"/>
  <c r="S2437" i="3"/>
  <c r="R2437" i="3"/>
  <c r="Q2437" i="3"/>
  <c r="S2436" i="3"/>
  <c r="R2436" i="3"/>
  <c r="Q2436" i="3"/>
  <c r="S2435" i="3"/>
  <c r="R2435" i="3"/>
  <c r="Q2435" i="3"/>
  <c r="S2434" i="3"/>
  <c r="R2434" i="3"/>
  <c r="Q2434" i="3"/>
  <c r="S2433" i="3"/>
  <c r="R2433" i="3"/>
  <c r="Q2433" i="3"/>
  <c r="S2432" i="3"/>
  <c r="R2432" i="3"/>
  <c r="Q2432" i="3"/>
  <c r="S2431" i="3"/>
  <c r="R2431" i="3"/>
  <c r="Q2431" i="3"/>
  <c r="S2430" i="3"/>
  <c r="R2430" i="3"/>
  <c r="Q2430" i="3"/>
  <c r="S2429" i="3"/>
  <c r="R2429" i="3"/>
  <c r="Q2429" i="3"/>
  <c r="S2428" i="3"/>
  <c r="R2428" i="3"/>
  <c r="Q2428" i="3"/>
  <c r="S2427" i="3"/>
  <c r="R2427" i="3"/>
  <c r="Q2427" i="3"/>
  <c r="S2426" i="3"/>
  <c r="R2426" i="3"/>
  <c r="Q2426" i="3"/>
  <c r="S2425" i="3"/>
  <c r="R2425" i="3"/>
  <c r="Q2425" i="3"/>
  <c r="S2424" i="3"/>
  <c r="R2424" i="3"/>
  <c r="Q2424" i="3"/>
  <c r="S2423" i="3"/>
  <c r="R2423" i="3"/>
  <c r="Q2423" i="3"/>
  <c r="S2422" i="3"/>
  <c r="R2422" i="3"/>
  <c r="Q2422" i="3"/>
  <c r="S2421" i="3"/>
  <c r="R2421" i="3"/>
  <c r="Q2421" i="3"/>
  <c r="S2420" i="3"/>
  <c r="R2420" i="3"/>
  <c r="Q2420" i="3"/>
  <c r="S2419" i="3"/>
  <c r="R2419" i="3"/>
  <c r="Q2419" i="3"/>
  <c r="S2418" i="3"/>
  <c r="R2418" i="3"/>
  <c r="Q2418" i="3"/>
  <c r="S2417" i="3"/>
  <c r="R2417" i="3"/>
  <c r="Q2417" i="3"/>
  <c r="S2416" i="3"/>
  <c r="R2416" i="3"/>
  <c r="Q2416" i="3"/>
  <c r="S2415" i="3"/>
  <c r="R2415" i="3"/>
  <c r="Q2415" i="3"/>
  <c r="S2414" i="3"/>
  <c r="R2414" i="3"/>
  <c r="Q2414" i="3"/>
  <c r="S2413" i="3"/>
  <c r="R2413" i="3"/>
  <c r="Q2413" i="3"/>
  <c r="S2412" i="3"/>
  <c r="R2412" i="3"/>
  <c r="Q2412" i="3"/>
  <c r="S2411" i="3"/>
  <c r="R2411" i="3"/>
  <c r="Q2411" i="3"/>
  <c r="S2410" i="3"/>
  <c r="R2410" i="3"/>
  <c r="Q2410" i="3"/>
  <c r="S2409" i="3"/>
  <c r="R2409" i="3"/>
  <c r="Q2409" i="3"/>
  <c r="S2408" i="3"/>
  <c r="R2408" i="3"/>
  <c r="Q2408" i="3"/>
  <c r="S2407" i="3"/>
  <c r="R2407" i="3"/>
  <c r="Q2407" i="3"/>
  <c r="S2406" i="3"/>
  <c r="R2406" i="3"/>
  <c r="Q2406" i="3"/>
  <c r="S2405" i="3"/>
  <c r="R2405" i="3"/>
  <c r="Q2405" i="3"/>
  <c r="S2404" i="3"/>
  <c r="R2404" i="3"/>
  <c r="Q2404" i="3"/>
  <c r="S2403" i="3"/>
  <c r="R2403" i="3"/>
  <c r="Q2403" i="3"/>
  <c r="S2402" i="3"/>
  <c r="R2402" i="3"/>
  <c r="Q2402" i="3"/>
  <c r="S2401" i="3"/>
  <c r="R2401" i="3"/>
  <c r="Q2401" i="3"/>
  <c r="S2400" i="3"/>
  <c r="R2400" i="3"/>
  <c r="Q2400" i="3"/>
  <c r="S2399" i="3"/>
  <c r="R2399" i="3"/>
  <c r="Q2399" i="3"/>
  <c r="S2398" i="3"/>
  <c r="R2398" i="3"/>
  <c r="Q2398" i="3"/>
  <c r="S2397" i="3"/>
  <c r="R2397" i="3"/>
  <c r="Q2397" i="3"/>
  <c r="S2396" i="3"/>
  <c r="R2396" i="3"/>
  <c r="Q2396" i="3"/>
  <c r="S2395" i="3"/>
  <c r="R2395" i="3"/>
  <c r="Q2395" i="3"/>
  <c r="S2394" i="3"/>
  <c r="R2394" i="3"/>
  <c r="Q2394" i="3"/>
  <c r="S2393" i="3"/>
  <c r="R2393" i="3"/>
  <c r="Q2393" i="3"/>
  <c r="S2392" i="3"/>
  <c r="R2392" i="3"/>
  <c r="Q2392" i="3"/>
  <c r="S2391" i="3"/>
  <c r="R2391" i="3"/>
  <c r="Q2391" i="3"/>
  <c r="S2390" i="3"/>
  <c r="R2390" i="3"/>
  <c r="Q2390" i="3"/>
  <c r="S2389" i="3"/>
  <c r="R2389" i="3"/>
  <c r="Q2389" i="3"/>
  <c r="S2388" i="3"/>
  <c r="R2388" i="3"/>
  <c r="Q2388" i="3"/>
  <c r="S2387" i="3"/>
  <c r="R2387" i="3"/>
  <c r="Q2387" i="3"/>
  <c r="S2386" i="3"/>
  <c r="R2386" i="3"/>
  <c r="Q2386" i="3"/>
  <c r="S2385" i="3"/>
  <c r="R2385" i="3"/>
  <c r="Q2385" i="3"/>
  <c r="S2384" i="3"/>
  <c r="R2384" i="3"/>
  <c r="Q2384" i="3"/>
  <c r="S2383" i="3"/>
  <c r="R2383" i="3"/>
  <c r="Q2383" i="3"/>
  <c r="S2382" i="3"/>
  <c r="R2382" i="3"/>
  <c r="Q2382" i="3"/>
  <c r="S2381" i="3"/>
  <c r="R2381" i="3"/>
  <c r="Q2381" i="3"/>
  <c r="S2380" i="3"/>
  <c r="R2380" i="3"/>
  <c r="Q2380" i="3"/>
  <c r="S2379" i="3"/>
  <c r="R2379" i="3"/>
  <c r="Q2379" i="3"/>
  <c r="S2378" i="3"/>
  <c r="R2378" i="3"/>
  <c r="Q2378" i="3"/>
  <c r="S2377" i="3"/>
  <c r="R2377" i="3"/>
  <c r="Q2377" i="3"/>
  <c r="S2376" i="3"/>
  <c r="R2376" i="3"/>
  <c r="Q2376" i="3"/>
  <c r="S2375" i="3"/>
  <c r="R2375" i="3"/>
  <c r="Q2375" i="3"/>
  <c r="S2374" i="3"/>
  <c r="R2374" i="3"/>
  <c r="Q2374" i="3"/>
  <c r="S2373" i="3"/>
  <c r="R2373" i="3"/>
  <c r="Q2373" i="3"/>
  <c r="S2372" i="3"/>
  <c r="R2372" i="3"/>
  <c r="Q2372" i="3"/>
  <c r="S2371" i="3"/>
  <c r="R2371" i="3"/>
  <c r="Q2371" i="3"/>
  <c r="S2370" i="3"/>
  <c r="R2370" i="3"/>
  <c r="Q2370" i="3"/>
  <c r="S2369" i="3"/>
  <c r="R2369" i="3"/>
  <c r="Q2369" i="3"/>
  <c r="S2368" i="3"/>
  <c r="R2368" i="3"/>
  <c r="Q2368" i="3"/>
  <c r="S2367" i="3"/>
  <c r="R2367" i="3"/>
  <c r="Q2367" i="3"/>
  <c r="S2366" i="3"/>
  <c r="R2366" i="3"/>
  <c r="Q2366" i="3"/>
  <c r="S2365" i="3"/>
  <c r="R2365" i="3"/>
  <c r="Q2365" i="3"/>
  <c r="S2364" i="3"/>
  <c r="R2364" i="3"/>
  <c r="Q2364" i="3"/>
  <c r="S2363" i="3"/>
  <c r="R2363" i="3"/>
  <c r="Q2363" i="3"/>
  <c r="S2362" i="3"/>
  <c r="R2362" i="3"/>
  <c r="Q2362" i="3"/>
  <c r="S2361" i="3"/>
  <c r="R2361" i="3"/>
  <c r="Q2361" i="3"/>
  <c r="S2360" i="3"/>
  <c r="R2360" i="3"/>
  <c r="Q2360" i="3"/>
  <c r="S2359" i="3"/>
  <c r="R2359" i="3"/>
  <c r="Q2359" i="3"/>
  <c r="S2358" i="3"/>
  <c r="R2358" i="3"/>
  <c r="Q2358" i="3"/>
  <c r="S2357" i="3"/>
  <c r="R2357" i="3"/>
  <c r="Q2357" i="3"/>
  <c r="S2356" i="3"/>
  <c r="R2356" i="3"/>
  <c r="Q2356" i="3"/>
  <c r="S2355" i="3"/>
  <c r="R2355" i="3"/>
  <c r="Q2355" i="3"/>
  <c r="S2354" i="3"/>
  <c r="R2354" i="3"/>
  <c r="Q2354" i="3"/>
  <c r="S2353" i="3"/>
  <c r="R2353" i="3"/>
  <c r="Q2353" i="3"/>
  <c r="S2352" i="3"/>
  <c r="R2352" i="3"/>
  <c r="Q2352" i="3"/>
  <c r="S2351" i="3"/>
  <c r="R2351" i="3"/>
  <c r="Q2351" i="3"/>
  <c r="S2350" i="3"/>
  <c r="R2350" i="3"/>
  <c r="Q2350" i="3"/>
  <c r="S2349" i="3"/>
  <c r="R2349" i="3"/>
  <c r="Q2349" i="3"/>
  <c r="S2348" i="3"/>
  <c r="R2348" i="3"/>
  <c r="Q2348" i="3"/>
  <c r="S2347" i="3"/>
  <c r="R2347" i="3"/>
  <c r="Q2347" i="3"/>
  <c r="S2346" i="3"/>
  <c r="R2346" i="3"/>
  <c r="Q2346" i="3"/>
  <c r="S2345" i="3"/>
  <c r="R2345" i="3"/>
  <c r="Q2345" i="3"/>
  <c r="S2344" i="3"/>
  <c r="R2344" i="3"/>
  <c r="Q2344" i="3"/>
  <c r="S2343" i="3"/>
  <c r="R2343" i="3"/>
  <c r="Q2343" i="3"/>
  <c r="S2342" i="3"/>
  <c r="R2342" i="3"/>
  <c r="Q2342" i="3"/>
  <c r="S2341" i="3"/>
  <c r="R2341" i="3"/>
  <c r="Q2341" i="3"/>
  <c r="S2340" i="3"/>
  <c r="R2340" i="3"/>
  <c r="Q2340" i="3"/>
  <c r="S2339" i="3"/>
  <c r="R2339" i="3"/>
  <c r="Q2339" i="3"/>
  <c r="S2338" i="3"/>
  <c r="R2338" i="3"/>
  <c r="Q2338" i="3"/>
  <c r="S2337" i="3"/>
  <c r="R2337" i="3"/>
  <c r="Q2337" i="3"/>
  <c r="S2336" i="3"/>
  <c r="R2336" i="3"/>
  <c r="Q2336" i="3"/>
  <c r="S2335" i="3"/>
  <c r="R2335" i="3"/>
  <c r="Q2335" i="3"/>
  <c r="S2334" i="3"/>
  <c r="R2334" i="3"/>
  <c r="Q2334" i="3"/>
  <c r="S2333" i="3"/>
  <c r="R2333" i="3"/>
  <c r="Q2333" i="3"/>
  <c r="S2332" i="3"/>
  <c r="R2332" i="3"/>
  <c r="Q2332" i="3"/>
  <c r="S2331" i="3"/>
  <c r="R2331" i="3"/>
  <c r="Q2331" i="3"/>
  <c r="S2330" i="3"/>
  <c r="R2330" i="3"/>
  <c r="Q2330" i="3"/>
  <c r="S2329" i="3"/>
  <c r="R2329" i="3"/>
  <c r="Q2329" i="3"/>
  <c r="S2328" i="3"/>
  <c r="R2328" i="3"/>
  <c r="Q2328" i="3"/>
  <c r="S2327" i="3"/>
  <c r="R2327" i="3"/>
  <c r="Q2327" i="3"/>
  <c r="S2326" i="3"/>
  <c r="R2326" i="3"/>
  <c r="Q2326" i="3"/>
  <c r="S2325" i="3"/>
  <c r="R2325" i="3"/>
  <c r="Q2325" i="3"/>
  <c r="S2324" i="3"/>
  <c r="R2324" i="3"/>
  <c r="Q2324" i="3"/>
  <c r="S2323" i="3"/>
  <c r="R2323" i="3"/>
  <c r="Q2323" i="3"/>
  <c r="S2322" i="3"/>
  <c r="R2322" i="3"/>
  <c r="Q2322" i="3"/>
  <c r="S2321" i="3"/>
  <c r="R2321" i="3"/>
  <c r="Q2321" i="3"/>
  <c r="S2320" i="3"/>
  <c r="R2320" i="3"/>
  <c r="Q2320" i="3"/>
  <c r="S2319" i="3"/>
  <c r="R2319" i="3"/>
  <c r="Q2319" i="3"/>
  <c r="S2318" i="3"/>
  <c r="R2318" i="3"/>
  <c r="Q2318" i="3"/>
  <c r="S2317" i="3"/>
  <c r="R2317" i="3"/>
  <c r="Q2317" i="3"/>
  <c r="S2316" i="3"/>
  <c r="R2316" i="3"/>
  <c r="Q2316" i="3"/>
  <c r="S2315" i="3"/>
  <c r="R2315" i="3"/>
  <c r="Q2315" i="3"/>
  <c r="S2314" i="3"/>
  <c r="R2314" i="3"/>
  <c r="Q2314" i="3"/>
  <c r="S2313" i="3"/>
  <c r="R2313" i="3"/>
  <c r="Q2313" i="3"/>
  <c r="S2312" i="3"/>
  <c r="R2312" i="3"/>
  <c r="Q2312" i="3"/>
  <c r="S2311" i="3"/>
  <c r="R2311" i="3"/>
  <c r="Q2311" i="3"/>
  <c r="S2310" i="3"/>
  <c r="R2310" i="3"/>
  <c r="Q2310" i="3"/>
  <c r="S2309" i="3"/>
  <c r="R2309" i="3"/>
  <c r="Q2309" i="3"/>
  <c r="S2308" i="3"/>
  <c r="R2308" i="3"/>
  <c r="Q2308" i="3"/>
  <c r="S2307" i="3"/>
  <c r="R2307" i="3"/>
  <c r="Q2307" i="3"/>
  <c r="S2306" i="3"/>
  <c r="R2306" i="3"/>
  <c r="Q2306" i="3"/>
  <c r="S2305" i="3"/>
  <c r="R2305" i="3"/>
  <c r="Q2305" i="3"/>
  <c r="S2304" i="3"/>
  <c r="R2304" i="3"/>
  <c r="Q2304" i="3"/>
  <c r="S2303" i="3"/>
  <c r="R2303" i="3"/>
  <c r="Q2303" i="3"/>
  <c r="S2302" i="3"/>
  <c r="R2302" i="3"/>
  <c r="Q2302" i="3"/>
  <c r="S2301" i="3"/>
  <c r="R2301" i="3"/>
  <c r="Q2301" i="3"/>
  <c r="S2300" i="3"/>
  <c r="R2300" i="3"/>
  <c r="Q2300" i="3"/>
  <c r="S2299" i="3"/>
  <c r="R2299" i="3"/>
  <c r="Q2299" i="3"/>
  <c r="S2298" i="3"/>
  <c r="R2298" i="3"/>
  <c r="Q2298" i="3"/>
  <c r="S2297" i="3"/>
  <c r="R2297" i="3"/>
  <c r="Q2297" i="3"/>
  <c r="S2296" i="3"/>
  <c r="R2296" i="3"/>
  <c r="Q2296" i="3"/>
  <c r="S2295" i="3"/>
  <c r="R2295" i="3"/>
  <c r="Q2295" i="3"/>
  <c r="S2294" i="3"/>
  <c r="R2294" i="3"/>
  <c r="Q2294" i="3"/>
  <c r="S2293" i="3"/>
  <c r="R2293" i="3"/>
  <c r="Q2293" i="3"/>
  <c r="S2292" i="3"/>
  <c r="R2292" i="3"/>
  <c r="Q2292" i="3"/>
  <c r="S2291" i="3"/>
  <c r="R2291" i="3"/>
  <c r="Q2291" i="3"/>
  <c r="S2290" i="3"/>
  <c r="R2290" i="3"/>
  <c r="Q2290" i="3"/>
  <c r="S2289" i="3"/>
  <c r="R2289" i="3"/>
  <c r="Q2289" i="3"/>
  <c r="S2288" i="3"/>
  <c r="R2288" i="3"/>
  <c r="Q2288" i="3"/>
  <c r="S2287" i="3"/>
  <c r="R2287" i="3"/>
  <c r="Q2287" i="3"/>
  <c r="S2286" i="3"/>
  <c r="R2286" i="3"/>
  <c r="Q2286" i="3"/>
  <c r="S2285" i="3"/>
  <c r="R2285" i="3"/>
  <c r="Q2285" i="3"/>
  <c r="S2284" i="3"/>
  <c r="R2284" i="3"/>
  <c r="Q2284" i="3"/>
  <c r="S2283" i="3"/>
  <c r="R2283" i="3"/>
  <c r="Q2283" i="3"/>
  <c r="S2282" i="3"/>
  <c r="R2282" i="3"/>
  <c r="Q2282" i="3"/>
  <c r="S2281" i="3"/>
  <c r="R2281" i="3"/>
  <c r="Q2281" i="3"/>
  <c r="S2280" i="3"/>
  <c r="R2280" i="3"/>
  <c r="Q2280" i="3"/>
  <c r="S2279" i="3"/>
  <c r="R2279" i="3"/>
  <c r="Q2279" i="3"/>
  <c r="S2278" i="3"/>
  <c r="R2278" i="3"/>
  <c r="Q2278" i="3"/>
  <c r="S2277" i="3"/>
  <c r="R2277" i="3"/>
  <c r="Q2277" i="3"/>
  <c r="S2276" i="3"/>
  <c r="R2276" i="3"/>
  <c r="Q2276" i="3"/>
  <c r="S2275" i="3"/>
  <c r="R2275" i="3"/>
  <c r="Q2275" i="3"/>
  <c r="S2274" i="3"/>
  <c r="R2274" i="3"/>
  <c r="Q2274" i="3"/>
  <c r="S2273" i="3"/>
  <c r="R2273" i="3"/>
  <c r="Q2273" i="3"/>
  <c r="S2272" i="3"/>
  <c r="R2272" i="3"/>
  <c r="Q2272" i="3"/>
  <c r="S2271" i="3"/>
  <c r="R2271" i="3"/>
  <c r="Q2271" i="3"/>
  <c r="S2270" i="3"/>
  <c r="R2270" i="3"/>
  <c r="Q2270" i="3"/>
  <c r="S2269" i="3"/>
  <c r="R2269" i="3"/>
  <c r="Q2269" i="3"/>
  <c r="S2268" i="3"/>
  <c r="R2268" i="3"/>
  <c r="Q2268" i="3"/>
  <c r="S2267" i="3"/>
  <c r="R2267" i="3"/>
  <c r="Q2267" i="3"/>
  <c r="S2266" i="3"/>
  <c r="R2266" i="3"/>
  <c r="Q2266" i="3"/>
  <c r="S2265" i="3"/>
  <c r="R2265" i="3"/>
  <c r="Q2265" i="3"/>
  <c r="S2264" i="3"/>
  <c r="R2264" i="3"/>
  <c r="Q2264" i="3"/>
  <c r="S2263" i="3"/>
  <c r="R2263" i="3"/>
  <c r="Q2263" i="3"/>
  <c r="S2262" i="3"/>
  <c r="R2262" i="3"/>
  <c r="Q2262" i="3"/>
  <c r="S2261" i="3"/>
  <c r="R2261" i="3"/>
  <c r="Q2261" i="3"/>
  <c r="S2260" i="3"/>
  <c r="R2260" i="3"/>
  <c r="Q2260" i="3"/>
  <c r="S2259" i="3"/>
  <c r="R2259" i="3"/>
  <c r="Q2259" i="3"/>
  <c r="S2258" i="3"/>
  <c r="R2258" i="3"/>
  <c r="Q2258" i="3"/>
  <c r="S2257" i="3"/>
  <c r="R2257" i="3"/>
  <c r="Q2257" i="3"/>
  <c r="S2256" i="3"/>
  <c r="R2256" i="3"/>
  <c r="Q2256" i="3"/>
  <c r="S2255" i="3"/>
  <c r="R2255" i="3"/>
  <c r="Q2255" i="3"/>
  <c r="S2254" i="3"/>
  <c r="R2254" i="3"/>
  <c r="Q2254" i="3"/>
  <c r="S2253" i="3"/>
  <c r="R2253" i="3"/>
  <c r="Q2253" i="3"/>
  <c r="S2252" i="3"/>
  <c r="R2252" i="3"/>
  <c r="Q2252" i="3"/>
  <c r="S2251" i="3"/>
  <c r="R2251" i="3"/>
  <c r="Q2251" i="3"/>
  <c r="S2250" i="3"/>
  <c r="R2250" i="3"/>
  <c r="Q2250" i="3"/>
  <c r="S2249" i="3"/>
  <c r="R2249" i="3"/>
  <c r="Q2249" i="3"/>
  <c r="S2248" i="3"/>
  <c r="R2248" i="3"/>
  <c r="Q2248" i="3"/>
  <c r="S2247" i="3"/>
  <c r="R2247" i="3"/>
  <c r="Q2247" i="3"/>
  <c r="S2246" i="3"/>
  <c r="R2246" i="3"/>
  <c r="Q2246" i="3"/>
  <c r="S2245" i="3"/>
  <c r="R2245" i="3"/>
  <c r="Q2245" i="3"/>
  <c r="S2244" i="3"/>
  <c r="R2244" i="3"/>
  <c r="Q2244" i="3"/>
  <c r="S2243" i="3"/>
  <c r="R2243" i="3"/>
  <c r="Q2243" i="3"/>
  <c r="S2242" i="3"/>
  <c r="R2242" i="3"/>
  <c r="Q2242" i="3"/>
  <c r="S2241" i="3"/>
  <c r="R2241" i="3"/>
  <c r="Q2241" i="3"/>
  <c r="S2240" i="3"/>
  <c r="R2240" i="3"/>
  <c r="Q2240" i="3"/>
  <c r="S2239" i="3"/>
  <c r="R2239" i="3"/>
  <c r="Q2239" i="3"/>
  <c r="S2238" i="3"/>
  <c r="R2238" i="3"/>
  <c r="Q2238" i="3"/>
  <c r="S2237" i="3"/>
  <c r="R2237" i="3"/>
  <c r="Q2237" i="3"/>
  <c r="S2236" i="3"/>
  <c r="R2236" i="3"/>
  <c r="Q2236" i="3"/>
  <c r="S2235" i="3"/>
  <c r="R2235" i="3"/>
  <c r="Q2235" i="3"/>
  <c r="S2234" i="3"/>
  <c r="R2234" i="3"/>
  <c r="Q2234" i="3"/>
  <c r="S2233" i="3"/>
  <c r="R2233" i="3"/>
  <c r="Q2233" i="3"/>
  <c r="S2232" i="3"/>
  <c r="R2232" i="3"/>
  <c r="Q2232" i="3"/>
  <c r="S2231" i="3"/>
  <c r="R2231" i="3"/>
  <c r="Q2231" i="3"/>
  <c r="S2230" i="3"/>
  <c r="R2230" i="3"/>
  <c r="Q2230" i="3"/>
  <c r="S2229" i="3"/>
  <c r="R2229" i="3"/>
  <c r="Q2229" i="3"/>
  <c r="S2228" i="3"/>
  <c r="R2228" i="3"/>
  <c r="Q2228" i="3"/>
  <c r="S2227" i="3"/>
  <c r="R2227" i="3"/>
  <c r="Q2227" i="3"/>
  <c r="S2226" i="3"/>
  <c r="R2226" i="3"/>
  <c r="Q2226" i="3"/>
  <c r="S2225" i="3"/>
  <c r="R2225" i="3"/>
  <c r="Q2225" i="3"/>
  <c r="S2224" i="3"/>
  <c r="R2224" i="3"/>
  <c r="Q2224" i="3"/>
  <c r="S2223" i="3"/>
  <c r="R2223" i="3"/>
  <c r="Q2223" i="3"/>
  <c r="S2222" i="3"/>
  <c r="R2222" i="3"/>
  <c r="Q2222" i="3"/>
  <c r="S2221" i="3"/>
  <c r="R2221" i="3"/>
  <c r="Q2221" i="3"/>
  <c r="S2220" i="3"/>
  <c r="R2220" i="3"/>
  <c r="Q2220" i="3"/>
  <c r="S2219" i="3"/>
  <c r="R2219" i="3"/>
  <c r="Q2219" i="3"/>
  <c r="S2218" i="3"/>
  <c r="R2218" i="3"/>
  <c r="Q2218" i="3"/>
  <c r="S2217" i="3"/>
  <c r="R2217" i="3"/>
  <c r="Q2217" i="3"/>
  <c r="S2216" i="3"/>
  <c r="R2216" i="3"/>
  <c r="Q2216" i="3"/>
  <c r="S2215" i="3"/>
  <c r="R2215" i="3"/>
  <c r="Q2215" i="3"/>
  <c r="S2214" i="3"/>
  <c r="R2214" i="3"/>
  <c r="Q2214" i="3"/>
  <c r="S2213" i="3"/>
  <c r="R2213" i="3"/>
  <c r="Q2213" i="3"/>
  <c r="S2212" i="3"/>
  <c r="R2212" i="3"/>
  <c r="Q2212" i="3"/>
  <c r="S2211" i="3"/>
  <c r="R2211" i="3"/>
  <c r="Q2211" i="3"/>
  <c r="S2210" i="3"/>
  <c r="R2210" i="3"/>
  <c r="Q2210" i="3"/>
  <c r="S2209" i="3"/>
  <c r="R2209" i="3"/>
  <c r="Q2209" i="3"/>
  <c r="S2208" i="3"/>
  <c r="R2208" i="3"/>
  <c r="Q2208" i="3"/>
  <c r="S2207" i="3"/>
  <c r="R2207" i="3"/>
  <c r="Q2207" i="3"/>
  <c r="S2206" i="3"/>
  <c r="R2206" i="3"/>
  <c r="Q2206" i="3"/>
  <c r="S2205" i="3"/>
  <c r="R2205" i="3"/>
  <c r="Q2205" i="3"/>
  <c r="S2204" i="3"/>
  <c r="R2204" i="3"/>
  <c r="Q2204" i="3"/>
  <c r="S2203" i="3"/>
  <c r="R2203" i="3"/>
  <c r="Q2203" i="3"/>
  <c r="S2202" i="3"/>
  <c r="R2202" i="3"/>
  <c r="Q2202" i="3"/>
  <c r="S2201" i="3"/>
  <c r="R2201" i="3"/>
  <c r="Q2201" i="3"/>
  <c r="S2200" i="3"/>
  <c r="R2200" i="3"/>
  <c r="Q2200" i="3"/>
  <c r="S2199" i="3"/>
  <c r="R2199" i="3"/>
  <c r="Q2199" i="3"/>
  <c r="S2198" i="3"/>
  <c r="R2198" i="3"/>
  <c r="Q2198" i="3"/>
  <c r="S2197" i="3"/>
  <c r="R2197" i="3"/>
  <c r="Q2197" i="3"/>
  <c r="S2196" i="3"/>
  <c r="R2196" i="3"/>
  <c r="Q2196" i="3"/>
  <c r="S2195" i="3"/>
  <c r="R2195" i="3"/>
  <c r="Q2195" i="3"/>
  <c r="S2194" i="3"/>
  <c r="R2194" i="3"/>
  <c r="Q2194" i="3"/>
  <c r="S2193" i="3"/>
  <c r="R2193" i="3"/>
  <c r="Q2193" i="3"/>
  <c r="S2192" i="3"/>
  <c r="R2192" i="3"/>
  <c r="Q2192" i="3"/>
  <c r="S2191" i="3"/>
  <c r="R2191" i="3"/>
  <c r="Q2191" i="3"/>
  <c r="S2190" i="3"/>
  <c r="R2190" i="3"/>
  <c r="Q2190" i="3"/>
  <c r="S2189" i="3"/>
  <c r="R2189" i="3"/>
  <c r="Q2189" i="3"/>
  <c r="S2188" i="3"/>
  <c r="R2188" i="3"/>
  <c r="Q2188" i="3"/>
  <c r="S2187" i="3"/>
  <c r="R2187" i="3"/>
  <c r="Q2187" i="3"/>
  <c r="S2186" i="3"/>
  <c r="R2186" i="3"/>
  <c r="Q2186" i="3"/>
  <c r="S2185" i="3"/>
  <c r="R2185" i="3"/>
  <c r="Q2185" i="3"/>
  <c r="S2184" i="3"/>
  <c r="R2184" i="3"/>
  <c r="Q2184" i="3"/>
  <c r="S2183" i="3"/>
  <c r="R2183" i="3"/>
  <c r="Q2183" i="3"/>
  <c r="S2182" i="3"/>
  <c r="R2182" i="3"/>
  <c r="Q2182" i="3"/>
  <c r="S2181" i="3"/>
  <c r="R2181" i="3"/>
  <c r="Q2181" i="3"/>
  <c r="S2180" i="3"/>
  <c r="R2180" i="3"/>
  <c r="Q2180" i="3"/>
  <c r="S2179" i="3"/>
  <c r="R2179" i="3"/>
  <c r="Q2179" i="3"/>
  <c r="S2178" i="3"/>
  <c r="R2178" i="3"/>
  <c r="Q2178" i="3"/>
  <c r="S2177" i="3"/>
  <c r="R2177" i="3"/>
  <c r="Q2177" i="3"/>
  <c r="S2176" i="3"/>
  <c r="R2176" i="3"/>
  <c r="Q2176" i="3"/>
  <c r="S2175" i="3"/>
  <c r="R2175" i="3"/>
  <c r="Q2175" i="3"/>
  <c r="S2174" i="3"/>
  <c r="R2174" i="3"/>
  <c r="Q2174" i="3"/>
  <c r="S2173" i="3"/>
  <c r="R2173" i="3"/>
  <c r="Q2173" i="3"/>
  <c r="S2172" i="3"/>
  <c r="R2172" i="3"/>
  <c r="Q2172" i="3"/>
  <c r="S2171" i="3"/>
  <c r="R2171" i="3"/>
  <c r="Q2171" i="3"/>
  <c r="S2170" i="3"/>
  <c r="R2170" i="3"/>
  <c r="Q2170" i="3"/>
  <c r="S2169" i="3"/>
  <c r="R2169" i="3"/>
  <c r="Q2169" i="3"/>
  <c r="S2168" i="3"/>
  <c r="R2168" i="3"/>
  <c r="Q2168" i="3"/>
  <c r="S2167" i="3"/>
  <c r="R2167" i="3"/>
  <c r="Q2167" i="3"/>
  <c r="S2166" i="3"/>
  <c r="R2166" i="3"/>
  <c r="Q2166" i="3"/>
  <c r="S2165" i="3"/>
  <c r="R2165" i="3"/>
  <c r="Q2165" i="3"/>
  <c r="S2164" i="3"/>
  <c r="R2164" i="3"/>
  <c r="Q2164" i="3"/>
  <c r="S2163" i="3"/>
  <c r="R2163" i="3"/>
  <c r="Q2163" i="3"/>
  <c r="S2162" i="3"/>
  <c r="R2162" i="3"/>
  <c r="Q2162" i="3"/>
  <c r="S2161" i="3"/>
  <c r="R2161" i="3"/>
  <c r="Q2161" i="3"/>
  <c r="S2160" i="3"/>
  <c r="R2160" i="3"/>
  <c r="Q2160" i="3"/>
  <c r="S2159" i="3"/>
  <c r="R2159" i="3"/>
  <c r="Q2159" i="3"/>
  <c r="S2158" i="3"/>
  <c r="R2158" i="3"/>
  <c r="Q2158" i="3"/>
  <c r="S2157" i="3"/>
  <c r="R2157" i="3"/>
  <c r="Q2157" i="3"/>
  <c r="S2156" i="3"/>
  <c r="R2156" i="3"/>
  <c r="Q2156" i="3"/>
  <c r="S2155" i="3"/>
  <c r="R2155" i="3"/>
  <c r="Q2155" i="3"/>
  <c r="S2154" i="3"/>
  <c r="R2154" i="3"/>
  <c r="Q2154" i="3"/>
  <c r="S2153" i="3"/>
  <c r="R2153" i="3"/>
  <c r="Q2153" i="3"/>
  <c r="S2152" i="3"/>
  <c r="R2152" i="3"/>
  <c r="Q2152" i="3"/>
  <c r="S2151" i="3"/>
  <c r="R2151" i="3"/>
  <c r="Q2151" i="3"/>
  <c r="S2150" i="3"/>
  <c r="R2150" i="3"/>
  <c r="Q2150" i="3"/>
  <c r="S2149" i="3"/>
  <c r="R2149" i="3"/>
  <c r="Q2149" i="3"/>
  <c r="S2148" i="3"/>
  <c r="R2148" i="3"/>
  <c r="Q2148" i="3"/>
  <c r="S2147" i="3"/>
  <c r="R2147" i="3"/>
  <c r="Q2147" i="3"/>
  <c r="S2146" i="3"/>
  <c r="R2146" i="3"/>
  <c r="Q2146" i="3"/>
  <c r="S2145" i="3"/>
  <c r="R2145" i="3"/>
  <c r="Q2145" i="3"/>
  <c r="S2144" i="3"/>
  <c r="R2144" i="3"/>
  <c r="Q2144" i="3"/>
  <c r="S2143" i="3"/>
  <c r="R2143" i="3"/>
  <c r="Q2143" i="3"/>
  <c r="S2142" i="3"/>
  <c r="R2142" i="3"/>
  <c r="Q2142" i="3"/>
  <c r="S2141" i="3"/>
  <c r="R2141" i="3"/>
  <c r="Q2141" i="3"/>
  <c r="S2140" i="3"/>
  <c r="R2140" i="3"/>
  <c r="Q2140" i="3"/>
  <c r="S2139" i="3"/>
  <c r="R2139" i="3"/>
  <c r="Q2139" i="3"/>
  <c r="S2138" i="3"/>
  <c r="R2138" i="3"/>
  <c r="Q2138" i="3"/>
  <c r="S2137" i="3"/>
  <c r="R2137" i="3"/>
  <c r="Q2137" i="3"/>
  <c r="S2136" i="3"/>
  <c r="R2136" i="3"/>
  <c r="Q2136" i="3"/>
  <c r="S2135" i="3"/>
  <c r="R2135" i="3"/>
  <c r="Q2135" i="3"/>
  <c r="S2134" i="3"/>
  <c r="R2134" i="3"/>
  <c r="Q2134" i="3"/>
  <c r="S2133" i="3"/>
  <c r="R2133" i="3"/>
  <c r="Q2133" i="3"/>
  <c r="S2132" i="3"/>
  <c r="R2132" i="3"/>
  <c r="Q2132" i="3"/>
  <c r="S2131" i="3"/>
  <c r="R2131" i="3"/>
  <c r="Q2131" i="3"/>
  <c r="S2130" i="3"/>
  <c r="R2130" i="3"/>
  <c r="Q2130" i="3"/>
  <c r="S2129" i="3"/>
  <c r="R2129" i="3"/>
  <c r="Q2129" i="3"/>
  <c r="S2128" i="3"/>
  <c r="R2128" i="3"/>
  <c r="Q2128" i="3"/>
  <c r="S2127" i="3"/>
  <c r="R2127" i="3"/>
  <c r="Q2127" i="3"/>
  <c r="S2126" i="3"/>
  <c r="R2126" i="3"/>
  <c r="Q2126" i="3"/>
  <c r="S2125" i="3"/>
  <c r="R2125" i="3"/>
  <c r="Q2125" i="3"/>
  <c r="S2124" i="3"/>
  <c r="R2124" i="3"/>
  <c r="Q2124" i="3"/>
  <c r="S2123" i="3"/>
  <c r="R2123" i="3"/>
  <c r="Q2123" i="3"/>
  <c r="S2122" i="3"/>
  <c r="R2122" i="3"/>
  <c r="Q2122" i="3"/>
  <c r="S2121" i="3"/>
  <c r="R2121" i="3"/>
  <c r="Q2121" i="3"/>
  <c r="S2120" i="3"/>
  <c r="R2120" i="3"/>
  <c r="Q2120" i="3"/>
  <c r="S2119" i="3"/>
  <c r="R2119" i="3"/>
  <c r="Q2119" i="3"/>
  <c r="S2118" i="3"/>
  <c r="R2118" i="3"/>
  <c r="Q2118" i="3"/>
  <c r="S2117" i="3"/>
  <c r="R2117" i="3"/>
  <c r="Q2117" i="3"/>
  <c r="S2116" i="3"/>
  <c r="R2116" i="3"/>
  <c r="Q2116" i="3"/>
  <c r="S2115" i="3"/>
  <c r="R2115" i="3"/>
  <c r="Q2115" i="3"/>
  <c r="S2114" i="3"/>
  <c r="R2114" i="3"/>
  <c r="Q2114" i="3"/>
  <c r="S2113" i="3"/>
  <c r="R2113" i="3"/>
  <c r="Q2113" i="3"/>
  <c r="S2112" i="3"/>
  <c r="R2112" i="3"/>
  <c r="Q2112" i="3"/>
  <c r="S2111" i="3"/>
  <c r="R2111" i="3"/>
  <c r="Q2111" i="3"/>
  <c r="S2110" i="3"/>
  <c r="R2110" i="3"/>
  <c r="Q2110" i="3"/>
  <c r="S2109" i="3"/>
  <c r="R2109" i="3"/>
  <c r="Q2109" i="3"/>
  <c r="S2108" i="3"/>
  <c r="R2108" i="3"/>
  <c r="Q2108" i="3"/>
  <c r="S2107" i="3"/>
  <c r="R2107" i="3"/>
  <c r="Q2107" i="3"/>
  <c r="S2106" i="3"/>
  <c r="R2106" i="3"/>
  <c r="Q2106" i="3"/>
  <c r="S2105" i="3"/>
  <c r="R2105" i="3"/>
  <c r="Q2105" i="3"/>
  <c r="S2104" i="3"/>
  <c r="R2104" i="3"/>
  <c r="Q2104" i="3"/>
  <c r="S2103" i="3"/>
  <c r="R2103" i="3"/>
  <c r="Q2103" i="3"/>
  <c r="S2102" i="3"/>
  <c r="R2102" i="3"/>
  <c r="Q2102" i="3"/>
  <c r="S2101" i="3"/>
  <c r="R2101" i="3"/>
  <c r="Q2101" i="3"/>
  <c r="S2100" i="3"/>
  <c r="R2100" i="3"/>
  <c r="Q2100" i="3"/>
  <c r="S2099" i="3"/>
  <c r="R2099" i="3"/>
  <c r="Q2099" i="3"/>
  <c r="S2098" i="3"/>
  <c r="R2098" i="3"/>
  <c r="Q2098" i="3"/>
  <c r="S2097" i="3"/>
  <c r="R2097" i="3"/>
  <c r="Q2097" i="3"/>
  <c r="S2096" i="3"/>
  <c r="R2096" i="3"/>
  <c r="Q2096" i="3"/>
  <c r="S2095" i="3"/>
  <c r="R2095" i="3"/>
  <c r="Q2095" i="3"/>
  <c r="S2094" i="3"/>
  <c r="R2094" i="3"/>
  <c r="Q2094" i="3"/>
  <c r="S2093" i="3"/>
  <c r="R2093" i="3"/>
  <c r="Q2093" i="3"/>
  <c r="S2092" i="3"/>
  <c r="R2092" i="3"/>
  <c r="Q2092" i="3"/>
  <c r="S2091" i="3"/>
  <c r="R2091" i="3"/>
  <c r="Q2091" i="3"/>
  <c r="S2090" i="3"/>
  <c r="R2090" i="3"/>
  <c r="Q2090" i="3"/>
  <c r="S2089" i="3"/>
  <c r="R2089" i="3"/>
  <c r="Q2089" i="3"/>
  <c r="S2088" i="3"/>
  <c r="R2088" i="3"/>
  <c r="Q2088" i="3"/>
  <c r="S2087" i="3"/>
  <c r="R2087" i="3"/>
  <c r="Q2087" i="3"/>
  <c r="S2086" i="3"/>
  <c r="R2086" i="3"/>
  <c r="Q2086" i="3"/>
  <c r="S2085" i="3"/>
  <c r="R2085" i="3"/>
  <c r="Q2085" i="3"/>
  <c r="S2084" i="3"/>
  <c r="R2084" i="3"/>
  <c r="Q2084" i="3"/>
  <c r="S2083" i="3"/>
  <c r="R2083" i="3"/>
  <c r="Q2083" i="3"/>
  <c r="S2082" i="3"/>
  <c r="R2082" i="3"/>
  <c r="Q2082" i="3"/>
  <c r="S2081" i="3"/>
  <c r="R2081" i="3"/>
  <c r="Q2081" i="3"/>
  <c r="S2080" i="3"/>
  <c r="R2080" i="3"/>
  <c r="Q2080" i="3"/>
  <c r="S2079" i="3"/>
  <c r="R2079" i="3"/>
  <c r="Q2079" i="3"/>
  <c r="S2078" i="3"/>
  <c r="R2078" i="3"/>
  <c r="Q2078" i="3"/>
  <c r="S2077" i="3"/>
  <c r="R2077" i="3"/>
  <c r="Q2077" i="3"/>
  <c r="S2076" i="3"/>
  <c r="R2076" i="3"/>
  <c r="Q2076" i="3"/>
  <c r="S2075" i="3"/>
  <c r="R2075" i="3"/>
  <c r="Q2075" i="3"/>
  <c r="S2074" i="3"/>
  <c r="R2074" i="3"/>
  <c r="Q2074" i="3"/>
  <c r="S2073" i="3"/>
  <c r="R2073" i="3"/>
  <c r="Q2073" i="3"/>
  <c r="S2072" i="3"/>
  <c r="R2072" i="3"/>
  <c r="Q2072" i="3"/>
  <c r="S2071" i="3"/>
  <c r="R2071" i="3"/>
  <c r="Q2071" i="3"/>
  <c r="S2070" i="3"/>
  <c r="R2070" i="3"/>
  <c r="Q2070" i="3"/>
  <c r="S2069" i="3"/>
  <c r="R2069" i="3"/>
  <c r="Q2069" i="3"/>
  <c r="S2068" i="3"/>
  <c r="R2068" i="3"/>
  <c r="Q2068" i="3"/>
  <c r="S2067" i="3"/>
  <c r="R2067" i="3"/>
  <c r="Q2067" i="3"/>
  <c r="S2066" i="3"/>
  <c r="R2066" i="3"/>
  <c r="Q2066" i="3"/>
  <c r="S2065" i="3"/>
  <c r="R2065" i="3"/>
  <c r="Q2065" i="3"/>
  <c r="S2064" i="3"/>
  <c r="R2064" i="3"/>
  <c r="Q2064" i="3"/>
  <c r="S2063" i="3"/>
  <c r="R2063" i="3"/>
  <c r="Q2063" i="3"/>
  <c r="S2062" i="3"/>
  <c r="R2062" i="3"/>
  <c r="Q2062" i="3"/>
  <c r="S2061" i="3"/>
  <c r="R2061" i="3"/>
  <c r="Q2061" i="3"/>
  <c r="S2060" i="3"/>
  <c r="R2060" i="3"/>
  <c r="Q2060" i="3"/>
  <c r="S2059" i="3"/>
  <c r="R2059" i="3"/>
  <c r="Q2059" i="3"/>
  <c r="S2058" i="3"/>
  <c r="R2058" i="3"/>
  <c r="Q2058" i="3"/>
  <c r="S2057" i="3"/>
  <c r="R2057" i="3"/>
  <c r="Q2057" i="3"/>
  <c r="S2056" i="3"/>
  <c r="R2056" i="3"/>
  <c r="Q2056" i="3"/>
  <c r="S2055" i="3"/>
  <c r="R2055" i="3"/>
  <c r="Q2055" i="3"/>
  <c r="S2054" i="3"/>
  <c r="R2054" i="3"/>
  <c r="Q2054" i="3"/>
  <c r="S2053" i="3"/>
  <c r="R2053" i="3"/>
  <c r="Q2053" i="3"/>
  <c r="S2052" i="3"/>
  <c r="R2052" i="3"/>
  <c r="Q2052" i="3"/>
  <c r="S2051" i="3"/>
  <c r="R2051" i="3"/>
  <c r="Q2051" i="3"/>
  <c r="S2050" i="3"/>
  <c r="R2050" i="3"/>
  <c r="Q2050" i="3"/>
  <c r="S2049" i="3"/>
  <c r="R2049" i="3"/>
  <c r="Q2049" i="3"/>
  <c r="S2048" i="3"/>
  <c r="R2048" i="3"/>
  <c r="Q2048" i="3"/>
  <c r="S2047" i="3"/>
  <c r="R2047" i="3"/>
  <c r="Q2047" i="3"/>
  <c r="S2046" i="3"/>
  <c r="R2046" i="3"/>
  <c r="Q2046" i="3"/>
  <c r="S2045" i="3"/>
  <c r="R2045" i="3"/>
  <c r="Q2045" i="3"/>
  <c r="S2044" i="3"/>
  <c r="R2044" i="3"/>
  <c r="Q2044" i="3"/>
  <c r="S2043" i="3"/>
  <c r="R2043" i="3"/>
  <c r="Q2043" i="3"/>
  <c r="S2042" i="3"/>
  <c r="R2042" i="3"/>
  <c r="Q2042" i="3"/>
  <c r="S2041" i="3"/>
  <c r="R2041" i="3"/>
  <c r="Q2041" i="3"/>
  <c r="S2040" i="3"/>
  <c r="R2040" i="3"/>
  <c r="Q2040" i="3"/>
  <c r="S2039" i="3"/>
  <c r="R2039" i="3"/>
  <c r="Q2039" i="3"/>
  <c r="S2038" i="3"/>
  <c r="R2038" i="3"/>
  <c r="Q2038" i="3"/>
  <c r="S2037" i="3"/>
  <c r="R2037" i="3"/>
  <c r="Q2037" i="3"/>
  <c r="S2036" i="3"/>
  <c r="R2036" i="3"/>
  <c r="Q2036" i="3"/>
  <c r="S2035" i="3"/>
  <c r="R2035" i="3"/>
  <c r="Q2035" i="3"/>
  <c r="S2034" i="3"/>
  <c r="R2034" i="3"/>
  <c r="Q2034" i="3"/>
  <c r="S2033" i="3"/>
  <c r="R2033" i="3"/>
  <c r="Q2033" i="3"/>
  <c r="S2032" i="3"/>
  <c r="R2032" i="3"/>
  <c r="Q2032" i="3"/>
  <c r="S2031" i="3"/>
  <c r="R2031" i="3"/>
  <c r="Q2031" i="3"/>
  <c r="S2030" i="3"/>
  <c r="R2030" i="3"/>
  <c r="Q2030" i="3"/>
  <c r="S2029" i="3"/>
  <c r="R2029" i="3"/>
  <c r="Q2029" i="3"/>
  <c r="S2028" i="3"/>
  <c r="R2028" i="3"/>
  <c r="Q2028" i="3"/>
  <c r="S2027" i="3"/>
  <c r="R2027" i="3"/>
  <c r="Q2027" i="3"/>
  <c r="S2026" i="3"/>
  <c r="R2026" i="3"/>
  <c r="Q2026" i="3"/>
  <c r="S2025" i="3"/>
  <c r="R2025" i="3"/>
  <c r="Q2025" i="3"/>
  <c r="S2024" i="3"/>
  <c r="R2024" i="3"/>
  <c r="Q2024" i="3"/>
  <c r="S2023" i="3"/>
  <c r="R2023" i="3"/>
  <c r="Q2023" i="3"/>
  <c r="S2022" i="3"/>
  <c r="R2022" i="3"/>
  <c r="Q2022" i="3"/>
  <c r="S2021" i="3"/>
  <c r="R2021" i="3"/>
  <c r="Q2021" i="3"/>
  <c r="S2020" i="3"/>
  <c r="R2020" i="3"/>
  <c r="Q2020" i="3"/>
  <c r="S2019" i="3"/>
  <c r="R2019" i="3"/>
  <c r="Q2019" i="3"/>
  <c r="S2018" i="3"/>
  <c r="R2018" i="3"/>
  <c r="Q2018" i="3"/>
  <c r="S2017" i="3"/>
  <c r="R2017" i="3"/>
  <c r="Q2017" i="3"/>
  <c r="S2016" i="3"/>
  <c r="R2016" i="3"/>
  <c r="Q2016" i="3"/>
  <c r="S2015" i="3"/>
  <c r="R2015" i="3"/>
  <c r="Q2015" i="3"/>
  <c r="S2014" i="3"/>
  <c r="R2014" i="3"/>
  <c r="Q2014" i="3"/>
  <c r="S2013" i="3"/>
  <c r="R2013" i="3"/>
  <c r="Q2013" i="3"/>
  <c r="S2012" i="3"/>
  <c r="R2012" i="3"/>
  <c r="Q2012" i="3"/>
  <c r="S2011" i="3"/>
  <c r="R2011" i="3"/>
  <c r="Q2011" i="3"/>
  <c r="S2010" i="3"/>
  <c r="R2010" i="3"/>
  <c r="Q2010" i="3"/>
  <c r="S2009" i="3"/>
  <c r="R2009" i="3"/>
  <c r="Q2009" i="3"/>
  <c r="S2008" i="3"/>
  <c r="R2008" i="3"/>
  <c r="Q2008" i="3"/>
  <c r="S2007" i="3"/>
  <c r="R2007" i="3"/>
  <c r="Q2007" i="3"/>
  <c r="S2006" i="3"/>
  <c r="R2006" i="3"/>
  <c r="Q2006" i="3"/>
  <c r="S2005" i="3"/>
  <c r="R2005" i="3"/>
  <c r="Q2005" i="3"/>
  <c r="S2004" i="3"/>
  <c r="R2004" i="3"/>
  <c r="Q2004" i="3"/>
  <c r="S2003" i="3"/>
  <c r="R2003" i="3"/>
  <c r="Q2003" i="3"/>
  <c r="S2002" i="3"/>
  <c r="R2002" i="3"/>
  <c r="Q2002" i="3"/>
  <c r="S2001" i="3"/>
  <c r="R2001" i="3"/>
  <c r="Q2001" i="3"/>
  <c r="S2000" i="3"/>
  <c r="R2000" i="3"/>
  <c r="Q2000" i="3"/>
  <c r="S1999" i="3"/>
  <c r="R1999" i="3"/>
  <c r="Q1999" i="3"/>
  <c r="S1998" i="3"/>
  <c r="R1998" i="3"/>
  <c r="Q1998" i="3"/>
  <c r="S1997" i="3"/>
  <c r="R1997" i="3"/>
  <c r="Q1997" i="3"/>
  <c r="S1996" i="3"/>
  <c r="R1996" i="3"/>
  <c r="Q1996" i="3"/>
  <c r="S1995" i="3"/>
  <c r="R1995" i="3"/>
  <c r="Q1995" i="3"/>
  <c r="S1994" i="3"/>
  <c r="R1994" i="3"/>
  <c r="Q1994" i="3"/>
  <c r="S1993" i="3"/>
  <c r="R1993" i="3"/>
  <c r="Q1993" i="3"/>
  <c r="S1992" i="3"/>
  <c r="R1992" i="3"/>
  <c r="Q1992" i="3"/>
  <c r="S1991" i="3"/>
  <c r="R1991" i="3"/>
  <c r="Q1991" i="3"/>
  <c r="S1990" i="3"/>
  <c r="R1990" i="3"/>
  <c r="Q1990" i="3"/>
  <c r="S1989" i="3"/>
  <c r="R1989" i="3"/>
  <c r="Q1989" i="3"/>
  <c r="S1988" i="3"/>
  <c r="R1988" i="3"/>
  <c r="Q1988" i="3"/>
  <c r="S1987" i="3"/>
  <c r="R1987" i="3"/>
  <c r="Q1987" i="3"/>
  <c r="S1986" i="3"/>
  <c r="R1986" i="3"/>
  <c r="Q1986" i="3"/>
  <c r="S1985" i="3"/>
  <c r="R1985" i="3"/>
  <c r="Q1985" i="3"/>
  <c r="S1984" i="3"/>
  <c r="R1984" i="3"/>
  <c r="Q1984" i="3"/>
  <c r="S1983" i="3"/>
  <c r="R1983" i="3"/>
  <c r="Q1983" i="3"/>
  <c r="S1982" i="3"/>
  <c r="R1982" i="3"/>
  <c r="Q1982" i="3"/>
  <c r="S1981" i="3"/>
  <c r="R1981" i="3"/>
  <c r="Q1981" i="3"/>
  <c r="S1980" i="3"/>
  <c r="R1980" i="3"/>
  <c r="Q1980" i="3"/>
  <c r="S1979" i="3"/>
  <c r="R1979" i="3"/>
  <c r="Q1979" i="3"/>
  <c r="S1978" i="3"/>
  <c r="R1978" i="3"/>
  <c r="Q1978" i="3"/>
  <c r="S1977" i="3"/>
  <c r="R1977" i="3"/>
  <c r="Q1977" i="3"/>
  <c r="S1976" i="3"/>
  <c r="R1976" i="3"/>
  <c r="Q1976" i="3"/>
  <c r="S1975" i="3"/>
  <c r="R1975" i="3"/>
  <c r="Q1975" i="3"/>
  <c r="S1974" i="3"/>
  <c r="R1974" i="3"/>
  <c r="Q1974" i="3"/>
  <c r="S1973" i="3"/>
  <c r="R1973" i="3"/>
  <c r="Q1973" i="3"/>
  <c r="S1972" i="3"/>
  <c r="R1972" i="3"/>
  <c r="Q1972" i="3"/>
  <c r="S1971" i="3"/>
  <c r="R1971" i="3"/>
  <c r="Q1971" i="3"/>
  <c r="S1970" i="3"/>
  <c r="R1970" i="3"/>
  <c r="Q1970" i="3"/>
  <c r="S1969" i="3"/>
  <c r="R1969" i="3"/>
  <c r="Q1969" i="3"/>
  <c r="S1968" i="3"/>
  <c r="R1968" i="3"/>
  <c r="Q1968" i="3"/>
  <c r="S1967" i="3"/>
  <c r="R1967" i="3"/>
  <c r="Q1967" i="3"/>
  <c r="S1966" i="3"/>
  <c r="R1966" i="3"/>
  <c r="Q1966" i="3"/>
  <c r="S1965" i="3"/>
  <c r="R1965" i="3"/>
  <c r="Q1965" i="3"/>
  <c r="S1964" i="3"/>
  <c r="R1964" i="3"/>
  <c r="Q1964" i="3"/>
  <c r="S1963" i="3"/>
  <c r="R1963" i="3"/>
  <c r="Q1963" i="3"/>
  <c r="S1962" i="3"/>
  <c r="R1962" i="3"/>
  <c r="Q1962" i="3"/>
  <c r="S1961" i="3"/>
  <c r="R1961" i="3"/>
  <c r="Q1961" i="3"/>
  <c r="S1960" i="3"/>
  <c r="R1960" i="3"/>
  <c r="Q1960" i="3"/>
  <c r="S1959" i="3"/>
  <c r="R1959" i="3"/>
  <c r="Q1959" i="3"/>
  <c r="S1958" i="3"/>
  <c r="R1958" i="3"/>
  <c r="Q1958" i="3"/>
  <c r="S1957" i="3"/>
  <c r="R1957" i="3"/>
  <c r="Q1957" i="3"/>
  <c r="S1956" i="3"/>
  <c r="R1956" i="3"/>
  <c r="Q1956" i="3"/>
  <c r="S1955" i="3"/>
  <c r="R1955" i="3"/>
  <c r="Q1955" i="3"/>
  <c r="S1954" i="3"/>
  <c r="R1954" i="3"/>
  <c r="Q1954" i="3"/>
  <c r="S1953" i="3"/>
  <c r="R1953" i="3"/>
  <c r="Q1953" i="3"/>
  <c r="S1952" i="3"/>
  <c r="R1952" i="3"/>
  <c r="Q1952" i="3"/>
  <c r="S1951" i="3"/>
  <c r="R1951" i="3"/>
  <c r="Q1951" i="3"/>
  <c r="S1950" i="3"/>
  <c r="R1950" i="3"/>
  <c r="Q1950" i="3"/>
  <c r="S1949" i="3"/>
  <c r="R1949" i="3"/>
  <c r="Q1949" i="3"/>
  <c r="S1948" i="3"/>
  <c r="R1948" i="3"/>
  <c r="Q1948" i="3"/>
  <c r="S1947" i="3"/>
  <c r="R1947" i="3"/>
  <c r="Q1947" i="3"/>
  <c r="S1946" i="3"/>
  <c r="R1946" i="3"/>
  <c r="Q1946" i="3"/>
  <c r="S1945" i="3"/>
  <c r="R1945" i="3"/>
  <c r="Q1945" i="3"/>
  <c r="S1944" i="3"/>
  <c r="R1944" i="3"/>
  <c r="Q1944" i="3"/>
  <c r="S1943" i="3"/>
  <c r="R1943" i="3"/>
  <c r="Q1943" i="3"/>
  <c r="S1942" i="3"/>
  <c r="R1942" i="3"/>
  <c r="Q1942" i="3"/>
  <c r="S1941" i="3"/>
  <c r="R1941" i="3"/>
  <c r="Q1941" i="3"/>
  <c r="S1940" i="3"/>
  <c r="R1940" i="3"/>
  <c r="Q1940" i="3"/>
  <c r="S1939" i="3"/>
  <c r="R1939" i="3"/>
  <c r="Q1939" i="3"/>
  <c r="S1938" i="3"/>
  <c r="R1938" i="3"/>
  <c r="Q1938" i="3"/>
  <c r="S1937" i="3"/>
  <c r="R1937" i="3"/>
  <c r="Q1937" i="3"/>
  <c r="S1936" i="3"/>
  <c r="R1936" i="3"/>
  <c r="Q1936" i="3"/>
  <c r="S1935" i="3"/>
  <c r="R1935" i="3"/>
  <c r="Q1935" i="3"/>
  <c r="S1934" i="3"/>
  <c r="R1934" i="3"/>
  <c r="Q1934" i="3"/>
  <c r="S1933" i="3"/>
  <c r="R1933" i="3"/>
  <c r="Q1933" i="3"/>
  <c r="S1932" i="3"/>
  <c r="R1932" i="3"/>
  <c r="Q1932" i="3"/>
  <c r="S1931" i="3"/>
  <c r="R1931" i="3"/>
  <c r="Q1931" i="3"/>
  <c r="S1930" i="3"/>
  <c r="R1930" i="3"/>
  <c r="Q1930" i="3"/>
  <c r="S1929" i="3"/>
  <c r="R1929" i="3"/>
  <c r="Q1929" i="3"/>
  <c r="S1928" i="3"/>
  <c r="R1928" i="3"/>
  <c r="Q1928" i="3"/>
  <c r="S1927" i="3"/>
  <c r="R1927" i="3"/>
  <c r="Q1927" i="3"/>
  <c r="S1926" i="3"/>
  <c r="R1926" i="3"/>
  <c r="Q1926" i="3"/>
  <c r="S1925" i="3"/>
  <c r="R1925" i="3"/>
  <c r="Q1925" i="3"/>
  <c r="S1924" i="3"/>
  <c r="R1924" i="3"/>
  <c r="Q1924" i="3"/>
  <c r="S1923" i="3"/>
  <c r="R1923" i="3"/>
  <c r="Q1923" i="3"/>
  <c r="S1922" i="3"/>
  <c r="R1922" i="3"/>
  <c r="Q1922" i="3"/>
  <c r="S1921" i="3"/>
  <c r="R1921" i="3"/>
  <c r="Q1921" i="3"/>
  <c r="S1920" i="3"/>
  <c r="R1920" i="3"/>
  <c r="Q1920" i="3"/>
  <c r="S1919" i="3"/>
  <c r="R1919" i="3"/>
  <c r="Q1919" i="3"/>
  <c r="S1918" i="3"/>
  <c r="R1918" i="3"/>
  <c r="Q1918" i="3"/>
  <c r="S1917" i="3"/>
  <c r="R1917" i="3"/>
  <c r="Q1917" i="3"/>
  <c r="S1916" i="3"/>
  <c r="R1916" i="3"/>
  <c r="Q1916" i="3"/>
  <c r="S1915" i="3"/>
  <c r="R1915" i="3"/>
  <c r="Q1915" i="3"/>
  <c r="S1914" i="3"/>
  <c r="R1914" i="3"/>
  <c r="Q1914" i="3"/>
  <c r="S1913" i="3"/>
  <c r="R1913" i="3"/>
  <c r="Q1913" i="3"/>
  <c r="S1912" i="3"/>
  <c r="R1912" i="3"/>
  <c r="Q1912" i="3"/>
  <c r="S1911" i="3"/>
  <c r="R1911" i="3"/>
  <c r="Q1911" i="3"/>
  <c r="S1910" i="3"/>
  <c r="R1910" i="3"/>
  <c r="Q1910" i="3"/>
  <c r="S1909" i="3"/>
  <c r="R1909" i="3"/>
  <c r="Q1909" i="3"/>
  <c r="S1908" i="3"/>
  <c r="R1908" i="3"/>
  <c r="Q1908" i="3"/>
  <c r="S1907" i="3"/>
  <c r="R1907" i="3"/>
  <c r="Q1907" i="3"/>
  <c r="S1906" i="3"/>
  <c r="R1906" i="3"/>
  <c r="Q1906" i="3"/>
  <c r="S1905" i="3"/>
  <c r="R1905" i="3"/>
  <c r="Q1905" i="3"/>
  <c r="S1904" i="3"/>
  <c r="R1904" i="3"/>
  <c r="Q1904" i="3"/>
  <c r="S1903" i="3"/>
  <c r="R1903" i="3"/>
  <c r="Q1903" i="3"/>
  <c r="S1902" i="3"/>
  <c r="R1902" i="3"/>
  <c r="Q1902" i="3"/>
  <c r="S1901" i="3"/>
  <c r="R1901" i="3"/>
  <c r="Q1901" i="3"/>
  <c r="S1900" i="3"/>
  <c r="R1900" i="3"/>
  <c r="Q1900" i="3"/>
  <c r="S1899" i="3"/>
  <c r="R1899" i="3"/>
  <c r="Q1899" i="3"/>
  <c r="S1898" i="3"/>
  <c r="R1898" i="3"/>
  <c r="Q1898" i="3"/>
  <c r="S1897" i="3"/>
  <c r="R1897" i="3"/>
  <c r="Q1897" i="3"/>
  <c r="S1896" i="3"/>
  <c r="R1896" i="3"/>
  <c r="Q1896" i="3"/>
  <c r="S1895" i="3"/>
  <c r="R1895" i="3"/>
  <c r="Q1895" i="3"/>
  <c r="S1894" i="3"/>
  <c r="R1894" i="3"/>
  <c r="Q1894" i="3"/>
  <c r="S1893" i="3"/>
  <c r="R1893" i="3"/>
  <c r="Q1893" i="3"/>
  <c r="S1892" i="3"/>
  <c r="R1892" i="3"/>
  <c r="Q1892" i="3"/>
  <c r="S1891" i="3"/>
  <c r="R1891" i="3"/>
  <c r="Q1891" i="3"/>
  <c r="S1890" i="3"/>
  <c r="R1890" i="3"/>
  <c r="Q1890" i="3"/>
  <c r="S1889" i="3"/>
  <c r="R1889" i="3"/>
  <c r="Q1889" i="3"/>
  <c r="S1888" i="3"/>
  <c r="R1888" i="3"/>
  <c r="Q1888" i="3"/>
  <c r="S1887" i="3"/>
  <c r="R1887" i="3"/>
  <c r="Q1887" i="3"/>
  <c r="S1886" i="3"/>
  <c r="R1886" i="3"/>
  <c r="Q1886" i="3"/>
  <c r="S1885" i="3"/>
  <c r="R1885" i="3"/>
  <c r="Q1885" i="3"/>
  <c r="S1884" i="3"/>
  <c r="R1884" i="3"/>
  <c r="Q1884" i="3"/>
  <c r="S1883" i="3"/>
  <c r="R1883" i="3"/>
  <c r="Q1883" i="3"/>
  <c r="S1882" i="3"/>
  <c r="R1882" i="3"/>
  <c r="Q1882" i="3"/>
  <c r="S1881" i="3"/>
  <c r="R1881" i="3"/>
  <c r="Q1881" i="3"/>
  <c r="S1880" i="3"/>
  <c r="R1880" i="3"/>
  <c r="Q1880" i="3"/>
  <c r="S1879" i="3"/>
  <c r="R1879" i="3"/>
  <c r="Q1879" i="3"/>
  <c r="S1878" i="3"/>
  <c r="R1878" i="3"/>
  <c r="Q1878" i="3"/>
  <c r="S1877" i="3"/>
  <c r="R1877" i="3"/>
  <c r="Q1877" i="3"/>
  <c r="S1876" i="3"/>
  <c r="R1876" i="3"/>
  <c r="Q1876" i="3"/>
  <c r="S1875" i="3"/>
  <c r="R1875" i="3"/>
  <c r="Q1875" i="3"/>
  <c r="S1874" i="3"/>
  <c r="R1874" i="3"/>
  <c r="Q1874" i="3"/>
  <c r="S1873" i="3"/>
  <c r="R1873" i="3"/>
  <c r="Q1873" i="3"/>
  <c r="S1872" i="3"/>
  <c r="R1872" i="3"/>
  <c r="Q1872" i="3"/>
  <c r="S1871" i="3"/>
  <c r="R1871" i="3"/>
  <c r="Q1871" i="3"/>
  <c r="S1870" i="3"/>
  <c r="R1870" i="3"/>
  <c r="Q1870" i="3"/>
  <c r="S1869" i="3"/>
  <c r="R1869" i="3"/>
  <c r="Q1869" i="3"/>
  <c r="S1868" i="3"/>
  <c r="R1868" i="3"/>
  <c r="Q1868" i="3"/>
  <c r="S1867" i="3"/>
  <c r="R1867" i="3"/>
  <c r="Q1867" i="3"/>
  <c r="S1866" i="3"/>
  <c r="R1866" i="3"/>
  <c r="Q1866" i="3"/>
  <c r="S1865" i="3"/>
  <c r="R1865" i="3"/>
  <c r="Q1865" i="3"/>
  <c r="S1864" i="3"/>
  <c r="R1864" i="3"/>
  <c r="Q1864" i="3"/>
  <c r="S1863" i="3"/>
  <c r="R1863" i="3"/>
  <c r="Q1863" i="3"/>
  <c r="S1862" i="3"/>
  <c r="R1862" i="3"/>
  <c r="Q1862" i="3"/>
  <c r="S1861" i="3"/>
  <c r="R1861" i="3"/>
  <c r="Q1861" i="3"/>
  <c r="S1860" i="3"/>
  <c r="R1860" i="3"/>
  <c r="Q1860" i="3"/>
  <c r="S1859" i="3"/>
  <c r="R1859" i="3"/>
  <c r="Q1859" i="3"/>
  <c r="S1858" i="3"/>
  <c r="R1858" i="3"/>
  <c r="Q1858" i="3"/>
  <c r="S1857" i="3"/>
  <c r="R1857" i="3"/>
  <c r="Q1857" i="3"/>
  <c r="S1856" i="3"/>
  <c r="R1856" i="3"/>
  <c r="Q1856" i="3"/>
  <c r="S1855" i="3"/>
  <c r="R1855" i="3"/>
  <c r="Q1855" i="3"/>
  <c r="S1854" i="3"/>
  <c r="R1854" i="3"/>
  <c r="Q1854" i="3"/>
  <c r="S1853" i="3"/>
  <c r="R1853" i="3"/>
  <c r="Q1853" i="3"/>
  <c r="S1852" i="3"/>
  <c r="R1852" i="3"/>
  <c r="Q1852" i="3"/>
  <c r="S1851" i="3"/>
  <c r="R1851" i="3"/>
  <c r="Q1851" i="3"/>
  <c r="S1850" i="3"/>
  <c r="R1850" i="3"/>
  <c r="Q1850" i="3"/>
  <c r="S1849" i="3"/>
  <c r="R1849" i="3"/>
  <c r="Q1849" i="3"/>
  <c r="S1848" i="3"/>
  <c r="R1848" i="3"/>
  <c r="Q1848" i="3"/>
  <c r="S1847" i="3"/>
  <c r="R1847" i="3"/>
  <c r="Q1847" i="3"/>
  <c r="S1846" i="3"/>
  <c r="R1846" i="3"/>
  <c r="Q1846" i="3"/>
  <c r="S1845" i="3"/>
  <c r="R1845" i="3"/>
  <c r="Q1845" i="3"/>
  <c r="S1844" i="3"/>
  <c r="R1844" i="3"/>
  <c r="Q1844" i="3"/>
  <c r="S1843" i="3"/>
  <c r="R1843" i="3"/>
  <c r="Q1843" i="3"/>
  <c r="S1842" i="3"/>
  <c r="R1842" i="3"/>
  <c r="Q1842" i="3"/>
  <c r="S1841" i="3"/>
  <c r="R1841" i="3"/>
  <c r="Q1841" i="3"/>
  <c r="S1840" i="3"/>
  <c r="R1840" i="3"/>
  <c r="Q1840" i="3"/>
  <c r="S1839" i="3"/>
  <c r="R1839" i="3"/>
  <c r="Q1839" i="3"/>
  <c r="S1838" i="3"/>
  <c r="R1838" i="3"/>
  <c r="Q1838" i="3"/>
  <c r="S1837" i="3"/>
  <c r="R1837" i="3"/>
  <c r="Q1837" i="3"/>
  <c r="S1836" i="3"/>
  <c r="R1836" i="3"/>
  <c r="Q1836" i="3"/>
  <c r="S1835" i="3"/>
  <c r="R1835" i="3"/>
  <c r="Q1835" i="3"/>
  <c r="S1834" i="3"/>
  <c r="R1834" i="3"/>
  <c r="Q1834" i="3"/>
  <c r="S1833" i="3"/>
  <c r="R1833" i="3"/>
  <c r="Q1833" i="3"/>
  <c r="S1832" i="3"/>
  <c r="R1832" i="3"/>
  <c r="Q1832" i="3"/>
  <c r="S1831" i="3"/>
  <c r="R1831" i="3"/>
  <c r="Q1831" i="3"/>
  <c r="S1830" i="3"/>
  <c r="R1830" i="3"/>
  <c r="Q1830" i="3"/>
  <c r="S1829" i="3"/>
  <c r="R1829" i="3"/>
  <c r="Q1829" i="3"/>
  <c r="S1828" i="3"/>
  <c r="R1828" i="3"/>
  <c r="Q1828" i="3"/>
  <c r="S1827" i="3"/>
  <c r="R1827" i="3"/>
  <c r="Q1827" i="3"/>
  <c r="S1826" i="3"/>
  <c r="R1826" i="3"/>
  <c r="Q1826" i="3"/>
  <c r="S1825" i="3"/>
  <c r="R1825" i="3"/>
  <c r="Q1825" i="3"/>
  <c r="S1824" i="3"/>
  <c r="R1824" i="3"/>
  <c r="Q1824" i="3"/>
  <c r="S1823" i="3"/>
  <c r="R1823" i="3"/>
  <c r="Q1823" i="3"/>
  <c r="S1822" i="3"/>
  <c r="R1822" i="3"/>
  <c r="Q1822" i="3"/>
  <c r="S1821" i="3"/>
  <c r="R1821" i="3"/>
  <c r="Q1821" i="3"/>
  <c r="S1820" i="3"/>
  <c r="R1820" i="3"/>
  <c r="Q1820" i="3"/>
  <c r="S1819" i="3"/>
  <c r="R1819" i="3"/>
  <c r="Q1819" i="3"/>
  <c r="S1818" i="3"/>
  <c r="R1818" i="3"/>
  <c r="Q1818" i="3"/>
  <c r="S1817" i="3"/>
  <c r="R1817" i="3"/>
  <c r="Q1817" i="3"/>
  <c r="S1816" i="3"/>
  <c r="R1816" i="3"/>
  <c r="Q1816" i="3"/>
  <c r="S1815" i="3"/>
  <c r="R1815" i="3"/>
  <c r="Q1815" i="3"/>
  <c r="S1814" i="3"/>
  <c r="R1814" i="3"/>
  <c r="Q1814" i="3"/>
  <c r="S1813" i="3"/>
  <c r="R1813" i="3"/>
  <c r="Q1813" i="3"/>
  <c r="S1812" i="3"/>
  <c r="R1812" i="3"/>
  <c r="Q1812" i="3"/>
  <c r="S1811" i="3"/>
  <c r="R1811" i="3"/>
  <c r="Q1811" i="3"/>
  <c r="S1810" i="3"/>
  <c r="R1810" i="3"/>
  <c r="Q1810" i="3"/>
  <c r="S1809" i="3"/>
  <c r="R1809" i="3"/>
  <c r="Q1809" i="3"/>
  <c r="S1808" i="3"/>
  <c r="R1808" i="3"/>
  <c r="Q1808" i="3"/>
  <c r="S1807" i="3"/>
  <c r="R1807" i="3"/>
  <c r="Q1807" i="3"/>
  <c r="S1806" i="3"/>
  <c r="R1806" i="3"/>
  <c r="Q1806" i="3"/>
  <c r="S1805" i="3"/>
  <c r="R1805" i="3"/>
  <c r="Q1805" i="3"/>
  <c r="S1804" i="3"/>
  <c r="R1804" i="3"/>
  <c r="Q1804" i="3"/>
  <c r="S1803" i="3"/>
  <c r="R1803" i="3"/>
  <c r="Q1803" i="3"/>
  <c r="S1802" i="3"/>
  <c r="R1802" i="3"/>
  <c r="Q1802" i="3"/>
  <c r="S1801" i="3"/>
  <c r="R1801" i="3"/>
  <c r="Q1801" i="3"/>
  <c r="S1800" i="3"/>
  <c r="R1800" i="3"/>
  <c r="Q1800" i="3"/>
  <c r="S1799" i="3"/>
  <c r="R1799" i="3"/>
  <c r="Q1799" i="3"/>
  <c r="S1798" i="3"/>
  <c r="R1798" i="3"/>
  <c r="Q1798" i="3"/>
  <c r="S1797" i="3"/>
  <c r="R1797" i="3"/>
  <c r="Q1797" i="3"/>
  <c r="S1796" i="3"/>
  <c r="R1796" i="3"/>
  <c r="Q1796" i="3"/>
  <c r="S1795" i="3"/>
  <c r="R1795" i="3"/>
  <c r="Q1795" i="3"/>
  <c r="S1794" i="3"/>
  <c r="R1794" i="3"/>
  <c r="Q1794" i="3"/>
  <c r="S1793" i="3"/>
  <c r="R1793" i="3"/>
  <c r="Q1793" i="3"/>
  <c r="S1792" i="3"/>
  <c r="R1792" i="3"/>
  <c r="Q1792" i="3"/>
  <c r="S1791" i="3"/>
  <c r="R1791" i="3"/>
  <c r="Q1791" i="3"/>
  <c r="S1790" i="3"/>
  <c r="R1790" i="3"/>
  <c r="Q1790" i="3"/>
  <c r="S1789" i="3"/>
  <c r="R1789" i="3"/>
  <c r="Q1789" i="3"/>
  <c r="S1788" i="3"/>
  <c r="R1788" i="3"/>
  <c r="Q1788" i="3"/>
  <c r="S1787" i="3"/>
  <c r="R1787" i="3"/>
  <c r="Q1787" i="3"/>
  <c r="S1786" i="3"/>
  <c r="R1786" i="3"/>
  <c r="Q1786" i="3"/>
  <c r="S1785" i="3"/>
  <c r="R1785" i="3"/>
  <c r="Q1785" i="3"/>
  <c r="S1784" i="3"/>
  <c r="R1784" i="3"/>
  <c r="Q1784" i="3"/>
  <c r="S1783" i="3"/>
  <c r="R1783" i="3"/>
  <c r="Q1783" i="3"/>
  <c r="S1782" i="3"/>
  <c r="R1782" i="3"/>
  <c r="Q1782" i="3"/>
  <c r="S1781" i="3"/>
  <c r="R1781" i="3"/>
  <c r="Q1781" i="3"/>
  <c r="S1780" i="3"/>
  <c r="R1780" i="3"/>
  <c r="Q1780" i="3"/>
  <c r="S1779" i="3"/>
  <c r="R1779" i="3"/>
  <c r="Q1779" i="3"/>
  <c r="S1778" i="3"/>
  <c r="R1778" i="3"/>
  <c r="Q1778" i="3"/>
  <c r="S1777" i="3"/>
  <c r="R1777" i="3"/>
  <c r="Q1777" i="3"/>
  <c r="S1776" i="3"/>
  <c r="R1776" i="3"/>
  <c r="Q1776" i="3"/>
  <c r="S1775" i="3"/>
  <c r="R1775" i="3"/>
  <c r="Q1775" i="3"/>
  <c r="S1774" i="3"/>
  <c r="R1774" i="3"/>
  <c r="Q1774" i="3"/>
  <c r="S1773" i="3"/>
  <c r="R1773" i="3"/>
  <c r="Q1773" i="3"/>
  <c r="S1772" i="3"/>
  <c r="R1772" i="3"/>
  <c r="Q1772" i="3"/>
  <c r="S1771" i="3"/>
  <c r="R1771" i="3"/>
  <c r="Q1771" i="3"/>
  <c r="S1770" i="3"/>
  <c r="R1770" i="3"/>
  <c r="Q1770" i="3"/>
  <c r="S1769" i="3"/>
  <c r="R1769" i="3"/>
  <c r="Q1769" i="3"/>
  <c r="S1768" i="3"/>
  <c r="R1768" i="3"/>
  <c r="Q1768" i="3"/>
  <c r="S1767" i="3"/>
  <c r="R1767" i="3"/>
  <c r="Q1767" i="3"/>
  <c r="S1766" i="3"/>
  <c r="R1766" i="3"/>
  <c r="Q1766" i="3"/>
  <c r="S1765" i="3"/>
  <c r="R1765" i="3"/>
  <c r="Q1765" i="3"/>
  <c r="S1764" i="3"/>
  <c r="R1764" i="3"/>
  <c r="Q1764" i="3"/>
  <c r="S1763" i="3"/>
  <c r="R1763" i="3"/>
  <c r="Q1763" i="3"/>
  <c r="S1762" i="3"/>
  <c r="R1762" i="3"/>
  <c r="Q1762" i="3"/>
  <c r="S1761" i="3"/>
  <c r="R1761" i="3"/>
  <c r="Q1761" i="3"/>
  <c r="S1760" i="3"/>
  <c r="R1760" i="3"/>
  <c r="Q1760" i="3"/>
  <c r="S1759" i="3"/>
  <c r="R1759" i="3"/>
  <c r="Q1759" i="3"/>
  <c r="S1758" i="3"/>
  <c r="R1758" i="3"/>
  <c r="Q1758" i="3"/>
  <c r="S1757" i="3"/>
  <c r="R1757" i="3"/>
  <c r="Q1757" i="3"/>
  <c r="S1756" i="3"/>
  <c r="R1756" i="3"/>
  <c r="Q1756" i="3"/>
  <c r="S1755" i="3"/>
  <c r="R1755" i="3"/>
  <c r="Q1755" i="3"/>
  <c r="S1754" i="3"/>
  <c r="R1754" i="3"/>
  <c r="Q1754" i="3"/>
  <c r="S1753" i="3"/>
  <c r="R1753" i="3"/>
  <c r="Q1753" i="3"/>
  <c r="S1752" i="3"/>
  <c r="R1752" i="3"/>
  <c r="Q1752" i="3"/>
  <c r="S1751" i="3"/>
  <c r="R1751" i="3"/>
  <c r="Q1751" i="3"/>
  <c r="S1750" i="3"/>
  <c r="R1750" i="3"/>
  <c r="Q1750" i="3"/>
  <c r="S1749" i="3"/>
  <c r="R1749" i="3"/>
  <c r="Q1749" i="3"/>
  <c r="S1748" i="3"/>
  <c r="R1748" i="3"/>
  <c r="Q1748" i="3"/>
  <c r="S1747" i="3"/>
  <c r="R1747" i="3"/>
  <c r="Q1747" i="3"/>
  <c r="S1746" i="3"/>
  <c r="R1746" i="3"/>
  <c r="Q1746" i="3"/>
  <c r="S1745" i="3"/>
  <c r="R1745" i="3"/>
  <c r="Q1745" i="3"/>
  <c r="S1744" i="3"/>
  <c r="R1744" i="3"/>
  <c r="Q1744" i="3"/>
  <c r="S1743" i="3"/>
  <c r="R1743" i="3"/>
  <c r="Q1743" i="3"/>
  <c r="S1742" i="3"/>
  <c r="R1742" i="3"/>
  <c r="Q1742" i="3"/>
  <c r="S1741" i="3"/>
  <c r="R1741" i="3"/>
  <c r="Q1741" i="3"/>
  <c r="S1740" i="3"/>
  <c r="R1740" i="3"/>
  <c r="Q1740" i="3"/>
  <c r="S1739" i="3"/>
  <c r="R1739" i="3"/>
  <c r="Q1739" i="3"/>
  <c r="S1738" i="3"/>
  <c r="R1738" i="3"/>
  <c r="Q1738" i="3"/>
  <c r="S1737" i="3"/>
  <c r="R1737" i="3"/>
  <c r="Q1737" i="3"/>
  <c r="S1736" i="3"/>
  <c r="R1736" i="3"/>
  <c r="Q1736" i="3"/>
  <c r="S1735" i="3"/>
  <c r="R1735" i="3"/>
  <c r="Q1735" i="3"/>
  <c r="S1734" i="3"/>
  <c r="R1734" i="3"/>
  <c r="Q1734" i="3"/>
  <c r="S1733" i="3"/>
  <c r="R1733" i="3"/>
  <c r="Q1733" i="3"/>
  <c r="S1732" i="3"/>
  <c r="R1732" i="3"/>
  <c r="Q1732" i="3"/>
  <c r="S1731" i="3"/>
  <c r="R1731" i="3"/>
  <c r="Q1731" i="3"/>
  <c r="S1730" i="3"/>
  <c r="R1730" i="3"/>
  <c r="Q1730" i="3"/>
  <c r="S1729" i="3"/>
  <c r="R1729" i="3"/>
  <c r="Q1729" i="3"/>
  <c r="S1728" i="3"/>
  <c r="R1728" i="3"/>
  <c r="Q1728" i="3"/>
  <c r="S1727" i="3"/>
  <c r="R1727" i="3"/>
  <c r="Q1727" i="3"/>
  <c r="S1726" i="3"/>
  <c r="R1726" i="3"/>
  <c r="Q1726" i="3"/>
  <c r="S1725" i="3"/>
  <c r="R1725" i="3"/>
  <c r="Q1725" i="3"/>
  <c r="S1724" i="3"/>
  <c r="R1724" i="3"/>
  <c r="Q1724" i="3"/>
  <c r="S1723" i="3"/>
  <c r="R1723" i="3"/>
  <c r="Q1723" i="3"/>
  <c r="S1722" i="3"/>
  <c r="R1722" i="3"/>
  <c r="Q1722" i="3"/>
  <c r="S1721" i="3"/>
  <c r="R1721" i="3"/>
  <c r="Q1721" i="3"/>
  <c r="S1720" i="3"/>
  <c r="R1720" i="3"/>
  <c r="Q1720" i="3"/>
  <c r="S1719" i="3"/>
  <c r="R1719" i="3"/>
  <c r="Q1719" i="3"/>
  <c r="S1718" i="3"/>
  <c r="R1718" i="3"/>
  <c r="Q1718" i="3"/>
  <c r="S1717" i="3"/>
  <c r="R1717" i="3"/>
  <c r="Q1717" i="3"/>
  <c r="S1716" i="3"/>
  <c r="R1716" i="3"/>
  <c r="Q1716" i="3"/>
  <c r="S1715" i="3"/>
  <c r="R1715" i="3"/>
  <c r="Q1715" i="3"/>
  <c r="S1714" i="3"/>
  <c r="R1714" i="3"/>
  <c r="Q1714" i="3"/>
  <c r="S1713" i="3"/>
  <c r="R1713" i="3"/>
  <c r="Q1713" i="3"/>
  <c r="S1712" i="3"/>
  <c r="R1712" i="3"/>
  <c r="Q1712" i="3"/>
  <c r="S1711" i="3"/>
  <c r="R1711" i="3"/>
  <c r="Q1711" i="3"/>
  <c r="S1710" i="3"/>
  <c r="R1710" i="3"/>
  <c r="Q1710" i="3"/>
  <c r="S1709" i="3"/>
  <c r="R1709" i="3"/>
  <c r="Q1709" i="3"/>
  <c r="S1708" i="3"/>
  <c r="R1708" i="3"/>
  <c r="Q1708" i="3"/>
  <c r="S1707" i="3"/>
  <c r="R1707" i="3"/>
  <c r="Q1707" i="3"/>
  <c r="S1706" i="3"/>
  <c r="R1706" i="3"/>
  <c r="Q1706" i="3"/>
  <c r="S1705" i="3"/>
  <c r="R1705" i="3"/>
  <c r="Q1705" i="3"/>
  <c r="S1704" i="3"/>
  <c r="R1704" i="3"/>
  <c r="Q1704" i="3"/>
  <c r="S1703" i="3"/>
  <c r="R1703" i="3"/>
  <c r="Q1703" i="3"/>
  <c r="S1702" i="3"/>
  <c r="R1702" i="3"/>
  <c r="Q1702" i="3"/>
  <c r="S1701" i="3"/>
  <c r="R1701" i="3"/>
  <c r="Q1701" i="3"/>
  <c r="S1700" i="3"/>
  <c r="R1700" i="3"/>
  <c r="Q1700" i="3"/>
  <c r="S1699" i="3"/>
  <c r="R1699" i="3"/>
  <c r="Q1699" i="3"/>
  <c r="S1698" i="3"/>
  <c r="R1698" i="3"/>
  <c r="Q1698" i="3"/>
  <c r="S1697" i="3"/>
  <c r="R1697" i="3"/>
  <c r="Q1697" i="3"/>
  <c r="S1696" i="3"/>
  <c r="R1696" i="3"/>
  <c r="Q1696" i="3"/>
  <c r="S1695" i="3"/>
  <c r="R1695" i="3"/>
  <c r="Q1695" i="3"/>
  <c r="S1694" i="3"/>
  <c r="R1694" i="3"/>
  <c r="Q1694" i="3"/>
  <c r="S1693" i="3"/>
  <c r="R1693" i="3"/>
  <c r="Q1693" i="3"/>
  <c r="S1692" i="3"/>
  <c r="R1692" i="3"/>
  <c r="Q1692" i="3"/>
  <c r="S1691" i="3"/>
  <c r="R1691" i="3"/>
  <c r="Q1691" i="3"/>
  <c r="S1690" i="3"/>
  <c r="R1690" i="3"/>
  <c r="Q1690" i="3"/>
  <c r="S1689" i="3"/>
  <c r="R1689" i="3"/>
  <c r="Q1689" i="3"/>
  <c r="S1688" i="3"/>
  <c r="R1688" i="3"/>
  <c r="Q1688" i="3"/>
  <c r="S1687" i="3"/>
  <c r="R1687" i="3"/>
  <c r="Q1687" i="3"/>
  <c r="S1686" i="3"/>
  <c r="R1686" i="3"/>
  <c r="Q1686" i="3"/>
  <c r="S1685" i="3"/>
  <c r="R1685" i="3"/>
  <c r="Q1685" i="3"/>
  <c r="S1684" i="3"/>
  <c r="R1684" i="3"/>
  <c r="Q1684" i="3"/>
  <c r="S1683" i="3"/>
  <c r="R1683" i="3"/>
  <c r="Q1683" i="3"/>
  <c r="S1682" i="3"/>
  <c r="R1682" i="3"/>
  <c r="Q1682" i="3"/>
  <c r="S1681" i="3"/>
  <c r="R1681" i="3"/>
  <c r="Q1681" i="3"/>
  <c r="S1680" i="3"/>
  <c r="R1680" i="3"/>
  <c r="Q1680" i="3"/>
  <c r="S1679" i="3"/>
  <c r="R1679" i="3"/>
  <c r="Q1679" i="3"/>
  <c r="S1678" i="3"/>
  <c r="R1678" i="3"/>
  <c r="Q1678" i="3"/>
  <c r="S1677" i="3"/>
  <c r="R1677" i="3"/>
  <c r="Q1677" i="3"/>
  <c r="S1676" i="3"/>
  <c r="R1676" i="3"/>
  <c r="Q1676" i="3"/>
  <c r="S1675" i="3"/>
  <c r="R1675" i="3"/>
  <c r="Q1675" i="3"/>
  <c r="S1674" i="3"/>
  <c r="R1674" i="3"/>
  <c r="Q1674" i="3"/>
  <c r="S1673" i="3"/>
  <c r="R1673" i="3"/>
  <c r="Q1673" i="3"/>
  <c r="S1672" i="3"/>
  <c r="R1672" i="3"/>
  <c r="Q1672" i="3"/>
  <c r="S1671" i="3"/>
  <c r="R1671" i="3"/>
  <c r="Q1671" i="3"/>
  <c r="S1670" i="3"/>
  <c r="R1670" i="3"/>
  <c r="Q1670" i="3"/>
  <c r="S1669" i="3"/>
  <c r="R1669" i="3"/>
  <c r="Q1669" i="3"/>
  <c r="S1668" i="3"/>
  <c r="R1668" i="3"/>
  <c r="Q1668" i="3"/>
  <c r="S1667" i="3"/>
  <c r="R1667" i="3"/>
  <c r="Q1667" i="3"/>
  <c r="S1666" i="3"/>
  <c r="R1666" i="3"/>
  <c r="Q1666" i="3"/>
  <c r="S1665" i="3"/>
  <c r="R1665" i="3"/>
  <c r="Q1665" i="3"/>
  <c r="S1664" i="3"/>
  <c r="R1664" i="3"/>
  <c r="Q1664" i="3"/>
  <c r="S1663" i="3"/>
  <c r="R1663" i="3"/>
  <c r="Q1663" i="3"/>
  <c r="S1662" i="3"/>
  <c r="R1662" i="3"/>
  <c r="Q1662" i="3"/>
  <c r="S1661" i="3"/>
  <c r="R1661" i="3"/>
  <c r="Q1661" i="3"/>
  <c r="S1660" i="3"/>
  <c r="R1660" i="3"/>
  <c r="Q1660" i="3"/>
  <c r="S1659" i="3"/>
  <c r="R1659" i="3"/>
  <c r="Q1659" i="3"/>
  <c r="S1658" i="3"/>
  <c r="R1658" i="3"/>
  <c r="Q1658" i="3"/>
  <c r="S1657" i="3"/>
  <c r="R1657" i="3"/>
  <c r="Q1657" i="3"/>
  <c r="S1656" i="3"/>
  <c r="R1656" i="3"/>
  <c r="Q1656" i="3"/>
  <c r="S1655" i="3"/>
  <c r="R1655" i="3"/>
  <c r="Q1655" i="3"/>
  <c r="S1654" i="3"/>
  <c r="R1654" i="3"/>
  <c r="Q1654" i="3"/>
  <c r="S1653" i="3"/>
  <c r="R1653" i="3"/>
  <c r="Q1653" i="3"/>
  <c r="S1652" i="3"/>
  <c r="R1652" i="3"/>
  <c r="Q1652" i="3"/>
  <c r="S1651" i="3"/>
  <c r="R1651" i="3"/>
  <c r="Q1651" i="3"/>
  <c r="S1650" i="3"/>
  <c r="R1650" i="3"/>
  <c r="Q1650" i="3"/>
  <c r="S1649" i="3"/>
  <c r="R1649" i="3"/>
  <c r="Q1649" i="3"/>
  <c r="S1648" i="3"/>
  <c r="R1648" i="3"/>
  <c r="Q1648" i="3"/>
  <c r="S1647" i="3"/>
  <c r="R1647" i="3"/>
  <c r="Q1647" i="3"/>
  <c r="S1646" i="3"/>
  <c r="R1646" i="3"/>
  <c r="Q1646" i="3"/>
  <c r="S1645" i="3"/>
  <c r="R1645" i="3"/>
  <c r="Q1645" i="3"/>
  <c r="S1644" i="3"/>
  <c r="R1644" i="3"/>
  <c r="Q1644" i="3"/>
  <c r="S1643" i="3"/>
  <c r="R1643" i="3"/>
  <c r="Q1643" i="3"/>
  <c r="S1642" i="3"/>
  <c r="R1642" i="3"/>
  <c r="Q1642" i="3"/>
  <c r="S1641" i="3"/>
  <c r="R1641" i="3"/>
  <c r="Q1641" i="3"/>
  <c r="S1640" i="3"/>
  <c r="R1640" i="3"/>
  <c r="Q1640" i="3"/>
  <c r="S1639" i="3"/>
  <c r="R1639" i="3"/>
  <c r="Q1639" i="3"/>
  <c r="S1638" i="3"/>
  <c r="R1638" i="3"/>
  <c r="Q1638" i="3"/>
  <c r="S1637" i="3"/>
  <c r="R1637" i="3"/>
  <c r="Q1637" i="3"/>
  <c r="S1636" i="3"/>
  <c r="R1636" i="3"/>
  <c r="Q1636" i="3"/>
  <c r="S1635" i="3"/>
  <c r="R1635" i="3"/>
  <c r="Q1635" i="3"/>
  <c r="S1634" i="3"/>
  <c r="R1634" i="3"/>
  <c r="Q1634" i="3"/>
  <c r="S1633" i="3"/>
  <c r="R1633" i="3"/>
  <c r="Q1633" i="3"/>
  <c r="S1632" i="3"/>
  <c r="R1632" i="3"/>
  <c r="Q1632" i="3"/>
  <c r="S1631" i="3"/>
  <c r="R1631" i="3"/>
  <c r="Q1631" i="3"/>
  <c r="S1630" i="3"/>
  <c r="R1630" i="3"/>
  <c r="Q1630" i="3"/>
  <c r="S1629" i="3"/>
  <c r="R1629" i="3"/>
  <c r="Q1629" i="3"/>
  <c r="S1628" i="3"/>
  <c r="R1628" i="3"/>
  <c r="Q1628" i="3"/>
  <c r="S1627" i="3"/>
  <c r="R1627" i="3"/>
  <c r="Q1627" i="3"/>
  <c r="S1626" i="3"/>
  <c r="R1626" i="3"/>
  <c r="Q1626" i="3"/>
  <c r="S1625" i="3"/>
  <c r="R1625" i="3"/>
  <c r="Q1625" i="3"/>
  <c r="S1624" i="3"/>
  <c r="R1624" i="3"/>
  <c r="Q1624" i="3"/>
  <c r="S1623" i="3"/>
  <c r="R1623" i="3"/>
  <c r="Q1623" i="3"/>
  <c r="S1622" i="3"/>
  <c r="R1622" i="3"/>
  <c r="Q1622" i="3"/>
  <c r="S1621" i="3"/>
  <c r="R1621" i="3"/>
  <c r="Q1621" i="3"/>
  <c r="S1620" i="3"/>
  <c r="R1620" i="3"/>
  <c r="Q1620" i="3"/>
  <c r="S1619" i="3"/>
  <c r="R1619" i="3"/>
  <c r="Q1619" i="3"/>
  <c r="S1618" i="3"/>
  <c r="R1618" i="3"/>
  <c r="Q1618" i="3"/>
  <c r="S1617" i="3"/>
  <c r="R1617" i="3"/>
  <c r="Q1617" i="3"/>
  <c r="S1616" i="3"/>
  <c r="R1616" i="3"/>
  <c r="Q1616" i="3"/>
  <c r="S1615" i="3"/>
  <c r="R1615" i="3"/>
  <c r="Q1615" i="3"/>
  <c r="S1614" i="3"/>
  <c r="R1614" i="3"/>
  <c r="Q1614" i="3"/>
  <c r="S1613" i="3"/>
  <c r="R1613" i="3"/>
  <c r="Q1613" i="3"/>
  <c r="S1612" i="3"/>
  <c r="R1612" i="3"/>
  <c r="Q1612" i="3"/>
  <c r="S1611" i="3"/>
  <c r="R1611" i="3"/>
  <c r="Q1611" i="3"/>
  <c r="S1610" i="3"/>
  <c r="R1610" i="3"/>
  <c r="Q1610" i="3"/>
  <c r="S1609" i="3"/>
  <c r="R1609" i="3"/>
  <c r="Q1609" i="3"/>
  <c r="S1608" i="3"/>
  <c r="R1608" i="3"/>
  <c r="Q1608" i="3"/>
  <c r="S1607" i="3"/>
  <c r="R1607" i="3"/>
  <c r="Q1607" i="3"/>
  <c r="S1606" i="3"/>
  <c r="R1606" i="3"/>
  <c r="Q1606" i="3"/>
  <c r="S1605" i="3"/>
  <c r="R1605" i="3"/>
  <c r="Q1605" i="3"/>
  <c r="S1604" i="3"/>
  <c r="R1604" i="3"/>
  <c r="Q1604" i="3"/>
  <c r="S1603" i="3"/>
  <c r="R1603" i="3"/>
  <c r="Q1603" i="3"/>
  <c r="S1602" i="3"/>
  <c r="R1602" i="3"/>
  <c r="Q1602" i="3"/>
  <c r="S1601" i="3"/>
  <c r="R1601" i="3"/>
  <c r="Q1601" i="3"/>
  <c r="S1600" i="3"/>
  <c r="R1600" i="3"/>
  <c r="Q1600" i="3"/>
  <c r="S1599" i="3"/>
  <c r="R1599" i="3"/>
  <c r="Q1599" i="3"/>
  <c r="S1598" i="3"/>
  <c r="R1598" i="3"/>
  <c r="Q1598" i="3"/>
  <c r="S1597" i="3"/>
  <c r="R1597" i="3"/>
  <c r="Q1597" i="3"/>
  <c r="S1596" i="3"/>
  <c r="R1596" i="3"/>
  <c r="Q1596" i="3"/>
  <c r="S1595" i="3"/>
  <c r="R1595" i="3"/>
  <c r="Q1595" i="3"/>
  <c r="S1594" i="3"/>
  <c r="R1594" i="3"/>
  <c r="Q1594" i="3"/>
  <c r="S1593" i="3"/>
  <c r="R1593" i="3"/>
  <c r="Q1593" i="3"/>
  <c r="S1592" i="3"/>
  <c r="R1592" i="3"/>
  <c r="Q1592" i="3"/>
  <c r="S1591" i="3"/>
  <c r="R1591" i="3"/>
  <c r="Q1591" i="3"/>
  <c r="S1590" i="3"/>
  <c r="R1590" i="3"/>
  <c r="Q1590" i="3"/>
  <c r="S1589" i="3"/>
  <c r="R1589" i="3"/>
  <c r="Q1589" i="3"/>
  <c r="S1588" i="3"/>
  <c r="R1588" i="3"/>
  <c r="Q1588" i="3"/>
  <c r="S1587" i="3"/>
  <c r="R1587" i="3"/>
  <c r="Q1587" i="3"/>
  <c r="S1586" i="3"/>
  <c r="R1586" i="3"/>
  <c r="Q1586" i="3"/>
  <c r="S1585" i="3"/>
  <c r="R1585" i="3"/>
  <c r="Q1585" i="3"/>
  <c r="S1584" i="3"/>
  <c r="R1584" i="3"/>
  <c r="Q1584" i="3"/>
  <c r="S1583" i="3"/>
  <c r="R1583" i="3"/>
  <c r="Q1583" i="3"/>
  <c r="S1582" i="3"/>
  <c r="R1582" i="3"/>
  <c r="Q1582" i="3"/>
  <c r="S1581" i="3"/>
  <c r="R1581" i="3"/>
  <c r="Q1581" i="3"/>
  <c r="S1580" i="3"/>
  <c r="R1580" i="3"/>
  <c r="Q1580" i="3"/>
  <c r="S1579" i="3"/>
  <c r="R1579" i="3"/>
  <c r="Q1579" i="3"/>
  <c r="S1578" i="3"/>
  <c r="R1578" i="3"/>
  <c r="Q1578" i="3"/>
  <c r="S1577" i="3"/>
  <c r="R1577" i="3"/>
  <c r="Q1577" i="3"/>
  <c r="S1576" i="3"/>
  <c r="R1576" i="3"/>
  <c r="Q1576" i="3"/>
  <c r="S1575" i="3"/>
  <c r="R1575" i="3"/>
  <c r="Q1575" i="3"/>
  <c r="S1574" i="3"/>
  <c r="R1574" i="3"/>
  <c r="Q1574" i="3"/>
  <c r="S1573" i="3"/>
  <c r="R1573" i="3"/>
  <c r="Q1573" i="3"/>
  <c r="S1572" i="3"/>
  <c r="R1572" i="3"/>
  <c r="Q1572" i="3"/>
  <c r="S1571" i="3"/>
  <c r="R1571" i="3"/>
  <c r="Q1571" i="3"/>
  <c r="S1570" i="3"/>
  <c r="R1570" i="3"/>
  <c r="Q1570" i="3"/>
  <c r="S1569" i="3"/>
  <c r="R1569" i="3"/>
  <c r="Q1569" i="3"/>
  <c r="S1568" i="3"/>
  <c r="R1568" i="3"/>
  <c r="Q1568" i="3"/>
  <c r="S1567" i="3"/>
  <c r="R1567" i="3"/>
  <c r="Q1567" i="3"/>
  <c r="S1566" i="3"/>
  <c r="R1566" i="3"/>
  <c r="Q1566" i="3"/>
  <c r="S1565" i="3"/>
  <c r="R1565" i="3"/>
  <c r="Q1565" i="3"/>
  <c r="S1564" i="3"/>
  <c r="R1564" i="3"/>
  <c r="Q1564" i="3"/>
  <c r="S1563" i="3"/>
  <c r="R1563" i="3"/>
  <c r="Q1563" i="3"/>
  <c r="S1562" i="3"/>
  <c r="R1562" i="3"/>
  <c r="Q1562" i="3"/>
  <c r="S1561" i="3"/>
  <c r="R1561" i="3"/>
  <c r="Q1561" i="3"/>
  <c r="S1560" i="3"/>
  <c r="R1560" i="3"/>
  <c r="Q1560" i="3"/>
  <c r="S1559" i="3"/>
  <c r="R1559" i="3"/>
  <c r="Q1559" i="3"/>
  <c r="S1558" i="3"/>
  <c r="R1558" i="3"/>
  <c r="Q1558" i="3"/>
  <c r="S1557" i="3"/>
  <c r="R1557" i="3"/>
  <c r="Q1557" i="3"/>
  <c r="S1556" i="3"/>
  <c r="R1556" i="3"/>
  <c r="Q1556" i="3"/>
  <c r="S1555" i="3"/>
  <c r="R1555" i="3"/>
  <c r="Q1555" i="3"/>
  <c r="S1554" i="3"/>
  <c r="R1554" i="3"/>
  <c r="Q1554" i="3"/>
  <c r="S1553" i="3"/>
  <c r="R1553" i="3"/>
  <c r="Q1553" i="3"/>
  <c r="S1552" i="3"/>
  <c r="R1552" i="3"/>
  <c r="Q1552" i="3"/>
  <c r="S1551" i="3"/>
  <c r="R1551" i="3"/>
  <c r="Q1551" i="3"/>
  <c r="S1550" i="3"/>
  <c r="R1550" i="3"/>
  <c r="Q1550" i="3"/>
  <c r="S1549" i="3"/>
  <c r="R1549" i="3"/>
  <c r="Q1549" i="3"/>
  <c r="S1548" i="3"/>
  <c r="R1548" i="3"/>
  <c r="Q1548" i="3"/>
  <c r="S1547" i="3"/>
  <c r="R1547" i="3"/>
  <c r="Q1547" i="3"/>
  <c r="S1546" i="3"/>
  <c r="R1546" i="3"/>
  <c r="Q1546" i="3"/>
  <c r="S1545" i="3"/>
  <c r="R1545" i="3"/>
  <c r="Q1545" i="3"/>
  <c r="S1544" i="3"/>
  <c r="R1544" i="3"/>
  <c r="Q1544" i="3"/>
  <c r="S1543" i="3"/>
  <c r="R1543" i="3"/>
  <c r="Q1543" i="3"/>
  <c r="S1542" i="3"/>
  <c r="R1542" i="3"/>
  <c r="Q1542" i="3"/>
  <c r="S1541" i="3"/>
  <c r="R1541" i="3"/>
  <c r="Q1541" i="3"/>
  <c r="S1540" i="3"/>
  <c r="R1540" i="3"/>
  <c r="Q1540" i="3"/>
  <c r="S1539" i="3"/>
  <c r="R1539" i="3"/>
  <c r="Q1539" i="3"/>
  <c r="S1538" i="3"/>
  <c r="R1538" i="3"/>
  <c r="Q1538" i="3"/>
  <c r="S1537" i="3"/>
  <c r="R1537" i="3"/>
  <c r="Q1537" i="3"/>
  <c r="S1536" i="3"/>
  <c r="R1536" i="3"/>
  <c r="Q1536" i="3"/>
  <c r="S1535" i="3"/>
  <c r="R1535" i="3"/>
  <c r="Q1535" i="3"/>
  <c r="S1534" i="3"/>
  <c r="R1534" i="3"/>
  <c r="Q1534" i="3"/>
  <c r="S1533" i="3"/>
  <c r="R1533" i="3"/>
  <c r="Q1533" i="3"/>
  <c r="S1532" i="3"/>
  <c r="R1532" i="3"/>
  <c r="Q1532" i="3"/>
  <c r="S1531" i="3"/>
  <c r="R1531" i="3"/>
  <c r="Q1531" i="3"/>
  <c r="S1530" i="3"/>
  <c r="R1530" i="3"/>
  <c r="Q1530" i="3"/>
  <c r="S1529" i="3"/>
  <c r="R1529" i="3"/>
  <c r="Q1529" i="3"/>
  <c r="S1528" i="3"/>
  <c r="R1528" i="3"/>
  <c r="Q1528" i="3"/>
  <c r="S1527" i="3"/>
  <c r="R1527" i="3"/>
  <c r="Q1527" i="3"/>
  <c r="S1526" i="3"/>
  <c r="R1526" i="3"/>
  <c r="Q1526" i="3"/>
  <c r="S1525" i="3"/>
  <c r="R1525" i="3"/>
  <c r="Q1525" i="3"/>
  <c r="S1524" i="3"/>
  <c r="R1524" i="3"/>
  <c r="Q1524" i="3"/>
  <c r="S1523" i="3"/>
  <c r="R1523" i="3"/>
  <c r="Q1523" i="3"/>
  <c r="S1522" i="3"/>
  <c r="R1522" i="3"/>
  <c r="Q1522" i="3"/>
  <c r="S1521" i="3"/>
  <c r="R1521" i="3"/>
  <c r="Q1521" i="3"/>
  <c r="S1520" i="3"/>
  <c r="R1520" i="3"/>
  <c r="Q1520" i="3"/>
  <c r="S1519" i="3"/>
  <c r="R1519" i="3"/>
  <c r="Q1519" i="3"/>
  <c r="S1518" i="3"/>
  <c r="R1518" i="3"/>
  <c r="Q1518" i="3"/>
  <c r="S1517" i="3"/>
  <c r="R1517" i="3"/>
  <c r="Q1517" i="3"/>
  <c r="S1516" i="3"/>
  <c r="R1516" i="3"/>
  <c r="Q1516" i="3"/>
  <c r="S1515" i="3"/>
  <c r="R1515" i="3"/>
  <c r="Q1515" i="3"/>
  <c r="S1514" i="3"/>
  <c r="R1514" i="3"/>
  <c r="Q1514" i="3"/>
  <c r="S1513" i="3"/>
  <c r="R1513" i="3"/>
  <c r="Q1513" i="3"/>
  <c r="S1512" i="3"/>
  <c r="R1512" i="3"/>
  <c r="Q1512" i="3"/>
  <c r="S1511" i="3"/>
  <c r="R1511" i="3"/>
  <c r="Q1511" i="3"/>
  <c r="S1510" i="3"/>
  <c r="R1510" i="3"/>
  <c r="Q1510" i="3"/>
  <c r="S1509" i="3"/>
  <c r="R1509" i="3"/>
  <c r="Q1509" i="3"/>
  <c r="S1508" i="3"/>
  <c r="R1508" i="3"/>
  <c r="Q1508" i="3"/>
  <c r="S1507" i="3"/>
  <c r="R1507" i="3"/>
  <c r="Q1507" i="3"/>
  <c r="S1506" i="3"/>
  <c r="R1506" i="3"/>
  <c r="Q1506" i="3"/>
  <c r="S1505" i="3"/>
  <c r="R1505" i="3"/>
  <c r="Q1505" i="3"/>
  <c r="S1504" i="3"/>
  <c r="R1504" i="3"/>
  <c r="Q1504" i="3"/>
  <c r="S1503" i="3"/>
  <c r="R1503" i="3"/>
  <c r="Q1503" i="3"/>
  <c r="S1502" i="3"/>
  <c r="R1502" i="3"/>
  <c r="Q1502" i="3"/>
  <c r="S1501" i="3"/>
  <c r="R1501" i="3"/>
  <c r="Q1501" i="3"/>
  <c r="S1500" i="3"/>
  <c r="R1500" i="3"/>
  <c r="Q1500" i="3"/>
  <c r="S1499" i="3"/>
  <c r="R1499" i="3"/>
  <c r="Q1499" i="3"/>
  <c r="S1498" i="3"/>
  <c r="R1498" i="3"/>
  <c r="Q1498" i="3"/>
  <c r="S1497" i="3"/>
  <c r="R1497" i="3"/>
  <c r="Q1497" i="3"/>
  <c r="S1496" i="3"/>
  <c r="R1496" i="3"/>
  <c r="Q1496" i="3"/>
  <c r="S1495" i="3"/>
  <c r="R1495" i="3"/>
  <c r="Q1495" i="3"/>
  <c r="S1494" i="3"/>
  <c r="R1494" i="3"/>
  <c r="Q1494" i="3"/>
  <c r="S1493" i="3"/>
  <c r="R1493" i="3"/>
  <c r="Q1493" i="3"/>
  <c r="S1492" i="3"/>
  <c r="R1492" i="3"/>
  <c r="Q1492" i="3"/>
  <c r="S1491" i="3"/>
  <c r="R1491" i="3"/>
  <c r="Q1491" i="3"/>
  <c r="S1490" i="3"/>
  <c r="R1490" i="3"/>
  <c r="Q1490" i="3"/>
  <c r="S1489" i="3"/>
  <c r="R1489" i="3"/>
  <c r="Q1489" i="3"/>
  <c r="S1488" i="3"/>
  <c r="R1488" i="3"/>
  <c r="Q1488" i="3"/>
  <c r="S1487" i="3"/>
  <c r="R1487" i="3"/>
  <c r="Q1487" i="3"/>
  <c r="S1486" i="3"/>
  <c r="R1486" i="3"/>
  <c r="Q1486" i="3"/>
  <c r="S1485" i="3"/>
  <c r="R1485" i="3"/>
  <c r="Q1485" i="3"/>
  <c r="S1484" i="3"/>
  <c r="R1484" i="3"/>
  <c r="Q1484" i="3"/>
  <c r="S1483" i="3"/>
  <c r="R1483" i="3"/>
  <c r="Q1483" i="3"/>
  <c r="S1482" i="3"/>
  <c r="R1482" i="3"/>
  <c r="Q1482" i="3"/>
  <c r="S1481" i="3"/>
  <c r="R1481" i="3"/>
  <c r="Q1481" i="3"/>
  <c r="S1480" i="3"/>
  <c r="R1480" i="3"/>
  <c r="Q1480" i="3"/>
  <c r="S1479" i="3"/>
  <c r="R1479" i="3"/>
  <c r="Q1479" i="3"/>
  <c r="S1478" i="3"/>
  <c r="R1478" i="3"/>
  <c r="Q1478" i="3"/>
  <c r="S1477" i="3"/>
  <c r="R1477" i="3"/>
  <c r="Q1477" i="3"/>
  <c r="S1476" i="3"/>
  <c r="R1476" i="3"/>
  <c r="Q1476" i="3"/>
  <c r="S1475" i="3"/>
  <c r="R1475" i="3"/>
  <c r="Q1475" i="3"/>
  <c r="S1474" i="3"/>
  <c r="R1474" i="3"/>
  <c r="Q1474" i="3"/>
  <c r="S1473" i="3"/>
  <c r="R1473" i="3"/>
  <c r="Q1473" i="3"/>
  <c r="S1472" i="3"/>
  <c r="R1472" i="3"/>
  <c r="Q1472" i="3"/>
  <c r="S1471" i="3"/>
  <c r="R1471" i="3"/>
  <c r="Q1471" i="3"/>
  <c r="S1470" i="3"/>
  <c r="R1470" i="3"/>
  <c r="Q1470" i="3"/>
  <c r="S1469" i="3"/>
  <c r="R1469" i="3"/>
  <c r="Q1469" i="3"/>
  <c r="S1468" i="3"/>
  <c r="R1468" i="3"/>
  <c r="Q1468" i="3"/>
  <c r="S1467" i="3"/>
  <c r="R1467" i="3"/>
  <c r="Q1467" i="3"/>
  <c r="S1466" i="3"/>
  <c r="R1466" i="3"/>
  <c r="Q1466" i="3"/>
  <c r="S1465" i="3"/>
  <c r="R1465" i="3"/>
  <c r="Q1465" i="3"/>
  <c r="S1464" i="3"/>
  <c r="R1464" i="3"/>
  <c r="Q1464" i="3"/>
  <c r="S1463" i="3"/>
  <c r="R1463" i="3"/>
  <c r="Q1463" i="3"/>
  <c r="S1462" i="3"/>
  <c r="R1462" i="3"/>
  <c r="Q1462" i="3"/>
  <c r="S1461" i="3"/>
  <c r="R1461" i="3"/>
  <c r="Q1461" i="3"/>
  <c r="S1460" i="3"/>
  <c r="R1460" i="3"/>
  <c r="Q1460" i="3"/>
  <c r="S1459" i="3"/>
  <c r="R1459" i="3"/>
  <c r="Q1459" i="3"/>
  <c r="S1458" i="3"/>
  <c r="R1458" i="3"/>
  <c r="Q1458" i="3"/>
  <c r="S1457" i="3"/>
  <c r="R1457" i="3"/>
  <c r="Q1457" i="3"/>
  <c r="S1456" i="3"/>
  <c r="R1456" i="3"/>
  <c r="Q1456" i="3"/>
  <c r="S1455" i="3"/>
  <c r="R1455" i="3"/>
  <c r="Q1455" i="3"/>
  <c r="S1454" i="3"/>
  <c r="R1454" i="3"/>
  <c r="Q1454" i="3"/>
  <c r="S1453" i="3"/>
  <c r="R1453" i="3"/>
  <c r="Q1453" i="3"/>
  <c r="S1452" i="3"/>
  <c r="R1452" i="3"/>
  <c r="Q1452" i="3"/>
  <c r="S1451" i="3"/>
  <c r="R1451" i="3"/>
  <c r="Q1451" i="3"/>
  <c r="S1450" i="3"/>
  <c r="R1450" i="3"/>
  <c r="Q1450" i="3"/>
  <c r="S1449" i="3"/>
  <c r="R1449" i="3"/>
  <c r="Q1449" i="3"/>
  <c r="S1448" i="3"/>
  <c r="R1448" i="3"/>
  <c r="Q1448" i="3"/>
  <c r="S1447" i="3"/>
  <c r="R1447" i="3"/>
  <c r="Q1447" i="3"/>
  <c r="S1446" i="3"/>
  <c r="R1446" i="3"/>
  <c r="Q1446" i="3"/>
  <c r="S1445" i="3"/>
  <c r="R1445" i="3"/>
  <c r="Q1445" i="3"/>
  <c r="S1444" i="3"/>
  <c r="R1444" i="3"/>
  <c r="Q1444" i="3"/>
  <c r="S1443" i="3"/>
  <c r="R1443" i="3"/>
  <c r="Q1443" i="3"/>
  <c r="S1442" i="3"/>
  <c r="R1442" i="3"/>
  <c r="Q1442" i="3"/>
  <c r="S1441" i="3"/>
  <c r="R1441" i="3"/>
  <c r="Q1441" i="3"/>
  <c r="S1440" i="3"/>
  <c r="R1440" i="3"/>
  <c r="Q1440" i="3"/>
  <c r="S1439" i="3"/>
  <c r="R1439" i="3"/>
  <c r="Q1439" i="3"/>
  <c r="S1438" i="3"/>
  <c r="R1438" i="3"/>
  <c r="Q1438" i="3"/>
  <c r="S1437" i="3"/>
  <c r="R1437" i="3"/>
  <c r="Q1437" i="3"/>
  <c r="S1436" i="3"/>
  <c r="R1436" i="3"/>
  <c r="Q1436" i="3"/>
  <c r="S1435" i="3"/>
  <c r="R1435" i="3"/>
  <c r="Q1435" i="3"/>
  <c r="S1434" i="3"/>
  <c r="R1434" i="3"/>
  <c r="Q1434" i="3"/>
  <c r="S1433" i="3"/>
  <c r="R1433" i="3"/>
  <c r="Q1433" i="3"/>
  <c r="S1432" i="3"/>
  <c r="R1432" i="3"/>
  <c r="Q1432" i="3"/>
  <c r="S1431" i="3"/>
  <c r="R1431" i="3"/>
  <c r="Q1431" i="3"/>
  <c r="S1430" i="3"/>
  <c r="R1430" i="3"/>
  <c r="Q1430" i="3"/>
  <c r="S1429" i="3"/>
  <c r="R1429" i="3"/>
  <c r="Q1429" i="3"/>
  <c r="S1428" i="3"/>
  <c r="R1428" i="3"/>
  <c r="Q1428" i="3"/>
  <c r="S1427" i="3"/>
  <c r="R1427" i="3"/>
  <c r="Q1427" i="3"/>
  <c r="S1426" i="3"/>
  <c r="R1426" i="3"/>
  <c r="Q1426" i="3"/>
  <c r="S1425" i="3"/>
  <c r="R1425" i="3"/>
  <c r="Q1425" i="3"/>
  <c r="S1424" i="3"/>
  <c r="R1424" i="3"/>
  <c r="Q1424" i="3"/>
  <c r="S1423" i="3"/>
  <c r="R1423" i="3"/>
  <c r="Q1423" i="3"/>
  <c r="S1422" i="3"/>
  <c r="R1422" i="3"/>
  <c r="Q1422" i="3"/>
  <c r="S1421" i="3"/>
  <c r="R1421" i="3"/>
  <c r="Q1421" i="3"/>
  <c r="S1420" i="3"/>
  <c r="R1420" i="3"/>
  <c r="Q1420" i="3"/>
  <c r="S1419" i="3"/>
  <c r="R1419" i="3"/>
  <c r="Q1419" i="3"/>
  <c r="S1418" i="3"/>
  <c r="R1418" i="3"/>
  <c r="Q1418" i="3"/>
  <c r="S1417" i="3"/>
  <c r="R1417" i="3"/>
  <c r="Q1417" i="3"/>
  <c r="S1416" i="3"/>
  <c r="R1416" i="3"/>
  <c r="Q1416" i="3"/>
  <c r="S1415" i="3"/>
  <c r="R1415" i="3"/>
  <c r="Q1415" i="3"/>
  <c r="S1414" i="3"/>
  <c r="R1414" i="3"/>
  <c r="Q1414" i="3"/>
  <c r="S1413" i="3"/>
  <c r="R1413" i="3"/>
  <c r="Q1413" i="3"/>
  <c r="S1412" i="3"/>
  <c r="R1412" i="3"/>
  <c r="Q1412" i="3"/>
  <c r="S1411" i="3"/>
  <c r="R1411" i="3"/>
  <c r="Q1411" i="3"/>
  <c r="S1410" i="3"/>
  <c r="R1410" i="3"/>
  <c r="Q1410" i="3"/>
  <c r="S1409" i="3"/>
  <c r="R1409" i="3"/>
  <c r="Q1409" i="3"/>
  <c r="S1408" i="3"/>
  <c r="R1408" i="3"/>
  <c r="Q1408" i="3"/>
  <c r="S1407" i="3"/>
  <c r="R1407" i="3"/>
  <c r="Q1407" i="3"/>
  <c r="S1406" i="3"/>
  <c r="R1406" i="3"/>
  <c r="Q1406" i="3"/>
  <c r="S1405" i="3"/>
  <c r="R1405" i="3"/>
  <c r="Q1405" i="3"/>
  <c r="S1404" i="3"/>
  <c r="R1404" i="3"/>
  <c r="Q1404" i="3"/>
  <c r="S1403" i="3"/>
  <c r="R1403" i="3"/>
  <c r="Q1403" i="3"/>
  <c r="S1402" i="3"/>
  <c r="R1402" i="3"/>
  <c r="Q1402" i="3"/>
  <c r="S1401" i="3"/>
  <c r="R1401" i="3"/>
  <c r="Q1401" i="3"/>
  <c r="S1400" i="3"/>
  <c r="R1400" i="3"/>
  <c r="Q1400" i="3"/>
  <c r="S1399" i="3"/>
  <c r="R1399" i="3"/>
  <c r="Q1399" i="3"/>
  <c r="S1398" i="3"/>
  <c r="R1398" i="3"/>
  <c r="Q1398" i="3"/>
  <c r="S1397" i="3"/>
  <c r="R1397" i="3"/>
  <c r="Q1397" i="3"/>
  <c r="S1396" i="3"/>
  <c r="R1396" i="3"/>
  <c r="Q1396" i="3"/>
  <c r="S1395" i="3"/>
  <c r="R1395" i="3"/>
  <c r="Q1395" i="3"/>
  <c r="S1394" i="3"/>
  <c r="R1394" i="3"/>
  <c r="Q1394" i="3"/>
  <c r="S1393" i="3"/>
  <c r="R1393" i="3"/>
  <c r="Q1393" i="3"/>
  <c r="S1392" i="3"/>
  <c r="R1392" i="3"/>
  <c r="Q1392" i="3"/>
  <c r="S1391" i="3"/>
  <c r="R1391" i="3"/>
  <c r="Q1391" i="3"/>
  <c r="S1390" i="3"/>
  <c r="R1390" i="3"/>
  <c r="Q1390" i="3"/>
  <c r="S1389" i="3"/>
  <c r="R1389" i="3"/>
  <c r="Q1389" i="3"/>
  <c r="S1388" i="3"/>
  <c r="R1388" i="3"/>
  <c r="Q1388" i="3"/>
  <c r="S1387" i="3"/>
  <c r="R1387" i="3"/>
  <c r="Q1387" i="3"/>
  <c r="S1386" i="3"/>
  <c r="R1386" i="3"/>
  <c r="Q1386" i="3"/>
  <c r="S1385" i="3"/>
  <c r="R1385" i="3"/>
  <c r="Q1385" i="3"/>
  <c r="S1384" i="3"/>
  <c r="R1384" i="3"/>
  <c r="Q1384" i="3"/>
  <c r="S1383" i="3"/>
  <c r="R1383" i="3"/>
  <c r="Q1383" i="3"/>
  <c r="S1382" i="3"/>
  <c r="R1382" i="3"/>
  <c r="Q1382" i="3"/>
  <c r="S1381" i="3"/>
  <c r="R1381" i="3"/>
  <c r="Q1381" i="3"/>
  <c r="S1380" i="3"/>
  <c r="R1380" i="3"/>
  <c r="Q1380" i="3"/>
  <c r="S1379" i="3"/>
  <c r="R1379" i="3"/>
  <c r="Q1379" i="3"/>
  <c r="S1378" i="3"/>
  <c r="R1378" i="3"/>
  <c r="Q1378" i="3"/>
  <c r="S1377" i="3"/>
  <c r="R1377" i="3"/>
  <c r="Q1377" i="3"/>
  <c r="S1376" i="3"/>
  <c r="R1376" i="3"/>
  <c r="Q1376" i="3"/>
  <c r="S1375" i="3"/>
  <c r="R1375" i="3"/>
  <c r="Q1375" i="3"/>
  <c r="S1374" i="3"/>
  <c r="R1374" i="3"/>
  <c r="Q1374" i="3"/>
  <c r="S1373" i="3"/>
  <c r="R1373" i="3"/>
  <c r="Q1373" i="3"/>
  <c r="S1372" i="3"/>
  <c r="R1372" i="3"/>
  <c r="Q1372" i="3"/>
  <c r="S1371" i="3"/>
  <c r="R1371" i="3"/>
  <c r="Q1371" i="3"/>
  <c r="S1370" i="3"/>
  <c r="R1370" i="3"/>
  <c r="Q1370" i="3"/>
  <c r="S1369" i="3"/>
  <c r="R1369" i="3"/>
  <c r="Q1369" i="3"/>
  <c r="S1368" i="3"/>
  <c r="R1368" i="3"/>
  <c r="Q1368" i="3"/>
  <c r="S1367" i="3"/>
  <c r="R1367" i="3"/>
  <c r="Q1367" i="3"/>
  <c r="S1366" i="3"/>
  <c r="R1366" i="3"/>
  <c r="Q1366" i="3"/>
  <c r="S1365" i="3"/>
  <c r="R1365" i="3"/>
  <c r="Q1365" i="3"/>
  <c r="S1364" i="3"/>
  <c r="R1364" i="3"/>
  <c r="Q1364" i="3"/>
  <c r="S1363" i="3"/>
  <c r="R1363" i="3"/>
  <c r="Q1363" i="3"/>
  <c r="S1362" i="3"/>
  <c r="R1362" i="3"/>
  <c r="Q1362" i="3"/>
  <c r="S1361" i="3"/>
  <c r="R1361" i="3"/>
  <c r="Q1361" i="3"/>
  <c r="S1360" i="3"/>
  <c r="R1360" i="3"/>
  <c r="Q1360" i="3"/>
  <c r="S1359" i="3"/>
  <c r="R1359" i="3"/>
  <c r="Q1359" i="3"/>
  <c r="S1358" i="3"/>
  <c r="R1358" i="3"/>
  <c r="Q1358" i="3"/>
  <c r="S1357" i="3"/>
  <c r="R1357" i="3"/>
  <c r="Q1357" i="3"/>
  <c r="S1356" i="3"/>
  <c r="R1356" i="3"/>
  <c r="Q1356" i="3"/>
  <c r="S1355" i="3"/>
  <c r="R1355" i="3"/>
  <c r="Q1355" i="3"/>
  <c r="S1354" i="3"/>
  <c r="R1354" i="3"/>
  <c r="Q1354" i="3"/>
  <c r="S1353" i="3"/>
  <c r="R1353" i="3"/>
  <c r="Q1353" i="3"/>
  <c r="S1352" i="3"/>
  <c r="R1352" i="3"/>
  <c r="Q1352" i="3"/>
  <c r="S1351" i="3"/>
  <c r="R1351" i="3"/>
  <c r="Q1351" i="3"/>
  <c r="S1350" i="3"/>
  <c r="R1350" i="3"/>
  <c r="Q1350" i="3"/>
  <c r="S1349" i="3"/>
  <c r="R1349" i="3"/>
  <c r="Q1349" i="3"/>
  <c r="S1348" i="3"/>
  <c r="R1348" i="3"/>
  <c r="Q1348" i="3"/>
  <c r="S1347" i="3"/>
  <c r="R1347" i="3"/>
  <c r="Q1347" i="3"/>
  <c r="S1346" i="3"/>
  <c r="R1346" i="3"/>
  <c r="Q1346" i="3"/>
  <c r="S1345" i="3"/>
  <c r="R1345" i="3"/>
  <c r="Q1345" i="3"/>
  <c r="S1344" i="3"/>
  <c r="R1344" i="3"/>
  <c r="Q1344" i="3"/>
  <c r="S1343" i="3"/>
  <c r="R1343" i="3"/>
  <c r="Q1343" i="3"/>
  <c r="S1342" i="3"/>
  <c r="R1342" i="3"/>
  <c r="Q1342" i="3"/>
  <c r="S1341" i="3"/>
  <c r="R1341" i="3"/>
  <c r="Q1341" i="3"/>
  <c r="S1340" i="3"/>
  <c r="R1340" i="3"/>
  <c r="Q1340" i="3"/>
  <c r="S1339" i="3"/>
  <c r="R1339" i="3"/>
  <c r="Q1339" i="3"/>
  <c r="S1338" i="3"/>
  <c r="R1338" i="3"/>
  <c r="Q1338" i="3"/>
  <c r="S1337" i="3"/>
  <c r="R1337" i="3"/>
  <c r="Q1337" i="3"/>
  <c r="S1336" i="3"/>
  <c r="R1336" i="3"/>
  <c r="Q1336" i="3"/>
  <c r="S1335" i="3"/>
  <c r="R1335" i="3"/>
  <c r="Q1335" i="3"/>
  <c r="S1334" i="3"/>
  <c r="R1334" i="3"/>
  <c r="Q1334" i="3"/>
  <c r="S1333" i="3"/>
  <c r="R1333" i="3"/>
  <c r="Q1333" i="3"/>
  <c r="S1332" i="3"/>
  <c r="R1332" i="3"/>
  <c r="Q1332" i="3"/>
  <c r="S1331" i="3"/>
  <c r="R1331" i="3"/>
  <c r="Q1331" i="3"/>
  <c r="S1330" i="3"/>
  <c r="R1330" i="3"/>
  <c r="Q1330" i="3"/>
  <c r="S1329" i="3"/>
  <c r="R1329" i="3"/>
  <c r="Q1329" i="3"/>
  <c r="S1328" i="3"/>
  <c r="R1328" i="3"/>
  <c r="Q1328" i="3"/>
  <c r="S1327" i="3"/>
  <c r="R1327" i="3"/>
  <c r="Q1327" i="3"/>
  <c r="S1326" i="3"/>
  <c r="R1326" i="3"/>
  <c r="Q1326" i="3"/>
  <c r="S1325" i="3"/>
  <c r="R1325" i="3"/>
  <c r="Q1325" i="3"/>
  <c r="S1324" i="3"/>
  <c r="R1324" i="3"/>
  <c r="Q1324" i="3"/>
  <c r="S1323" i="3"/>
  <c r="R1323" i="3"/>
  <c r="Q1323" i="3"/>
  <c r="S1322" i="3"/>
  <c r="R1322" i="3"/>
  <c r="Q1322" i="3"/>
  <c r="S1321" i="3"/>
  <c r="R1321" i="3"/>
  <c r="Q1321" i="3"/>
  <c r="S1320" i="3"/>
  <c r="R1320" i="3"/>
  <c r="Q1320" i="3"/>
  <c r="S1319" i="3"/>
  <c r="R1319" i="3"/>
  <c r="Q1319" i="3"/>
  <c r="S1318" i="3"/>
  <c r="R1318" i="3"/>
  <c r="Q1318" i="3"/>
  <c r="S1317" i="3"/>
  <c r="R1317" i="3"/>
  <c r="Q1317" i="3"/>
  <c r="S1316" i="3"/>
  <c r="R1316" i="3"/>
  <c r="Q1316" i="3"/>
  <c r="S1315" i="3"/>
  <c r="R1315" i="3"/>
  <c r="Q1315" i="3"/>
  <c r="S1314" i="3"/>
  <c r="R1314" i="3"/>
  <c r="Q1314" i="3"/>
  <c r="S1313" i="3"/>
  <c r="R1313" i="3"/>
  <c r="Q1313" i="3"/>
  <c r="S1312" i="3"/>
  <c r="R1312" i="3"/>
  <c r="Q1312" i="3"/>
  <c r="S1311" i="3"/>
  <c r="R1311" i="3"/>
  <c r="Q1311" i="3"/>
  <c r="S1310" i="3"/>
  <c r="R1310" i="3"/>
  <c r="Q1310" i="3"/>
  <c r="S1309" i="3"/>
  <c r="R1309" i="3"/>
  <c r="Q1309" i="3"/>
  <c r="S1308" i="3"/>
  <c r="R1308" i="3"/>
  <c r="Q1308" i="3"/>
  <c r="S1307" i="3"/>
  <c r="R1307" i="3"/>
  <c r="Q1307" i="3"/>
  <c r="S1306" i="3"/>
  <c r="R1306" i="3"/>
  <c r="Q1306" i="3"/>
  <c r="S1305" i="3"/>
  <c r="R1305" i="3"/>
  <c r="Q1305" i="3"/>
  <c r="S1304" i="3"/>
  <c r="R1304" i="3"/>
  <c r="Q1304" i="3"/>
  <c r="S1303" i="3"/>
  <c r="R1303" i="3"/>
  <c r="Q1303" i="3"/>
  <c r="S1302" i="3"/>
  <c r="R1302" i="3"/>
  <c r="Q1302" i="3"/>
  <c r="S1301" i="3"/>
  <c r="R1301" i="3"/>
  <c r="Q1301" i="3"/>
  <c r="S1300" i="3"/>
  <c r="R1300" i="3"/>
  <c r="Q1300" i="3"/>
  <c r="S1299" i="3"/>
  <c r="R1299" i="3"/>
  <c r="Q1299" i="3"/>
  <c r="S1298" i="3"/>
  <c r="R1298" i="3"/>
  <c r="Q1298" i="3"/>
  <c r="S1297" i="3"/>
  <c r="R1297" i="3"/>
  <c r="Q1297" i="3"/>
  <c r="S1296" i="3"/>
  <c r="R1296" i="3"/>
  <c r="Q1296" i="3"/>
  <c r="S1295" i="3"/>
  <c r="R1295" i="3"/>
  <c r="Q1295" i="3"/>
  <c r="S1294" i="3"/>
  <c r="R1294" i="3"/>
  <c r="Q1294" i="3"/>
  <c r="S1293" i="3"/>
  <c r="R1293" i="3"/>
  <c r="Q1293" i="3"/>
  <c r="S1292" i="3"/>
  <c r="R1292" i="3"/>
  <c r="Q1292" i="3"/>
  <c r="S1291" i="3"/>
  <c r="R1291" i="3"/>
  <c r="Q1291" i="3"/>
  <c r="S1290" i="3"/>
  <c r="R1290" i="3"/>
  <c r="Q1290" i="3"/>
  <c r="S1289" i="3"/>
  <c r="R1289" i="3"/>
  <c r="Q1289" i="3"/>
  <c r="S1288" i="3"/>
  <c r="R1288" i="3"/>
  <c r="Q1288" i="3"/>
  <c r="S1287" i="3"/>
  <c r="R1287" i="3"/>
  <c r="Q1287" i="3"/>
  <c r="S1286" i="3"/>
  <c r="R1286" i="3"/>
  <c r="Q1286" i="3"/>
  <c r="S1285" i="3"/>
  <c r="R1285" i="3"/>
  <c r="Q1285" i="3"/>
  <c r="S1284" i="3"/>
  <c r="R1284" i="3"/>
  <c r="Q1284" i="3"/>
  <c r="S1283" i="3"/>
  <c r="R1283" i="3"/>
  <c r="Q1283" i="3"/>
  <c r="S1282" i="3"/>
  <c r="R1282" i="3"/>
  <c r="Q1282" i="3"/>
  <c r="S1281" i="3"/>
  <c r="R1281" i="3"/>
  <c r="Q1281" i="3"/>
  <c r="S1280" i="3"/>
  <c r="R1280" i="3"/>
  <c r="Q1280" i="3"/>
  <c r="S1279" i="3"/>
  <c r="R1279" i="3"/>
  <c r="Q1279" i="3"/>
  <c r="S1278" i="3"/>
  <c r="R1278" i="3"/>
  <c r="Q1278" i="3"/>
  <c r="S1277" i="3"/>
  <c r="R1277" i="3"/>
  <c r="Q1277" i="3"/>
  <c r="S1276" i="3"/>
  <c r="R1276" i="3"/>
  <c r="Q1276" i="3"/>
  <c r="S1275" i="3"/>
  <c r="R1275" i="3"/>
  <c r="Q1275" i="3"/>
  <c r="S1274" i="3"/>
  <c r="R1274" i="3"/>
  <c r="Q1274" i="3"/>
  <c r="S1273" i="3"/>
  <c r="R1273" i="3"/>
  <c r="Q1273" i="3"/>
  <c r="S1272" i="3"/>
  <c r="R1272" i="3"/>
  <c r="Q1272" i="3"/>
  <c r="S1271" i="3"/>
  <c r="R1271" i="3"/>
  <c r="Q1271" i="3"/>
  <c r="S1270" i="3"/>
  <c r="R1270" i="3"/>
  <c r="Q1270" i="3"/>
  <c r="S1269" i="3"/>
  <c r="R1269" i="3"/>
  <c r="Q1269" i="3"/>
  <c r="S1268" i="3"/>
  <c r="R1268" i="3"/>
  <c r="Q1268" i="3"/>
  <c r="S1267" i="3"/>
  <c r="R1267" i="3"/>
  <c r="Q1267" i="3"/>
  <c r="S1266" i="3"/>
  <c r="R1266" i="3"/>
  <c r="Q1266" i="3"/>
  <c r="S1265" i="3"/>
  <c r="R1265" i="3"/>
  <c r="Q1265" i="3"/>
  <c r="S1264" i="3"/>
  <c r="R1264" i="3"/>
  <c r="Q1264" i="3"/>
  <c r="S1263" i="3"/>
  <c r="R1263" i="3"/>
  <c r="Q1263" i="3"/>
  <c r="S1262" i="3"/>
  <c r="R1262" i="3"/>
  <c r="Q1262" i="3"/>
  <c r="S1261" i="3"/>
  <c r="R1261" i="3"/>
  <c r="Q1261" i="3"/>
  <c r="S1260" i="3"/>
  <c r="R1260" i="3"/>
  <c r="Q1260" i="3"/>
  <c r="S1259" i="3"/>
  <c r="R1259" i="3"/>
  <c r="Q1259" i="3"/>
  <c r="S1258" i="3"/>
  <c r="R1258" i="3"/>
  <c r="Q1258" i="3"/>
  <c r="S1257" i="3"/>
  <c r="R1257" i="3"/>
  <c r="Q1257" i="3"/>
  <c r="S1256" i="3"/>
  <c r="R1256" i="3"/>
  <c r="Q1256" i="3"/>
  <c r="S1255" i="3"/>
  <c r="R1255" i="3"/>
  <c r="Q1255" i="3"/>
  <c r="S1254" i="3"/>
  <c r="R1254" i="3"/>
  <c r="Q1254" i="3"/>
  <c r="S1253" i="3"/>
  <c r="R1253" i="3"/>
  <c r="Q1253" i="3"/>
  <c r="S1252" i="3"/>
  <c r="R1252" i="3"/>
  <c r="Q1252" i="3"/>
  <c r="S1251" i="3"/>
  <c r="R1251" i="3"/>
  <c r="Q1251" i="3"/>
  <c r="S1250" i="3"/>
  <c r="R1250" i="3"/>
  <c r="Q1250" i="3"/>
  <c r="S1249" i="3"/>
  <c r="R1249" i="3"/>
  <c r="Q1249" i="3"/>
  <c r="S1248" i="3"/>
  <c r="R1248" i="3"/>
  <c r="Q1248" i="3"/>
  <c r="S1247" i="3"/>
  <c r="R1247" i="3"/>
  <c r="Q1247" i="3"/>
  <c r="S1246" i="3"/>
  <c r="R1246" i="3"/>
  <c r="Q1246" i="3"/>
  <c r="S1245" i="3"/>
  <c r="R1245" i="3"/>
  <c r="Q1245" i="3"/>
  <c r="S1244" i="3"/>
  <c r="R1244" i="3"/>
  <c r="Q1244" i="3"/>
  <c r="S1243" i="3"/>
  <c r="R1243" i="3"/>
  <c r="Q1243" i="3"/>
  <c r="S1242" i="3"/>
  <c r="R1242" i="3"/>
  <c r="Q1242" i="3"/>
  <c r="S1241" i="3"/>
  <c r="R1241" i="3"/>
  <c r="Q1241" i="3"/>
  <c r="S1240" i="3"/>
  <c r="R1240" i="3"/>
  <c r="Q1240" i="3"/>
  <c r="S1239" i="3"/>
  <c r="R1239" i="3"/>
  <c r="Q1239" i="3"/>
  <c r="S1238" i="3"/>
  <c r="R1238" i="3"/>
  <c r="Q1238" i="3"/>
  <c r="S1237" i="3"/>
  <c r="R1237" i="3"/>
  <c r="Q1237" i="3"/>
  <c r="S1236" i="3"/>
  <c r="R1236" i="3"/>
  <c r="Q1236" i="3"/>
  <c r="S1235" i="3"/>
  <c r="R1235" i="3"/>
  <c r="Q1235" i="3"/>
  <c r="S1234" i="3"/>
  <c r="R1234" i="3"/>
  <c r="Q1234" i="3"/>
  <c r="S1233" i="3"/>
  <c r="R1233" i="3"/>
  <c r="Q1233" i="3"/>
  <c r="S1232" i="3"/>
  <c r="R1232" i="3"/>
  <c r="Q1232" i="3"/>
  <c r="S1231" i="3"/>
  <c r="R1231" i="3"/>
  <c r="Q1231" i="3"/>
  <c r="S1230" i="3"/>
  <c r="R1230" i="3"/>
  <c r="Q1230" i="3"/>
  <c r="S1229" i="3"/>
  <c r="R1229" i="3"/>
  <c r="Q1229" i="3"/>
  <c r="S1228" i="3"/>
  <c r="R1228" i="3"/>
  <c r="Q1228" i="3"/>
  <c r="S1227" i="3"/>
  <c r="R1227" i="3"/>
  <c r="Q1227" i="3"/>
  <c r="S1226" i="3"/>
  <c r="R1226" i="3"/>
  <c r="Q1226" i="3"/>
  <c r="S1225" i="3"/>
  <c r="R1225" i="3"/>
  <c r="Q1225" i="3"/>
  <c r="S1224" i="3"/>
  <c r="R1224" i="3"/>
  <c r="Q1224" i="3"/>
  <c r="S1223" i="3"/>
  <c r="R1223" i="3"/>
  <c r="Q1223" i="3"/>
  <c r="S1222" i="3"/>
  <c r="R1222" i="3"/>
  <c r="Q1222" i="3"/>
  <c r="S1221" i="3"/>
  <c r="R1221" i="3"/>
  <c r="Q1221" i="3"/>
  <c r="S1220" i="3"/>
  <c r="R1220" i="3"/>
  <c r="Q1220" i="3"/>
  <c r="S1219" i="3"/>
  <c r="R1219" i="3"/>
  <c r="Q1219" i="3"/>
  <c r="S1218" i="3"/>
  <c r="R1218" i="3"/>
  <c r="Q1218" i="3"/>
  <c r="S1217" i="3"/>
  <c r="R1217" i="3"/>
  <c r="Q1217" i="3"/>
  <c r="S1216" i="3"/>
  <c r="R1216" i="3"/>
  <c r="Q1216" i="3"/>
  <c r="S1215" i="3"/>
  <c r="R1215" i="3"/>
  <c r="Q1215" i="3"/>
  <c r="S1214" i="3"/>
  <c r="R1214" i="3"/>
  <c r="Q1214" i="3"/>
  <c r="S1213" i="3"/>
  <c r="R1213" i="3"/>
  <c r="Q1213" i="3"/>
  <c r="S1212" i="3"/>
  <c r="R1212" i="3"/>
  <c r="Q1212" i="3"/>
  <c r="S1211" i="3"/>
  <c r="R1211" i="3"/>
  <c r="Q1211" i="3"/>
  <c r="S1210" i="3"/>
  <c r="R1210" i="3"/>
  <c r="Q1210" i="3"/>
  <c r="S1209" i="3"/>
  <c r="R1209" i="3"/>
  <c r="Q1209" i="3"/>
  <c r="S1208" i="3"/>
  <c r="R1208" i="3"/>
  <c r="Q1208" i="3"/>
  <c r="S1207" i="3"/>
  <c r="R1207" i="3"/>
  <c r="Q1207" i="3"/>
  <c r="S1206" i="3"/>
  <c r="R1206" i="3"/>
  <c r="Q1206" i="3"/>
  <c r="S1205" i="3"/>
  <c r="R1205" i="3"/>
  <c r="Q1205" i="3"/>
  <c r="S1204" i="3"/>
  <c r="R1204" i="3"/>
  <c r="Q1204" i="3"/>
  <c r="S1203" i="3"/>
  <c r="R1203" i="3"/>
  <c r="Q1203" i="3"/>
  <c r="S1202" i="3"/>
  <c r="R1202" i="3"/>
  <c r="Q1202" i="3"/>
  <c r="S1201" i="3"/>
  <c r="R1201" i="3"/>
  <c r="Q1201" i="3"/>
  <c r="S1200" i="3"/>
  <c r="R1200" i="3"/>
  <c r="Q1200" i="3"/>
  <c r="S1199" i="3"/>
  <c r="R1199" i="3"/>
  <c r="Q1199" i="3"/>
  <c r="S1198" i="3"/>
  <c r="R1198" i="3"/>
  <c r="Q1198" i="3"/>
  <c r="S1197" i="3"/>
  <c r="R1197" i="3"/>
  <c r="Q1197" i="3"/>
  <c r="S1196" i="3"/>
  <c r="R1196" i="3"/>
  <c r="Q1196" i="3"/>
  <c r="S1195" i="3"/>
  <c r="R1195" i="3"/>
  <c r="Q1195" i="3"/>
  <c r="S1194" i="3"/>
  <c r="R1194" i="3"/>
  <c r="Q1194" i="3"/>
  <c r="S1193" i="3"/>
  <c r="R1193" i="3"/>
  <c r="Q1193" i="3"/>
  <c r="S1192" i="3"/>
  <c r="R1192" i="3"/>
  <c r="Q1192" i="3"/>
  <c r="S1191" i="3"/>
  <c r="R1191" i="3"/>
  <c r="Q1191" i="3"/>
  <c r="S1190" i="3"/>
  <c r="R1190" i="3"/>
  <c r="Q1190" i="3"/>
  <c r="S1189" i="3"/>
  <c r="R1189" i="3"/>
  <c r="Q1189" i="3"/>
  <c r="S1188" i="3"/>
  <c r="R1188" i="3"/>
  <c r="Q1188" i="3"/>
  <c r="S1187" i="3"/>
  <c r="R1187" i="3"/>
  <c r="Q1187" i="3"/>
  <c r="S1186" i="3"/>
  <c r="R1186" i="3"/>
  <c r="Q1186" i="3"/>
  <c r="S1185" i="3"/>
  <c r="R1185" i="3"/>
  <c r="Q1185" i="3"/>
  <c r="S1184" i="3"/>
  <c r="R1184" i="3"/>
  <c r="Q1184" i="3"/>
  <c r="S1183" i="3"/>
  <c r="R1183" i="3"/>
  <c r="Q1183" i="3"/>
  <c r="S1182" i="3"/>
  <c r="R1182" i="3"/>
  <c r="Q1182" i="3"/>
  <c r="S1181" i="3"/>
  <c r="R1181" i="3"/>
  <c r="Q1181" i="3"/>
  <c r="S1180" i="3"/>
  <c r="R1180" i="3"/>
  <c r="Q1180" i="3"/>
  <c r="S1179" i="3"/>
  <c r="R1179" i="3"/>
  <c r="Q1179" i="3"/>
  <c r="S1178" i="3"/>
  <c r="R1178" i="3"/>
  <c r="Q1178" i="3"/>
  <c r="S1177" i="3"/>
  <c r="R1177" i="3"/>
  <c r="Q1177" i="3"/>
  <c r="S1176" i="3"/>
  <c r="R1176" i="3"/>
  <c r="Q1176" i="3"/>
  <c r="S1175" i="3"/>
  <c r="R1175" i="3"/>
  <c r="Q1175" i="3"/>
  <c r="S1174" i="3"/>
  <c r="R1174" i="3"/>
  <c r="Q1174" i="3"/>
  <c r="S1173" i="3"/>
  <c r="R1173" i="3"/>
  <c r="Q1173" i="3"/>
  <c r="S1172" i="3"/>
  <c r="R1172" i="3"/>
  <c r="Q1172" i="3"/>
  <c r="S1171" i="3"/>
  <c r="R1171" i="3"/>
  <c r="Q1171" i="3"/>
  <c r="S1170" i="3"/>
  <c r="R1170" i="3"/>
  <c r="Q1170" i="3"/>
  <c r="S1169" i="3"/>
  <c r="R1169" i="3"/>
  <c r="Q1169" i="3"/>
  <c r="S1168" i="3"/>
  <c r="R1168" i="3"/>
  <c r="Q1168" i="3"/>
  <c r="S1167" i="3"/>
  <c r="R1167" i="3"/>
  <c r="Q1167" i="3"/>
  <c r="S1166" i="3"/>
  <c r="R1166" i="3"/>
  <c r="Q1166" i="3"/>
  <c r="S1165" i="3"/>
  <c r="R1165" i="3"/>
  <c r="Q1165" i="3"/>
  <c r="S1164" i="3"/>
  <c r="R1164" i="3"/>
  <c r="Q1164" i="3"/>
  <c r="S1163" i="3"/>
  <c r="R1163" i="3"/>
  <c r="Q1163" i="3"/>
  <c r="S1162" i="3"/>
  <c r="R1162" i="3"/>
  <c r="Q1162" i="3"/>
  <c r="S1161" i="3"/>
  <c r="R1161" i="3"/>
  <c r="Q1161" i="3"/>
  <c r="S1160" i="3"/>
  <c r="R1160" i="3"/>
  <c r="Q1160" i="3"/>
  <c r="S1159" i="3"/>
  <c r="R1159" i="3"/>
  <c r="Q1159" i="3"/>
  <c r="S1158" i="3"/>
  <c r="R1158" i="3"/>
  <c r="Q1158" i="3"/>
  <c r="S1157" i="3"/>
  <c r="R1157" i="3"/>
  <c r="Q1157" i="3"/>
  <c r="S1156" i="3"/>
  <c r="R1156" i="3"/>
  <c r="Q1156" i="3"/>
  <c r="S1155" i="3"/>
  <c r="R1155" i="3"/>
  <c r="Q1155" i="3"/>
  <c r="S1154" i="3"/>
  <c r="R1154" i="3"/>
  <c r="Q1154" i="3"/>
  <c r="S1153" i="3"/>
  <c r="R1153" i="3"/>
  <c r="Q1153" i="3"/>
  <c r="S1152" i="3"/>
  <c r="R1152" i="3"/>
  <c r="Q1152" i="3"/>
  <c r="S1151" i="3"/>
  <c r="R1151" i="3"/>
  <c r="Q1151" i="3"/>
  <c r="S1150" i="3"/>
  <c r="R1150" i="3"/>
  <c r="Q1150" i="3"/>
  <c r="S1149" i="3"/>
  <c r="R1149" i="3"/>
  <c r="Q1149" i="3"/>
  <c r="S1148" i="3"/>
  <c r="R1148" i="3"/>
  <c r="Q1148" i="3"/>
  <c r="S1147" i="3"/>
  <c r="R1147" i="3"/>
  <c r="Q1147" i="3"/>
  <c r="S1146" i="3"/>
  <c r="R1146" i="3"/>
  <c r="Q1146" i="3"/>
  <c r="S1145" i="3"/>
  <c r="R1145" i="3"/>
  <c r="Q1145" i="3"/>
  <c r="S1144" i="3"/>
  <c r="R1144" i="3"/>
  <c r="Q1144" i="3"/>
  <c r="S1143" i="3"/>
  <c r="R1143" i="3"/>
  <c r="Q1143" i="3"/>
  <c r="S1142" i="3"/>
  <c r="R1142" i="3"/>
  <c r="Q1142" i="3"/>
  <c r="S1141" i="3"/>
  <c r="R1141" i="3"/>
  <c r="Q1141" i="3"/>
  <c r="S1140" i="3"/>
  <c r="R1140" i="3"/>
  <c r="Q1140" i="3"/>
  <c r="S1139" i="3"/>
  <c r="R1139" i="3"/>
  <c r="Q1139" i="3"/>
  <c r="S1138" i="3"/>
  <c r="R1138" i="3"/>
  <c r="Q1138" i="3"/>
  <c r="S1137" i="3"/>
  <c r="R1137" i="3"/>
  <c r="Q1137" i="3"/>
  <c r="S1136" i="3"/>
  <c r="R1136" i="3"/>
  <c r="Q1136" i="3"/>
  <c r="S1135" i="3"/>
  <c r="R1135" i="3"/>
  <c r="Q1135" i="3"/>
  <c r="S1134" i="3"/>
  <c r="R1134" i="3"/>
  <c r="Q1134" i="3"/>
  <c r="S1133" i="3"/>
  <c r="R1133" i="3"/>
  <c r="Q1133" i="3"/>
  <c r="S1132" i="3"/>
  <c r="R1132" i="3"/>
  <c r="Q1132" i="3"/>
  <c r="S1131" i="3"/>
  <c r="R1131" i="3"/>
  <c r="Q1131" i="3"/>
  <c r="S1130" i="3"/>
  <c r="R1130" i="3"/>
  <c r="Q1130" i="3"/>
  <c r="S1129" i="3"/>
  <c r="R1129" i="3"/>
  <c r="Q1129" i="3"/>
  <c r="S1128" i="3"/>
  <c r="R1128" i="3"/>
  <c r="Q1128" i="3"/>
  <c r="S1127" i="3"/>
  <c r="R1127" i="3"/>
  <c r="Q1127" i="3"/>
  <c r="S1126" i="3"/>
  <c r="R1126" i="3"/>
  <c r="Q1126" i="3"/>
  <c r="S1125" i="3"/>
  <c r="R1125" i="3"/>
  <c r="Q1125" i="3"/>
  <c r="S1124" i="3"/>
  <c r="R1124" i="3"/>
  <c r="Q1124" i="3"/>
  <c r="S1123" i="3"/>
  <c r="R1123" i="3"/>
  <c r="Q1123" i="3"/>
  <c r="S1122" i="3"/>
  <c r="R1122" i="3"/>
  <c r="Q1122" i="3"/>
  <c r="S1121" i="3"/>
  <c r="R1121" i="3"/>
  <c r="Q1121" i="3"/>
  <c r="S1120" i="3"/>
  <c r="R1120" i="3"/>
  <c r="Q1120" i="3"/>
  <c r="S1119" i="3"/>
  <c r="R1119" i="3"/>
  <c r="Q1119" i="3"/>
  <c r="S1118" i="3"/>
  <c r="R1118" i="3"/>
  <c r="Q1118" i="3"/>
  <c r="S1117" i="3"/>
  <c r="R1117" i="3"/>
  <c r="Q1117" i="3"/>
  <c r="S1116" i="3"/>
  <c r="R1116" i="3"/>
  <c r="Q1116" i="3"/>
  <c r="S1115" i="3"/>
  <c r="R1115" i="3"/>
  <c r="Q1115" i="3"/>
  <c r="S1114" i="3"/>
  <c r="R1114" i="3"/>
  <c r="Q1114" i="3"/>
  <c r="S1113" i="3"/>
  <c r="R1113" i="3"/>
  <c r="Q1113" i="3"/>
  <c r="S1112" i="3"/>
  <c r="R1112" i="3"/>
  <c r="Q1112" i="3"/>
  <c r="S1111" i="3"/>
  <c r="R1111" i="3"/>
  <c r="Q1111" i="3"/>
  <c r="S1110" i="3"/>
  <c r="R1110" i="3"/>
  <c r="Q1110" i="3"/>
  <c r="S1109" i="3"/>
  <c r="R1109" i="3"/>
  <c r="Q1109" i="3"/>
  <c r="S1108" i="3"/>
  <c r="R1108" i="3"/>
  <c r="Q1108" i="3"/>
  <c r="S1107" i="3"/>
  <c r="R1107" i="3"/>
  <c r="Q1107" i="3"/>
  <c r="S1106" i="3"/>
  <c r="R1106" i="3"/>
  <c r="Q1106" i="3"/>
  <c r="S1105" i="3"/>
  <c r="R1105" i="3"/>
  <c r="Q1105" i="3"/>
  <c r="S1104" i="3"/>
  <c r="R1104" i="3"/>
  <c r="Q1104" i="3"/>
  <c r="S1103" i="3"/>
  <c r="R1103" i="3"/>
  <c r="Q1103" i="3"/>
  <c r="S1102" i="3"/>
  <c r="R1102" i="3"/>
  <c r="Q1102" i="3"/>
  <c r="S1101" i="3"/>
  <c r="R1101" i="3"/>
  <c r="Q1101" i="3"/>
  <c r="S1100" i="3"/>
  <c r="R1100" i="3"/>
  <c r="Q1100" i="3"/>
  <c r="S1099" i="3"/>
  <c r="R1099" i="3"/>
  <c r="Q1099" i="3"/>
  <c r="S1098" i="3"/>
  <c r="R1098" i="3"/>
  <c r="Q1098" i="3"/>
  <c r="S1097" i="3"/>
  <c r="R1097" i="3"/>
  <c r="Q1097" i="3"/>
  <c r="S1096" i="3"/>
  <c r="R1096" i="3"/>
  <c r="Q1096" i="3"/>
  <c r="S1095" i="3"/>
  <c r="R1095" i="3"/>
  <c r="Q1095" i="3"/>
  <c r="S1094" i="3"/>
  <c r="R1094" i="3"/>
  <c r="Q1094" i="3"/>
  <c r="S1093" i="3"/>
  <c r="R1093" i="3"/>
  <c r="Q1093" i="3"/>
  <c r="S1092" i="3"/>
  <c r="R1092" i="3"/>
  <c r="Q1092" i="3"/>
  <c r="S1091" i="3"/>
  <c r="R1091" i="3"/>
  <c r="Q1091" i="3"/>
  <c r="S1090" i="3"/>
  <c r="R1090" i="3"/>
  <c r="Q1090" i="3"/>
  <c r="S1089" i="3"/>
  <c r="R1089" i="3"/>
  <c r="Q1089" i="3"/>
  <c r="S1088" i="3"/>
  <c r="R1088" i="3"/>
  <c r="Q1088" i="3"/>
  <c r="S1087" i="3"/>
  <c r="R1087" i="3"/>
  <c r="Q1087" i="3"/>
  <c r="S1086" i="3"/>
  <c r="R1086" i="3"/>
  <c r="Q1086" i="3"/>
  <c r="S1085" i="3"/>
  <c r="R1085" i="3"/>
  <c r="Q1085" i="3"/>
  <c r="S1084" i="3"/>
  <c r="R1084" i="3"/>
  <c r="Q1084" i="3"/>
  <c r="S1083" i="3"/>
  <c r="R1083" i="3"/>
  <c r="Q1083" i="3"/>
  <c r="S1082" i="3"/>
  <c r="R1082" i="3"/>
  <c r="Q1082" i="3"/>
  <c r="S1081" i="3"/>
  <c r="R1081" i="3"/>
  <c r="Q1081" i="3"/>
  <c r="S1080" i="3"/>
  <c r="R1080" i="3"/>
  <c r="Q1080" i="3"/>
  <c r="S1079" i="3"/>
  <c r="R1079" i="3"/>
  <c r="Q1079" i="3"/>
  <c r="S1078" i="3"/>
  <c r="R1078" i="3"/>
  <c r="Q1078" i="3"/>
  <c r="S1077" i="3"/>
  <c r="R1077" i="3"/>
  <c r="Q1077" i="3"/>
  <c r="S1076" i="3"/>
  <c r="R1076" i="3"/>
  <c r="Q1076" i="3"/>
  <c r="S1075" i="3"/>
  <c r="R1075" i="3"/>
  <c r="Q1075" i="3"/>
  <c r="S1074" i="3"/>
  <c r="R1074" i="3"/>
  <c r="Q1074" i="3"/>
  <c r="S1073" i="3"/>
  <c r="R1073" i="3"/>
  <c r="Q1073" i="3"/>
  <c r="S1072" i="3"/>
  <c r="R1072" i="3"/>
  <c r="Q1072" i="3"/>
  <c r="S1071" i="3"/>
  <c r="R1071" i="3"/>
  <c r="Q1071" i="3"/>
  <c r="S1070" i="3"/>
  <c r="R1070" i="3"/>
  <c r="Q1070" i="3"/>
  <c r="S1069" i="3"/>
  <c r="R1069" i="3"/>
  <c r="Q1069" i="3"/>
  <c r="S1068" i="3"/>
  <c r="R1068" i="3"/>
  <c r="Q1068" i="3"/>
  <c r="S1067" i="3"/>
  <c r="R1067" i="3"/>
  <c r="Q1067" i="3"/>
  <c r="S1066" i="3"/>
  <c r="R1066" i="3"/>
  <c r="Q1066" i="3"/>
  <c r="S1065" i="3"/>
  <c r="R1065" i="3"/>
  <c r="Q1065" i="3"/>
  <c r="S1064" i="3"/>
  <c r="R1064" i="3"/>
  <c r="Q1064" i="3"/>
  <c r="S1063" i="3"/>
  <c r="R1063" i="3"/>
  <c r="Q1063" i="3"/>
  <c r="S1062" i="3"/>
  <c r="R1062" i="3"/>
  <c r="Q1062" i="3"/>
  <c r="S1061" i="3"/>
  <c r="R1061" i="3"/>
  <c r="Q1061" i="3"/>
  <c r="S1060" i="3"/>
  <c r="R1060" i="3"/>
  <c r="Q1060" i="3"/>
  <c r="S1059" i="3"/>
  <c r="R1059" i="3"/>
  <c r="Q1059" i="3"/>
  <c r="S1058" i="3"/>
  <c r="R1058" i="3"/>
  <c r="Q1058" i="3"/>
  <c r="S1057" i="3"/>
  <c r="R1057" i="3"/>
  <c r="Q1057" i="3"/>
  <c r="S1056" i="3"/>
  <c r="R1056" i="3"/>
  <c r="Q1056" i="3"/>
  <c r="S1055" i="3"/>
  <c r="R1055" i="3"/>
  <c r="Q1055" i="3"/>
  <c r="S1054" i="3"/>
  <c r="R1054" i="3"/>
  <c r="Q1054" i="3"/>
  <c r="S1053" i="3"/>
  <c r="R1053" i="3"/>
  <c r="Q1053" i="3"/>
  <c r="S1052" i="3"/>
  <c r="R1052" i="3"/>
  <c r="Q1052" i="3"/>
  <c r="S1051" i="3"/>
  <c r="R1051" i="3"/>
  <c r="Q1051" i="3"/>
  <c r="S1050" i="3"/>
  <c r="R1050" i="3"/>
  <c r="Q1050" i="3"/>
  <c r="S1049" i="3"/>
  <c r="R1049" i="3"/>
  <c r="Q1049" i="3"/>
  <c r="S1048" i="3"/>
  <c r="R1048" i="3"/>
  <c r="Q1048" i="3"/>
  <c r="S1047" i="3"/>
  <c r="R1047" i="3"/>
  <c r="Q1047" i="3"/>
  <c r="S1046" i="3"/>
  <c r="R1046" i="3"/>
  <c r="Q1046" i="3"/>
  <c r="S1045" i="3"/>
  <c r="R1045" i="3"/>
  <c r="Q1045" i="3"/>
  <c r="S1044" i="3"/>
  <c r="R1044" i="3"/>
  <c r="Q1044" i="3"/>
  <c r="S1043" i="3"/>
  <c r="R1043" i="3"/>
  <c r="Q1043" i="3"/>
  <c r="S1042" i="3"/>
  <c r="R1042" i="3"/>
  <c r="Q1042" i="3"/>
  <c r="S1041" i="3"/>
  <c r="R1041" i="3"/>
  <c r="Q1041" i="3"/>
  <c r="S1040" i="3"/>
  <c r="R1040" i="3"/>
  <c r="Q1040" i="3"/>
  <c r="S1039" i="3"/>
  <c r="R1039" i="3"/>
  <c r="Q1039" i="3"/>
  <c r="S1038" i="3"/>
  <c r="R1038" i="3"/>
  <c r="Q1038" i="3"/>
  <c r="S1037" i="3"/>
  <c r="R1037" i="3"/>
  <c r="Q1037" i="3"/>
  <c r="S1036" i="3"/>
  <c r="R1036" i="3"/>
  <c r="Q1036" i="3"/>
  <c r="S1035" i="3"/>
  <c r="R1035" i="3"/>
  <c r="Q1035" i="3"/>
  <c r="S1034" i="3"/>
  <c r="R1034" i="3"/>
  <c r="Q1034" i="3"/>
  <c r="S1033" i="3"/>
  <c r="R1033" i="3"/>
  <c r="Q1033" i="3"/>
  <c r="S1032" i="3"/>
  <c r="R1032" i="3"/>
  <c r="Q1032" i="3"/>
  <c r="S1031" i="3"/>
  <c r="R1031" i="3"/>
  <c r="Q1031" i="3"/>
  <c r="S1030" i="3"/>
  <c r="R1030" i="3"/>
  <c r="Q1030" i="3"/>
  <c r="S1029" i="3"/>
  <c r="R1029" i="3"/>
  <c r="Q1029" i="3"/>
  <c r="S1028" i="3"/>
  <c r="R1028" i="3"/>
  <c r="Q1028" i="3"/>
  <c r="S1027" i="3"/>
  <c r="R1027" i="3"/>
  <c r="Q1027" i="3"/>
  <c r="S1026" i="3"/>
  <c r="R1026" i="3"/>
  <c r="Q1026" i="3"/>
  <c r="S1025" i="3"/>
  <c r="R1025" i="3"/>
  <c r="Q1025" i="3"/>
  <c r="S1024" i="3"/>
  <c r="R1024" i="3"/>
  <c r="Q1024" i="3"/>
  <c r="S1023" i="3"/>
  <c r="R1023" i="3"/>
  <c r="Q1023" i="3"/>
  <c r="S1022" i="3"/>
  <c r="R1022" i="3"/>
  <c r="Q1022" i="3"/>
  <c r="S1021" i="3"/>
  <c r="R1021" i="3"/>
  <c r="Q1021" i="3"/>
  <c r="S1020" i="3"/>
  <c r="R1020" i="3"/>
  <c r="Q1020" i="3"/>
  <c r="S1019" i="3"/>
  <c r="R1019" i="3"/>
  <c r="Q1019" i="3"/>
  <c r="S1018" i="3"/>
  <c r="R1018" i="3"/>
  <c r="Q1018" i="3"/>
  <c r="S1017" i="3"/>
  <c r="R1017" i="3"/>
  <c r="Q1017" i="3"/>
  <c r="S1016" i="3"/>
  <c r="R1016" i="3"/>
  <c r="Q1016" i="3"/>
  <c r="S1015" i="3"/>
  <c r="R1015" i="3"/>
  <c r="Q1015" i="3"/>
  <c r="S1014" i="3"/>
  <c r="R1014" i="3"/>
  <c r="Q1014" i="3"/>
  <c r="S1013" i="3"/>
  <c r="R1013" i="3"/>
  <c r="Q1013" i="3"/>
  <c r="S1012" i="3"/>
  <c r="R1012" i="3"/>
  <c r="Q1012" i="3"/>
  <c r="S1011" i="3"/>
  <c r="R1011" i="3"/>
  <c r="Q1011" i="3"/>
  <c r="S1010" i="3"/>
  <c r="R1010" i="3"/>
  <c r="Q1010" i="3"/>
  <c r="S1009" i="3"/>
  <c r="R1009" i="3"/>
  <c r="Q1009" i="3"/>
  <c r="S1008" i="3"/>
  <c r="R1008" i="3"/>
  <c r="Q1008" i="3"/>
  <c r="S1007" i="3"/>
  <c r="R1007" i="3"/>
  <c r="Q1007" i="3"/>
  <c r="S1006" i="3"/>
  <c r="R1006" i="3"/>
  <c r="Q1006" i="3"/>
  <c r="S1005" i="3"/>
  <c r="R1005" i="3"/>
  <c r="Q1005" i="3"/>
  <c r="S1004" i="3"/>
  <c r="R1004" i="3"/>
  <c r="Q1004" i="3"/>
  <c r="S1003" i="3"/>
  <c r="R1003" i="3"/>
  <c r="Q1003" i="3"/>
  <c r="S1002" i="3"/>
  <c r="R1002" i="3"/>
  <c r="Q1002" i="3"/>
  <c r="S1001" i="3"/>
  <c r="R1001" i="3"/>
  <c r="Q1001" i="3"/>
  <c r="S1000" i="3"/>
  <c r="R1000" i="3"/>
  <c r="Q1000" i="3"/>
  <c r="S999" i="3"/>
  <c r="R999" i="3"/>
  <c r="Q999" i="3"/>
  <c r="S998" i="3"/>
  <c r="R998" i="3"/>
  <c r="Q998" i="3"/>
  <c r="S997" i="3"/>
  <c r="R997" i="3"/>
  <c r="Q997" i="3"/>
  <c r="S996" i="3"/>
  <c r="R996" i="3"/>
  <c r="Q996" i="3"/>
  <c r="S995" i="3"/>
  <c r="R995" i="3"/>
  <c r="Q995" i="3"/>
  <c r="S994" i="3"/>
  <c r="R994" i="3"/>
  <c r="Q994" i="3"/>
  <c r="S993" i="3"/>
  <c r="R993" i="3"/>
  <c r="Q993" i="3"/>
  <c r="S992" i="3"/>
  <c r="R992" i="3"/>
  <c r="Q992" i="3"/>
  <c r="S991" i="3"/>
  <c r="R991" i="3"/>
  <c r="Q991" i="3"/>
  <c r="S990" i="3"/>
  <c r="R990" i="3"/>
  <c r="Q990" i="3"/>
  <c r="S989" i="3"/>
  <c r="R989" i="3"/>
  <c r="Q989" i="3"/>
  <c r="S988" i="3"/>
  <c r="R988" i="3"/>
  <c r="Q988" i="3"/>
  <c r="S987" i="3"/>
  <c r="R987" i="3"/>
  <c r="Q987" i="3"/>
  <c r="S986" i="3"/>
  <c r="R986" i="3"/>
  <c r="Q986" i="3"/>
  <c r="S985" i="3"/>
  <c r="R985" i="3"/>
  <c r="Q985" i="3"/>
  <c r="S984" i="3"/>
  <c r="R984" i="3"/>
  <c r="Q984" i="3"/>
  <c r="S983" i="3"/>
  <c r="R983" i="3"/>
  <c r="Q983" i="3"/>
  <c r="S982" i="3"/>
  <c r="R982" i="3"/>
  <c r="Q982" i="3"/>
  <c r="S981" i="3"/>
  <c r="R981" i="3"/>
  <c r="Q981" i="3"/>
  <c r="S980" i="3"/>
  <c r="R980" i="3"/>
  <c r="Q980" i="3"/>
  <c r="S979" i="3"/>
  <c r="R979" i="3"/>
  <c r="Q979" i="3"/>
  <c r="S978" i="3"/>
  <c r="R978" i="3"/>
  <c r="Q978" i="3"/>
  <c r="S977" i="3"/>
  <c r="R977" i="3"/>
  <c r="Q977" i="3"/>
  <c r="S976" i="3"/>
  <c r="R976" i="3"/>
  <c r="Q976" i="3"/>
  <c r="S975" i="3"/>
  <c r="R975" i="3"/>
  <c r="Q975" i="3"/>
  <c r="S974" i="3"/>
  <c r="R974" i="3"/>
  <c r="Q974" i="3"/>
  <c r="S973" i="3"/>
  <c r="R973" i="3"/>
  <c r="Q973" i="3"/>
  <c r="S972" i="3"/>
  <c r="R972" i="3"/>
  <c r="Q972" i="3"/>
  <c r="S971" i="3"/>
  <c r="R971" i="3"/>
  <c r="Q971" i="3"/>
  <c r="S970" i="3"/>
  <c r="R970" i="3"/>
  <c r="Q970" i="3"/>
  <c r="S969" i="3"/>
  <c r="R969" i="3"/>
  <c r="Q969" i="3"/>
  <c r="S968" i="3"/>
  <c r="R968" i="3"/>
  <c r="Q968" i="3"/>
  <c r="S967" i="3"/>
  <c r="R967" i="3"/>
  <c r="Q967" i="3"/>
  <c r="S966" i="3"/>
  <c r="R966" i="3"/>
  <c r="Q966" i="3"/>
  <c r="S965" i="3"/>
  <c r="R965" i="3"/>
  <c r="Q965" i="3"/>
  <c r="S964" i="3"/>
  <c r="R964" i="3"/>
  <c r="Q964" i="3"/>
  <c r="S963" i="3"/>
  <c r="R963" i="3"/>
  <c r="Q963" i="3"/>
  <c r="S962" i="3"/>
  <c r="R962" i="3"/>
  <c r="Q962" i="3"/>
  <c r="S961" i="3"/>
  <c r="R961" i="3"/>
  <c r="Q961" i="3"/>
  <c r="S960" i="3"/>
  <c r="R960" i="3"/>
  <c r="Q960" i="3"/>
  <c r="S959" i="3"/>
  <c r="R959" i="3"/>
  <c r="Q959" i="3"/>
  <c r="S958" i="3"/>
  <c r="R958" i="3"/>
  <c r="Q958" i="3"/>
  <c r="S957" i="3"/>
  <c r="R957" i="3"/>
  <c r="Q957" i="3"/>
  <c r="S956" i="3"/>
  <c r="R956" i="3"/>
  <c r="Q956" i="3"/>
  <c r="S955" i="3"/>
  <c r="R955" i="3"/>
  <c r="Q955" i="3"/>
  <c r="S954" i="3"/>
  <c r="R954" i="3"/>
  <c r="Q954" i="3"/>
  <c r="S953" i="3"/>
  <c r="R953" i="3"/>
  <c r="Q953" i="3"/>
  <c r="S952" i="3"/>
  <c r="R952" i="3"/>
  <c r="Q952" i="3"/>
  <c r="S951" i="3"/>
  <c r="R951" i="3"/>
  <c r="Q951" i="3"/>
  <c r="S950" i="3"/>
  <c r="R950" i="3"/>
  <c r="Q950" i="3"/>
  <c r="S949" i="3"/>
  <c r="R949" i="3"/>
  <c r="Q949" i="3"/>
  <c r="S948" i="3"/>
  <c r="R948" i="3"/>
  <c r="Q948" i="3"/>
  <c r="S947" i="3"/>
  <c r="R947" i="3"/>
  <c r="Q947" i="3"/>
  <c r="S946" i="3"/>
  <c r="R946" i="3"/>
  <c r="Q946" i="3"/>
  <c r="S945" i="3"/>
  <c r="R945" i="3"/>
  <c r="Q945" i="3"/>
  <c r="S944" i="3"/>
  <c r="R944" i="3"/>
  <c r="Q944" i="3"/>
  <c r="S943" i="3"/>
  <c r="R943" i="3"/>
  <c r="Q943" i="3"/>
  <c r="S942" i="3"/>
  <c r="R942" i="3"/>
  <c r="Q942" i="3"/>
  <c r="S941" i="3"/>
  <c r="R941" i="3"/>
  <c r="Q941" i="3"/>
  <c r="S940" i="3"/>
  <c r="R940" i="3"/>
  <c r="Q940" i="3"/>
  <c r="S939" i="3"/>
  <c r="R939" i="3"/>
  <c r="Q939" i="3"/>
  <c r="S938" i="3"/>
  <c r="R938" i="3"/>
  <c r="Q938" i="3"/>
  <c r="S937" i="3"/>
  <c r="R937" i="3"/>
  <c r="Q937" i="3"/>
  <c r="S936" i="3"/>
  <c r="R936" i="3"/>
  <c r="Q936" i="3"/>
  <c r="S935" i="3"/>
  <c r="R935" i="3"/>
  <c r="Q935" i="3"/>
  <c r="S934" i="3"/>
  <c r="R934" i="3"/>
  <c r="Q934" i="3"/>
  <c r="S933" i="3"/>
  <c r="R933" i="3"/>
  <c r="Q933" i="3"/>
  <c r="S932" i="3"/>
  <c r="R932" i="3"/>
  <c r="Q932" i="3"/>
  <c r="S931" i="3"/>
  <c r="R931" i="3"/>
  <c r="Q931" i="3"/>
  <c r="S930" i="3"/>
  <c r="R930" i="3"/>
  <c r="Q930" i="3"/>
  <c r="S929" i="3"/>
  <c r="R929" i="3"/>
  <c r="Q929" i="3"/>
  <c r="S928" i="3"/>
  <c r="R928" i="3"/>
  <c r="Q928" i="3"/>
  <c r="S927" i="3"/>
  <c r="R927" i="3"/>
  <c r="Q927" i="3"/>
  <c r="S926" i="3"/>
  <c r="R926" i="3"/>
  <c r="Q926" i="3"/>
  <c r="S925" i="3"/>
  <c r="R925" i="3"/>
  <c r="Q925" i="3"/>
  <c r="S924" i="3"/>
  <c r="R924" i="3"/>
  <c r="Q924" i="3"/>
  <c r="S923" i="3"/>
  <c r="R923" i="3"/>
  <c r="Q923" i="3"/>
  <c r="S922" i="3"/>
  <c r="R922" i="3"/>
  <c r="Q922" i="3"/>
  <c r="S921" i="3"/>
  <c r="R921" i="3"/>
  <c r="Q921" i="3"/>
  <c r="S920" i="3"/>
  <c r="R920" i="3"/>
  <c r="Q920" i="3"/>
  <c r="S919" i="3"/>
  <c r="R919" i="3"/>
  <c r="Q919" i="3"/>
  <c r="S918" i="3"/>
  <c r="R918" i="3"/>
  <c r="Q918" i="3"/>
  <c r="S917" i="3"/>
  <c r="R917" i="3"/>
  <c r="Q917" i="3"/>
  <c r="S916" i="3"/>
  <c r="R916" i="3"/>
  <c r="Q916" i="3"/>
  <c r="S915" i="3"/>
  <c r="R915" i="3"/>
  <c r="Q915" i="3"/>
  <c r="S914" i="3"/>
  <c r="R914" i="3"/>
  <c r="Q914" i="3"/>
  <c r="S913" i="3"/>
  <c r="R913" i="3"/>
  <c r="Q913" i="3"/>
  <c r="S912" i="3"/>
  <c r="R912" i="3"/>
  <c r="Q912" i="3"/>
  <c r="S911" i="3"/>
  <c r="R911" i="3"/>
  <c r="Q911" i="3"/>
  <c r="S910" i="3"/>
  <c r="R910" i="3"/>
  <c r="Q910" i="3"/>
  <c r="S909" i="3"/>
  <c r="R909" i="3"/>
  <c r="Q909" i="3"/>
  <c r="S908" i="3"/>
  <c r="R908" i="3"/>
  <c r="Q908" i="3"/>
  <c r="S907" i="3"/>
  <c r="R907" i="3"/>
  <c r="Q907" i="3"/>
  <c r="S906" i="3"/>
  <c r="R906" i="3"/>
  <c r="Q906" i="3"/>
  <c r="S905" i="3"/>
  <c r="R905" i="3"/>
  <c r="Q905" i="3"/>
  <c r="S904" i="3"/>
  <c r="R904" i="3"/>
  <c r="Q904" i="3"/>
  <c r="S903" i="3"/>
  <c r="R903" i="3"/>
  <c r="Q903" i="3"/>
  <c r="S902" i="3"/>
  <c r="R902" i="3"/>
  <c r="Q902" i="3"/>
  <c r="S901" i="3"/>
  <c r="R901" i="3"/>
  <c r="Q901" i="3"/>
  <c r="S900" i="3"/>
  <c r="R900" i="3"/>
  <c r="Q900" i="3"/>
  <c r="S899" i="3"/>
  <c r="R899" i="3"/>
  <c r="Q899" i="3"/>
  <c r="S898" i="3"/>
  <c r="R898" i="3"/>
  <c r="Q898" i="3"/>
  <c r="S897" i="3"/>
  <c r="R897" i="3"/>
  <c r="Q897" i="3"/>
  <c r="S896" i="3"/>
  <c r="R896" i="3"/>
  <c r="Q896" i="3"/>
  <c r="S895" i="3"/>
  <c r="R895" i="3"/>
  <c r="Q895" i="3"/>
  <c r="S894" i="3"/>
  <c r="R894" i="3"/>
  <c r="Q894" i="3"/>
  <c r="S893" i="3"/>
  <c r="R893" i="3"/>
  <c r="Q893" i="3"/>
  <c r="S892" i="3"/>
  <c r="R892" i="3"/>
  <c r="Q892" i="3"/>
  <c r="S891" i="3"/>
  <c r="R891" i="3"/>
  <c r="Q891" i="3"/>
  <c r="S890" i="3"/>
  <c r="R890" i="3"/>
  <c r="Q890" i="3"/>
  <c r="S889" i="3"/>
  <c r="R889" i="3"/>
  <c r="Q889" i="3"/>
  <c r="S888" i="3"/>
  <c r="R888" i="3"/>
  <c r="Q888" i="3"/>
  <c r="S887" i="3"/>
  <c r="R887" i="3"/>
  <c r="Q887" i="3"/>
  <c r="S886" i="3"/>
  <c r="R886" i="3"/>
  <c r="Q886" i="3"/>
  <c r="S885" i="3"/>
  <c r="R885" i="3"/>
  <c r="Q885" i="3"/>
  <c r="S884" i="3"/>
  <c r="R884" i="3"/>
  <c r="Q884" i="3"/>
  <c r="S883" i="3"/>
  <c r="R883" i="3"/>
  <c r="Q883" i="3"/>
  <c r="S882" i="3"/>
  <c r="R882" i="3"/>
  <c r="Q882" i="3"/>
  <c r="S881" i="3"/>
  <c r="R881" i="3"/>
  <c r="Q881" i="3"/>
  <c r="S880" i="3"/>
  <c r="R880" i="3"/>
  <c r="Q880" i="3"/>
  <c r="S879" i="3"/>
  <c r="R879" i="3"/>
  <c r="Q879" i="3"/>
  <c r="S878" i="3"/>
  <c r="R878" i="3"/>
  <c r="Q878" i="3"/>
  <c r="S877" i="3"/>
  <c r="R877" i="3"/>
  <c r="Q877" i="3"/>
  <c r="S876" i="3"/>
  <c r="R876" i="3"/>
  <c r="Q876" i="3"/>
  <c r="S875" i="3"/>
  <c r="R875" i="3"/>
  <c r="Q875" i="3"/>
  <c r="S874" i="3"/>
  <c r="R874" i="3"/>
  <c r="Q874" i="3"/>
  <c r="S873" i="3"/>
  <c r="R873" i="3"/>
  <c r="Q873" i="3"/>
  <c r="S872" i="3"/>
  <c r="R872" i="3"/>
  <c r="Q872" i="3"/>
  <c r="S871" i="3"/>
  <c r="R871" i="3"/>
  <c r="Q871" i="3"/>
  <c r="S870" i="3"/>
  <c r="R870" i="3"/>
  <c r="Q870" i="3"/>
  <c r="S869" i="3"/>
  <c r="R869" i="3"/>
  <c r="Q869" i="3"/>
  <c r="S868" i="3"/>
  <c r="R868" i="3"/>
  <c r="Q868" i="3"/>
  <c r="S867" i="3"/>
  <c r="R867" i="3"/>
  <c r="Q867" i="3"/>
  <c r="S866" i="3"/>
  <c r="R866" i="3"/>
  <c r="Q866" i="3"/>
  <c r="S865" i="3"/>
  <c r="R865" i="3"/>
  <c r="Q865" i="3"/>
  <c r="S864" i="3"/>
  <c r="R864" i="3"/>
  <c r="Q864" i="3"/>
  <c r="S863" i="3"/>
  <c r="R863" i="3"/>
  <c r="Q863" i="3"/>
  <c r="S862" i="3"/>
  <c r="R862" i="3"/>
  <c r="Q862" i="3"/>
  <c r="S861" i="3"/>
  <c r="R861" i="3"/>
  <c r="Q861" i="3"/>
  <c r="S860" i="3"/>
  <c r="R860" i="3"/>
  <c r="Q860" i="3"/>
  <c r="S859" i="3"/>
  <c r="R859" i="3"/>
  <c r="Q859" i="3"/>
  <c r="S858" i="3"/>
  <c r="R858" i="3"/>
  <c r="Q858" i="3"/>
  <c r="S857" i="3"/>
  <c r="R857" i="3"/>
  <c r="Q857" i="3"/>
  <c r="S856" i="3"/>
  <c r="R856" i="3"/>
  <c r="Q856" i="3"/>
  <c r="S855" i="3"/>
  <c r="R855" i="3"/>
  <c r="Q855" i="3"/>
  <c r="S854" i="3"/>
  <c r="R854" i="3"/>
  <c r="Q854" i="3"/>
  <c r="S853" i="3"/>
  <c r="R853" i="3"/>
  <c r="Q853" i="3"/>
  <c r="S852" i="3"/>
  <c r="R852" i="3"/>
  <c r="Q852" i="3"/>
  <c r="S851" i="3"/>
  <c r="R851" i="3"/>
  <c r="Q851" i="3"/>
  <c r="S850" i="3"/>
  <c r="R850" i="3"/>
  <c r="Q850" i="3"/>
  <c r="S849" i="3"/>
  <c r="R849" i="3"/>
  <c r="Q849" i="3"/>
  <c r="S848" i="3"/>
  <c r="R848" i="3"/>
  <c r="Q848" i="3"/>
  <c r="S847" i="3"/>
  <c r="R847" i="3"/>
  <c r="Q847" i="3"/>
  <c r="S846" i="3"/>
  <c r="R846" i="3"/>
  <c r="Q846" i="3"/>
  <c r="S845" i="3"/>
  <c r="R845" i="3"/>
  <c r="Q845" i="3"/>
  <c r="S844" i="3"/>
  <c r="R844" i="3"/>
  <c r="Q844" i="3"/>
  <c r="S843" i="3"/>
  <c r="R843" i="3"/>
  <c r="Q843" i="3"/>
  <c r="S842" i="3"/>
  <c r="R842" i="3"/>
  <c r="Q842" i="3"/>
  <c r="S841" i="3"/>
  <c r="R841" i="3"/>
  <c r="Q841" i="3"/>
  <c r="S840" i="3"/>
  <c r="R840" i="3"/>
  <c r="Q840" i="3"/>
  <c r="S839" i="3"/>
  <c r="R839" i="3"/>
  <c r="Q839" i="3"/>
  <c r="S838" i="3"/>
  <c r="R838" i="3"/>
  <c r="Q838" i="3"/>
  <c r="S837" i="3"/>
  <c r="R837" i="3"/>
  <c r="Q837" i="3"/>
  <c r="S836" i="3"/>
  <c r="R836" i="3"/>
  <c r="Q836" i="3"/>
  <c r="S835" i="3"/>
  <c r="R835" i="3"/>
  <c r="Q835" i="3"/>
  <c r="S834" i="3"/>
  <c r="R834" i="3"/>
  <c r="Q834" i="3"/>
  <c r="S833" i="3"/>
  <c r="R833" i="3"/>
  <c r="Q833" i="3"/>
  <c r="S832" i="3"/>
  <c r="R832" i="3"/>
  <c r="Q832" i="3"/>
  <c r="S831" i="3"/>
  <c r="R831" i="3"/>
  <c r="Q831" i="3"/>
  <c r="S830" i="3"/>
  <c r="R830" i="3"/>
  <c r="Q830" i="3"/>
  <c r="S829" i="3"/>
  <c r="R829" i="3"/>
  <c r="Q829" i="3"/>
  <c r="S828" i="3"/>
  <c r="R828" i="3"/>
  <c r="Q828" i="3"/>
  <c r="S827" i="3"/>
  <c r="R827" i="3"/>
  <c r="Q827" i="3"/>
  <c r="S826" i="3"/>
  <c r="R826" i="3"/>
  <c r="Q826" i="3"/>
  <c r="S825" i="3"/>
  <c r="R825" i="3"/>
  <c r="Q825" i="3"/>
  <c r="S824" i="3"/>
  <c r="R824" i="3"/>
  <c r="Q824" i="3"/>
  <c r="S823" i="3"/>
  <c r="R823" i="3"/>
  <c r="Q823" i="3"/>
  <c r="S822" i="3"/>
  <c r="R822" i="3"/>
  <c r="Q822" i="3"/>
  <c r="S821" i="3"/>
  <c r="R821" i="3"/>
  <c r="Q821" i="3"/>
  <c r="S820" i="3"/>
  <c r="R820" i="3"/>
  <c r="Q820" i="3"/>
  <c r="S819" i="3"/>
  <c r="R819" i="3"/>
  <c r="Q819" i="3"/>
  <c r="S818" i="3"/>
  <c r="R818" i="3"/>
  <c r="Q818" i="3"/>
  <c r="S817" i="3"/>
  <c r="R817" i="3"/>
  <c r="Q817" i="3"/>
  <c r="S816" i="3"/>
  <c r="R816" i="3"/>
  <c r="Q816" i="3"/>
  <c r="S815" i="3"/>
  <c r="R815" i="3"/>
  <c r="Q815" i="3"/>
  <c r="S814" i="3"/>
  <c r="R814" i="3"/>
  <c r="Q814" i="3"/>
  <c r="S813" i="3"/>
  <c r="R813" i="3"/>
  <c r="Q813" i="3"/>
  <c r="S812" i="3"/>
  <c r="R812" i="3"/>
  <c r="Q812" i="3"/>
  <c r="S811" i="3"/>
  <c r="R811" i="3"/>
  <c r="Q811" i="3"/>
  <c r="S810" i="3"/>
  <c r="R810" i="3"/>
  <c r="Q810" i="3"/>
  <c r="S809" i="3"/>
  <c r="R809" i="3"/>
  <c r="Q809" i="3"/>
  <c r="S808" i="3"/>
  <c r="R808" i="3"/>
  <c r="Q808" i="3"/>
  <c r="S807" i="3"/>
  <c r="R807" i="3"/>
  <c r="Q807" i="3"/>
  <c r="S806" i="3"/>
  <c r="R806" i="3"/>
  <c r="Q806" i="3"/>
  <c r="S805" i="3"/>
  <c r="R805" i="3"/>
  <c r="Q805" i="3"/>
  <c r="S804" i="3"/>
  <c r="R804" i="3"/>
  <c r="Q804" i="3"/>
  <c r="S803" i="3"/>
  <c r="R803" i="3"/>
  <c r="Q803" i="3"/>
  <c r="S802" i="3"/>
  <c r="R802" i="3"/>
  <c r="Q802" i="3"/>
  <c r="S801" i="3"/>
  <c r="R801" i="3"/>
  <c r="Q801" i="3"/>
  <c r="S800" i="3"/>
  <c r="R800" i="3"/>
  <c r="Q800" i="3"/>
  <c r="S799" i="3"/>
  <c r="R799" i="3"/>
  <c r="Q799" i="3"/>
  <c r="S798" i="3"/>
  <c r="R798" i="3"/>
  <c r="Q798" i="3"/>
  <c r="S797" i="3"/>
  <c r="R797" i="3"/>
  <c r="Q797" i="3"/>
  <c r="S796" i="3"/>
  <c r="R796" i="3"/>
  <c r="Q796" i="3"/>
  <c r="S795" i="3"/>
  <c r="R795" i="3"/>
  <c r="Q795" i="3"/>
  <c r="S794" i="3"/>
  <c r="R794" i="3"/>
  <c r="Q794" i="3"/>
  <c r="S793" i="3"/>
  <c r="R793" i="3"/>
  <c r="Q793" i="3"/>
  <c r="S792" i="3"/>
  <c r="R792" i="3"/>
  <c r="Q792" i="3"/>
  <c r="S791" i="3"/>
  <c r="R791" i="3"/>
  <c r="Q791" i="3"/>
  <c r="S790" i="3"/>
  <c r="R790" i="3"/>
  <c r="Q790" i="3"/>
  <c r="S789" i="3"/>
  <c r="R789" i="3"/>
  <c r="Q789" i="3"/>
  <c r="S788" i="3"/>
  <c r="R788" i="3"/>
  <c r="Q788" i="3"/>
  <c r="S787" i="3"/>
  <c r="R787" i="3"/>
  <c r="Q787" i="3"/>
  <c r="S786" i="3"/>
  <c r="R786" i="3"/>
  <c r="Q786" i="3"/>
  <c r="S785" i="3"/>
  <c r="R785" i="3"/>
  <c r="Q785" i="3"/>
  <c r="S784" i="3"/>
  <c r="R784" i="3"/>
  <c r="Q784" i="3"/>
  <c r="S783" i="3"/>
  <c r="R783" i="3"/>
  <c r="Q783" i="3"/>
  <c r="S782" i="3"/>
  <c r="R782" i="3"/>
  <c r="Q782" i="3"/>
  <c r="S781" i="3"/>
  <c r="R781" i="3"/>
  <c r="Q781" i="3"/>
  <c r="S780" i="3"/>
  <c r="R780" i="3"/>
  <c r="Q780" i="3"/>
  <c r="S779" i="3"/>
  <c r="R779" i="3"/>
  <c r="Q779" i="3"/>
  <c r="S778" i="3"/>
  <c r="R778" i="3"/>
  <c r="Q778" i="3"/>
  <c r="S777" i="3"/>
  <c r="R777" i="3"/>
  <c r="Q777" i="3"/>
  <c r="S776" i="3"/>
  <c r="R776" i="3"/>
  <c r="Q776" i="3"/>
  <c r="S775" i="3"/>
  <c r="R775" i="3"/>
  <c r="Q775" i="3"/>
  <c r="S774" i="3"/>
  <c r="R774" i="3"/>
  <c r="Q774" i="3"/>
  <c r="S773" i="3"/>
  <c r="R773" i="3"/>
  <c r="Q773" i="3"/>
  <c r="S772" i="3"/>
  <c r="R772" i="3"/>
  <c r="Q772" i="3"/>
  <c r="S771" i="3"/>
  <c r="R771" i="3"/>
  <c r="Q771" i="3"/>
  <c r="S770" i="3"/>
  <c r="R770" i="3"/>
  <c r="Q770" i="3"/>
  <c r="S769" i="3"/>
  <c r="R769" i="3"/>
  <c r="Q769" i="3"/>
  <c r="S768" i="3"/>
  <c r="R768" i="3"/>
  <c r="Q768" i="3"/>
  <c r="S767" i="3"/>
  <c r="R767" i="3"/>
  <c r="Q767" i="3"/>
  <c r="S766" i="3"/>
  <c r="R766" i="3"/>
  <c r="Q766" i="3"/>
  <c r="S765" i="3"/>
  <c r="R765" i="3"/>
  <c r="Q765" i="3"/>
  <c r="S764" i="3"/>
  <c r="R764" i="3"/>
  <c r="Q764" i="3"/>
  <c r="S763" i="3"/>
  <c r="R763" i="3"/>
  <c r="Q763" i="3"/>
  <c r="S762" i="3"/>
  <c r="R762" i="3"/>
  <c r="Q762" i="3"/>
  <c r="S761" i="3"/>
  <c r="R761" i="3"/>
  <c r="Q761" i="3"/>
  <c r="S760" i="3"/>
  <c r="R760" i="3"/>
  <c r="Q760" i="3"/>
  <c r="S759" i="3"/>
  <c r="R759" i="3"/>
  <c r="Q759" i="3"/>
  <c r="S758" i="3"/>
  <c r="R758" i="3"/>
  <c r="Q758" i="3"/>
  <c r="S757" i="3"/>
  <c r="R757" i="3"/>
  <c r="Q757" i="3"/>
  <c r="S756" i="3"/>
  <c r="R756" i="3"/>
  <c r="Q756" i="3"/>
  <c r="S755" i="3"/>
  <c r="R755" i="3"/>
  <c r="Q755" i="3"/>
  <c r="S754" i="3"/>
  <c r="R754" i="3"/>
  <c r="Q754" i="3"/>
  <c r="S753" i="3"/>
  <c r="R753" i="3"/>
  <c r="Q753" i="3"/>
  <c r="S752" i="3"/>
  <c r="R752" i="3"/>
  <c r="Q752" i="3"/>
  <c r="S751" i="3"/>
  <c r="R751" i="3"/>
  <c r="Q751" i="3"/>
  <c r="S750" i="3"/>
  <c r="R750" i="3"/>
  <c r="Q750" i="3"/>
  <c r="S749" i="3"/>
  <c r="R749" i="3"/>
  <c r="Q749" i="3"/>
  <c r="S748" i="3"/>
  <c r="R748" i="3"/>
  <c r="Q748" i="3"/>
  <c r="S747" i="3"/>
  <c r="R747" i="3"/>
  <c r="Q747" i="3"/>
  <c r="S746" i="3"/>
  <c r="R746" i="3"/>
  <c r="Q746" i="3"/>
  <c r="S745" i="3"/>
  <c r="R745" i="3"/>
  <c r="Q745" i="3"/>
  <c r="S744" i="3"/>
  <c r="R744" i="3"/>
  <c r="Q744" i="3"/>
  <c r="S743" i="3"/>
  <c r="R743" i="3"/>
  <c r="Q743" i="3"/>
  <c r="S742" i="3"/>
  <c r="R742" i="3"/>
  <c r="Q742" i="3"/>
  <c r="S741" i="3"/>
  <c r="R741" i="3"/>
  <c r="Q741" i="3"/>
  <c r="S740" i="3"/>
  <c r="R740" i="3"/>
  <c r="Q740" i="3"/>
  <c r="S739" i="3"/>
  <c r="R739" i="3"/>
  <c r="Q739" i="3"/>
  <c r="S738" i="3"/>
  <c r="R738" i="3"/>
  <c r="Q738" i="3"/>
  <c r="S737" i="3"/>
  <c r="R737" i="3"/>
  <c r="Q737" i="3"/>
  <c r="S736" i="3"/>
  <c r="R736" i="3"/>
  <c r="Q736" i="3"/>
  <c r="S735" i="3"/>
  <c r="R735" i="3"/>
  <c r="Q735" i="3"/>
  <c r="S734" i="3"/>
  <c r="R734" i="3"/>
  <c r="Q734" i="3"/>
  <c r="S733" i="3"/>
  <c r="R733" i="3"/>
  <c r="Q733" i="3"/>
  <c r="S732" i="3"/>
  <c r="R732" i="3"/>
  <c r="Q732" i="3"/>
  <c r="S731" i="3"/>
  <c r="R731" i="3"/>
  <c r="Q731" i="3"/>
  <c r="S730" i="3"/>
  <c r="R730" i="3"/>
  <c r="Q730" i="3"/>
  <c r="S729" i="3"/>
  <c r="R729" i="3"/>
  <c r="Q729" i="3"/>
  <c r="S728" i="3"/>
  <c r="R728" i="3"/>
  <c r="Q728" i="3"/>
  <c r="S727" i="3"/>
  <c r="R727" i="3"/>
  <c r="Q727" i="3"/>
  <c r="S726" i="3"/>
  <c r="R726" i="3"/>
  <c r="Q726" i="3"/>
  <c r="S725" i="3"/>
  <c r="R725" i="3"/>
  <c r="Q725" i="3"/>
  <c r="S724" i="3"/>
  <c r="R724" i="3"/>
  <c r="Q724" i="3"/>
  <c r="S723" i="3"/>
  <c r="R723" i="3"/>
  <c r="Q723" i="3"/>
  <c r="S722" i="3"/>
  <c r="R722" i="3"/>
  <c r="Q722" i="3"/>
  <c r="S721" i="3"/>
  <c r="R721" i="3"/>
  <c r="Q721" i="3"/>
  <c r="S720" i="3"/>
  <c r="R720" i="3"/>
  <c r="Q720" i="3"/>
  <c r="S719" i="3"/>
  <c r="R719" i="3"/>
  <c r="Q719" i="3"/>
  <c r="S718" i="3"/>
  <c r="R718" i="3"/>
  <c r="Q718" i="3"/>
  <c r="S717" i="3"/>
  <c r="R717" i="3"/>
  <c r="Q717" i="3"/>
  <c r="S716" i="3"/>
  <c r="R716" i="3"/>
  <c r="Q716" i="3"/>
  <c r="S715" i="3"/>
  <c r="R715" i="3"/>
  <c r="Q715" i="3"/>
  <c r="S714" i="3"/>
  <c r="R714" i="3"/>
  <c r="Q714" i="3"/>
  <c r="S713" i="3"/>
  <c r="R713" i="3"/>
  <c r="Q713" i="3"/>
  <c r="S712" i="3"/>
  <c r="R712" i="3"/>
  <c r="Q712" i="3"/>
  <c r="S711" i="3"/>
  <c r="R711" i="3"/>
  <c r="Q711" i="3"/>
  <c r="S710" i="3"/>
  <c r="R710" i="3"/>
  <c r="Q710" i="3"/>
  <c r="S709" i="3"/>
  <c r="R709" i="3"/>
  <c r="Q709" i="3"/>
  <c r="S708" i="3"/>
  <c r="R708" i="3"/>
  <c r="Q708" i="3"/>
  <c r="S707" i="3"/>
  <c r="R707" i="3"/>
  <c r="Q707" i="3"/>
  <c r="S706" i="3"/>
  <c r="R706" i="3"/>
  <c r="Q706" i="3"/>
  <c r="S705" i="3"/>
  <c r="R705" i="3"/>
  <c r="Q705" i="3"/>
  <c r="S704" i="3"/>
  <c r="R704" i="3"/>
  <c r="Q704" i="3"/>
  <c r="S703" i="3"/>
  <c r="R703" i="3"/>
  <c r="Q703" i="3"/>
  <c r="S702" i="3"/>
  <c r="R702" i="3"/>
  <c r="Q702" i="3"/>
  <c r="S701" i="3"/>
  <c r="R701" i="3"/>
  <c r="Q701" i="3"/>
  <c r="S700" i="3"/>
  <c r="R700" i="3"/>
  <c r="Q700" i="3"/>
  <c r="S699" i="3"/>
  <c r="R699" i="3"/>
  <c r="Q699" i="3"/>
  <c r="S698" i="3"/>
  <c r="R698" i="3"/>
  <c r="Q698" i="3"/>
  <c r="S697" i="3"/>
  <c r="R697" i="3"/>
  <c r="Q697" i="3"/>
  <c r="S696" i="3"/>
  <c r="R696" i="3"/>
  <c r="Q696" i="3"/>
  <c r="S695" i="3"/>
  <c r="R695" i="3"/>
  <c r="Q695" i="3"/>
  <c r="S694" i="3"/>
  <c r="R694" i="3"/>
  <c r="Q694" i="3"/>
  <c r="S693" i="3"/>
  <c r="R693" i="3"/>
  <c r="Q693" i="3"/>
  <c r="S692" i="3"/>
  <c r="R692" i="3"/>
  <c r="Q692" i="3"/>
  <c r="S691" i="3"/>
  <c r="R691" i="3"/>
  <c r="Q691" i="3"/>
  <c r="S690" i="3"/>
  <c r="R690" i="3"/>
  <c r="Q690" i="3"/>
  <c r="S689" i="3"/>
  <c r="R689" i="3"/>
  <c r="Q689" i="3"/>
  <c r="S688" i="3"/>
  <c r="R688" i="3"/>
  <c r="Q688" i="3"/>
  <c r="S687" i="3"/>
  <c r="R687" i="3"/>
  <c r="Q687" i="3"/>
  <c r="S686" i="3"/>
  <c r="R686" i="3"/>
  <c r="Q686" i="3"/>
  <c r="S685" i="3"/>
  <c r="R685" i="3"/>
  <c r="Q685" i="3"/>
  <c r="S684" i="3"/>
  <c r="R684" i="3"/>
  <c r="Q684" i="3"/>
  <c r="S683" i="3"/>
  <c r="R683" i="3"/>
  <c r="Q683" i="3"/>
  <c r="S682" i="3"/>
  <c r="R682" i="3"/>
  <c r="Q682" i="3"/>
  <c r="S681" i="3"/>
  <c r="R681" i="3"/>
  <c r="Q681" i="3"/>
  <c r="S680" i="3"/>
  <c r="R680" i="3"/>
  <c r="Q680" i="3"/>
  <c r="S679" i="3"/>
  <c r="R679" i="3"/>
  <c r="Q679" i="3"/>
  <c r="S678" i="3"/>
  <c r="R678" i="3"/>
  <c r="Q678" i="3"/>
  <c r="S677" i="3"/>
  <c r="R677" i="3"/>
  <c r="Q677" i="3"/>
  <c r="S676" i="3"/>
  <c r="R676" i="3"/>
  <c r="Q676" i="3"/>
  <c r="S675" i="3"/>
  <c r="R675" i="3"/>
  <c r="Q675" i="3"/>
  <c r="S674" i="3"/>
  <c r="R674" i="3"/>
  <c r="Q674" i="3"/>
  <c r="S673" i="3"/>
  <c r="R673" i="3"/>
  <c r="Q673" i="3"/>
  <c r="S672" i="3"/>
  <c r="R672" i="3"/>
  <c r="Q672" i="3"/>
  <c r="S671" i="3"/>
  <c r="R671" i="3"/>
  <c r="Q671" i="3"/>
  <c r="S670" i="3"/>
  <c r="R670" i="3"/>
  <c r="Q670" i="3"/>
  <c r="S669" i="3"/>
  <c r="R669" i="3"/>
  <c r="Q669" i="3"/>
  <c r="S668" i="3"/>
  <c r="R668" i="3"/>
  <c r="Q668" i="3"/>
  <c r="S667" i="3"/>
  <c r="R667" i="3"/>
  <c r="Q667" i="3"/>
  <c r="S666" i="3"/>
  <c r="R666" i="3"/>
  <c r="Q666" i="3"/>
  <c r="S665" i="3"/>
  <c r="R665" i="3"/>
  <c r="Q665" i="3"/>
  <c r="S664" i="3"/>
  <c r="R664" i="3"/>
  <c r="Q664" i="3"/>
  <c r="S663" i="3"/>
  <c r="R663" i="3"/>
  <c r="Q663" i="3"/>
  <c r="S662" i="3"/>
  <c r="R662" i="3"/>
  <c r="Q662" i="3"/>
  <c r="S661" i="3"/>
  <c r="R661" i="3"/>
  <c r="Q661" i="3"/>
  <c r="S660" i="3"/>
  <c r="R660" i="3"/>
  <c r="Q660" i="3"/>
  <c r="S659" i="3"/>
  <c r="R659" i="3"/>
  <c r="Q659" i="3"/>
  <c r="S658" i="3"/>
  <c r="R658" i="3"/>
  <c r="Q658" i="3"/>
  <c r="S657" i="3"/>
  <c r="R657" i="3"/>
  <c r="Q657" i="3"/>
  <c r="S656" i="3"/>
  <c r="R656" i="3"/>
  <c r="Q656" i="3"/>
  <c r="S655" i="3"/>
  <c r="R655" i="3"/>
  <c r="Q655" i="3"/>
  <c r="S654" i="3"/>
  <c r="R654" i="3"/>
  <c r="Q654" i="3"/>
  <c r="S653" i="3"/>
  <c r="R653" i="3"/>
  <c r="Q653" i="3"/>
  <c r="S652" i="3"/>
  <c r="R652" i="3"/>
  <c r="Q652" i="3"/>
  <c r="S651" i="3"/>
  <c r="R651" i="3"/>
  <c r="Q651" i="3"/>
  <c r="S650" i="3"/>
  <c r="R650" i="3"/>
  <c r="Q650" i="3"/>
  <c r="S649" i="3"/>
  <c r="R649" i="3"/>
  <c r="Q649" i="3"/>
  <c r="S648" i="3"/>
  <c r="R648" i="3"/>
  <c r="Q648" i="3"/>
  <c r="S647" i="3"/>
  <c r="R647" i="3"/>
  <c r="Q647" i="3"/>
  <c r="S646" i="3"/>
  <c r="R646" i="3"/>
  <c r="Q646" i="3"/>
  <c r="S645" i="3"/>
  <c r="R645" i="3"/>
  <c r="Q645" i="3"/>
  <c r="S644" i="3"/>
  <c r="R644" i="3"/>
  <c r="Q644" i="3"/>
  <c r="S643" i="3"/>
  <c r="R643" i="3"/>
  <c r="Q643" i="3"/>
  <c r="S642" i="3"/>
  <c r="R642" i="3"/>
  <c r="Q642" i="3"/>
  <c r="S641" i="3"/>
  <c r="R641" i="3"/>
  <c r="Q641" i="3"/>
  <c r="S640" i="3"/>
  <c r="R640" i="3"/>
  <c r="Q640" i="3"/>
  <c r="S639" i="3"/>
  <c r="R639" i="3"/>
  <c r="Q639" i="3"/>
  <c r="S638" i="3"/>
  <c r="R638" i="3"/>
  <c r="Q638" i="3"/>
  <c r="S637" i="3"/>
  <c r="R637" i="3"/>
  <c r="Q637" i="3"/>
  <c r="S636" i="3"/>
  <c r="R636" i="3"/>
  <c r="Q636" i="3"/>
  <c r="S635" i="3"/>
  <c r="R635" i="3"/>
  <c r="Q635" i="3"/>
  <c r="S634" i="3"/>
  <c r="R634" i="3"/>
  <c r="Q634" i="3"/>
  <c r="S633" i="3"/>
  <c r="R633" i="3"/>
  <c r="Q633" i="3"/>
  <c r="S632" i="3"/>
  <c r="R632" i="3"/>
  <c r="Q632" i="3"/>
  <c r="S631" i="3"/>
  <c r="R631" i="3"/>
  <c r="Q631" i="3"/>
  <c r="S630" i="3"/>
  <c r="R630" i="3"/>
  <c r="Q630" i="3"/>
  <c r="S629" i="3"/>
  <c r="R629" i="3"/>
  <c r="Q629" i="3"/>
  <c r="S628" i="3"/>
  <c r="R628" i="3"/>
  <c r="Q628" i="3"/>
  <c r="S627" i="3"/>
  <c r="R627" i="3"/>
  <c r="Q627" i="3"/>
  <c r="S626" i="3"/>
  <c r="R626" i="3"/>
  <c r="Q626" i="3"/>
  <c r="S625" i="3"/>
  <c r="R625" i="3"/>
  <c r="Q625" i="3"/>
  <c r="S624" i="3"/>
  <c r="R624" i="3"/>
  <c r="Q624" i="3"/>
  <c r="S623" i="3"/>
  <c r="R623" i="3"/>
  <c r="Q623" i="3"/>
  <c r="S622" i="3"/>
  <c r="R622" i="3"/>
  <c r="Q622" i="3"/>
  <c r="S621" i="3"/>
  <c r="R621" i="3"/>
  <c r="Q621" i="3"/>
  <c r="S620" i="3"/>
  <c r="R620" i="3"/>
  <c r="Q620" i="3"/>
  <c r="S619" i="3"/>
  <c r="R619" i="3"/>
  <c r="Q619" i="3"/>
  <c r="S618" i="3"/>
  <c r="R618" i="3"/>
  <c r="Q618" i="3"/>
  <c r="S617" i="3"/>
  <c r="R617" i="3"/>
  <c r="Q617" i="3"/>
  <c r="S616" i="3"/>
  <c r="R616" i="3"/>
  <c r="Q616" i="3"/>
  <c r="S615" i="3"/>
  <c r="R615" i="3"/>
  <c r="Q615" i="3"/>
  <c r="S614" i="3"/>
  <c r="R614" i="3"/>
  <c r="Q614" i="3"/>
  <c r="S613" i="3"/>
  <c r="R613" i="3"/>
  <c r="Q613" i="3"/>
  <c r="S612" i="3"/>
  <c r="R612" i="3"/>
  <c r="Q612" i="3"/>
  <c r="S611" i="3"/>
  <c r="R611" i="3"/>
  <c r="Q611" i="3"/>
  <c r="S610" i="3"/>
  <c r="R610" i="3"/>
  <c r="Q610" i="3"/>
  <c r="S609" i="3"/>
  <c r="R609" i="3"/>
  <c r="Q609" i="3"/>
  <c r="S608" i="3"/>
  <c r="R608" i="3"/>
  <c r="Q608" i="3"/>
  <c r="S607" i="3"/>
  <c r="R607" i="3"/>
  <c r="Q607" i="3"/>
  <c r="S606" i="3"/>
  <c r="R606" i="3"/>
  <c r="Q606" i="3"/>
  <c r="S605" i="3"/>
  <c r="R605" i="3"/>
  <c r="Q605" i="3"/>
  <c r="S604" i="3"/>
  <c r="R604" i="3"/>
  <c r="Q604" i="3"/>
  <c r="S603" i="3"/>
  <c r="R603" i="3"/>
  <c r="Q603" i="3"/>
  <c r="S602" i="3"/>
  <c r="R602" i="3"/>
  <c r="Q602" i="3"/>
  <c r="S601" i="3"/>
  <c r="R601" i="3"/>
  <c r="Q601" i="3"/>
  <c r="S600" i="3"/>
  <c r="R600" i="3"/>
  <c r="Q600" i="3"/>
  <c r="S599" i="3"/>
  <c r="R599" i="3"/>
  <c r="Q599" i="3"/>
  <c r="S598" i="3"/>
  <c r="R598" i="3"/>
  <c r="Q598" i="3"/>
  <c r="S597" i="3"/>
  <c r="R597" i="3"/>
  <c r="Q597" i="3"/>
  <c r="S596" i="3"/>
  <c r="R596" i="3"/>
  <c r="Q596" i="3"/>
  <c r="S595" i="3"/>
  <c r="R595" i="3"/>
  <c r="Q595" i="3"/>
  <c r="S594" i="3"/>
  <c r="R594" i="3"/>
  <c r="Q594" i="3"/>
  <c r="S593" i="3"/>
  <c r="R593" i="3"/>
  <c r="Q593" i="3"/>
  <c r="S592" i="3"/>
  <c r="R592" i="3"/>
  <c r="Q592" i="3"/>
  <c r="S591" i="3"/>
  <c r="R591" i="3"/>
  <c r="Q591" i="3"/>
  <c r="S590" i="3"/>
  <c r="R590" i="3"/>
  <c r="Q590" i="3"/>
  <c r="S589" i="3"/>
  <c r="R589" i="3"/>
  <c r="Q589" i="3"/>
  <c r="S588" i="3"/>
  <c r="R588" i="3"/>
  <c r="Q588" i="3"/>
  <c r="S587" i="3"/>
  <c r="R587" i="3"/>
  <c r="Q587" i="3"/>
  <c r="S586" i="3"/>
  <c r="R586" i="3"/>
  <c r="Q586" i="3"/>
  <c r="S585" i="3"/>
  <c r="R585" i="3"/>
  <c r="Q585" i="3"/>
  <c r="S584" i="3"/>
  <c r="R584" i="3"/>
  <c r="Q584" i="3"/>
  <c r="S583" i="3"/>
  <c r="R583" i="3"/>
  <c r="Q583" i="3"/>
  <c r="S582" i="3"/>
  <c r="R582" i="3"/>
  <c r="Q582" i="3"/>
  <c r="S581" i="3"/>
  <c r="R581" i="3"/>
  <c r="Q581" i="3"/>
  <c r="S580" i="3"/>
  <c r="R580" i="3"/>
  <c r="Q580" i="3"/>
  <c r="S579" i="3"/>
  <c r="R579" i="3"/>
  <c r="Q579" i="3"/>
  <c r="S578" i="3"/>
  <c r="R578" i="3"/>
  <c r="Q578" i="3"/>
  <c r="S577" i="3"/>
  <c r="R577" i="3"/>
  <c r="Q577" i="3"/>
  <c r="S576" i="3"/>
  <c r="R576" i="3"/>
  <c r="Q576" i="3"/>
  <c r="S575" i="3"/>
  <c r="R575" i="3"/>
  <c r="Q575" i="3"/>
  <c r="S574" i="3"/>
  <c r="R574" i="3"/>
  <c r="Q574" i="3"/>
  <c r="S573" i="3"/>
  <c r="R573" i="3"/>
  <c r="Q573" i="3"/>
  <c r="S572" i="3"/>
  <c r="R572" i="3"/>
  <c r="Q572" i="3"/>
  <c r="S571" i="3"/>
  <c r="R571" i="3"/>
  <c r="Q571" i="3"/>
  <c r="S570" i="3"/>
  <c r="R570" i="3"/>
  <c r="Q570" i="3"/>
  <c r="S569" i="3"/>
  <c r="R569" i="3"/>
  <c r="Q569" i="3"/>
  <c r="S568" i="3"/>
  <c r="R568" i="3"/>
  <c r="Q568" i="3"/>
  <c r="S567" i="3"/>
  <c r="R567" i="3"/>
  <c r="Q567" i="3"/>
  <c r="S566" i="3"/>
  <c r="R566" i="3"/>
  <c r="Q566" i="3"/>
  <c r="S565" i="3"/>
  <c r="R565" i="3"/>
  <c r="Q565" i="3"/>
  <c r="S564" i="3"/>
  <c r="R564" i="3"/>
  <c r="Q564" i="3"/>
  <c r="S563" i="3"/>
  <c r="R563" i="3"/>
  <c r="Q563" i="3"/>
  <c r="S562" i="3"/>
  <c r="R562" i="3"/>
  <c r="Q562" i="3"/>
  <c r="S561" i="3"/>
  <c r="R561" i="3"/>
  <c r="Q561" i="3"/>
  <c r="S560" i="3"/>
  <c r="R560" i="3"/>
  <c r="Q560" i="3"/>
  <c r="S559" i="3"/>
  <c r="R559" i="3"/>
  <c r="Q559" i="3"/>
  <c r="S558" i="3"/>
  <c r="R558" i="3"/>
  <c r="Q558" i="3"/>
  <c r="S557" i="3"/>
  <c r="R557" i="3"/>
  <c r="Q557" i="3"/>
  <c r="S556" i="3"/>
  <c r="R556" i="3"/>
  <c r="Q556" i="3"/>
  <c r="S555" i="3"/>
  <c r="R555" i="3"/>
  <c r="Q555" i="3"/>
  <c r="S554" i="3"/>
  <c r="R554" i="3"/>
  <c r="Q554" i="3"/>
  <c r="S553" i="3"/>
  <c r="R553" i="3"/>
  <c r="Q553" i="3"/>
  <c r="S552" i="3"/>
  <c r="R552" i="3"/>
  <c r="Q552" i="3"/>
  <c r="S551" i="3"/>
  <c r="R551" i="3"/>
  <c r="Q551" i="3"/>
  <c r="S550" i="3"/>
  <c r="R550" i="3"/>
  <c r="Q550" i="3"/>
  <c r="S549" i="3"/>
  <c r="R549" i="3"/>
  <c r="Q549" i="3"/>
  <c r="S548" i="3"/>
  <c r="R548" i="3"/>
  <c r="Q548" i="3"/>
  <c r="S547" i="3"/>
  <c r="R547" i="3"/>
  <c r="Q547" i="3"/>
  <c r="S546" i="3"/>
  <c r="R546" i="3"/>
  <c r="Q546" i="3"/>
  <c r="S545" i="3"/>
  <c r="R545" i="3"/>
  <c r="Q545" i="3"/>
  <c r="S544" i="3"/>
  <c r="R544" i="3"/>
  <c r="Q544" i="3"/>
  <c r="S543" i="3"/>
  <c r="R543" i="3"/>
  <c r="Q543" i="3"/>
  <c r="S542" i="3"/>
  <c r="R542" i="3"/>
  <c r="Q542" i="3"/>
  <c r="S541" i="3"/>
  <c r="R541" i="3"/>
  <c r="Q541" i="3"/>
  <c r="S540" i="3"/>
  <c r="R540" i="3"/>
  <c r="Q540" i="3"/>
  <c r="S539" i="3"/>
  <c r="R539" i="3"/>
  <c r="Q539" i="3"/>
  <c r="S538" i="3"/>
  <c r="R538" i="3"/>
  <c r="Q538" i="3"/>
  <c r="S537" i="3"/>
  <c r="R537" i="3"/>
  <c r="Q537" i="3"/>
  <c r="S536" i="3"/>
  <c r="R536" i="3"/>
  <c r="Q536" i="3"/>
  <c r="S535" i="3"/>
  <c r="R535" i="3"/>
  <c r="Q535" i="3"/>
  <c r="S534" i="3"/>
  <c r="R534" i="3"/>
  <c r="Q534" i="3"/>
  <c r="S533" i="3"/>
  <c r="R533" i="3"/>
  <c r="Q533" i="3"/>
  <c r="S532" i="3"/>
  <c r="R532" i="3"/>
  <c r="Q532" i="3"/>
  <c r="S531" i="3"/>
  <c r="R531" i="3"/>
  <c r="Q531" i="3"/>
  <c r="S530" i="3"/>
  <c r="R530" i="3"/>
  <c r="Q530" i="3"/>
  <c r="S529" i="3"/>
  <c r="R529" i="3"/>
  <c r="Q529" i="3"/>
  <c r="S528" i="3"/>
  <c r="R528" i="3"/>
  <c r="Q528" i="3"/>
  <c r="S527" i="3"/>
  <c r="R527" i="3"/>
  <c r="Q527" i="3"/>
  <c r="S526" i="3"/>
  <c r="R526" i="3"/>
  <c r="Q526" i="3"/>
  <c r="S525" i="3"/>
  <c r="R525" i="3"/>
  <c r="Q525" i="3"/>
  <c r="S524" i="3"/>
  <c r="R524" i="3"/>
  <c r="Q524" i="3"/>
  <c r="S523" i="3"/>
  <c r="R523" i="3"/>
  <c r="Q523" i="3"/>
  <c r="S522" i="3"/>
  <c r="R522" i="3"/>
  <c r="Q522" i="3"/>
  <c r="S521" i="3"/>
  <c r="R521" i="3"/>
  <c r="Q521" i="3"/>
  <c r="S520" i="3"/>
  <c r="R520" i="3"/>
  <c r="Q520" i="3"/>
  <c r="S519" i="3"/>
  <c r="R519" i="3"/>
  <c r="Q519" i="3"/>
  <c r="S518" i="3"/>
  <c r="R518" i="3"/>
  <c r="Q518" i="3"/>
  <c r="S517" i="3"/>
  <c r="R517" i="3"/>
  <c r="Q517" i="3"/>
  <c r="S516" i="3"/>
  <c r="R516" i="3"/>
  <c r="Q516" i="3"/>
  <c r="S515" i="3"/>
  <c r="R515" i="3"/>
  <c r="Q515" i="3"/>
  <c r="S514" i="3"/>
  <c r="R514" i="3"/>
  <c r="Q514" i="3"/>
  <c r="S513" i="3"/>
  <c r="R513" i="3"/>
  <c r="Q513" i="3"/>
  <c r="S512" i="3"/>
  <c r="R512" i="3"/>
  <c r="Q512" i="3"/>
  <c r="S511" i="3"/>
  <c r="R511" i="3"/>
  <c r="Q511" i="3"/>
  <c r="S510" i="3"/>
  <c r="R510" i="3"/>
  <c r="Q510" i="3"/>
  <c r="S509" i="3"/>
  <c r="R509" i="3"/>
  <c r="Q509" i="3"/>
  <c r="S508" i="3"/>
  <c r="R508" i="3"/>
  <c r="Q508" i="3"/>
  <c r="S507" i="3"/>
  <c r="R507" i="3"/>
  <c r="Q507" i="3"/>
  <c r="S506" i="3"/>
  <c r="R506" i="3"/>
  <c r="Q506" i="3"/>
  <c r="S505" i="3"/>
  <c r="R505" i="3"/>
  <c r="Q505" i="3"/>
  <c r="S504" i="3"/>
  <c r="R504" i="3"/>
  <c r="Q504" i="3"/>
  <c r="S503" i="3"/>
  <c r="R503" i="3"/>
  <c r="Q503" i="3"/>
  <c r="S502" i="3"/>
  <c r="R502" i="3"/>
  <c r="Q502" i="3"/>
  <c r="S501" i="3"/>
  <c r="R501" i="3"/>
  <c r="Q501" i="3"/>
  <c r="S500" i="3"/>
  <c r="R500" i="3"/>
  <c r="Q500" i="3"/>
  <c r="S499" i="3"/>
  <c r="R499" i="3"/>
  <c r="Q499" i="3"/>
  <c r="S498" i="3"/>
  <c r="R498" i="3"/>
  <c r="Q498" i="3"/>
  <c r="S497" i="3"/>
  <c r="R497" i="3"/>
  <c r="Q497" i="3"/>
  <c r="S496" i="3"/>
  <c r="R496" i="3"/>
  <c r="Q496" i="3"/>
  <c r="S495" i="3"/>
  <c r="R495" i="3"/>
  <c r="Q495" i="3"/>
  <c r="S494" i="3"/>
  <c r="R494" i="3"/>
  <c r="Q494" i="3"/>
  <c r="S493" i="3"/>
  <c r="R493" i="3"/>
  <c r="Q493" i="3"/>
  <c r="S492" i="3"/>
  <c r="R492" i="3"/>
  <c r="Q492" i="3"/>
  <c r="S491" i="3"/>
  <c r="R491" i="3"/>
  <c r="Q491" i="3"/>
  <c r="S490" i="3"/>
  <c r="R490" i="3"/>
  <c r="Q490" i="3"/>
  <c r="S489" i="3"/>
  <c r="R489" i="3"/>
  <c r="Q489" i="3"/>
  <c r="S488" i="3"/>
  <c r="R488" i="3"/>
  <c r="Q488" i="3"/>
  <c r="S487" i="3"/>
  <c r="R487" i="3"/>
  <c r="Q487" i="3"/>
  <c r="S486" i="3"/>
  <c r="R486" i="3"/>
  <c r="Q486" i="3"/>
  <c r="S485" i="3"/>
  <c r="R485" i="3"/>
  <c r="Q485" i="3"/>
  <c r="S484" i="3"/>
  <c r="R484" i="3"/>
  <c r="Q484" i="3"/>
  <c r="S483" i="3"/>
  <c r="R483" i="3"/>
  <c r="Q483" i="3"/>
  <c r="S482" i="3"/>
  <c r="R482" i="3"/>
  <c r="Q482" i="3"/>
  <c r="S481" i="3"/>
  <c r="R481" i="3"/>
  <c r="Q481" i="3"/>
  <c r="S480" i="3"/>
  <c r="R480" i="3"/>
  <c r="Q480" i="3"/>
  <c r="S479" i="3"/>
  <c r="R479" i="3"/>
  <c r="Q479" i="3"/>
  <c r="S478" i="3"/>
  <c r="R478" i="3"/>
  <c r="Q478" i="3"/>
  <c r="S477" i="3"/>
  <c r="R477" i="3"/>
  <c r="Q477" i="3"/>
  <c r="S476" i="3"/>
  <c r="R476" i="3"/>
  <c r="Q476" i="3"/>
  <c r="S475" i="3"/>
  <c r="R475" i="3"/>
  <c r="Q475" i="3"/>
  <c r="S474" i="3"/>
  <c r="R474" i="3"/>
  <c r="Q474" i="3"/>
  <c r="S473" i="3"/>
  <c r="R473" i="3"/>
  <c r="Q473" i="3"/>
  <c r="S472" i="3"/>
  <c r="R472" i="3"/>
  <c r="Q472" i="3"/>
  <c r="S471" i="3"/>
  <c r="R471" i="3"/>
  <c r="Q471" i="3"/>
  <c r="S470" i="3"/>
  <c r="R470" i="3"/>
  <c r="Q470" i="3"/>
  <c r="S469" i="3"/>
  <c r="R469" i="3"/>
  <c r="Q469" i="3"/>
  <c r="S468" i="3"/>
  <c r="R468" i="3"/>
  <c r="Q468" i="3"/>
  <c r="S467" i="3"/>
  <c r="R467" i="3"/>
  <c r="Q467" i="3"/>
  <c r="S466" i="3"/>
  <c r="R466" i="3"/>
  <c r="Q466" i="3"/>
  <c r="S465" i="3"/>
  <c r="R465" i="3"/>
  <c r="Q465" i="3"/>
  <c r="S464" i="3"/>
  <c r="R464" i="3"/>
  <c r="Q464" i="3"/>
  <c r="S463" i="3"/>
  <c r="R463" i="3"/>
  <c r="Q463" i="3"/>
  <c r="S462" i="3"/>
  <c r="R462" i="3"/>
  <c r="Q462" i="3"/>
  <c r="S461" i="3"/>
  <c r="R461" i="3"/>
  <c r="Q461" i="3"/>
  <c r="S460" i="3"/>
  <c r="R460" i="3"/>
  <c r="Q460" i="3"/>
  <c r="S459" i="3"/>
  <c r="R459" i="3"/>
  <c r="Q459" i="3"/>
  <c r="S458" i="3"/>
  <c r="R458" i="3"/>
  <c r="Q458" i="3"/>
  <c r="S457" i="3"/>
  <c r="R457" i="3"/>
  <c r="Q457" i="3"/>
  <c r="S456" i="3"/>
  <c r="R456" i="3"/>
  <c r="Q456" i="3"/>
  <c r="S455" i="3"/>
  <c r="R455" i="3"/>
  <c r="Q455" i="3"/>
  <c r="S454" i="3"/>
  <c r="R454" i="3"/>
  <c r="Q454" i="3"/>
  <c r="S453" i="3"/>
  <c r="R453" i="3"/>
  <c r="Q453" i="3"/>
  <c r="S452" i="3"/>
  <c r="R452" i="3"/>
  <c r="Q452" i="3"/>
  <c r="S451" i="3"/>
  <c r="R451" i="3"/>
  <c r="Q451" i="3"/>
  <c r="S450" i="3"/>
  <c r="R450" i="3"/>
  <c r="Q450" i="3"/>
  <c r="S449" i="3"/>
  <c r="R449" i="3"/>
  <c r="Q449" i="3"/>
  <c r="S448" i="3"/>
  <c r="R448" i="3"/>
  <c r="Q448" i="3"/>
  <c r="S447" i="3"/>
  <c r="R447" i="3"/>
  <c r="Q447" i="3"/>
  <c r="S446" i="3"/>
  <c r="R446" i="3"/>
  <c r="Q446" i="3"/>
  <c r="S445" i="3"/>
  <c r="R445" i="3"/>
  <c r="Q445" i="3"/>
  <c r="S444" i="3"/>
  <c r="R444" i="3"/>
  <c r="Q444" i="3"/>
  <c r="S443" i="3"/>
  <c r="R443" i="3"/>
  <c r="Q443" i="3"/>
  <c r="S442" i="3"/>
  <c r="R442" i="3"/>
  <c r="Q442" i="3"/>
  <c r="S441" i="3"/>
  <c r="R441" i="3"/>
  <c r="Q441" i="3"/>
  <c r="S440" i="3"/>
  <c r="R440" i="3"/>
  <c r="Q440" i="3"/>
  <c r="S439" i="3"/>
  <c r="R439" i="3"/>
  <c r="Q439" i="3"/>
  <c r="S438" i="3"/>
  <c r="R438" i="3"/>
  <c r="Q438" i="3"/>
  <c r="S437" i="3"/>
  <c r="R437" i="3"/>
  <c r="Q437" i="3"/>
  <c r="S436" i="3"/>
  <c r="R436" i="3"/>
  <c r="Q436" i="3"/>
  <c r="S435" i="3"/>
  <c r="R435" i="3"/>
  <c r="Q435" i="3"/>
  <c r="S434" i="3"/>
  <c r="R434" i="3"/>
  <c r="Q434" i="3"/>
  <c r="S433" i="3"/>
  <c r="R433" i="3"/>
  <c r="Q433" i="3"/>
  <c r="S432" i="3"/>
  <c r="R432" i="3"/>
  <c r="Q432" i="3"/>
  <c r="S431" i="3"/>
  <c r="R431" i="3"/>
  <c r="Q431" i="3"/>
  <c r="S430" i="3"/>
  <c r="R430" i="3"/>
  <c r="Q430" i="3"/>
  <c r="S429" i="3"/>
  <c r="R429" i="3"/>
  <c r="Q429" i="3"/>
  <c r="S428" i="3"/>
  <c r="R428" i="3"/>
  <c r="Q428" i="3"/>
  <c r="S427" i="3"/>
  <c r="R427" i="3"/>
  <c r="Q427" i="3"/>
  <c r="S426" i="3"/>
  <c r="R426" i="3"/>
  <c r="Q426" i="3"/>
  <c r="S425" i="3"/>
  <c r="R425" i="3"/>
  <c r="Q425" i="3"/>
  <c r="S424" i="3"/>
  <c r="R424" i="3"/>
  <c r="Q424" i="3"/>
  <c r="S423" i="3"/>
  <c r="R423" i="3"/>
  <c r="Q423" i="3"/>
  <c r="S422" i="3"/>
  <c r="R422" i="3"/>
  <c r="Q422" i="3"/>
  <c r="S421" i="3"/>
  <c r="R421" i="3"/>
  <c r="Q421" i="3"/>
  <c r="S420" i="3"/>
  <c r="R420" i="3"/>
  <c r="Q420" i="3"/>
  <c r="S419" i="3"/>
  <c r="R419" i="3"/>
  <c r="Q419" i="3"/>
  <c r="S418" i="3"/>
  <c r="R418" i="3"/>
  <c r="Q418" i="3"/>
  <c r="S417" i="3"/>
  <c r="R417" i="3"/>
  <c r="Q417" i="3"/>
  <c r="S416" i="3"/>
  <c r="R416" i="3"/>
  <c r="Q416" i="3"/>
  <c r="S415" i="3"/>
  <c r="R415" i="3"/>
  <c r="Q415" i="3"/>
  <c r="S414" i="3"/>
  <c r="R414" i="3"/>
  <c r="Q414" i="3"/>
  <c r="S413" i="3"/>
  <c r="R413" i="3"/>
  <c r="Q413" i="3"/>
  <c r="S412" i="3"/>
  <c r="R412" i="3"/>
  <c r="Q412" i="3"/>
  <c r="S411" i="3"/>
  <c r="R411" i="3"/>
  <c r="Q411" i="3"/>
  <c r="S410" i="3"/>
  <c r="R410" i="3"/>
  <c r="Q410" i="3"/>
  <c r="S409" i="3"/>
  <c r="R409" i="3"/>
  <c r="Q409" i="3"/>
  <c r="S408" i="3"/>
  <c r="R408" i="3"/>
  <c r="Q408" i="3"/>
  <c r="S407" i="3"/>
  <c r="R407" i="3"/>
  <c r="Q407" i="3"/>
  <c r="S406" i="3"/>
  <c r="R406" i="3"/>
  <c r="Q406" i="3"/>
  <c r="S405" i="3"/>
  <c r="R405" i="3"/>
  <c r="Q405" i="3"/>
  <c r="S404" i="3"/>
  <c r="R404" i="3"/>
  <c r="Q404" i="3"/>
  <c r="S403" i="3"/>
  <c r="R403" i="3"/>
  <c r="Q403" i="3"/>
  <c r="S402" i="3"/>
  <c r="R402" i="3"/>
  <c r="Q402" i="3"/>
  <c r="S401" i="3"/>
  <c r="R401" i="3"/>
  <c r="Q401" i="3"/>
  <c r="S400" i="3"/>
  <c r="R400" i="3"/>
  <c r="Q400" i="3"/>
  <c r="S399" i="3"/>
  <c r="R399" i="3"/>
  <c r="Q399" i="3"/>
  <c r="S398" i="3"/>
  <c r="R398" i="3"/>
  <c r="Q398" i="3"/>
  <c r="S397" i="3"/>
  <c r="R397" i="3"/>
  <c r="Q397" i="3"/>
  <c r="S396" i="3"/>
  <c r="R396" i="3"/>
  <c r="Q396" i="3"/>
  <c r="S395" i="3"/>
  <c r="R395" i="3"/>
  <c r="Q395" i="3"/>
  <c r="S394" i="3"/>
  <c r="R394" i="3"/>
  <c r="Q394" i="3"/>
  <c r="S393" i="3"/>
  <c r="R393" i="3"/>
  <c r="Q393" i="3"/>
  <c r="S392" i="3"/>
  <c r="R392" i="3"/>
  <c r="Q392" i="3"/>
  <c r="S391" i="3"/>
  <c r="R391" i="3"/>
  <c r="Q391" i="3"/>
  <c r="S390" i="3"/>
  <c r="R390" i="3"/>
  <c r="Q390" i="3"/>
  <c r="S389" i="3"/>
  <c r="R389" i="3"/>
  <c r="Q389" i="3"/>
  <c r="S388" i="3"/>
  <c r="R388" i="3"/>
  <c r="Q388" i="3"/>
  <c r="S387" i="3"/>
  <c r="R387" i="3"/>
  <c r="Q387" i="3"/>
  <c r="S386" i="3"/>
  <c r="R386" i="3"/>
  <c r="Q386" i="3"/>
  <c r="S385" i="3"/>
  <c r="R385" i="3"/>
  <c r="Q385" i="3"/>
  <c r="S384" i="3"/>
  <c r="R384" i="3"/>
  <c r="Q384" i="3"/>
  <c r="S383" i="3"/>
  <c r="R383" i="3"/>
  <c r="Q383" i="3"/>
  <c r="S382" i="3"/>
  <c r="R382" i="3"/>
  <c r="Q382" i="3"/>
  <c r="S381" i="3"/>
  <c r="R381" i="3"/>
  <c r="Q381" i="3"/>
  <c r="S380" i="3"/>
  <c r="R380" i="3"/>
  <c r="Q380" i="3"/>
  <c r="S379" i="3"/>
  <c r="R379" i="3"/>
  <c r="Q379" i="3"/>
  <c r="S378" i="3"/>
  <c r="R378" i="3"/>
  <c r="Q378" i="3"/>
  <c r="S377" i="3"/>
  <c r="R377" i="3"/>
  <c r="Q377" i="3"/>
  <c r="S376" i="3"/>
  <c r="R376" i="3"/>
  <c r="Q376" i="3"/>
  <c r="S375" i="3"/>
  <c r="R375" i="3"/>
  <c r="Q375" i="3"/>
  <c r="S374" i="3"/>
  <c r="R374" i="3"/>
  <c r="Q374" i="3"/>
  <c r="S373" i="3"/>
  <c r="R373" i="3"/>
  <c r="Q373" i="3"/>
  <c r="S372" i="3"/>
  <c r="R372" i="3"/>
  <c r="Q372" i="3"/>
  <c r="S371" i="3"/>
  <c r="R371" i="3"/>
  <c r="Q371" i="3"/>
  <c r="S370" i="3"/>
  <c r="R370" i="3"/>
  <c r="Q370" i="3"/>
  <c r="S369" i="3"/>
  <c r="R369" i="3"/>
  <c r="Q369" i="3"/>
  <c r="S368" i="3"/>
  <c r="R368" i="3"/>
  <c r="Q368" i="3"/>
  <c r="S367" i="3"/>
  <c r="R367" i="3"/>
  <c r="Q367" i="3"/>
  <c r="S366" i="3"/>
  <c r="R366" i="3"/>
  <c r="Q366" i="3"/>
  <c r="S365" i="3"/>
  <c r="R365" i="3"/>
  <c r="Q365" i="3"/>
  <c r="S364" i="3"/>
  <c r="R364" i="3"/>
  <c r="Q364" i="3"/>
  <c r="S363" i="3"/>
  <c r="R363" i="3"/>
  <c r="Q363" i="3"/>
  <c r="S362" i="3"/>
  <c r="R362" i="3"/>
  <c r="Q362" i="3"/>
  <c r="S361" i="3"/>
  <c r="R361" i="3"/>
  <c r="Q361" i="3"/>
  <c r="S360" i="3"/>
  <c r="R360" i="3"/>
  <c r="Q360" i="3"/>
  <c r="S359" i="3"/>
  <c r="R359" i="3"/>
  <c r="Q359" i="3"/>
  <c r="S358" i="3"/>
  <c r="R358" i="3"/>
  <c r="Q358" i="3"/>
  <c r="S357" i="3"/>
  <c r="R357" i="3"/>
  <c r="Q357" i="3"/>
  <c r="S356" i="3"/>
  <c r="R356" i="3"/>
  <c r="Q356" i="3"/>
  <c r="S355" i="3"/>
  <c r="R355" i="3"/>
  <c r="Q355" i="3"/>
  <c r="S354" i="3"/>
  <c r="R354" i="3"/>
  <c r="Q354" i="3"/>
  <c r="S353" i="3"/>
  <c r="R353" i="3"/>
  <c r="Q353" i="3"/>
  <c r="S352" i="3"/>
  <c r="R352" i="3"/>
  <c r="Q352" i="3"/>
  <c r="S351" i="3"/>
  <c r="R351" i="3"/>
  <c r="Q351" i="3"/>
  <c r="S350" i="3"/>
  <c r="R350" i="3"/>
  <c r="Q350" i="3"/>
  <c r="S349" i="3"/>
  <c r="R349" i="3"/>
  <c r="Q349" i="3"/>
  <c r="S348" i="3"/>
  <c r="R348" i="3"/>
  <c r="Q348" i="3"/>
  <c r="S347" i="3"/>
  <c r="R347" i="3"/>
  <c r="Q347" i="3"/>
  <c r="S346" i="3"/>
  <c r="R346" i="3"/>
  <c r="Q346" i="3"/>
  <c r="S345" i="3"/>
  <c r="R345" i="3"/>
  <c r="Q345" i="3"/>
  <c r="S344" i="3"/>
  <c r="R344" i="3"/>
  <c r="Q344" i="3"/>
  <c r="S343" i="3"/>
  <c r="R343" i="3"/>
  <c r="Q343" i="3"/>
  <c r="S342" i="3"/>
  <c r="R342" i="3"/>
  <c r="Q342" i="3"/>
  <c r="S341" i="3"/>
  <c r="R341" i="3"/>
  <c r="Q341" i="3"/>
  <c r="S340" i="3"/>
  <c r="R340" i="3"/>
  <c r="Q340" i="3"/>
  <c r="S339" i="3"/>
  <c r="R339" i="3"/>
  <c r="Q339" i="3"/>
  <c r="S338" i="3"/>
  <c r="R338" i="3"/>
  <c r="Q338" i="3"/>
  <c r="S337" i="3"/>
  <c r="R337" i="3"/>
  <c r="Q337" i="3"/>
  <c r="S336" i="3"/>
  <c r="R336" i="3"/>
  <c r="Q336" i="3"/>
  <c r="S335" i="3"/>
  <c r="R335" i="3"/>
  <c r="Q335" i="3"/>
  <c r="S334" i="3"/>
  <c r="R334" i="3"/>
  <c r="Q334" i="3"/>
  <c r="S333" i="3"/>
  <c r="R333" i="3"/>
  <c r="Q333" i="3"/>
  <c r="S332" i="3"/>
  <c r="R332" i="3"/>
  <c r="Q332" i="3"/>
  <c r="S331" i="3"/>
  <c r="R331" i="3"/>
  <c r="Q331" i="3"/>
  <c r="S330" i="3"/>
  <c r="R330" i="3"/>
  <c r="Q330" i="3"/>
  <c r="S329" i="3"/>
  <c r="R329" i="3"/>
  <c r="Q329" i="3"/>
  <c r="S328" i="3"/>
  <c r="R328" i="3"/>
  <c r="Q328" i="3"/>
  <c r="S327" i="3"/>
  <c r="R327" i="3"/>
  <c r="Q327" i="3"/>
  <c r="S326" i="3"/>
  <c r="R326" i="3"/>
  <c r="Q326" i="3"/>
  <c r="S325" i="3"/>
  <c r="R325" i="3"/>
  <c r="Q325" i="3"/>
  <c r="S324" i="3"/>
  <c r="R324" i="3"/>
  <c r="Q324" i="3"/>
  <c r="S323" i="3"/>
  <c r="R323" i="3"/>
  <c r="Q323" i="3"/>
  <c r="S322" i="3"/>
  <c r="R322" i="3"/>
  <c r="Q322" i="3"/>
  <c r="S321" i="3"/>
  <c r="R321" i="3"/>
  <c r="Q321" i="3"/>
  <c r="S320" i="3"/>
  <c r="R320" i="3"/>
  <c r="Q320" i="3"/>
  <c r="S319" i="3"/>
  <c r="R319" i="3"/>
  <c r="Q319" i="3"/>
  <c r="S318" i="3"/>
  <c r="R318" i="3"/>
  <c r="Q318" i="3"/>
  <c r="S317" i="3"/>
  <c r="R317" i="3"/>
  <c r="Q317" i="3"/>
  <c r="S316" i="3"/>
  <c r="R316" i="3"/>
  <c r="Q316" i="3"/>
  <c r="S315" i="3"/>
  <c r="R315" i="3"/>
  <c r="Q315" i="3"/>
  <c r="S314" i="3"/>
  <c r="R314" i="3"/>
  <c r="Q314" i="3"/>
  <c r="S313" i="3"/>
  <c r="R313" i="3"/>
  <c r="Q313" i="3"/>
  <c r="S312" i="3"/>
  <c r="R312" i="3"/>
  <c r="Q312" i="3"/>
  <c r="S311" i="3"/>
  <c r="R311" i="3"/>
  <c r="Q311" i="3"/>
  <c r="S310" i="3"/>
  <c r="R310" i="3"/>
  <c r="Q310" i="3"/>
  <c r="S309" i="3"/>
  <c r="R309" i="3"/>
  <c r="Q309" i="3"/>
  <c r="S308" i="3"/>
  <c r="R308" i="3"/>
  <c r="Q308" i="3"/>
  <c r="S307" i="3"/>
  <c r="R307" i="3"/>
  <c r="Q307" i="3"/>
  <c r="S306" i="3"/>
  <c r="R306" i="3"/>
  <c r="Q306" i="3"/>
  <c r="S305" i="3"/>
  <c r="R305" i="3"/>
  <c r="Q305" i="3"/>
  <c r="S304" i="3"/>
  <c r="R304" i="3"/>
  <c r="Q304" i="3"/>
  <c r="S303" i="3"/>
  <c r="R303" i="3"/>
  <c r="Q303" i="3"/>
  <c r="S302" i="3"/>
  <c r="R302" i="3"/>
  <c r="Q302" i="3"/>
  <c r="S301" i="3"/>
  <c r="R301" i="3"/>
  <c r="Q301" i="3"/>
  <c r="S300" i="3"/>
  <c r="R300" i="3"/>
  <c r="Q300" i="3"/>
  <c r="S299" i="3"/>
  <c r="R299" i="3"/>
  <c r="Q299" i="3"/>
  <c r="S298" i="3"/>
  <c r="R298" i="3"/>
  <c r="Q298" i="3"/>
  <c r="S297" i="3"/>
  <c r="R297" i="3"/>
  <c r="Q297" i="3"/>
  <c r="S296" i="3"/>
  <c r="R296" i="3"/>
  <c r="Q296" i="3"/>
  <c r="S295" i="3"/>
  <c r="R295" i="3"/>
  <c r="Q295" i="3"/>
  <c r="S294" i="3"/>
  <c r="R294" i="3"/>
  <c r="Q294" i="3"/>
  <c r="S293" i="3"/>
  <c r="R293" i="3"/>
  <c r="Q293" i="3"/>
  <c r="S292" i="3"/>
  <c r="R292" i="3"/>
  <c r="Q292" i="3"/>
  <c r="S291" i="3"/>
  <c r="R291" i="3"/>
  <c r="Q291" i="3"/>
  <c r="S290" i="3"/>
  <c r="R290" i="3"/>
  <c r="Q290" i="3"/>
  <c r="S289" i="3"/>
  <c r="R289" i="3"/>
  <c r="Q289" i="3"/>
  <c r="S288" i="3"/>
  <c r="R288" i="3"/>
  <c r="Q288" i="3"/>
  <c r="S287" i="3"/>
  <c r="R287" i="3"/>
  <c r="Q287" i="3"/>
  <c r="S286" i="3"/>
  <c r="R286" i="3"/>
  <c r="Q286" i="3"/>
  <c r="S285" i="3"/>
  <c r="R285" i="3"/>
  <c r="Q285" i="3"/>
  <c r="S284" i="3"/>
  <c r="R284" i="3"/>
  <c r="Q284" i="3"/>
  <c r="S283" i="3"/>
  <c r="R283" i="3"/>
  <c r="Q283" i="3"/>
  <c r="S282" i="3"/>
  <c r="R282" i="3"/>
  <c r="Q282" i="3"/>
  <c r="S281" i="3"/>
  <c r="R281" i="3"/>
  <c r="Q281" i="3"/>
  <c r="S280" i="3"/>
  <c r="R280" i="3"/>
  <c r="Q280" i="3"/>
  <c r="S279" i="3"/>
  <c r="R279" i="3"/>
  <c r="Q279" i="3"/>
  <c r="S278" i="3"/>
  <c r="R278" i="3"/>
  <c r="Q278" i="3"/>
  <c r="S277" i="3"/>
  <c r="R277" i="3"/>
  <c r="Q277" i="3"/>
  <c r="S276" i="3"/>
  <c r="R276" i="3"/>
  <c r="Q276" i="3"/>
  <c r="S275" i="3"/>
  <c r="R275" i="3"/>
  <c r="Q275" i="3"/>
  <c r="S274" i="3"/>
  <c r="R274" i="3"/>
  <c r="Q274" i="3"/>
  <c r="S273" i="3"/>
  <c r="R273" i="3"/>
  <c r="Q273" i="3"/>
  <c r="S272" i="3"/>
  <c r="R272" i="3"/>
  <c r="Q272" i="3"/>
  <c r="S271" i="3"/>
  <c r="R271" i="3"/>
  <c r="Q271" i="3"/>
  <c r="S270" i="3"/>
  <c r="R270" i="3"/>
  <c r="Q270" i="3"/>
  <c r="S269" i="3"/>
  <c r="R269" i="3"/>
  <c r="Q269" i="3"/>
  <c r="S268" i="3"/>
  <c r="R268" i="3"/>
  <c r="Q268" i="3"/>
  <c r="S267" i="3"/>
  <c r="R267" i="3"/>
  <c r="Q267" i="3"/>
  <c r="S266" i="3"/>
  <c r="R266" i="3"/>
  <c r="Q266" i="3"/>
  <c r="S265" i="3"/>
  <c r="R265" i="3"/>
  <c r="Q265" i="3"/>
  <c r="S264" i="3"/>
  <c r="R264" i="3"/>
  <c r="Q264" i="3"/>
  <c r="S263" i="3"/>
  <c r="R263" i="3"/>
  <c r="Q263" i="3"/>
  <c r="S262" i="3"/>
  <c r="R262" i="3"/>
  <c r="Q262" i="3"/>
  <c r="S261" i="3"/>
  <c r="R261" i="3"/>
  <c r="Q261" i="3"/>
  <c r="S260" i="3"/>
  <c r="R260" i="3"/>
  <c r="Q260" i="3"/>
  <c r="S259" i="3"/>
  <c r="R259" i="3"/>
  <c r="Q259" i="3"/>
  <c r="S258" i="3"/>
  <c r="R258" i="3"/>
  <c r="Q258" i="3"/>
  <c r="S257" i="3"/>
  <c r="R257" i="3"/>
  <c r="Q257" i="3"/>
  <c r="S256" i="3"/>
  <c r="R256" i="3"/>
  <c r="Q256" i="3"/>
  <c r="S255" i="3"/>
  <c r="R255" i="3"/>
  <c r="Q255" i="3"/>
  <c r="S254" i="3"/>
  <c r="R254" i="3"/>
  <c r="Q254" i="3"/>
  <c r="S253" i="3"/>
  <c r="R253" i="3"/>
  <c r="Q253" i="3"/>
  <c r="S252" i="3"/>
  <c r="R252" i="3"/>
  <c r="Q252" i="3"/>
  <c r="S251" i="3"/>
  <c r="R251" i="3"/>
  <c r="Q251" i="3"/>
  <c r="S250" i="3"/>
  <c r="R250" i="3"/>
  <c r="Q250" i="3"/>
  <c r="S249" i="3"/>
  <c r="R249" i="3"/>
  <c r="Q249" i="3"/>
  <c r="S248" i="3"/>
  <c r="R248" i="3"/>
  <c r="Q248" i="3"/>
  <c r="S247" i="3"/>
  <c r="R247" i="3"/>
  <c r="Q247" i="3"/>
  <c r="S246" i="3"/>
  <c r="R246" i="3"/>
  <c r="Q246" i="3"/>
  <c r="S245" i="3"/>
  <c r="R245" i="3"/>
  <c r="Q245" i="3"/>
  <c r="S244" i="3"/>
  <c r="R244" i="3"/>
  <c r="Q244" i="3"/>
  <c r="S243" i="3"/>
  <c r="R243" i="3"/>
  <c r="Q243" i="3"/>
  <c r="S242" i="3"/>
  <c r="R242" i="3"/>
  <c r="Q242" i="3"/>
  <c r="S241" i="3"/>
  <c r="R241" i="3"/>
  <c r="Q241" i="3"/>
  <c r="S240" i="3"/>
  <c r="R240" i="3"/>
  <c r="Q240" i="3"/>
  <c r="S239" i="3"/>
  <c r="R239" i="3"/>
  <c r="Q239" i="3"/>
  <c r="S238" i="3"/>
  <c r="R238" i="3"/>
  <c r="Q238" i="3"/>
  <c r="S237" i="3"/>
  <c r="R237" i="3"/>
  <c r="Q237" i="3"/>
  <c r="S236" i="3"/>
  <c r="R236" i="3"/>
  <c r="Q236" i="3"/>
  <c r="S235" i="3"/>
  <c r="R235" i="3"/>
  <c r="Q235" i="3"/>
  <c r="S234" i="3"/>
  <c r="R234" i="3"/>
  <c r="Q234" i="3"/>
  <c r="S233" i="3"/>
  <c r="R233" i="3"/>
  <c r="Q233" i="3"/>
  <c r="S232" i="3"/>
  <c r="R232" i="3"/>
  <c r="Q232" i="3"/>
  <c r="S231" i="3"/>
  <c r="R231" i="3"/>
  <c r="Q231" i="3"/>
  <c r="S230" i="3"/>
  <c r="R230" i="3"/>
  <c r="Q230" i="3"/>
  <c r="S229" i="3"/>
  <c r="R229" i="3"/>
  <c r="Q229" i="3"/>
  <c r="S228" i="3"/>
  <c r="R228" i="3"/>
  <c r="Q228" i="3"/>
  <c r="S227" i="3"/>
  <c r="R227" i="3"/>
  <c r="Q227" i="3"/>
  <c r="S226" i="3"/>
  <c r="R226" i="3"/>
  <c r="Q226" i="3"/>
  <c r="S225" i="3"/>
  <c r="R225" i="3"/>
  <c r="Q225" i="3"/>
  <c r="S224" i="3"/>
  <c r="R224" i="3"/>
  <c r="Q224" i="3"/>
  <c r="S223" i="3"/>
  <c r="R223" i="3"/>
  <c r="Q223" i="3"/>
  <c r="S222" i="3"/>
  <c r="R222" i="3"/>
  <c r="Q222" i="3"/>
  <c r="S221" i="3"/>
  <c r="R221" i="3"/>
  <c r="Q221" i="3"/>
  <c r="S220" i="3"/>
  <c r="R220" i="3"/>
  <c r="Q220" i="3"/>
  <c r="S219" i="3"/>
  <c r="R219" i="3"/>
  <c r="Q219" i="3"/>
  <c r="S218" i="3"/>
  <c r="R218" i="3"/>
  <c r="Q218" i="3"/>
  <c r="S217" i="3"/>
  <c r="R217" i="3"/>
  <c r="Q217" i="3"/>
  <c r="S216" i="3"/>
  <c r="R216" i="3"/>
  <c r="Q216" i="3"/>
  <c r="S215" i="3"/>
  <c r="R215" i="3"/>
  <c r="Q215" i="3"/>
  <c r="S214" i="3"/>
  <c r="R214" i="3"/>
  <c r="Q214" i="3"/>
  <c r="S213" i="3"/>
  <c r="R213" i="3"/>
  <c r="Q213" i="3"/>
  <c r="S212" i="3"/>
  <c r="R212" i="3"/>
  <c r="Q212" i="3"/>
  <c r="S211" i="3"/>
  <c r="R211" i="3"/>
  <c r="Q211" i="3"/>
  <c r="S210" i="3"/>
  <c r="R210" i="3"/>
  <c r="Q210" i="3"/>
  <c r="S209" i="3"/>
  <c r="R209" i="3"/>
  <c r="Q209" i="3"/>
  <c r="S208" i="3"/>
  <c r="R208" i="3"/>
  <c r="Q208" i="3"/>
  <c r="S207" i="3"/>
  <c r="R207" i="3"/>
  <c r="Q207" i="3"/>
  <c r="S206" i="3"/>
  <c r="R206" i="3"/>
  <c r="Q206" i="3"/>
  <c r="S205" i="3"/>
  <c r="R205" i="3"/>
  <c r="Q205" i="3"/>
  <c r="S204" i="3"/>
  <c r="R204" i="3"/>
  <c r="Q204" i="3"/>
  <c r="S203" i="3"/>
  <c r="R203" i="3"/>
  <c r="Q203" i="3"/>
  <c r="S202" i="3"/>
  <c r="R202" i="3"/>
  <c r="Q202" i="3"/>
  <c r="S201" i="3"/>
  <c r="R201" i="3"/>
  <c r="Q201" i="3"/>
  <c r="S200" i="3"/>
  <c r="R200" i="3"/>
  <c r="Q200" i="3"/>
  <c r="S199" i="3"/>
  <c r="R199" i="3"/>
  <c r="Q199" i="3"/>
  <c r="S198" i="3"/>
  <c r="R198" i="3"/>
  <c r="Q198" i="3"/>
  <c r="S197" i="3"/>
  <c r="R197" i="3"/>
  <c r="Q197" i="3"/>
  <c r="S196" i="3"/>
  <c r="R196" i="3"/>
  <c r="Q196" i="3"/>
  <c r="S195" i="3"/>
  <c r="R195" i="3"/>
  <c r="Q195" i="3"/>
  <c r="S194" i="3"/>
  <c r="R194" i="3"/>
  <c r="Q194" i="3"/>
  <c r="S193" i="3"/>
  <c r="R193" i="3"/>
  <c r="Q193" i="3"/>
  <c r="S192" i="3"/>
  <c r="R192" i="3"/>
  <c r="Q192" i="3"/>
  <c r="S191" i="3"/>
  <c r="R191" i="3"/>
  <c r="Q191" i="3"/>
  <c r="S190" i="3"/>
  <c r="R190" i="3"/>
  <c r="Q190" i="3"/>
  <c r="S189" i="3"/>
  <c r="R189" i="3"/>
  <c r="Q189" i="3"/>
  <c r="S188" i="3"/>
  <c r="R188" i="3"/>
  <c r="Q188" i="3"/>
  <c r="S187" i="3"/>
  <c r="R187" i="3"/>
  <c r="Q187" i="3"/>
  <c r="S186" i="3"/>
  <c r="R186" i="3"/>
  <c r="Q186" i="3"/>
  <c r="S185" i="3"/>
  <c r="R185" i="3"/>
  <c r="Q185" i="3"/>
  <c r="S184" i="3"/>
  <c r="R184" i="3"/>
  <c r="Q184" i="3"/>
  <c r="S183" i="3"/>
  <c r="R183" i="3"/>
  <c r="Q183" i="3"/>
  <c r="S182" i="3"/>
  <c r="R182" i="3"/>
  <c r="Q182" i="3"/>
  <c r="S181" i="3"/>
  <c r="R181" i="3"/>
  <c r="Q181" i="3"/>
  <c r="S180" i="3"/>
  <c r="R180" i="3"/>
  <c r="Q180" i="3"/>
  <c r="S179" i="3"/>
  <c r="R179" i="3"/>
  <c r="Q179" i="3"/>
  <c r="S178" i="3"/>
  <c r="R178" i="3"/>
  <c r="Q178" i="3"/>
  <c r="S177" i="3"/>
  <c r="R177" i="3"/>
  <c r="Q177" i="3"/>
  <c r="S176" i="3"/>
  <c r="R176" i="3"/>
  <c r="Q176" i="3"/>
  <c r="S175" i="3"/>
  <c r="R175" i="3"/>
  <c r="Q175" i="3"/>
  <c r="S174" i="3"/>
  <c r="R174" i="3"/>
  <c r="Q174" i="3"/>
  <c r="S173" i="3"/>
  <c r="R173" i="3"/>
  <c r="Q173" i="3"/>
  <c r="S172" i="3"/>
  <c r="R172" i="3"/>
  <c r="Q172" i="3"/>
  <c r="S171" i="3"/>
  <c r="R171" i="3"/>
  <c r="Q171" i="3"/>
  <c r="S170" i="3"/>
  <c r="R170" i="3"/>
  <c r="Q170" i="3"/>
  <c r="S169" i="3"/>
  <c r="R169" i="3"/>
  <c r="Q169" i="3"/>
  <c r="S168" i="3"/>
  <c r="R168" i="3"/>
  <c r="Q168" i="3"/>
  <c r="S167" i="3"/>
  <c r="R167" i="3"/>
  <c r="Q167" i="3"/>
  <c r="S166" i="3"/>
  <c r="R166" i="3"/>
  <c r="Q166" i="3"/>
  <c r="S165" i="3"/>
  <c r="R165" i="3"/>
  <c r="Q165" i="3"/>
  <c r="S164" i="3"/>
  <c r="R164" i="3"/>
  <c r="Q164" i="3"/>
  <c r="S163" i="3"/>
  <c r="R163" i="3"/>
  <c r="Q163" i="3"/>
  <c r="S162" i="3"/>
  <c r="R162" i="3"/>
  <c r="Q162" i="3"/>
  <c r="S161" i="3"/>
  <c r="R161" i="3"/>
  <c r="Q161" i="3"/>
  <c r="S160" i="3"/>
  <c r="R160" i="3"/>
  <c r="Q160" i="3"/>
  <c r="S159" i="3"/>
  <c r="R159" i="3"/>
  <c r="Q159" i="3"/>
  <c r="S158" i="3"/>
  <c r="R158" i="3"/>
  <c r="Q158" i="3"/>
  <c r="S157" i="3"/>
  <c r="R157" i="3"/>
  <c r="Q157" i="3"/>
  <c r="S156" i="3"/>
  <c r="R156" i="3"/>
  <c r="Q156" i="3"/>
  <c r="S155" i="3"/>
  <c r="R155" i="3"/>
  <c r="Q155" i="3"/>
  <c r="S154" i="3"/>
  <c r="R154" i="3"/>
  <c r="Q154" i="3"/>
  <c r="S153" i="3"/>
  <c r="R153" i="3"/>
  <c r="Q153" i="3"/>
  <c r="S152" i="3"/>
  <c r="R152" i="3"/>
  <c r="Q152" i="3"/>
  <c r="S151" i="3"/>
  <c r="R151" i="3"/>
  <c r="Q151" i="3"/>
  <c r="S150" i="3"/>
  <c r="R150" i="3"/>
  <c r="Q150" i="3"/>
  <c r="S149" i="3"/>
  <c r="R149" i="3"/>
  <c r="Q149" i="3"/>
  <c r="S148" i="3"/>
  <c r="R148" i="3"/>
  <c r="Q148" i="3"/>
  <c r="S147" i="3"/>
  <c r="R147" i="3"/>
  <c r="Q147" i="3"/>
  <c r="S146" i="3"/>
  <c r="R146" i="3"/>
  <c r="Q146" i="3"/>
  <c r="S145" i="3"/>
  <c r="R145" i="3"/>
  <c r="Q145" i="3"/>
  <c r="S144" i="3"/>
  <c r="R144" i="3"/>
  <c r="Q144" i="3"/>
  <c r="S143" i="3"/>
  <c r="R143" i="3"/>
  <c r="Q143" i="3"/>
  <c r="S142" i="3"/>
  <c r="R142" i="3"/>
  <c r="Q142" i="3"/>
  <c r="S141" i="3"/>
  <c r="R141" i="3"/>
  <c r="Q141" i="3"/>
  <c r="S140" i="3"/>
  <c r="R140" i="3"/>
  <c r="Q140" i="3"/>
  <c r="S139" i="3"/>
  <c r="R139" i="3"/>
  <c r="Q139" i="3"/>
  <c r="S138" i="3"/>
  <c r="R138" i="3"/>
  <c r="Q138" i="3"/>
  <c r="S137" i="3"/>
  <c r="R137" i="3"/>
  <c r="Q137" i="3"/>
  <c r="S136" i="3"/>
  <c r="R136" i="3"/>
  <c r="Q136" i="3"/>
  <c r="S135" i="3"/>
  <c r="R135" i="3"/>
  <c r="Q135" i="3"/>
  <c r="S134" i="3"/>
  <c r="R134" i="3"/>
  <c r="Q134" i="3"/>
  <c r="S133" i="3"/>
  <c r="R133" i="3"/>
  <c r="Q133" i="3"/>
  <c r="S132" i="3"/>
  <c r="R132" i="3"/>
  <c r="Q132" i="3"/>
  <c r="S131" i="3"/>
  <c r="R131" i="3"/>
  <c r="Q131" i="3"/>
  <c r="S130" i="3"/>
  <c r="R130" i="3"/>
  <c r="Q130" i="3"/>
  <c r="S129" i="3"/>
  <c r="R129" i="3"/>
  <c r="Q129" i="3"/>
  <c r="S128" i="3"/>
  <c r="R128" i="3"/>
  <c r="Q128" i="3"/>
  <c r="S127" i="3"/>
  <c r="R127" i="3"/>
  <c r="Q127" i="3"/>
  <c r="S126" i="3"/>
  <c r="R126" i="3"/>
  <c r="Q126" i="3"/>
  <c r="S125" i="3"/>
  <c r="R125" i="3"/>
  <c r="Q125" i="3"/>
  <c r="S124" i="3"/>
  <c r="R124" i="3"/>
  <c r="Q124" i="3"/>
  <c r="S123" i="3"/>
  <c r="R123" i="3"/>
  <c r="Q123" i="3"/>
  <c r="S122" i="3"/>
  <c r="R122" i="3"/>
  <c r="Q122" i="3"/>
  <c r="S121" i="3"/>
  <c r="R121" i="3"/>
  <c r="Q121" i="3"/>
  <c r="S120" i="3"/>
  <c r="R120" i="3"/>
  <c r="Q120" i="3"/>
  <c r="S119" i="3"/>
  <c r="R119" i="3"/>
  <c r="Q119" i="3"/>
  <c r="S118" i="3"/>
  <c r="R118" i="3"/>
  <c r="Q118" i="3"/>
  <c r="S117" i="3"/>
  <c r="R117" i="3"/>
  <c r="Q117" i="3"/>
  <c r="S116" i="3"/>
  <c r="R116" i="3"/>
  <c r="Q116" i="3"/>
  <c r="S115" i="3"/>
  <c r="R115" i="3"/>
  <c r="Q115" i="3"/>
  <c r="S114" i="3"/>
  <c r="R114" i="3"/>
  <c r="Q114" i="3"/>
  <c r="S113" i="3"/>
  <c r="R113" i="3"/>
  <c r="Q113" i="3"/>
  <c r="S112" i="3"/>
  <c r="R112" i="3"/>
  <c r="Q112" i="3"/>
  <c r="S111" i="3"/>
  <c r="R111" i="3"/>
  <c r="Q111" i="3"/>
  <c r="S110" i="3"/>
  <c r="R110" i="3"/>
  <c r="Q110" i="3"/>
  <c r="S109" i="3"/>
  <c r="R109" i="3"/>
  <c r="Q109" i="3"/>
  <c r="S108" i="3"/>
  <c r="R108" i="3"/>
  <c r="Q108" i="3"/>
  <c r="S107" i="3"/>
  <c r="R107" i="3"/>
  <c r="Q107" i="3"/>
  <c r="S106" i="3"/>
  <c r="R106" i="3"/>
  <c r="Q106" i="3"/>
  <c r="S105" i="3"/>
  <c r="R105" i="3"/>
  <c r="Q105" i="3"/>
  <c r="S104" i="3"/>
  <c r="R104" i="3"/>
  <c r="Q104" i="3"/>
  <c r="S103" i="3"/>
  <c r="R103" i="3"/>
  <c r="Q103" i="3"/>
  <c r="S102" i="3"/>
  <c r="R102" i="3"/>
  <c r="Q102" i="3"/>
  <c r="S101" i="3"/>
  <c r="R101" i="3"/>
  <c r="Q101" i="3"/>
  <c r="S100" i="3"/>
  <c r="R100" i="3"/>
  <c r="Q100" i="3"/>
  <c r="S99" i="3"/>
  <c r="R99" i="3"/>
  <c r="Q99" i="3"/>
  <c r="S98" i="3"/>
  <c r="R98" i="3"/>
  <c r="Q98" i="3"/>
  <c r="S97" i="3"/>
  <c r="R97" i="3"/>
  <c r="Q97" i="3"/>
  <c r="S96" i="3"/>
  <c r="R96" i="3"/>
  <c r="Q96" i="3"/>
  <c r="S95" i="3"/>
  <c r="R95" i="3"/>
  <c r="Q95" i="3"/>
  <c r="S94" i="3"/>
  <c r="R94" i="3"/>
  <c r="Q94" i="3"/>
  <c r="S93" i="3"/>
  <c r="R93" i="3"/>
  <c r="Q93" i="3"/>
  <c r="S92" i="3"/>
  <c r="R92" i="3"/>
  <c r="Q92" i="3"/>
  <c r="S91" i="3"/>
  <c r="R91" i="3"/>
  <c r="Q91" i="3"/>
  <c r="S90" i="3"/>
  <c r="R90" i="3"/>
  <c r="Q90" i="3"/>
  <c r="S89" i="3"/>
  <c r="R89" i="3"/>
  <c r="Q89" i="3"/>
  <c r="S88" i="3"/>
  <c r="R88" i="3"/>
  <c r="Q88" i="3"/>
  <c r="S87" i="3"/>
  <c r="R87" i="3"/>
  <c r="Q87" i="3"/>
  <c r="S86" i="3"/>
  <c r="R86" i="3"/>
  <c r="Q86" i="3"/>
  <c r="S85" i="3"/>
  <c r="R85" i="3"/>
  <c r="Q85" i="3"/>
  <c r="S84" i="3"/>
  <c r="R84" i="3"/>
  <c r="Q84" i="3"/>
  <c r="S83" i="3"/>
  <c r="R83" i="3"/>
  <c r="Q83" i="3"/>
  <c r="S82" i="3"/>
  <c r="R82" i="3"/>
  <c r="Q82" i="3"/>
  <c r="S81" i="3"/>
  <c r="R81" i="3"/>
  <c r="Q81" i="3"/>
  <c r="S80" i="3"/>
  <c r="R80" i="3"/>
  <c r="Q80" i="3"/>
  <c r="S79" i="3"/>
  <c r="R79" i="3"/>
  <c r="Q79" i="3"/>
  <c r="S78" i="3"/>
  <c r="R78" i="3"/>
  <c r="Q78" i="3"/>
  <c r="S77" i="3"/>
  <c r="R77" i="3"/>
  <c r="Q77" i="3"/>
  <c r="S76" i="3"/>
  <c r="R76" i="3"/>
  <c r="Q76" i="3"/>
  <c r="S75" i="3"/>
  <c r="R75" i="3"/>
  <c r="Q75" i="3"/>
  <c r="S74" i="3"/>
  <c r="R74" i="3"/>
  <c r="Q74" i="3"/>
  <c r="S73" i="3"/>
  <c r="R73" i="3"/>
  <c r="Q73" i="3"/>
  <c r="S72" i="3"/>
  <c r="R72" i="3"/>
  <c r="Q72" i="3"/>
  <c r="S71" i="3"/>
  <c r="R71" i="3"/>
  <c r="Q71" i="3"/>
  <c r="S70" i="3"/>
  <c r="R70" i="3"/>
  <c r="Q70" i="3"/>
  <c r="S69" i="3"/>
  <c r="R69" i="3"/>
  <c r="Q69" i="3"/>
  <c r="S68" i="3"/>
  <c r="R68" i="3"/>
  <c r="Q68" i="3"/>
  <c r="S67" i="3"/>
  <c r="R67" i="3"/>
  <c r="Q67" i="3"/>
  <c r="S66" i="3"/>
  <c r="R66" i="3"/>
  <c r="Q66" i="3"/>
  <c r="S65" i="3"/>
  <c r="R65" i="3"/>
  <c r="Q65" i="3"/>
  <c r="S64" i="3"/>
  <c r="R64" i="3"/>
  <c r="Q64" i="3"/>
  <c r="S63" i="3"/>
  <c r="R63" i="3"/>
  <c r="Q63" i="3"/>
  <c r="S62" i="3"/>
  <c r="R62" i="3"/>
  <c r="Q62" i="3"/>
  <c r="S61" i="3"/>
  <c r="R61" i="3"/>
  <c r="Q61" i="3"/>
  <c r="S60" i="3"/>
  <c r="R60" i="3"/>
  <c r="Q60" i="3"/>
  <c r="S59" i="3"/>
  <c r="R59" i="3"/>
  <c r="Q59" i="3"/>
  <c r="S58" i="3"/>
  <c r="R58" i="3"/>
  <c r="Q58" i="3"/>
  <c r="S57" i="3"/>
  <c r="R57" i="3"/>
  <c r="Q57" i="3"/>
  <c r="S56" i="3"/>
  <c r="R56" i="3"/>
  <c r="Q56" i="3"/>
  <c r="S55" i="3"/>
  <c r="R55" i="3"/>
  <c r="Q55" i="3"/>
  <c r="S54" i="3"/>
  <c r="R54" i="3"/>
  <c r="Q54" i="3"/>
  <c r="S53" i="3"/>
  <c r="R53" i="3"/>
  <c r="Q53" i="3"/>
  <c r="S52" i="3"/>
  <c r="R52" i="3"/>
  <c r="Q52" i="3"/>
  <c r="S51" i="3"/>
  <c r="R51" i="3"/>
  <c r="Q51" i="3"/>
  <c r="S50" i="3"/>
  <c r="R50" i="3"/>
  <c r="Q50" i="3"/>
  <c r="S49" i="3"/>
  <c r="R49" i="3"/>
  <c r="Q49" i="3"/>
  <c r="S48" i="3"/>
  <c r="R48" i="3"/>
  <c r="Q48" i="3"/>
  <c r="S47" i="3"/>
  <c r="R47" i="3"/>
  <c r="Q47" i="3"/>
  <c r="S46" i="3"/>
  <c r="R46" i="3"/>
  <c r="Q46" i="3"/>
  <c r="S45" i="3"/>
  <c r="R45" i="3"/>
  <c r="Q45" i="3"/>
  <c r="S44" i="3"/>
  <c r="R44" i="3"/>
  <c r="Q44" i="3"/>
  <c r="S43" i="3"/>
  <c r="R43" i="3"/>
  <c r="Q43" i="3"/>
  <c r="S42" i="3"/>
  <c r="R42" i="3"/>
  <c r="Q42" i="3"/>
  <c r="S41" i="3"/>
  <c r="R41" i="3"/>
  <c r="Q41" i="3"/>
  <c r="S40" i="3"/>
  <c r="R40" i="3"/>
  <c r="Q40" i="3"/>
  <c r="S39" i="3"/>
  <c r="R39" i="3"/>
  <c r="Q39" i="3"/>
  <c r="S38" i="3"/>
  <c r="R38" i="3"/>
  <c r="Q38" i="3"/>
  <c r="S37" i="3"/>
  <c r="R37" i="3"/>
  <c r="Q37" i="3"/>
  <c r="S36" i="3"/>
  <c r="R36" i="3"/>
  <c r="Q36" i="3"/>
  <c r="S35" i="3"/>
  <c r="R35" i="3"/>
  <c r="Q35" i="3"/>
  <c r="S34" i="3"/>
  <c r="R34" i="3"/>
  <c r="Q34" i="3"/>
  <c r="S33" i="3"/>
  <c r="R33" i="3"/>
  <c r="Q33" i="3"/>
  <c r="S32" i="3"/>
  <c r="R32" i="3"/>
  <c r="Q32" i="3"/>
  <c r="S31" i="3"/>
  <c r="R31" i="3"/>
  <c r="Q31" i="3"/>
  <c r="S30" i="3"/>
  <c r="R30" i="3"/>
  <c r="Q30" i="3"/>
  <c r="S29" i="3"/>
  <c r="R29" i="3"/>
  <c r="Q29" i="3"/>
  <c r="S28" i="3"/>
  <c r="R28" i="3"/>
  <c r="Q28" i="3"/>
  <c r="S27" i="3"/>
  <c r="R27" i="3"/>
  <c r="Q27" i="3"/>
  <c r="S26" i="3"/>
  <c r="R26" i="3"/>
  <c r="Q26" i="3"/>
  <c r="S25" i="3"/>
  <c r="R25" i="3"/>
  <c r="Q25" i="3"/>
  <c r="S24" i="3"/>
  <c r="R24" i="3"/>
  <c r="Q24" i="3"/>
  <c r="S23" i="3"/>
  <c r="R23" i="3"/>
  <c r="Q23" i="3"/>
  <c r="S22" i="3"/>
  <c r="R22" i="3"/>
  <c r="Q22" i="3"/>
  <c r="S21" i="3"/>
  <c r="R21" i="3"/>
  <c r="Q21" i="3"/>
  <c r="S20" i="3"/>
  <c r="R20" i="3"/>
  <c r="Q20" i="3"/>
  <c r="S19" i="3"/>
  <c r="R19" i="3"/>
  <c r="Q19" i="3"/>
  <c r="S18" i="3"/>
  <c r="R18" i="3"/>
  <c r="Q18" i="3"/>
  <c r="S17" i="3"/>
  <c r="R17" i="3"/>
  <c r="Q17" i="3"/>
  <c r="S16" i="3"/>
  <c r="R16" i="3"/>
  <c r="Q16" i="3"/>
  <c r="S15" i="3"/>
  <c r="R15" i="3"/>
  <c r="Q15" i="3"/>
  <c r="S14" i="3"/>
  <c r="R14" i="3"/>
  <c r="Q14" i="3"/>
  <c r="S13" i="3"/>
  <c r="R13" i="3"/>
  <c r="Q13" i="3"/>
  <c r="S12" i="3"/>
  <c r="R12" i="3"/>
  <c r="Q12" i="3"/>
  <c r="S11" i="3"/>
  <c r="R11" i="3"/>
  <c r="Q11" i="3"/>
  <c r="S10" i="3"/>
  <c r="R10" i="3"/>
  <c r="Q10" i="3"/>
  <c r="S9" i="3"/>
  <c r="R9" i="3"/>
  <c r="Q9" i="3"/>
  <c r="S8" i="3"/>
  <c r="R8" i="3"/>
  <c r="Q8" i="3"/>
  <c r="S7" i="3"/>
  <c r="R7" i="3"/>
  <c r="Q7" i="3"/>
  <c r="S6" i="3"/>
  <c r="R6" i="3"/>
  <c r="Q6" i="3"/>
  <c r="S5" i="3"/>
  <c r="R5" i="3"/>
  <c r="Q5" i="3"/>
  <c r="S4" i="3"/>
  <c r="R4" i="3"/>
  <c r="Q4" i="3"/>
  <c r="S3" i="3"/>
  <c r="R3" i="3"/>
  <c r="Q3" i="3"/>
  <c r="S2" i="3"/>
  <c r="R2" i="3"/>
  <c r="Q2" i="3"/>
</calcChain>
</file>

<file path=xl/sharedStrings.xml><?xml version="1.0" encoding="utf-8"?>
<sst xmlns="http://schemas.openxmlformats.org/spreadsheetml/2006/main" count="28507" uniqueCount="8168">
  <si>
    <t>🧺  LAUNDRYHEAP — DATA ANALYSIS WORKBOOK</t>
  </si>
  <si>
    <t>Synthetic dataset modelled on an on-demand laundry startup | Bangalore, India | Jan 2023 – Dec 2024</t>
  </si>
  <si>
    <t>📋  WORKBOOK CONTENTS</t>
  </si>
  <si>
    <t>Sheet</t>
  </si>
  <si>
    <t>Description</t>
  </si>
  <si>
    <t>Rows</t>
  </si>
  <si>
    <t>Key Column(s)</t>
  </si>
  <si>
    <t>Notes</t>
  </si>
  <si>
    <t>📖 README</t>
  </si>
  <si>
    <t>Navigation &amp; workbook guide</t>
  </si>
  <si>
    <t>—</t>
  </si>
  <si>
    <t>You are here</t>
  </si>
  <si>
    <t>🔍 Null Audit</t>
  </si>
  <si>
    <t>Null analysis across all tables</t>
  </si>
  <si>
    <t>Start here for data quality check</t>
  </si>
  <si>
    <t>📋 Orders</t>
  </si>
  <si>
    <t>Core fact table — all transactions</t>
  </si>
  <si>
    <t>3000</t>
  </si>
  <si>
    <t>order_id (PK)</t>
  </si>
  <si>
    <t>Has 3 FKs: customer_id, rider_id, facility_id</t>
  </si>
  <si>
    <t>👤 Customers</t>
  </si>
  <si>
    <t>Customer master data</t>
  </si>
  <si>
    <t>500</t>
  </si>
  <si>
    <t>customer_id (PK)</t>
  </si>
  <si>
    <t>Lookup table for orders</t>
  </si>
  <si>
    <t>🚴 Riders</t>
  </si>
  <si>
    <t>Rider / delivery agent data</t>
  </si>
  <si>
    <t>60</t>
  </si>
  <si>
    <t>rider_id (PK)</t>
  </si>
  <si>
    <t>🏭 Facilities</t>
  </si>
  <si>
    <t>Laundry facility / processing centers</t>
  </si>
  <si>
    <t>8</t>
  </si>
  <si>
    <t>facility_id (PK)</t>
  </si>
  <si>
    <t>🔗  TABLE RELATIONSHIPS (Schema)</t>
  </si>
  <si>
    <t>customers (customer_id PK)  ──&lt;  orders (customer_id FK)</t>
  </si>
  <si>
    <t>riders    (rider_id PK)      ──&lt;  orders (rider_id FK)</t>
  </si>
  <si>
    <t>facilities (facility_id PK)  ──&lt;  orders (facility_id FK)</t>
  </si>
  <si>
    <t>orders is the FACT TABLE.  All 3 dimension tables connect through it.</t>
  </si>
  <si>
    <t>⚠️  KNOWN NULLS (Business Logic)</t>
  </si>
  <si>
    <t>Table</t>
  </si>
  <si>
    <t>Column</t>
  </si>
  <si>
    <t>Null Count</t>
  </si>
  <si>
    <t>Reason / Action</t>
  </si>
  <si>
    <t>orders</t>
  </si>
  <si>
    <t>pickup_time</t>
  </si>
  <si>
    <t>494 (16.5%)</t>
  </si>
  <si>
    <t>Cancelled orders — pickup never happened. Valid null. DO NOT fill.</t>
  </si>
  <si>
    <t>delivery_time</t>
  </si>
  <si>
    <t>Cancelled orders — delivery never happened. Valid null. DO NOT fill.</t>
  </si>
  <si>
    <t>customer_rating</t>
  </si>
  <si>
    <t>999 (33.3%)</t>
  </si>
  <si>
    <t>Cancelled orders + completed orders with no rating given. Flag completed ones.</t>
  </si>
  <si>
    <t>NULL AUDIT — All Tables</t>
  </si>
  <si>
    <t>📊 Summary by Table</t>
  </si>
  <si>
    <t>Total Rows</t>
  </si>
  <si>
    <t>Null %</t>
  </si>
  <si>
    <t>Status</t>
  </si>
  <si>
    <t>Action Required</t>
  </si>
  <si>
    <t>customers</t>
  </si>
  <si>
    <t>ALL COLUMNS</t>
  </si>
  <si>
    <t>0.0%</t>
  </si>
  <si>
    <t>✅ Clean</t>
  </si>
  <si>
    <t>No action needed</t>
  </si>
  <si>
    <t>riders</t>
  </si>
  <si>
    <t>facilities</t>
  </si>
  <si>
    <t>⚠️ Valid Null</t>
  </si>
  <si>
    <t>Keep null — cancelled orders</t>
  </si>
  <si>
    <t>16.5%</t>
  </si>
  <si>
    <t>33.3%</t>
  </si>
  <si>
    <t>🔴 Review</t>
  </si>
  <si>
    <t>Cancelled=valid, Completed=flag</t>
  </si>
  <si>
    <t>✅ Excel Cleaning Checklist</t>
  </si>
  <si>
    <t>#</t>
  </si>
  <si>
    <t>Step</t>
  </si>
  <si>
    <t>How to do it in Excel</t>
  </si>
  <si>
    <t>1</t>
  </si>
  <si>
    <t>Check duplicates</t>
  </si>
  <si>
    <t>orders sheet → select order_id → Data → Remove Duplicates</t>
  </si>
  <si>
    <t>2</t>
  </si>
  <si>
    <t>Verify null logic</t>
  </si>
  <si>
    <t>Filter status='Cancelled' → confirm pickup_time &amp; delivery_time are always null</t>
  </si>
  <si>
    <t>3</t>
  </si>
  <si>
    <t>Flag incomplete ratings</t>
  </si>
  <si>
    <t>Filter status='Completed' AND customer_rating=blank → these need attention</t>
  </si>
  <si>
    <t>4</t>
  </si>
  <si>
    <t>Data type check</t>
  </si>
  <si>
    <t>order_date, pickup_time, delivery_time → must be Date/DateTime not Text</t>
  </si>
  <si>
    <t>5</t>
  </si>
  <si>
    <t>Verify FK integrity</t>
  </si>
  <si>
    <t>customer_id in orders must exist in customers sheet (use COUNTIF)</t>
  </si>
  <si>
    <t>6</t>
  </si>
  <si>
    <t>Review helper column</t>
  </si>
  <si>
    <t>delivery_duration_hrs in orders sheet — verify formula is correct</t>
  </si>
  <si>
    <t>order_id</t>
  </si>
  <si>
    <t>customer_id</t>
  </si>
  <si>
    <t>rider_id</t>
  </si>
  <si>
    <t>facility_id</t>
  </si>
  <si>
    <t>order_date</t>
  </si>
  <si>
    <t>order_time</t>
  </si>
  <si>
    <t>service_type</t>
  </si>
  <si>
    <t>weight_kg</t>
  </si>
  <si>
    <t>base_price_per_kg</t>
  </si>
  <si>
    <t>discount_pct</t>
  </si>
  <si>
    <t>final_amount</t>
  </si>
  <si>
    <t>payment_method</t>
  </si>
  <si>
    <t>status</t>
  </si>
  <si>
    <t>is_first_order</t>
  </si>
  <si>
    <t>promo_used</t>
  </si>
  <si>
    <t>delivery_duration_hrs
(helper — formula)</t>
  </si>
  <si>
    <t>customer_exists</t>
  </si>
  <si>
    <t>rider_exists</t>
  </si>
  <si>
    <t>facility_exists</t>
  </si>
  <si>
    <t>ORD00001</t>
  </si>
  <si>
    <t>CUST0251</t>
  </si>
  <si>
    <t>RIDER021</t>
  </si>
  <si>
    <t>FAC08</t>
  </si>
  <si>
    <t>11:26:59</t>
  </si>
  <si>
    <t>Ironing</t>
  </si>
  <si>
    <t>Debit Card</t>
  </si>
  <si>
    <t>Completed</t>
  </si>
  <si>
    <t>ORD00002</t>
  </si>
  <si>
    <t>CUST0149</t>
  </si>
  <si>
    <t>RIDER003</t>
  </si>
  <si>
    <t>FAC05</t>
  </si>
  <si>
    <t>12:46:58</t>
  </si>
  <si>
    <t>Wash &amp; Fold</t>
  </si>
  <si>
    <t>UPI</t>
  </si>
  <si>
    <t>ORD00003</t>
  </si>
  <si>
    <t>CUST0301</t>
  </si>
  <si>
    <t>RIDER016</t>
  </si>
  <si>
    <t>FAC04</t>
  </si>
  <si>
    <t>02:41:05</t>
  </si>
  <si>
    <t>Dry Clean</t>
  </si>
  <si>
    <t>Cancelled</t>
  </si>
  <si>
    <t>ORD00004</t>
  </si>
  <si>
    <t>CUST0494</t>
  </si>
  <si>
    <t>RIDER036</t>
  </si>
  <si>
    <t>FAC03</t>
  </si>
  <si>
    <t>12:08:55</t>
  </si>
  <si>
    <t>Cash</t>
  </si>
  <si>
    <t>Delayed</t>
  </si>
  <si>
    <t>ORD00005</t>
  </si>
  <si>
    <t>CUST0046</t>
  </si>
  <si>
    <t>RIDER042</t>
  </si>
  <si>
    <t>11:41:02</t>
  </si>
  <si>
    <t>Wash &amp; Iron</t>
  </si>
  <si>
    <t>Wallet</t>
  </si>
  <si>
    <t>ORD00006</t>
  </si>
  <si>
    <t>CUST0480</t>
  </si>
  <si>
    <t>RIDER048</t>
  </si>
  <si>
    <t>17:27:44</t>
  </si>
  <si>
    <t>ORD00007</t>
  </si>
  <si>
    <t>CUST0240</t>
  </si>
  <si>
    <t>RIDER018</t>
  </si>
  <si>
    <t>05:38:15</t>
  </si>
  <si>
    <t>ORD00008</t>
  </si>
  <si>
    <t>CUST0090</t>
  </si>
  <si>
    <t>RIDER040</t>
  </si>
  <si>
    <t>FAC07</t>
  </si>
  <si>
    <t>12:54:52</t>
  </si>
  <si>
    <t>ORD00009</t>
  </si>
  <si>
    <t>CUST0489</t>
  </si>
  <si>
    <t>RIDER022</t>
  </si>
  <si>
    <t>12:34:16</t>
  </si>
  <si>
    <t>ORD00010</t>
  </si>
  <si>
    <t>CUST0455</t>
  </si>
  <si>
    <t>RIDER046</t>
  </si>
  <si>
    <t>02:08:33</t>
  </si>
  <si>
    <t>ORD00011</t>
  </si>
  <si>
    <t>CUST0282</t>
  </si>
  <si>
    <t>RIDER059</t>
  </si>
  <si>
    <t>12:55:41</t>
  </si>
  <si>
    <t>ORD00012</t>
  </si>
  <si>
    <t>CUST0058</t>
  </si>
  <si>
    <t>RIDER004</t>
  </si>
  <si>
    <t>10:29:33</t>
  </si>
  <si>
    <t>Premium Care</t>
  </si>
  <si>
    <t>ORD00013</t>
  </si>
  <si>
    <t>CUST0233</t>
  </si>
  <si>
    <t>RIDER009</t>
  </si>
  <si>
    <t>04:30:17</t>
  </si>
  <si>
    <t>ORD00014</t>
  </si>
  <si>
    <t>CUST0359</t>
  </si>
  <si>
    <t>RIDER005</t>
  </si>
  <si>
    <t>FAC01</t>
  </si>
  <si>
    <t>08:41:49</t>
  </si>
  <si>
    <t>ORD00015</t>
  </si>
  <si>
    <t>CUST0457</t>
  </si>
  <si>
    <t>RIDER025</t>
  </si>
  <si>
    <t>23:45:31</t>
  </si>
  <si>
    <t>ORD00016</t>
  </si>
  <si>
    <t>CUST0373</t>
  </si>
  <si>
    <t>RIDER015</t>
  </si>
  <si>
    <t>00:42:25</t>
  </si>
  <si>
    <t>ORD00017</t>
  </si>
  <si>
    <t>CUST0372</t>
  </si>
  <si>
    <t>RIDER049</t>
  </si>
  <si>
    <t>FAC02</t>
  </si>
  <si>
    <t>10:19:10</t>
  </si>
  <si>
    <t>ORD00018</t>
  </si>
  <si>
    <t>CUST0025</t>
  </si>
  <si>
    <t>10:25:02</t>
  </si>
  <si>
    <t>ORD00019</t>
  </si>
  <si>
    <t>CUST0307</t>
  </si>
  <si>
    <t>RIDER050</t>
  </si>
  <si>
    <t>FAC06</t>
  </si>
  <si>
    <t>22:46:07</t>
  </si>
  <si>
    <t>Credit Card</t>
  </si>
  <si>
    <t>ORD00020</t>
  </si>
  <si>
    <t>CUST0219</t>
  </si>
  <si>
    <t>16:32:07</t>
  </si>
  <si>
    <t>ORD00021</t>
  </si>
  <si>
    <t>CUST0276</t>
  </si>
  <si>
    <t>RIDER031</t>
  </si>
  <si>
    <t>10:43:54</t>
  </si>
  <si>
    <t>ORD00022</t>
  </si>
  <si>
    <t>CUST0170</t>
  </si>
  <si>
    <t>12:00:41</t>
  </si>
  <si>
    <t>ORD00023</t>
  </si>
  <si>
    <t>CUST0390</t>
  </si>
  <si>
    <t>RIDER038</t>
  </si>
  <si>
    <t>19:14:16</t>
  </si>
  <si>
    <t>ORD00024</t>
  </si>
  <si>
    <t>CUST0125</t>
  </si>
  <si>
    <t>RIDER045</t>
  </si>
  <si>
    <t>11:50:03</t>
  </si>
  <si>
    <t>ORD00025</t>
  </si>
  <si>
    <t>CUST0239</t>
  </si>
  <si>
    <t>RIDER007</t>
  </si>
  <si>
    <t>08:37:35</t>
  </si>
  <si>
    <t>ORD00026</t>
  </si>
  <si>
    <t>CUST0079</t>
  </si>
  <si>
    <t>RIDER013</t>
  </si>
  <si>
    <t>22:13:15</t>
  </si>
  <si>
    <t>ORD00027</t>
  </si>
  <si>
    <t>CUST0379</t>
  </si>
  <si>
    <t>RIDER032</t>
  </si>
  <si>
    <t>19:39:15</t>
  </si>
  <si>
    <t>ORD00028</t>
  </si>
  <si>
    <t>CUST0039</t>
  </si>
  <si>
    <t>RIDER053</t>
  </si>
  <si>
    <t>12:21:43</t>
  </si>
  <si>
    <t>ORD00029</t>
  </si>
  <si>
    <t>CUST0479</t>
  </si>
  <si>
    <t>18:13:52</t>
  </si>
  <si>
    <t>ORD00030</t>
  </si>
  <si>
    <t>CUST0346</t>
  </si>
  <si>
    <t>RIDER028</t>
  </si>
  <si>
    <t>11:54:20</t>
  </si>
  <si>
    <t>ORD00031</t>
  </si>
  <si>
    <t>CUST0208</t>
  </si>
  <si>
    <t>RIDER030</t>
  </si>
  <si>
    <t>03:59:04</t>
  </si>
  <si>
    <t>ORD00032</t>
  </si>
  <si>
    <t>CUST0043</t>
  </si>
  <si>
    <t>14:21:52</t>
  </si>
  <si>
    <t>ORD00033</t>
  </si>
  <si>
    <t>RIDER044</t>
  </si>
  <si>
    <t>01:40:24</t>
  </si>
  <si>
    <t>ORD00034</t>
  </si>
  <si>
    <t>CUST0040</t>
  </si>
  <si>
    <t>RIDER020</t>
  </si>
  <si>
    <t>09:27:35</t>
  </si>
  <si>
    <t>ORD00035</t>
  </si>
  <si>
    <t>CUST0382</t>
  </si>
  <si>
    <t>RIDER023</t>
  </si>
  <si>
    <t>08:27:05</t>
  </si>
  <si>
    <t>ORD00036</t>
  </si>
  <si>
    <t>CUST0252</t>
  </si>
  <si>
    <t>07:18:15</t>
  </si>
  <si>
    <t>ORD00037</t>
  </si>
  <si>
    <t>CUST0365</t>
  </si>
  <si>
    <t>RIDER051</t>
  </si>
  <si>
    <t>03:49:01</t>
  </si>
  <si>
    <t>ORD00038</t>
  </si>
  <si>
    <t>CUST0263</t>
  </si>
  <si>
    <t>RIDER027</t>
  </si>
  <si>
    <t>10:31:18</t>
  </si>
  <si>
    <t>ORD00039</t>
  </si>
  <si>
    <t>CUST0464</t>
  </si>
  <si>
    <t>06:59:51</t>
  </si>
  <si>
    <t>ORD00040</t>
  </si>
  <si>
    <t>CUST0127</t>
  </si>
  <si>
    <t>RIDER047</t>
  </si>
  <si>
    <t>08:25:20</t>
  </si>
  <si>
    <t>ORD00041</t>
  </si>
  <si>
    <t>CUST0334</t>
  </si>
  <si>
    <t>RIDER039</t>
  </si>
  <si>
    <t>06:09:10</t>
  </si>
  <si>
    <t>ORD00042</t>
  </si>
  <si>
    <t>CUST0401</t>
  </si>
  <si>
    <t>00:48:03</t>
  </si>
  <si>
    <t>ORD00043</t>
  </si>
  <si>
    <t>CUST0237</t>
  </si>
  <si>
    <t>22:59:27</t>
  </si>
  <si>
    <t>ORD00044</t>
  </si>
  <si>
    <t>CUST0405</t>
  </si>
  <si>
    <t>11:54:44</t>
  </si>
  <si>
    <t>ORD00045</t>
  </si>
  <si>
    <t>CUST0469</t>
  </si>
  <si>
    <t>RIDER006</t>
  </si>
  <si>
    <t>11:56:38</t>
  </si>
  <si>
    <t>ORD00046</t>
  </si>
  <si>
    <t>CUST0055</t>
  </si>
  <si>
    <t>RIDER001</t>
  </si>
  <si>
    <t>09:45:00</t>
  </si>
  <si>
    <t>ORD00047</t>
  </si>
  <si>
    <t>CUST0177</t>
  </si>
  <si>
    <t>RIDER002</t>
  </si>
  <si>
    <t>02:59:37</t>
  </si>
  <si>
    <t>ORD00048</t>
  </si>
  <si>
    <t>CUST0370</t>
  </si>
  <si>
    <t>16:53:09</t>
  </si>
  <si>
    <t>ORD00049</t>
  </si>
  <si>
    <t>CUST0283</t>
  </si>
  <si>
    <t>RIDER011</t>
  </si>
  <si>
    <t>13:01:01</t>
  </si>
  <si>
    <t>ORD00050</t>
  </si>
  <si>
    <t>CUST0304</t>
  </si>
  <si>
    <t>03:34:59</t>
  </si>
  <si>
    <t>ORD00051</t>
  </si>
  <si>
    <t>CUST0135</t>
  </si>
  <si>
    <t>RIDER043</t>
  </si>
  <si>
    <t>03:48:57</t>
  </si>
  <si>
    <t>ORD00052</t>
  </si>
  <si>
    <t>CUST0362</t>
  </si>
  <si>
    <t>RIDER052</t>
  </si>
  <si>
    <t>20:45:39</t>
  </si>
  <si>
    <t>ORD00053</t>
  </si>
  <si>
    <t>CUST0197</t>
  </si>
  <si>
    <t>07:19:04</t>
  </si>
  <si>
    <t>ORD00054</t>
  </si>
  <si>
    <t>CUST0184</t>
  </si>
  <si>
    <t>13:19:50</t>
  </si>
  <si>
    <t>ORD00055</t>
  </si>
  <si>
    <t>CUST0016</t>
  </si>
  <si>
    <t>06:06:09</t>
  </si>
  <si>
    <t>ORD00056</t>
  </si>
  <si>
    <t>CUST0397</t>
  </si>
  <si>
    <t>RIDER035</t>
  </si>
  <si>
    <t>05:12:16</t>
  </si>
  <si>
    <t>ORD00057</t>
  </si>
  <si>
    <t>CUST0231</t>
  </si>
  <si>
    <t>RIDER017</t>
  </si>
  <si>
    <t>08:45:47</t>
  </si>
  <si>
    <t>ORD00058</t>
  </si>
  <si>
    <t>CUST0085</t>
  </si>
  <si>
    <t>10:49:18</t>
  </si>
  <si>
    <t>ORD00059</t>
  </si>
  <si>
    <t>CUST0137</t>
  </si>
  <si>
    <t>RIDER055</t>
  </si>
  <si>
    <t>18:57:21</t>
  </si>
  <si>
    <t>ORD00060</t>
  </si>
  <si>
    <t>CUST0347</t>
  </si>
  <si>
    <t>RIDER026</t>
  </si>
  <si>
    <t>09:41:07</t>
  </si>
  <si>
    <t>ORD00061</t>
  </si>
  <si>
    <t>CUST0450</t>
  </si>
  <si>
    <t>RIDER024</t>
  </si>
  <si>
    <t>01:44:11</t>
  </si>
  <si>
    <t>ORD00062</t>
  </si>
  <si>
    <t>CUST0204</t>
  </si>
  <si>
    <t>RIDER014</t>
  </si>
  <si>
    <t>02:57:57</t>
  </si>
  <si>
    <t>ORD00063</t>
  </si>
  <si>
    <t>CUST0024</t>
  </si>
  <si>
    <t>06:33:29</t>
  </si>
  <si>
    <t>ORD00064</t>
  </si>
  <si>
    <t>CUST0449</t>
  </si>
  <si>
    <t>12:36:00</t>
  </si>
  <si>
    <t>ORD00065</t>
  </si>
  <si>
    <t>CUST0049</t>
  </si>
  <si>
    <t>13:36:40</t>
  </si>
  <si>
    <t>ORD00066</t>
  </si>
  <si>
    <t>CUST0037</t>
  </si>
  <si>
    <t>11:08:33</t>
  </si>
  <si>
    <t>ORD00067</t>
  </si>
  <si>
    <t>CUST0289</t>
  </si>
  <si>
    <t>06:49:30</t>
  </si>
  <si>
    <t>ORD00068</t>
  </si>
  <si>
    <t>CUST0302</t>
  </si>
  <si>
    <t>12:04:09</t>
  </si>
  <si>
    <t>ORD00069</t>
  </si>
  <si>
    <t>CUST0435</t>
  </si>
  <si>
    <t>03:03:04</t>
  </si>
  <si>
    <t>ORD00070</t>
  </si>
  <si>
    <t>CUST0305</t>
  </si>
  <si>
    <t>20:48:57</t>
  </si>
  <si>
    <t>ORD00071</t>
  </si>
  <si>
    <t>CUST0035</t>
  </si>
  <si>
    <t>11:22:42</t>
  </si>
  <si>
    <t>ORD00072</t>
  </si>
  <si>
    <t>11:54:22</t>
  </si>
  <si>
    <t>ORD00073</t>
  </si>
  <si>
    <t>CUST0159</t>
  </si>
  <si>
    <t>15:19:54</t>
  </si>
  <si>
    <t>ORD00074</t>
  </si>
  <si>
    <t>CUST0007</t>
  </si>
  <si>
    <t>11:21:40</t>
  </si>
  <si>
    <t>ORD00075</t>
  </si>
  <si>
    <t>CUST0172</t>
  </si>
  <si>
    <t>03:56:14</t>
  </si>
  <si>
    <t>ORD00076</t>
  </si>
  <si>
    <t>CUST0131</t>
  </si>
  <si>
    <t>10:03:35</t>
  </si>
  <si>
    <t>ORD00077</t>
  </si>
  <si>
    <t>CUST0477</t>
  </si>
  <si>
    <t>23:52:49</t>
  </si>
  <si>
    <t>ORD00078</t>
  </si>
  <si>
    <t>CUST0258</t>
  </si>
  <si>
    <t>09:16:07</t>
  </si>
  <si>
    <t>ORD00079</t>
  </si>
  <si>
    <t>CUST0103</t>
  </si>
  <si>
    <t>RIDER019</t>
  </si>
  <si>
    <t>09:46:51</t>
  </si>
  <si>
    <t>ORD00080</t>
  </si>
  <si>
    <t>CUST0278</t>
  </si>
  <si>
    <t>02:33:18</t>
  </si>
  <si>
    <t>ORD00081</t>
  </si>
  <si>
    <t>CUST0073</t>
  </si>
  <si>
    <t>20:16:15</t>
  </si>
  <si>
    <t>ORD00082</t>
  </si>
  <si>
    <t>19:56:12</t>
  </si>
  <si>
    <t>ORD00083</t>
  </si>
  <si>
    <t>CUST0140</t>
  </si>
  <si>
    <t>13:14:06</t>
  </si>
  <si>
    <t>ORD00084</t>
  </si>
  <si>
    <t>CUST0158</t>
  </si>
  <si>
    <t>01:36:11</t>
  </si>
  <si>
    <t>ORD00085</t>
  </si>
  <si>
    <t>CUST0203</t>
  </si>
  <si>
    <t>RIDER033</t>
  </si>
  <si>
    <t>08:38:58</t>
  </si>
  <si>
    <t>ORD00086</t>
  </si>
  <si>
    <t>02:25:02</t>
  </si>
  <si>
    <t>ORD00087</t>
  </si>
  <si>
    <t>CUST0228</t>
  </si>
  <si>
    <t>05:39:46</t>
  </si>
  <si>
    <t>ORD00088</t>
  </si>
  <si>
    <t>CUST0350</t>
  </si>
  <si>
    <t>03:55:01</t>
  </si>
  <si>
    <t>ORD00089</t>
  </si>
  <si>
    <t>CUST0246</t>
  </si>
  <si>
    <t>04:12:47</t>
  </si>
  <si>
    <t>ORD00090</t>
  </si>
  <si>
    <t>04:50:48</t>
  </si>
  <si>
    <t>ORD00091</t>
  </si>
  <si>
    <t>CUST0415</t>
  </si>
  <si>
    <t>15:57:06</t>
  </si>
  <si>
    <t>ORD00092</t>
  </si>
  <si>
    <t>CUST0434</t>
  </si>
  <si>
    <t>04:50:25</t>
  </si>
  <si>
    <t>ORD00093</t>
  </si>
  <si>
    <t>22:13:37</t>
  </si>
  <si>
    <t>ORD00094</t>
  </si>
  <si>
    <t>CUST0270</t>
  </si>
  <si>
    <t>10:58:21</t>
  </si>
  <si>
    <t>ORD00095</t>
  </si>
  <si>
    <t>20:41:10</t>
  </si>
  <si>
    <t>ORD00096</t>
  </si>
  <si>
    <t>CUST0406</t>
  </si>
  <si>
    <t>RIDER041</t>
  </si>
  <si>
    <t>07:10:33</t>
  </si>
  <si>
    <t>ORD00097</t>
  </si>
  <si>
    <t>CUST0151</t>
  </si>
  <si>
    <t>10:55:46</t>
  </si>
  <si>
    <t>ORD00098</t>
  </si>
  <si>
    <t>03:58:46</t>
  </si>
  <si>
    <t>ORD00099</t>
  </si>
  <si>
    <t>CUST0128</t>
  </si>
  <si>
    <t>03:22:51</t>
  </si>
  <si>
    <t>ORD00100</t>
  </si>
  <si>
    <t>CUST0280</t>
  </si>
  <si>
    <t>23:52:57</t>
  </si>
  <si>
    <t>ORD00101</t>
  </si>
  <si>
    <t>CUST0038</t>
  </si>
  <si>
    <t>05:10:00</t>
  </si>
  <si>
    <t>ORD00102</t>
  </si>
  <si>
    <t>CUST0311</t>
  </si>
  <si>
    <t>RIDER057</t>
  </si>
  <si>
    <t>07:35:49</t>
  </si>
  <si>
    <t>ORD00103</t>
  </si>
  <si>
    <t>CUST0202</t>
  </si>
  <si>
    <t>RIDER037</t>
  </si>
  <si>
    <t>21:31:46</t>
  </si>
  <si>
    <t>ORD00104</t>
  </si>
  <si>
    <t>CUST0433</t>
  </si>
  <si>
    <t>RIDER008</t>
  </si>
  <si>
    <t>22:33:32</t>
  </si>
  <si>
    <t>ORD00105</t>
  </si>
  <si>
    <t>13:15:23</t>
  </si>
  <si>
    <t>ORD00106</t>
  </si>
  <si>
    <t>CUST0431</t>
  </si>
  <si>
    <t>02:40:03</t>
  </si>
  <si>
    <t>ORD00107</t>
  </si>
  <si>
    <t>CUST0293</t>
  </si>
  <si>
    <t>00:41:08</t>
  </si>
  <si>
    <t>ORD00108</t>
  </si>
  <si>
    <t>CUST0422</t>
  </si>
  <si>
    <t>20:10:38</t>
  </si>
  <si>
    <t>ORD00109</t>
  </si>
  <si>
    <t>01:11:36</t>
  </si>
  <si>
    <t>ORD00110</t>
  </si>
  <si>
    <t>01:10:44</t>
  </si>
  <si>
    <t>ORD00111</t>
  </si>
  <si>
    <t>18:02:08</t>
  </si>
  <si>
    <t>ORD00112</t>
  </si>
  <si>
    <t>CUST0351</t>
  </si>
  <si>
    <t>17:52:35</t>
  </si>
  <si>
    <t>ORD00113</t>
  </si>
  <si>
    <t>CUST0380</t>
  </si>
  <si>
    <t>05:25:08</t>
  </si>
  <si>
    <t>ORD00114</t>
  </si>
  <si>
    <t>CUST0429</t>
  </si>
  <si>
    <t>15:20:55</t>
  </si>
  <si>
    <t>ORD00115</t>
  </si>
  <si>
    <t>CUST0124</t>
  </si>
  <si>
    <t>07:19:43</t>
  </si>
  <si>
    <t>ORD00116</t>
  </si>
  <si>
    <t>CUST0198</t>
  </si>
  <si>
    <t>14:51:18</t>
  </si>
  <si>
    <t>ORD00117</t>
  </si>
  <si>
    <t>CUST0243</t>
  </si>
  <si>
    <t>20:23:33</t>
  </si>
  <si>
    <t>ORD00118</t>
  </si>
  <si>
    <t>CUST0130</t>
  </si>
  <si>
    <t>07:52:57</t>
  </si>
  <si>
    <t>ORD00119</t>
  </si>
  <si>
    <t>11:14:09</t>
  </si>
  <si>
    <t>ORD00120</t>
  </si>
  <si>
    <t>CUST0461</t>
  </si>
  <si>
    <t>01:30:33</t>
  </si>
  <si>
    <t>ORD00121</t>
  </si>
  <si>
    <t>01:33:07</t>
  </si>
  <si>
    <t>ORD00122</t>
  </si>
  <si>
    <t>CUST0286</t>
  </si>
  <si>
    <t>RIDER012</t>
  </si>
  <si>
    <t>15:32:29</t>
  </si>
  <si>
    <t>ORD00123</t>
  </si>
  <si>
    <t>CUST0115</t>
  </si>
  <si>
    <t>06:27:31</t>
  </si>
  <si>
    <t>ORD00124</t>
  </si>
  <si>
    <t>CUST0318</t>
  </si>
  <si>
    <t>09:10:34</t>
  </si>
  <si>
    <t>ORD00125</t>
  </si>
  <si>
    <t>CUST0458</t>
  </si>
  <si>
    <t>17:45:15</t>
  </si>
  <si>
    <t>ORD00126</t>
  </si>
  <si>
    <t>17:09:56</t>
  </si>
  <si>
    <t>ORD00127</t>
  </si>
  <si>
    <t>12:18:06</t>
  </si>
  <si>
    <t>ORD00128</t>
  </si>
  <si>
    <t>21:58:50</t>
  </si>
  <si>
    <t>ORD00129</t>
  </si>
  <si>
    <t>CUST0462</t>
  </si>
  <si>
    <t>21:25:22</t>
  </si>
  <si>
    <t>ORD00130</t>
  </si>
  <si>
    <t>CUST0188</t>
  </si>
  <si>
    <t>20:30:39</t>
  </si>
  <si>
    <t>ORD00131</t>
  </si>
  <si>
    <t>17:43:35</t>
  </si>
  <si>
    <t>ORD00132</t>
  </si>
  <si>
    <t>CUST0215</t>
  </si>
  <si>
    <t>RIDER054</t>
  </si>
  <si>
    <t>14:42:10</t>
  </si>
  <si>
    <t>ORD00133</t>
  </si>
  <si>
    <t>CUST0210</t>
  </si>
  <si>
    <t>13:20:52</t>
  </si>
  <si>
    <t>ORD00134</t>
  </si>
  <si>
    <t>CUST0077</t>
  </si>
  <si>
    <t>08:13:31</t>
  </si>
  <si>
    <t>ORD00135</t>
  </si>
  <si>
    <t>22:15:12</t>
  </si>
  <si>
    <t>ORD00136</t>
  </si>
  <si>
    <t>CUST0376</t>
  </si>
  <si>
    <t>18:24:26</t>
  </si>
  <si>
    <t>ORD00137</t>
  </si>
  <si>
    <t>CUST0357</t>
  </si>
  <si>
    <t>03:20:09</t>
  </si>
  <si>
    <t>ORD00138</t>
  </si>
  <si>
    <t>RIDER058</t>
  </si>
  <si>
    <t>21:52:27</t>
  </si>
  <si>
    <t>ORD00139</t>
  </si>
  <si>
    <t>CUST0371</t>
  </si>
  <si>
    <t>16:59:10</t>
  </si>
  <si>
    <t>ORD00140</t>
  </si>
  <si>
    <t>CUST0430</t>
  </si>
  <si>
    <t>04:48:38</t>
  </si>
  <si>
    <t>ORD00141</t>
  </si>
  <si>
    <t>CUST0260</t>
  </si>
  <si>
    <t>16:01:45</t>
  </si>
  <si>
    <t>ORD00142</t>
  </si>
  <si>
    <t>CUST0053</t>
  </si>
  <si>
    <t>02:08:43</t>
  </si>
  <si>
    <t>ORD00143</t>
  </si>
  <si>
    <t>CUST0187</t>
  </si>
  <si>
    <t>07:09:55</t>
  </si>
  <si>
    <t>ORD00144</t>
  </si>
  <si>
    <t>CUST0114</t>
  </si>
  <si>
    <t>01:40:42</t>
  </si>
  <si>
    <t>ORD00145</t>
  </si>
  <si>
    <t>10:30:26</t>
  </si>
  <si>
    <t>ORD00146</t>
  </si>
  <si>
    <t>10:52:46</t>
  </si>
  <si>
    <t>ORD00147</t>
  </si>
  <si>
    <t>CUST0472</t>
  </si>
  <si>
    <t>10:50:23</t>
  </si>
  <si>
    <t>ORD00148</t>
  </si>
  <si>
    <t>17:05:41</t>
  </si>
  <si>
    <t>ORD00149</t>
  </si>
  <si>
    <t>CUST0378</t>
  </si>
  <si>
    <t>RIDER060</t>
  </si>
  <si>
    <t>14:07:59</t>
  </si>
  <si>
    <t>ORD00150</t>
  </si>
  <si>
    <t>CUST0060</t>
  </si>
  <si>
    <t>12:15:32</t>
  </si>
  <si>
    <t>ORD00151</t>
  </si>
  <si>
    <t>CUST0344</t>
  </si>
  <si>
    <t>06:21:09</t>
  </si>
  <si>
    <t>ORD00152</t>
  </si>
  <si>
    <t>CUST0232</t>
  </si>
  <si>
    <t>14:47:44</t>
  </si>
  <si>
    <t>ORD00153</t>
  </si>
  <si>
    <t>CUST0161</t>
  </si>
  <si>
    <t>16:46:32</t>
  </si>
  <si>
    <t>ORD00154</t>
  </si>
  <si>
    <t>07:51:08</t>
  </si>
  <si>
    <t>ORD00155</t>
  </si>
  <si>
    <t>CUST0136</t>
  </si>
  <si>
    <t>05:41:00</t>
  </si>
  <si>
    <t>ORD00156</t>
  </si>
  <si>
    <t>CUST0339</t>
  </si>
  <si>
    <t>05:02:46</t>
  </si>
  <si>
    <t>ORD00157</t>
  </si>
  <si>
    <t>CUST0275</t>
  </si>
  <si>
    <t>16:08:25</t>
  </si>
  <si>
    <t>ORD00158</t>
  </si>
  <si>
    <t>CUST0333</t>
  </si>
  <si>
    <t>18:45:25</t>
  </si>
  <si>
    <t>ORD00159</t>
  </si>
  <si>
    <t>CUST0132</t>
  </si>
  <si>
    <t>16:13:03</t>
  </si>
  <si>
    <t>ORD00160</t>
  </si>
  <si>
    <t>CUST0086</t>
  </si>
  <si>
    <t>13:35:19</t>
  </si>
  <si>
    <t>ORD00161</t>
  </si>
  <si>
    <t>CUST0419</t>
  </si>
  <si>
    <t>13:52:20</t>
  </si>
  <si>
    <t>ORD00162</t>
  </si>
  <si>
    <t>CUST0209</t>
  </si>
  <si>
    <t>23:30:28</t>
  </si>
  <si>
    <t>ORD00163</t>
  </si>
  <si>
    <t>23:11:53</t>
  </si>
  <si>
    <t>ORD00164</t>
  </si>
  <si>
    <t>CUST0081</t>
  </si>
  <si>
    <t>01:35:03</t>
  </si>
  <si>
    <t>ORD00165</t>
  </si>
  <si>
    <t>CUST0448</t>
  </si>
  <si>
    <t>02:47:49</t>
  </si>
  <si>
    <t>ORD00166</t>
  </si>
  <si>
    <t>CUST0212</t>
  </si>
  <si>
    <t>02:12:55</t>
  </si>
  <si>
    <t>ORD00167</t>
  </si>
  <si>
    <t>00:43:08</t>
  </si>
  <si>
    <t>ORD00168</t>
  </si>
  <si>
    <t>23:05:14</t>
  </si>
  <si>
    <t>ORD00169</t>
  </si>
  <si>
    <t>CUST0403</t>
  </si>
  <si>
    <t>10:12:14</t>
  </si>
  <si>
    <t>ORD00170</t>
  </si>
  <si>
    <t>CUST0042</t>
  </si>
  <si>
    <t>20:58:40</t>
  </si>
  <si>
    <t>ORD00171</t>
  </si>
  <si>
    <t>CUST0394</t>
  </si>
  <si>
    <t>17:01:21</t>
  </si>
  <si>
    <t>ORD00172</t>
  </si>
  <si>
    <t>04:18:38</t>
  </si>
  <si>
    <t>ORD00173</t>
  </si>
  <si>
    <t>CUST0082</t>
  </si>
  <si>
    <t>17:13:20</t>
  </si>
  <si>
    <t>ORD00174</t>
  </si>
  <si>
    <t>CUST0185</t>
  </si>
  <si>
    <t>10:52:26</t>
  </si>
  <si>
    <t>ORD00175</t>
  </si>
  <si>
    <t>CUST0335</t>
  </si>
  <si>
    <t>04:15:13</t>
  </si>
  <si>
    <t>ORD00176</t>
  </si>
  <si>
    <t>07:17:40</t>
  </si>
  <si>
    <t>ORD00177</t>
  </si>
  <si>
    <t>CUST0061</t>
  </si>
  <si>
    <t>15:20:19</t>
  </si>
  <si>
    <t>ORD00178</t>
  </si>
  <si>
    <t>CUST0083</t>
  </si>
  <si>
    <t>21:45:06</t>
  </si>
  <si>
    <t>ORD00179</t>
  </si>
  <si>
    <t>CUST0485</t>
  </si>
  <si>
    <t>06:52:49</t>
  </si>
  <si>
    <t>ORD00180</t>
  </si>
  <si>
    <t>CUST0352</t>
  </si>
  <si>
    <t>09:14:16</t>
  </si>
  <si>
    <t>ORD00181</t>
  </si>
  <si>
    <t>CUST0091</t>
  </si>
  <si>
    <t>07:53:37</t>
  </si>
  <si>
    <t>ORD00182</t>
  </si>
  <si>
    <t>CUST0268</t>
  </si>
  <si>
    <t>13:37:21</t>
  </si>
  <si>
    <t>ORD00183</t>
  </si>
  <si>
    <t>CUST0393</t>
  </si>
  <si>
    <t>11:25:56</t>
  </si>
  <si>
    <t>ORD00184</t>
  </si>
  <si>
    <t>CUST0336</t>
  </si>
  <si>
    <t>05:49:59</t>
  </si>
  <si>
    <t>ORD00185</t>
  </si>
  <si>
    <t>CUST0105</t>
  </si>
  <si>
    <t>00:03:24</t>
  </si>
  <si>
    <t>ORD00186</t>
  </si>
  <si>
    <t>CUST0118</t>
  </si>
  <si>
    <t>RIDER029</t>
  </si>
  <si>
    <t>04:25:40</t>
  </si>
  <si>
    <t>ORD00187</t>
  </si>
  <si>
    <t>CUST0047</t>
  </si>
  <si>
    <t>20:56:19</t>
  </si>
  <si>
    <t>ORD00188</t>
  </si>
  <si>
    <t>CUST0147</t>
  </si>
  <si>
    <t>06:05:49</t>
  </si>
  <si>
    <t>ORD00189</t>
  </si>
  <si>
    <t>05:12:33</t>
  </si>
  <si>
    <t>ORD00190</t>
  </si>
  <si>
    <t>CUST0361</t>
  </si>
  <si>
    <t>10:52:02</t>
  </si>
  <si>
    <t>ORD00191</t>
  </si>
  <si>
    <t>CUST0003</t>
  </si>
  <si>
    <t>08:57:56</t>
  </si>
  <si>
    <t>ORD00192</t>
  </si>
  <si>
    <t>CUST0295</t>
  </si>
  <si>
    <t>19:45:11</t>
  </si>
  <si>
    <t>ORD00193</t>
  </si>
  <si>
    <t>CUST0133</t>
  </si>
  <si>
    <t>08:19:31</t>
  </si>
  <si>
    <t>ORD00194</t>
  </si>
  <si>
    <t>CUST0421</t>
  </si>
  <si>
    <t>06:11:29</t>
  </si>
  <si>
    <t>ORD00195</t>
  </si>
  <si>
    <t>CUST0121</t>
  </si>
  <si>
    <t>15:15:47</t>
  </si>
  <si>
    <t>ORD00196</t>
  </si>
  <si>
    <t>CUST0315</t>
  </si>
  <si>
    <t>22:39:36</t>
  </si>
  <si>
    <t>ORD00197</t>
  </si>
  <si>
    <t>CUST0028</t>
  </si>
  <si>
    <t>RIDER034</t>
  </si>
  <si>
    <t>06:47:33</t>
  </si>
  <si>
    <t>ORD00198</t>
  </si>
  <si>
    <t>CUST0353</t>
  </si>
  <si>
    <t>17:56:07</t>
  </si>
  <si>
    <t>ORD00199</t>
  </si>
  <si>
    <t>CUST0256</t>
  </si>
  <si>
    <t>09:53:59</t>
  </si>
  <si>
    <t>ORD00200</t>
  </si>
  <si>
    <t>CUST0412</t>
  </si>
  <si>
    <t>04:40:20</t>
  </si>
  <si>
    <t>ORD00201</t>
  </si>
  <si>
    <t>CUST0265</t>
  </si>
  <si>
    <t>15:25:15</t>
  </si>
  <si>
    <t>ORD00202</t>
  </si>
  <si>
    <t>10:44:59</t>
  </si>
  <si>
    <t>ORD00203</t>
  </si>
  <si>
    <t>09:45:26</t>
  </si>
  <si>
    <t>ORD00204</t>
  </si>
  <si>
    <t>CUST0328</t>
  </si>
  <si>
    <t>18:16:54</t>
  </si>
  <si>
    <t>ORD00205</t>
  </si>
  <si>
    <t>09:57:00</t>
  </si>
  <si>
    <t>ORD00206</t>
  </si>
  <si>
    <t>CUST0041</t>
  </si>
  <si>
    <t>23:02:08</t>
  </si>
  <si>
    <t>ORD00207</t>
  </si>
  <si>
    <t>23:32:45</t>
  </si>
  <si>
    <t>ORD00208</t>
  </si>
  <si>
    <t>CUST0244</t>
  </si>
  <si>
    <t>04:29:06</t>
  </si>
  <si>
    <t>ORD00209</t>
  </si>
  <si>
    <t>CUST0274</t>
  </si>
  <si>
    <t>12:12:07</t>
  </si>
  <si>
    <t>ORD00210</t>
  </si>
  <si>
    <t>CUST0070</t>
  </si>
  <si>
    <t>04:52:23</t>
  </si>
  <si>
    <t>ORD00211</t>
  </si>
  <si>
    <t>CUST0097</t>
  </si>
  <si>
    <t>19:01:54</t>
  </si>
  <si>
    <t>ORD00212</t>
  </si>
  <si>
    <t>CUST0414</t>
  </si>
  <si>
    <t>10:59:45</t>
  </si>
  <si>
    <t>ORD00213</t>
  </si>
  <si>
    <t>19:12:20</t>
  </si>
  <si>
    <t>ORD00214</t>
  </si>
  <si>
    <t>CUST0078</t>
  </si>
  <si>
    <t>04:32:58</t>
  </si>
  <si>
    <t>ORD00215</t>
  </si>
  <si>
    <t>CUST0398</t>
  </si>
  <si>
    <t>11:20:36</t>
  </si>
  <si>
    <t>ORD00216</t>
  </si>
  <si>
    <t>18:39:27</t>
  </si>
  <si>
    <t>ORD00217</t>
  </si>
  <si>
    <t>07:17:12</t>
  </si>
  <si>
    <t>ORD00218</t>
  </si>
  <si>
    <t>CUST0062</t>
  </si>
  <si>
    <t>10:58:53</t>
  </si>
  <si>
    <t>ORD00219</t>
  </si>
  <si>
    <t>16:49:40</t>
  </si>
  <si>
    <t>ORD00220</t>
  </si>
  <si>
    <t>CUST0225</t>
  </si>
  <si>
    <t>09:55:32</t>
  </si>
  <si>
    <t>ORD00221</t>
  </si>
  <si>
    <t>CUST0291</t>
  </si>
  <si>
    <t>15:35:23</t>
  </si>
  <si>
    <t>ORD00222</t>
  </si>
  <si>
    <t>CUST0001</t>
  </si>
  <si>
    <t>07:01:51</t>
  </si>
  <si>
    <t>ORD00223</t>
  </si>
  <si>
    <t>17:18:57</t>
  </si>
  <si>
    <t>ORD00224</t>
  </si>
  <si>
    <t>CUST0104</t>
  </si>
  <si>
    <t>02:57:48</t>
  </si>
  <si>
    <t>ORD00225</t>
  </si>
  <si>
    <t>00:32:28</t>
  </si>
  <si>
    <t>ORD00226</t>
  </si>
  <si>
    <t>CUST0316</t>
  </si>
  <si>
    <t>06:16:15</t>
  </si>
  <si>
    <t>ORD00227</t>
  </si>
  <si>
    <t>CUST0321</t>
  </si>
  <si>
    <t>11:54:26</t>
  </si>
  <si>
    <t>ORD00228</t>
  </si>
  <si>
    <t>16:29:20</t>
  </si>
  <si>
    <t>ORD00229</t>
  </si>
  <si>
    <t>CUST0193</t>
  </si>
  <si>
    <t>05:13:13</t>
  </si>
  <si>
    <t>ORD00230</t>
  </si>
  <si>
    <t>CUST0004</t>
  </si>
  <si>
    <t>10:18:16</t>
  </si>
  <si>
    <t>ORD00231</t>
  </si>
  <si>
    <t>CUST0183</t>
  </si>
  <si>
    <t>RIDER010</t>
  </si>
  <si>
    <t>10:04:14</t>
  </si>
  <si>
    <t>ORD00232</t>
  </si>
  <si>
    <t>CUST0167</t>
  </si>
  <si>
    <t>23:19:32</t>
  </si>
  <si>
    <t>ORD00233</t>
  </si>
  <si>
    <t>12:52:18</t>
  </si>
  <si>
    <t>ORD00234</t>
  </si>
  <si>
    <t>CUST0324</t>
  </si>
  <si>
    <t>13:02:37</t>
  </si>
  <si>
    <t>ORD00235</t>
  </si>
  <si>
    <t>CUST0229</t>
  </si>
  <si>
    <t>18:44:22</t>
  </si>
  <si>
    <t>ORD00236</t>
  </si>
  <si>
    <t>02:37:44</t>
  </si>
  <si>
    <t>ORD00237</t>
  </si>
  <si>
    <t>CUST0221</t>
  </si>
  <si>
    <t>01:16:35</t>
  </si>
  <si>
    <t>ORD00238</t>
  </si>
  <si>
    <t>12:55:44</t>
  </si>
  <si>
    <t>ORD00239</t>
  </si>
  <si>
    <t>CUST0475</t>
  </si>
  <si>
    <t>02:24:07</t>
  </si>
  <si>
    <t>ORD00240</t>
  </si>
  <si>
    <t>CUST0248</t>
  </si>
  <si>
    <t>23:37:26</t>
  </si>
  <si>
    <t>ORD00241</t>
  </si>
  <si>
    <t>CUST0005</t>
  </si>
  <si>
    <t>10:03:05</t>
  </si>
  <si>
    <t>ORD00242</t>
  </si>
  <si>
    <t>CUST0364</t>
  </si>
  <si>
    <t>18:58:17</t>
  </si>
  <si>
    <t>ORD00243</t>
  </si>
  <si>
    <t>CUST0171</t>
  </si>
  <si>
    <t>19:04:19</t>
  </si>
  <si>
    <t>ORD00244</t>
  </si>
  <si>
    <t>CUST0199</t>
  </si>
  <si>
    <t>00:43:42</t>
  </si>
  <si>
    <t>ORD00245</t>
  </si>
  <si>
    <t>11:21:20</t>
  </si>
  <si>
    <t>ORD00246</t>
  </si>
  <si>
    <t>CUST0442</t>
  </si>
  <si>
    <t>04:53:38</t>
  </si>
  <si>
    <t>ORD00247</t>
  </si>
  <si>
    <t>01:01:37</t>
  </si>
  <si>
    <t>ORD00248</t>
  </si>
  <si>
    <t>14:16:04</t>
  </si>
  <si>
    <t>ORD00249</t>
  </si>
  <si>
    <t>CUST0400</t>
  </si>
  <si>
    <t>06:40:46</t>
  </si>
  <si>
    <t>ORD00250</t>
  </si>
  <si>
    <t>CUST0474</t>
  </si>
  <si>
    <t>21:34:12</t>
  </si>
  <si>
    <t>ORD00251</t>
  </si>
  <si>
    <t>08:52:13</t>
  </si>
  <si>
    <t>ORD00252</t>
  </si>
  <si>
    <t>09:31:05</t>
  </si>
  <si>
    <t>ORD00253</t>
  </si>
  <si>
    <t>CUST0493</t>
  </si>
  <si>
    <t>19:00:14</t>
  </si>
  <si>
    <t>ORD00254</t>
  </si>
  <si>
    <t>CUST0238</t>
  </si>
  <si>
    <t>22:23:05</t>
  </si>
  <si>
    <t>ORD00255</t>
  </si>
  <si>
    <t>20:36:02</t>
  </si>
  <si>
    <t>ORD00256</t>
  </si>
  <si>
    <t>CUST0363</t>
  </si>
  <si>
    <t>14:45:26</t>
  </si>
  <si>
    <t>ORD00257</t>
  </si>
  <si>
    <t>08:27:10</t>
  </si>
  <si>
    <t>ORD00258</t>
  </si>
  <si>
    <t>CUST0312</t>
  </si>
  <si>
    <t>13:25:47</t>
  </si>
  <si>
    <t>ORD00259</t>
  </si>
  <si>
    <t>CUST0107</t>
  </si>
  <si>
    <t>05:09:13</t>
  </si>
  <si>
    <t>ORD00260</t>
  </si>
  <si>
    <t>CUST0092</t>
  </si>
  <si>
    <t>21:58:31</t>
  </si>
  <si>
    <t>ORD00261</t>
  </si>
  <si>
    <t>CUST0189</t>
  </si>
  <si>
    <t>15:44:33</t>
  </si>
  <si>
    <t>ORD00262</t>
  </si>
  <si>
    <t>CUST0314</t>
  </si>
  <si>
    <t>16:39:43</t>
  </si>
  <si>
    <t>ORD00263</t>
  </si>
  <si>
    <t>16:07:53</t>
  </si>
  <si>
    <t>ORD00264</t>
  </si>
  <si>
    <t>CUST0013</t>
  </si>
  <si>
    <t>14:34:00</t>
  </si>
  <si>
    <t>ORD00265</t>
  </si>
  <si>
    <t>06:20:19</t>
  </si>
  <si>
    <t>ORD00266</t>
  </si>
  <si>
    <t>CUST0473</t>
  </si>
  <si>
    <t>20:50:36</t>
  </si>
  <si>
    <t>ORD00267</t>
  </si>
  <si>
    <t>CUST0029</t>
  </si>
  <si>
    <t>03:51:52</t>
  </si>
  <si>
    <t>ORD00268</t>
  </si>
  <si>
    <t>CUST0174</t>
  </si>
  <si>
    <t>18:17:37</t>
  </si>
  <si>
    <t>ORD00269</t>
  </si>
  <si>
    <t>CUST0191</t>
  </si>
  <si>
    <t>15:56:52</t>
  </si>
  <si>
    <t>ORD00270</t>
  </si>
  <si>
    <t>CUST0175</t>
  </si>
  <si>
    <t>01:05:38</t>
  </si>
  <si>
    <t>ORD00271</t>
  </si>
  <si>
    <t>07:32:30</t>
  </si>
  <si>
    <t>ORD00272</t>
  </si>
  <si>
    <t>CUST0389</t>
  </si>
  <si>
    <t>15:12:44</t>
  </si>
  <si>
    <t>ORD00273</t>
  </si>
  <si>
    <t>CUST0319</t>
  </si>
  <si>
    <t>10:20:24</t>
  </si>
  <si>
    <t>ORD00274</t>
  </si>
  <si>
    <t>CUST0067</t>
  </si>
  <si>
    <t>02:06:16</t>
  </si>
  <si>
    <t>ORD00275</t>
  </si>
  <si>
    <t>00:29:05</t>
  </si>
  <si>
    <t>ORD00276</t>
  </si>
  <si>
    <t>04:53:50</t>
  </si>
  <si>
    <t>ORD00277</t>
  </si>
  <si>
    <t>15:51:55</t>
  </si>
  <si>
    <t>ORD00278</t>
  </si>
  <si>
    <t>22:47:43</t>
  </si>
  <si>
    <t>ORD00279</t>
  </si>
  <si>
    <t>CUST0176</t>
  </si>
  <si>
    <t>02:51:26</t>
  </si>
  <si>
    <t>ORD00280</t>
  </si>
  <si>
    <t>00:32:55</t>
  </si>
  <si>
    <t>ORD00281</t>
  </si>
  <si>
    <t>CUST0463</t>
  </si>
  <si>
    <t>05:48:09</t>
  </si>
  <si>
    <t>ORD00282</t>
  </si>
  <si>
    <t>CUST0471</t>
  </si>
  <si>
    <t>03:05:48</t>
  </si>
  <si>
    <t>ORD00283</t>
  </si>
  <si>
    <t>10:59:26</t>
  </si>
  <si>
    <t>ORD00284</t>
  </si>
  <si>
    <t>CUST0089</t>
  </si>
  <si>
    <t>10:21:52</t>
  </si>
  <si>
    <t>ORD00285</t>
  </si>
  <si>
    <t>01:50:00</t>
  </si>
  <si>
    <t>ORD00286</t>
  </si>
  <si>
    <t>CUST0261</t>
  </si>
  <si>
    <t>23:50:26</t>
  </si>
  <si>
    <t>ORD00287</t>
  </si>
  <si>
    <t>CUST0296</t>
  </si>
  <si>
    <t>14:03:44</t>
  </si>
  <si>
    <t>ORD00288</t>
  </si>
  <si>
    <t>00:25:26</t>
  </si>
  <si>
    <t>ORD00289</t>
  </si>
  <si>
    <t>03:52:38</t>
  </si>
  <si>
    <t>ORD00290</t>
  </si>
  <si>
    <t>CUST0294</t>
  </si>
  <si>
    <t>10:31:43</t>
  </si>
  <si>
    <t>ORD00291</t>
  </si>
  <si>
    <t>CUST0008</t>
  </si>
  <si>
    <t>12:07:15</t>
  </si>
  <si>
    <t>ORD00292</t>
  </si>
  <si>
    <t>CUST0017</t>
  </si>
  <si>
    <t>22:13:06</t>
  </si>
  <si>
    <t>ORD00293</t>
  </si>
  <si>
    <t>CUST0108</t>
  </si>
  <si>
    <t>14:15:38</t>
  </si>
  <si>
    <t>ORD00294</t>
  </si>
  <si>
    <t>04:17:52</t>
  </si>
  <si>
    <t>ORD00295</t>
  </si>
  <si>
    <t>CUST0022</t>
  </si>
  <si>
    <t>16:02:07</t>
  </si>
  <si>
    <t>ORD00296</t>
  </si>
  <si>
    <t>23:14:38</t>
  </si>
  <si>
    <t>ORD00297</t>
  </si>
  <si>
    <t>17:53:22</t>
  </si>
  <si>
    <t>ORD00298</t>
  </si>
  <si>
    <t>CUST0439</t>
  </si>
  <si>
    <t>04:21:20</t>
  </si>
  <si>
    <t>ORD00299</t>
  </si>
  <si>
    <t>16:17:14</t>
  </si>
  <si>
    <t>ORD00300</t>
  </si>
  <si>
    <t>CUST0490</t>
  </si>
  <si>
    <t>21:06:06</t>
  </si>
  <si>
    <t>ORD00301</t>
  </si>
  <si>
    <t>00:51:06</t>
  </si>
  <si>
    <t>ORD00302</t>
  </si>
  <si>
    <t>15:27:16</t>
  </si>
  <si>
    <t>ORD00303</t>
  </si>
  <si>
    <t>CUST0002</t>
  </si>
  <si>
    <t>20:18:25</t>
  </si>
  <si>
    <t>ORD00304</t>
  </si>
  <si>
    <t>CUST0437</t>
  </si>
  <si>
    <t>18:43:21</t>
  </si>
  <si>
    <t>ORD00305</t>
  </si>
  <si>
    <t>CUST0323</t>
  </si>
  <si>
    <t>18:26:24</t>
  </si>
  <si>
    <t>ORD00306</t>
  </si>
  <si>
    <t>03:26:10</t>
  </si>
  <si>
    <t>ORD00307</t>
  </si>
  <si>
    <t>CUST0342</t>
  </si>
  <si>
    <t>23:41:40</t>
  </si>
  <si>
    <t>ORD00308</t>
  </si>
  <si>
    <t>07:48:58</t>
  </si>
  <si>
    <t>ORD00309</t>
  </si>
  <si>
    <t>17:10:59</t>
  </si>
  <si>
    <t>ORD00310</t>
  </si>
  <si>
    <t>CUST0110</t>
  </si>
  <si>
    <t>07:50:54</t>
  </si>
  <si>
    <t>ORD00311</t>
  </si>
  <si>
    <t>CUST0021</t>
  </si>
  <si>
    <t>17:44:32</t>
  </si>
  <si>
    <t>ORD00312</t>
  </si>
  <si>
    <t>16:46:42</t>
  </si>
  <si>
    <t>ORD00313</t>
  </si>
  <si>
    <t>07:02:45</t>
  </si>
  <si>
    <t>ORD00314</t>
  </si>
  <si>
    <t>CUST0113</t>
  </si>
  <si>
    <t>01:19:43</t>
  </si>
  <si>
    <t>ORD00315</t>
  </si>
  <si>
    <t>CUST0129</t>
  </si>
  <si>
    <t>21:36:51</t>
  </si>
  <si>
    <t>ORD00316</t>
  </si>
  <si>
    <t>CUST0102</t>
  </si>
  <si>
    <t>18:11:01</t>
  </si>
  <si>
    <t>ORD00317</t>
  </si>
  <si>
    <t>CUST0224</t>
  </si>
  <si>
    <t>00:37:01</t>
  </si>
  <si>
    <t>ORD00318</t>
  </si>
  <si>
    <t>CUST0144</t>
  </si>
  <si>
    <t>02:26:24</t>
  </si>
  <si>
    <t>ORD00319</t>
  </si>
  <si>
    <t>CUST0284</t>
  </si>
  <si>
    <t>11:51:39</t>
  </si>
  <si>
    <t>ORD00320</t>
  </si>
  <si>
    <t>16:33:18</t>
  </si>
  <si>
    <t>ORD00321</t>
  </si>
  <si>
    <t>CUST0018</t>
  </si>
  <si>
    <t>17:37:21</t>
  </si>
  <si>
    <t>ORD00322</t>
  </si>
  <si>
    <t>CUST0152</t>
  </si>
  <si>
    <t>16:46:56</t>
  </si>
  <si>
    <t>ORD00323</t>
  </si>
  <si>
    <t>06:32:45</t>
  </si>
  <si>
    <t>ORD00324</t>
  </si>
  <si>
    <t>05:48:47</t>
  </si>
  <si>
    <t>ORD00325</t>
  </si>
  <si>
    <t>CUST0317</t>
  </si>
  <si>
    <t>02:16:26</t>
  </si>
  <si>
    <t>ORD00326</t>
  </si>
  <si>
    <t>CUST0298</t>
  </si>
  <si>
    <t>RIDER056</t>
  </si>
  <si>
    <t>23:00:09</t>
  </si>
  <si>
    <t>ORD00327</t>
  </si>
  <si>
    <t>CUST0241</t>
  </si>
  <si>
    <t>03:09:00</t>
  </si>
  <si>
    <t>ORD00328</t>
  </si>
  <si>
    <t>05:02:52</t>
  </si>
  <si>
    <t>ORD00329</t>
  </si>
  <si>
    <t>15:03:15</t>
  </si>
  <si>
    <t>ORD00330</t>
  </si>
  <si>
    <t>CUST0168</t>
  </si>
  <si>
    <t>02:47:32</t>
  </si>
  <si>
    <t>ORD00331</t>
  </si>
  <si>
    <t>CUST0234</t>
  </si>
  <si>
    <t>09:24:43</t>
  </si>
  <si>
    <t>ORD00332</t>
  </si>
  <si>
    <t>CUST0106</t>
  </si>
  <si>
    <t>03:49:58</t>
  </si>
  <si>
    <t>ORD00333</t>
  </si>
  <si>
    <t>CUST0476</t>
  </si>
  <si>
    <t>07:02:20</t>
  </si>
  <si>
    <t>ORD00334</t>
  </si>
  <si>
    <t>17:30:06</t>
  </si>
  <si>
    <t>ORD00335</t>
  </si>
  <si>
    <t>07:02:18</t>
  </si>
  <si>
    <t>ORD00336</t>
  </si>
  <si>
    <t>19:41:22</t>
  </si>
  <si>
    <t>ORD00337</t>
  </si>
  <si>
    <t>CUST0180</t>
  </si>
  <si>
    <t>21:25:34</t>
  </si>
  <si>
    <t>ORD00338</t>
  </si>
  <si>
    <t>19:31:39</t>
  </si>
  <si>
    <t>ORD00339</t>
  </si>
  <si>
    <t>CUST0213</t>
  </si>
  <si>
    <t>12:37:16</t>
  </si>
  <si>
    <t>ORD00340</t>
  </si>
  <si>
    <t>12:41:59</t>
  </si>
  <si>
    <t>ORD00341</t>
  </si>
  <si>
    <t>CUST0126</t>
  </si>
  <si>
    <t>10:21:14</t>
  </si>
  <si>
    <t>ORD00342</t>
  </si>
  <si>
    <t>23:41:09</t>
  </si>
  <si>
    <t>ORD00343</t>
  </si>
  <si>
    <t>05:01:13</t>
  </si>
  <si>
    <t>ORD00344</t>
  </si>
  <si>
    <t>CUST0186</t>
  </si>
  <si>
    <t>01:44:30</t>
  </si>
  <si>
    <t>ORD00345</t>
  </si>
  <si>
    <t>17:29:18</t>
  </si>
  <si>
    <t>ORD00346</t>
  </si>
  <si>
    <t>05:36:19</t>
  </si>
  <si>
    <t>ORD00347</t>
  </si>
  <si>
    <t>CUST0218</t>
  </si>
  <si>
    <t>17:03:02</t>
  </si>
  <si>
    <t>ORD00348</t>
  </si>
  <si>
    <t>CUST0034</t>
  </si>
  <si>
    <t>12:14:52</t>
  </si>
  <si>
    <t>ORD00349</t>
  </si>
  <si>
    <t>CUST0143</t>
  </si>
  <si>
    <t>12:57:20</t>
  </si>
  <si>
    <t>ORD00350</t>
  </si>
  <si>
    <t>19:53:54</t>
  </si>
  <si>
    <t>ORD00351</t>
  </si>
  <si>
    <t>CUST0491</t>
  </si>
  <si>
    <t>20:56:06</t>
  </si>
  <si>
    <t>ORD00352</t>
  </si>
  <si>
    <t>13:48:14</t>
  </si>
  <si>
    <t>ORD00353</t>
  </si>
  <si>
    <t>08:04:17</t>
  </si>
  <si>
    <t>ORD00354</t>
  </si>
  <si>
    <t>CUST0206</t>
  </si>
  <si>
    <t>15:13:58</t>
  </si>
  <si>
    <t>ORD00355</t>
  </si>
  <si>
    <t>CUST0392</t>
  </si>
  <si>
    <t>00:33:05</t>
  </si>
  <si>
    <t>ORD00356</t>
  </si>
  <si>
    <t>CUST0483</t>
  </si>
  <si>
    <t>08:20:49</t>
  </si>
  <si>
    <t>ORD00357</t>
  </si>
  <si>
    <t>18:38:07</t>
  </si>
  <si>
    <t>ORD00358</t>
  </si>
  <si>
    <t>CUST0451</t>
  </si>
  <si>
    <t>05:47:39</t>
  </si>
  <si>
    <t>ORD00359</t>
  </si>
  <si>
    <t>17:50:40</t>
  </si>
  <si>
    <t>ORD00360</t>
  </si>
  <si>
    <t>23:01:41</t>
  </si>
  <si>
    <t>ORD00361</t>
  </si>
  <si>
    <t>10:39:34</t>
  </si>
  <si>
    <t>ORD00362</t>
  </si>
  <si>
    <t>CUST0160</t>
  </si>
  <si>
    <t>14:44:11</t>
  </si>
  <si>
    <t>ORD00363</t>
  </si>
  <si>
    <t>04:49:00</t>
  </si>
  <si>
    <t>ORD00364</t>
  </si>
  <si>
    <t>20:17:57</t>
  </si>
  <si>
    <t>ORD00365</t>
  </si>
  <si>
    <t>09:31:56</t>
  </si>
  <si>
    <t>ORD00366</t>
  </si>
  <si>
    <t>CUST0222</t>
  </si>
  <si>
    <t>07:11:00</t>
  </si>
  <si>
    <t>ORD00367</t>
  </si>
  <si>
    <t>14:47:25</t>
  </si>
  <si>
    <t>ORD00368</t>
  </si>
  <si>
    <t>05:39:42</t>
  </si>
  <si>
    <t>ORD00369</t>
  </si>
  <si>
    <t>09:15:53</t>
  </si>
  <si>
    <t>ORD00370</t>
  </si>
  <si>
    <t>CUST0015</t>
  </si>
  <si>
    <t>12:33:50</t>
  </si>
  <si>
    <t>ORD00371</t>
  </si>
  <si>
    <t>03:53:29</t>
  </si>
  <si>
    <t>ORD00372</t>
  </si>
  <si>
    <t>08:07:33</t>
  </si>
  <si>
    <t>ORD00373</t>
  </si>
  <si>
    <t>CUST0112</t>
  </si>
  <si>
    <t>13:44:24</t>
  </si>
  <si>
    <t>ORD00374</t>
  </si>
  <si>
    <t>05:37:14</t>
  </si>
  <si>
    <t>ORD00375</t>
  </si>
  <si>
    <t>23:21:36</t>
  </si>
  <si>
    <t>ORD00376</t>
  </si>
  <si>
    <t>CUST0466</t>
  </si>
  <si>
    <t>04:26:37</t>
  </si>
  <si>
    <t>ORD00377</t>
  </si>
  <si>
    <t>21:18:03</t>
  </si>
  <si>
    <t>ORD00378</t>
  </si>
  <si>
    <t>CUST0358</t>
  </si>
  <si>
    <t>21:46:40</t>
  </si>
  <si>
    <t>ORD00379</t>
  </si>
  <si>
    <t>19:24:12</t>
  </si>
  <si>
    <t>ORD00380</t>
  </si>
  <si>
    <t>20:54:59</t>
  </si>
  <si>
    <t>ORD00381</t>
  </si>
  <si>
    <t>CUST0194</t>
  </si>
  <si>
    <t>17:53:00</t>
  </si>
  <si>
    <t>ORD00382</t>
  </si>
  <si>
    <t>17:10:50</t>
  </si>
  <si>
    <t>ORD00383</t>
  </si>
  <si>
    <t>03:34:20</t>
  </si>
  <si>
    <t>ORD00384</t>
  </si>
  <si>
    <t>CUST0075</t>
  </si>
  <si>
    <t>11:24:50</t>
  </si>
  <si>
    <t>ORD00385</t>
  </si>
  <si>
    <t>CUST0355</t>
  </si>
  <si>
    <t>20:58:56</t>
  </si>
  <si>
    <t>ORD00386</t>
  </si>
  <si>
    <t>00:08:13</t>
  </si>
  <si>
    <t>ORD00387</t>
  </si>
  <si>
    <t>13:40:54</t>
  </si>
  <si>
    <t>ORD00388</t>
  </si>
  <si>
    <t>06:19:11</t>
  </si>
  <si>
    <t>ORD00389</t>
  </si>
  <si>
    <t>CUST0337</t>
  </si>
  <si>
    <t>02:56:06</t>
  </si>
  <si>
    <t>ORD00390</t>
  </si>
  <si>
    <t>06:02:57</t>
  </si>
  <si>
    <t>ORD00391</t>
  </si>
  <si>
    <t>01:04:55</t>
  </si>
  <si>
    <t>ORD00392</t>
  </si>
  <si>
    <t>CUST0349</t>
  </si>
  <si>
    <t>06:02:50</t>
  </si>
  <si>
    <t>ORD00393</t>
  </si>
  <si>
    <t>07:11:30</t>
  </si>
  <si>
    <t>ORD00394</t>
  </si>
  <si>
    <t>CUST0145</t>
  </si>
  <si>
    <t>22:26:00</t>
  </si>
  <si>
    <t>ORD00395</t>
  </si>
  <si>
    <t>21:16:33</t>
  </si>
  <si>
    <t>ORD00396</t>
  </si>
  <si>
    <t>07:30:46</t>
  </si>
  <si>
    <t>ORD00397</t>
  </si>
  <si>
    <t>04:38:54</t>
  </si>
  <si>
    <t>ORD00398</t>
  </si>
  <si>
    <t>16:14:16</t>
  </si>
  <si>
    <t>ORD00399</t>
  </si>
  <si>
    <t>18:44:25</t>
  </si>
  <si>
    <t>ORD00400</t>
  </si>
  <si>
    <t>15:24:11</t>
  </si>
  <si>
    <t>ORD00401</t>
  </si>
  <si>
    <t>CUST0010</t>
  </si>
  <si>
    <t>03:36:23</t>
  </si>
  <si>
    <t>ORD00402</t>
  </si>
  <si>
    <t>10:03:37</t>
  </si>
  <si>
    <t>ORD00403</t>
  </si>
  <si>
    <t>04:48:31</t>
  </si>
  <si>
    <t>ORD00404</t>
  </si>
  <si>
    <t>CUST0011</t>
  </si>
  <si>
    <t>03:47:49</t>
  </si>
  <si>
    <t>ORD00405</t>
  </si>
  <si>
    <t>CUST0297</t>
  </si>
  <si>
    <t>06:26:23</t>
  </si>
  <si>
    <t>ORD00406</t>
  </si>
  <si>
    <t>01:46:14</t>
  </si>
  <si>
    <t>ORD00407</t>
  </si>
  <si>
    <t>07:31:54</t>
  </si>
  <si>
    <t>ORD00408</t>
  </si>
  <si>
    <t>00:50:32</t>
  </si>
  <si>
    <t>ORD00409</t>
  </si>
  <si>
    <t>23:12:15</t>
  </si>
  <si>
    <t>ORD00410</t>
  </si>
  <si>
    <t>11:42:09</t>
  </si>
  <si>
    <t>ORD00411</t>
  </si>
  <si>
    <t>CUST0459</t>
  </si>
  <si>
    <t>12:05:36</t>
  </si>
  <si>
    <t>ORD00412</t>
  </si>
  <si>
    <t>16:30:16</t>
  </si>
  <si>
    <t>ORD00413</t>
  </si>
  <si>
    <t>14:00:20</t>
  </si>
  <si>
    <t>ORD00414</t>
  </si>
  <si>
    <t>CUST0367</t>
  </si>
  <si>
    <t>22:08:19</t>
  </si>
  <si>
    <t>ORD00415</t>
  </si>
  <si>
    <t>09:23:48</t>
  </si>
  <si>
    <t>ORD00416</t>
  </si>
  <si>
    <t>20:04:43</t>
  </si>
  <si>
    <t>ORD00417</t>
  </si>
  <si>
    <t>22:01:58</t>
  </si>
  <si>
    <t>ORD00418</t>
  </si>
  <si>
    <t>CUST0227</t>
  </si>
  <si>
    <t>02:42:01</t>
  </si>
  <si>
    <t>ORD00419</t>
  </si>
  <si>
    <t>CUST0262</t>
  </si>
  <si>
    <t>10:29:11</t>
  </si>
  <si>
    <t>ORD00420</t>
  </si>
  <si>
    <t>CUST0031</t>
  </si>
  <si>
    <t>12:45:19</t>
  </si>
  <si>
    <t>ORD00421</t>
  </si>
  <si>
    <t>14:49:08</t>
  </si>
  <si>
    <t>ORD00422</t>
  </si>
  <si>
    <t>CUST0399</t>
  </si>
  <si>
    <t>21:07:37</t>
  </si>
  <si>
    <t>ORD00423</t>
  </si>
  <si>
    <t>15:38:19</t>
  </si>
  <si>
    <t>ORD00424</t>
  </si>
  <si>
    <t>04:13:25</t>
  </si>
  <si>
    <t>ORD00425</t>
  </si>
  <si>
    <t>05:00:46</t>
  </si>
  <si>
    <t>ORD00426</t>
  </si>
  <si>
    <t>CUST0094</t>
  </si>
  <si>
    <t>17:32:37</t>
  </si>
  <si>
    <t>ORD00427</t>
  </si>
  <si>
    <t>08:09:54</t>
  </si>
  <si>
    <t>ORD00428</t>
  </si>
  <si>
    <t>CUST0277</t>
  </si>
  <si>
    <t>17:14:12</t>
  </si>
  <si>
    <t>ORD00429</t>
  </si>
  <si>
    <t>CUST0044</t>
  </si>
  <si>
    <t>07:19:27</t>
  </si>
  <si>
    <t>ORD00430</t>
  </si>
  <si>
    <t>CUST0425</t>
  </si>
  <si>
    <t>09:51:58</t>
  </si>
  <si>
    <t>ORD00431</t>
  </si>
  <si>
    <t>CUST0196</t>
  </si>
  <si>
    <t>22:33:21</t>
  </si>
  <si>
    <t>ORD00432</t>
  </si>
  <si>
    <t>CUST0093</t>
  </si>
  <si>
    <t>21:11:44</t>
  </si>
  <si>
    <t>ORD00433</t>
  </si>
  <si>
    <t>CUST0122</t>
  </si>
  <si>
    <t>19:51:27</t>
  </si>
  <si>
    <t>ORD00434</t>
  </si>
  <si>
    <t>20:13:46</t>
  </si>
  <si>
    <t>ORD00435</t>
  </si>
  <si>
    <t>CUST0217</t>
  </si>
  <si>
    <t>16:44:08</t>
  </si>
  <si>
    <t>ORD00436</t>
  </si>
  <si>
    <t>04:36:38</t>
  </si>
  <si>
    <t>ORD00437</t>
  </si>
  <si>
    <t>CUST0072</t>
  </si>
  <si>
    <t>12:01:21</t>
  </si>
  <si>
    <t>ORD00438</t>
  </si>
  <si>
    <t>13:40:46</t>
  </si>
  <si>
    <t>ORD00439</t>
  </si>
  <si>
    <t>20:49:42</t>
  </si>
  <si>
    <t>ORD00440</t>
  </si>
  <si>
    <t>CUST0424</t>
  </si>
  <si>
    <t>09:09:04</t>
  </si>
  <si>
    <t>ORD00441</t>
  </si>
  <si>
    <t>13:10:20</t>
  </si>
  <si>
    <t>ORD00442</t>
  </si>
  <si>
    <t>12:56:22</t>
  </si>
  <si>
    <t>ORD00443</t>
  </si>
  <si>
    <t>CUST0290</t>
  </si>
  <si>
    <t>10:07:59</t>
  </si>
  <si>
    <t>ORD00444</t>
  </si>
  <si>
    <t>15:46:02</t>
  </si>
  <si>
    <t>ORD00445</t>
  </si>
  <si>
    <t>19:29:21</t>
  </si>
  <si>
    <t>ORD00446</t>
  </si>
  <si>
    <t>CUST0354</t>
  </si>
  <si>
    <t>15:10:39</t>
  </si>
  <si>
    <t>ORD00447</t>
  </si>
  <si>
    <t>19:29:57</t>
  </si>
  <si>
    <t>ORD00448</t>
  </si>
  <si>
    <t>02:32:22</t>
  </si>
  <si>
    <t>ORD00449</t>
  </si>
  <si>
    <t>08:21:48</t>
  </si>
  <si>
    <t>ORD00450</t>
  </si>
  <si>
    <t>CUST0220</t>
  </si>
  <si>
    <t>11:20:34</t>
  </si>
  <si>
    <t>ORD00451</t>
  </si>
  <si>
    <t>04:09:16</t>
  </si>
  <si>
    <t>ORD00452</t>
  </si>
  <si>
    <t>CUST0492</t>
  </si>
  <si>
    <t>21:56:00</t>
  </si>
  <si>
    <t>ORD00453</t>
  </si>
  <si>
    <t>16:33:26</t>
  </si>
  <si>
    <t>ORD00454</t>
  </si>
  <si>
    <t>07:46:52</t>
  </si>
  <si>
    <t>ORD00455</t>
  </si>
  <si>
    <t>10:30:23</t>
  </si>
  <si>
    <t>ORD00456</t>
  </si>
  <si>
    <t>CUST0059</t>
  </si>
  <si>
    <t>00:37:40</t>
  </si>
  <si>
    <t>ORD00457</t>
  </si>
  <si>
    <t>02:26:42</t>
  </si>
  <si>
    <t>ORD00458</t>
  </si>
  <si>
    <t>CUST0190</t>
  </si>
  <si>
    <t>07:21:07</t>
  </si>
  <si>
    <t>ORD00459</t>
  </si>
  <si>
    <t>CUST0273</t>
  </si>
  <si>
    <t>19:24:15</t>
  </si>
  <si>
    <t>ORD00460</t>
  </si>
  <si>
    <t>CUST0408</t>
  </si>
  <si>
    <t>21:08:26</t>
  </si>
  <si>
    <t>ORD00461</t>
  </si>
  <si>
    <t>05:32:58</t>
  </si>
  <si>
    <t>ORD00462</t>
  </si>
  <si>
    <t>10:35:55</t>
  </si>
  <si>
    <t>ORD00463</t>
  </si>
  <si>
    <t>CUST0069</t>
  </si>
  <si>
    <t>18:52:56</t>
  </si>
  <si>
    <t>ORD00464</t>
  </si>
  <si>
    <t>08:56:47</t>
  </si>
  <si>
    <t>ORD00465</t>
  </si>
  <si>
    <t>CUST0051</t>
  </si>
  <si>
    <t>04:43:40</t>
  </si>
  <si>
    <t>ORD00466</t>
  </si>
  <si>
    <t>CUST0071</t>
  </si>
  <si>
    <t>17:45:11</t>
  </si>
  <si>
    <t>ORD00467</t>
  </si>
  <si>
    <t>CUST0488</t>
  </si>
  <si>
    <t>05:41:43</t>
  </si>
  <si>
    <t>ORD00468</t>
  </si>
  <si>
    <t>12:10:12</t>
  </si>
  <si>
    <t>ORD00469</t>
  </si>
  <si>
    <t>CUST0338</t>
  </si>
  <si>
    <t>12:05:05</t>
  </si>
  <si>
    <t>ORD00470</t>
  </si>
  <si>
    <t>12:23:51</t>
  </si>
  <si>
    <t>ORD00471</t>
  </si>
  <si>
    <t>CUST0088</t>
  </si>
  <si>
    <t>03:37:35</t>
  </si>
  <si>
    <t>ORD00472</t>
  </si>
  <si>
    <t>CUST0036</t>
  </si>
  <si>
    <t>20:18:21</t>
  </si>
  <si>
    <t>ORD00473</t>
  </si>
  <si>
    <t>03:00:30</t>
  </si>
  <si>
    <t>ORD00474</t>
  </si>
  <si>
    <t>CUST0142</t>
  </si>
  <si>
    <t>06:41:18</t>
  </si>
  <si>
    <t>ORD00475</t>
  </si>
  <si>
    <t>CUST0148</t>
  </si>
  <si>
    <t>17:26:00</t>
  </si>
  <si>
    <t>ORD00476</t>
  </si>
  <si>
    <t>03:39:39</t>
  </si>
  <si>
    <t>ORD00477</t>
  </si>
  <si>
    <t>19:41:45</t>
  </si>
  <si>
    <t>ORD00478</t>
  </si>
  <si>
    <t>10:41:25</t>
  </si>
  <si>
    <t>ORD00479</t>
  </si>
  <si>
    <t>02:32:43</t>
  </si>
  <si>
    <t>ORD00480</t>
  </si>
  <si>
    <t>CUST0391</t>
  </si>
  <si>
    <t>12:00:40</t>
  </si>
  <si>
    <t>ORD00481</t>
  </si>
  <si>
    <t>CUST0460</t>
  </si>
  <si>
    <t>08:54:17</t>
  </si>
  <si>
    <t>ORD00482</t>
  </si>
  <si>
    <t>19:10:32</t>
  </si>
  <si>
    <t>ORD00483</t>
  </si>
  <si>
    <t>CUST0098</t>
  </si>
  <si>
    <t>00:48:51</t>
  </si>
  <si>
    <t>ORD00484</t>
  </si>
  <si>
    <t>CUST0235</t>
  </si>
  <si>
    <t>12:24:06</t>
  </si>
  <si>
    <t>ORD00485</t>
  </si>
  <si>
    <t>CUST0292</t>
  </si>
  <si>
    <t>18:16:10</t>
  </si>
  <si>
    <t>ORD00486</t>
  </si>
  <si>
    <t>12:58:53</t>
  </si>
  <si>
    <t>ORD00487</t>
  </si>
  <si>
    <t>00:25:47</t>
  </si>
  <si>
    <t>ORD00488</t>
  </si>
  <si>
    <t>21:46:21</t>
  </si>
  <si>
    <t>ORD00489</t>
  </si>
  <si>
    <t>13:46:25</t>
  </si>
  <si>
    <t>ORD00490</t>
  </si>
  <si>
    <t>CUST0099</t>
  </si>
  <si>
    <t>20:24:53</t>
  </si>
  <si>
    <t>ORD00491</t>
  </si>
  <si>
    <t>07:15:05</t>
  </si>
  <si>
    <t>ORD00492</t>
  </si>
  <si>
    <t>CUST0242</t>
  </si>
  <si>
    <t>16:30:47</t>
  </si>
  <si>
    <t>ORD00493</t>
  </si>
  <si>
    <t>09:00:16</t>
  </si>
  <si>
    <t>ORD00494</t>
  </si>
  <si>
    <t>15:05:17</t>
  </si>
  <si>
    <t>ORD00495</t>
  </si>
  <si>
    <t>CUST0064</t>
  </si>
  <si>
    <t>12:48:12</t>
  </si>
  <si>
    <t>ORD00496</t>
  </si>
  <si>
    <t>01:31:18</t>
  </si>
  <si>
    <t>ORD00497</t>
  </si>
  <si>
    <t>17:15:02</t>
  </si>
  <si>
    <t>ORD00498</t>
  </si>
  <si>
    <t>12:45:39</t>
  </si>
  <si>
    <t>ORD00499</t>
  </si>
  <si>
    <t>CUST0409</t>
  </si>
  <si>
    <t>05:19:07</t>
  </si>
  <si>
    <t>ORD00500</t>
  </si>
  <si>
    <t>CUST0269</t>
  </si>
  <si>
    <t>02:42:09</t>
  </si>
  <si>
    <t>ORD00501</t>
  </si>
  <si>
    <t>CUST0384</t>
  </si>
  <si>
    <t>19:22:12</t>
  </si>
  <si>
    <t>ORD00502</t>
  </si>
  <si>
    <t>03:01:13</t>
  </si>
  <si>
    <t>ORD00503</t>
  </si>
  <si>
    <t>CUST0309</t>
  </si>
  <si>
    <t>16:06:16</t>
  </si>
  <si>
    <t>ORD00504</t>
  </si>
  <si>
    <t>23:56:08</t>
  </si>
  <si>
    <t>ORD00505</t>
  </si>
  <si>
    <t>21:22:44</t>
  </si>
  <si>
    <t>ORD00506</t>
  </si>
  <si>
    <t>CUST0120</t>
  </si>
  <si>
    <t>14:32:51</t>
  </si>
  <si>
    <t>ORD00507</t>
  </si>
  <si>
    <t>CUST0074</t>
  </si>
  <si>
    <t>09:48:30</t>
  </si>
  <si>
    <t>ORD00508</t>
  </si>
  <si>
    <t>05:22:44</t>
  </si>
  <si>
    <t>ORD00509</t>
  </si>
  <si>
    <t>13:12:24</t>
  </si>
  <si>
    <t>ORD00510</t>
  </si>
  <si>
    <t>CUST0381</t>
  </si>
  <si>
    <t>11:51:44</t>
  </si>
  <si>
    <t>ORD00511</t>
  </si>
  <si>
    <t>06:17:04</t>
  </si>
  <si>
    <t>ORD00512</t>
  </si>
  <si>
    <t>CUST0348</t>
  </si>
  <si>
    <t>07:17:21</t>
  </si>
  <si>
    <t>ORD00513</t>
  </si>
  <si>
    <t>CUST0308</t>
  </si>
  <si>
    <t>03:17:11</t>
  </si>
  <si>
    <t>ORD00514</t>
  </si>
  <si>
    <t>CUST0495</t>
  </si>
  <si>
    <t>21:32:09</t>
  </si>
  <si>
    <t>ORD00515</t>
  </si>
  <si>
    <t>CUST0418</t>
  </si>
  <si>
    <t>19:05:30</t>
  </si>
  <si>
    <t>ORD00516</t>
  </si>
  <si>
    <t>CUST0281</t>
  </si>
  <si>
    <t>12:54:57</t>
  </si>
  <si>
    <t>ORD00517</t>
  </si>
  <si>
    <t>00:55:53</t>
  </si>
  <si>
    <t>ORD00518</t>
  </si>
  <si>
    <t>CUST0499</t>
  </si>
  <si>
    <t>02:46:02</t>
  </si>
  <si>
    <t>ORD00519</t>
  </si>
  <si>
    <t>21:49:58</t>
  </si>
  <si>
    <t>ORD00520</t>
  </si>
  <si>
    <t>CUST0006</t>
  </si>
  <si>
    <t>23:25:23</t>
  </si>
  <si>
    <t>ORD00521</t>
  </si>
  <si>
    <t>15:15:56</t>
  </si>
  <si>
    <t>ORD00522</t>
  </si>
  <si>
    <t>CUST0417</t>
  </si>
  <si>
    <t>17:53:45</t>
  </si>
  <si>
    <t>ORD00523</t>
  </si>
  <si>
    <t>CUST0386</t>
  </si>
  <si>
    <t>20:26:08</t>
  </si>
  <si>
    <t>ORD00524</t>
  </si>
  <si>
    <t>CUST0045</t>
  </si>
  <si>
    <t>18:16:45</t>
  </si>
  <si>
    <t>ORD00525</t>
  </si>
  <si>
    <t>20:51:27</t>
  </si>
  <si>
    <t>ORD00526</t>
  </si>
  <si>
    <t>23:12:18</t>
  </si>
  <si>
    <t>ORD00527</t>
  </si>
  <si>
    <t>19:16:36</t>
  </si>
  <si>
    <t>ORD00528</t>
  </si>
  <si>
    <t>11:21:09</t>
  </si>
  <si>
    <t>ORD00529</t>
  </si>
  <si>
    <t>CUST0139</t>
  </si>
  <si>
    <t>09:59:04</t>
  </si>
  <si>
    <t>ORD00530</t>
  </si>
  <si>
    <t>05:33:45</t>
  </si>
  <si>
    <t>ORD00531</t>
  </si>
  <si>
    <t>22:56:52</t>
  </si>
  <si>
    <t>ORD00532</t>
  </si>
  <si>
    <t>02:29:20</t>
  </si>
  <si>
    <t>ORD00533</t>
  </si>
  <si>
    <t>CUST0182</t>
  </si>
  <si>
    <t>08:59:35</t>
  </si>
  <si>
    <t>ORD00534</t>
  </si>
  <si>
    <t>08:35:16</t>
  </si>
  <si>
    <t>ORD00535</t>
  </si>
  <si>
    <t>CUST0255</t>
  </si>
  <si>
    <t>10:17:12</t>
  </si>
  <si>
    <t>ORD00536</t>
  </si>
  <si>
    <t>15:54:00</t>
  </si>
  <si>
    <t>ORD00537</t>
  </si>
  <si>
    <t>04:35:40</t>
  </si>
  <si>
    <t>ORD00538</t>
  </si>
  <si>
    <t>23:57:40</t>
  </si>
  <si>
    <t>ORD00539</t>
  </si>
  <si>
    <t>CUST0153</t>
  </si>
  <si>
    <t>10:09:26</t>
  </si>
  <si>
    <t>ORD00540</t>
  </si>
  <si>
    <t>CUST0250</t>
  </si>
  <si>
    <t>21:13:55</t>
  </si>
  <si>
    <t>ORD00541</t>
  </si>
  <si>
    <t>11:04:33</t>
  </si>
  <si>
    <t>ORD00542</t>
  </si>
  <si>
    <t>22:57:25</t>
  </si>
  <si>
    <t>ORD00543</t>
  </si>
  <si>
    <t>CUST0200</t>
  </si>
  <si>
    <t>19:54:28</t>
  </si>
  <si>
    <t>ORD00544</t>
  </si>
  <si>
    <t>14:26:05</t>
  </si>
  <si>
    <t>ORD00545</t>
  </si>
  <si>
    <t>02:12:04</t>
  </si>
  <si>
    <t>ORD00546</t>
  </si>
  <si>
    <t>11:41:35</t>
  </si>
  <si>
    <t>ORD00547</t>
  </si>
  <si>
    <t>CUST0138</t>
  </si>
  <si>
    <t>19:54:25</t>
  </si>
  <si>
    <t>ORD00548</t>
  </si>
  <si>
    <t>CUST0052</t>
  </si>
  <si>
    <t>04:05:45</t>
  </si>
  <si>
    <t>ORD00549</t>
  </si>
  <si>
    <t>06:06:31</t>
  </si>
  <si>
    <t>ORD00550</t>
  </si>
  <si>
    <t>02:29:28</t>
  </si>
  <si>
    <t>ORD00551</t>
  </si>
  <si>
    <t>08:04:53</t>
  </si>
  <si>
    <t>ORD00552</t>
  </si>
  <si>
    <t>03:55:24</t>
  </si>
  <si>
    <t>ORD00553</t>
  </si>
  <si>
    <t>21:25:53</t>
  </si>
  <si>
    <t>ORD00554</t>
  </si>
  <si>
    <t>21:01:06</t>
  </si>
  <si>
    <t>ORD00555</t>
  </si>
  <si>
    <t>12:14:53</t>
  </si>
  <si>
    <t>ORD00556</t>
  </si>
  <si>
    <t>CUST0453</t>
  </si>
  <si>
    <t>05:34:18</t>
  </si>
  <si>
    <t>ORD00557</t>
  </si>
  <si>
    <t>CUST0498</t>
  </si>
  <si>
    <t>03:38:15</t>
  </si>
  <si>
    <t>ORD00558</t>
  </si>
  <si>
    <t>09:44:44</t>
  </si>
  <si>
    <t>ORD00559</t>
  </si>
  <si>
    <t>17:37:59</t>
  </si>
  <si>
    <t>ORD00560</t>
  </si>
  <si>
    <t>04:22:15</t>
  </si>
  <si>
    <t>ORD00561</t>
  </si>
  <si>
    <t>CUST0481</t>
  </si>
  <si>
    <t>00:14:13</t>
  </si>
  <si>
    <t>ORD00562</t>
  </si>
  <si>
    <t>20:02:42</t>
  </si>
  <si>
    <t>ORD00563</t>
  </si>
  <si>
    <t>05:40:44</t>
  </si>
  <si>
    <t>ORD00564</t>
  </si>
  <si>
    <t>10:10:26</t>
  </si>
  <si>
    <t>ORD00565</t>
  </si>
  <si>
    <t>CUST0272</t>
  </si>
  <si>
    <t>05:25:10</t>
  </si>
  <si>
    <t>ORD00566</t>
  </si>
  <si>
    <t>00:28:13</t>
  </si>
  <si>
    <t>ORD00567</t>
  </si>
  <si>
    <t>20:37:07</t>
  </si>
  <si>
    <t>ORD00568</t>
  </si>
  <si>
    <t>CUST0484</t>
  </si>
  <si>
    <t>21:06:13</t>
  </si>
  <si>
    <t>ORD00569</t>
  </si>
  <si>
    <t>CUST0416</t>
  </si>
  <si>
    <t>14:02:34</t>
  </si>
  <si>
    <t>ORD00570</t>
  </si>
  <si>
    <t>16:14:31</t>
  </si>
  <si>
    <t>ORD00571</t>
  </si>
  <si>
    <t>09:28:07</t>
  </si>
  <si>
    <t>ORD00572</t>
  </si>
  <si>
    <t>07:10:40</t>
  </si>
  <si>
    <t>ORD00573</t>
  </si>
  <si>
    <t>CUST0080</t>
  </si>
  <si>
    <t>16:22:52</t>
  </si>
  <si>
    <t>ORD00574</t>
  </si>
  <si>
    <t>CUST0157</t>
  </si>
  <si>
    <t>18:16:55</t>
  </si>
  <si>
    <t>ORD00575</t>
  </si>
  <si>
    <t>CUST0095</t>
  </si>
  <si>
    <t>09:49:15</t>
  </si>
  <si>
    <t>ORD00576</t>
  </si>
  <si>
    <t>15:36:32</t>
  </si>
  <si>
    <t>ORD00577</t>
  </si>
  <si>
    <t>16:38:34</t>
  </si>
  <si>
    <t>ORD00578</t>
  </si>
  <si>
    <t>CUST0257</t>
  </si>
  <si>
    <t>11:32:54</t>
  </si>
  <si>
    <t>ORD00579</t>
  </si>
  <si>
    <t>15:17:30</t>
  </si>
  <si>
    <t>ORD00580</t>
  </si>
  <si>
    <t>00:22:22</t>
  </si>
  <si>
    <t>ORD00581</t>
  </si>
  <si>
    <t>22:52:52</t>
  </si>
  <si>
    <t>ORD00582</t>
  </si>
  <si>
    <t>CUST0497</t>
  </si>
  <si>
    <t>08:58:05</t>
  </si>
  <si>
    <t>ORD00583</t>
  </si>
  <si>
    <t>10:03:55</t>
  </si>
  <si>
    <t>ORD00584</t>
  </si>
  <si>
    <t>07:36:40</t>
  </si>
  <si>
    <t>ORD00585</t>
  </si>
  <si>
    <t>03:27:30</t>
  </si>
  <si>
    <t>ORD00586</t>
  </si>
  <si>
    <t>04:31:47</t>
  </si>
  <si>
    <t>ORD00587</t>
  </si>
  <si>
    <t>CUST0109</t>
  </si>
  <si>
    <t>14:42:01</t>
  </si>
  <si>
    <t>ORD00588</t>
  </si>
  <si>
    <t>00:49:48</t>
  </si>
  <si>
    <t>ORD00589</t>
  </si>
  <si>
    <t>05:38:04</t>
  </si>
  <si>
    <t>ORD00590</t>
  </si>
  <si>
    <t>02:33:26</t>
  </si>
  <si>
    <t>ORD00591</t>
  </si>
  <si>
    <t>06:14:37</t>
  </si>
  <si>
    <t>ORD00592</t>
  </si>
  <si>
    <t>23:29:38</t>
  </si>
  <si>
    <t>ORD00593</t>
  </si>
  <si>
    <t>CUST0216</t>
  </si>
  <si>
    <t>20:36:59</t>
  </si>
  <si>
    <t>ORD00594</t>
  </si>
  <si>
    <t>CUST0445</t>
  </si>
  <si>
    <t>11:27:43</t>
  </si>
  <si>
    <t>ORD00595</t>
  </si>
  <si>
    <t>CUST0084</t>
  </si>
  <si>
    <t>18:24:15</t>
  </si>
  <si>
    <t>ORD00596</t>
  </si>
  <si>
    <t>12:36:56</t>
  </si>
  <si>
    <t>ORD00597</t>
  </si>
  <si>
    <t>10:34:52</t>
  </si>
  <si>
    <t>ORD00598</t>
  </si>
  <si>
    <t>15:44:24</t>
  </si>
  <si>
    <t>ORD00599</t>
  </si>
  <si>
    <t>18:17:22</t>
  </si>
  <si>
    <t>ORD00600</t>
  </si>
  <si>
    <t>CUST0326</t>
  </si>
  <si>
    <t>15:44:11</t>
  </si>
  <si>
    <t>ORD00601</t>
  </si>
  <si>
    <t>08:16:01</t>
  </si>
  <si>
    <t>ORD00602</t>
  </si>
  <si>
    <t>02:26:28</t>
  </si>
  <si>
    <t>ORD00603</t>
  </si>
  <si>
    <t>21:38:25</t>
  </si>
  <si>
    <t>ORD00604</t>
  </si>
  <si>
    <t>20:23:17</t>
  </si>
  <si>
    <t>ORD00605</t>
  </si>
  <si>
    <t>12:53:15</t>
  </si>
  <si>
    <t>ORD00606</t>
  </si>
  <si>
    <t>CUST0178</t>
  </si>
  <si>
    <t>01:11:47</t>
  </si>
  <si>
    <t>ORD00607</t>
  </si>
  <si>
    <t>10:40:09</t>
  </si>
  <si>
    <t>ORD00608</t>
  </si>
  <si>
    <t>06:07:46</t>
  </si>
  <si>
    <t>ORD00609</t>
  </si>
  <si>
    <t>08:11:56</t>
  </si>
  <si>
    <t>ORD00610</t>
  </si>
  <si>
    <t>CUST0181</t>
  </si>
  <si>
    <t>03:02:10</t>
  </si>
  <si>
    <t>ORD00611</t>
  </si>
  <si>
    <t>04:22:54</t>
  </si>
  <si>
    <t>ORD00612</t>
  </si>
  <si>
    <t>CUST0169</t>
  </si>
  <si>
    <t>10:06:50</t>
  </si>
  <si>
    <t>ORD00613</t>
  </si>
  <si>
    <t>11:56:06</t>
  </si>
  <si>
    <t>ORD00614</t>
  </si>
  <si>
    <t>19:54:35</t>
  </si>
  <si>
    <t>ORD00615</t>
  </si>
  <si>
    <t>CUST0207</t>
  </si>
  <si>
    <t>09:28:23</t>
  </si>
  <si>
    <t>ORD00616</t>
  </si>
  <si>
    <t>07:55:54</t>
  </si>
  <si>
    <t>ORD00617</t>
  </si>
  <si>
    <t>CUST0054</t>
  </si>
  <si>
    <t>04:25:29</t>
  </si>
  <si>
    <t>ORD00618</t>
  </si>
  <si>
    <t>12:24:46</t>
  </si>
  <si>
    <t>ORD00619</t>
  </si>
  <si>
    <t>15:31:31</t>
  </si>
  <si>
    <t>ORD00620</t>
  </si>
  <si>
    <t>05:12:05</t>
  </si>
  <si>
    <t>ORD00621</t>
  </si>
  <si>
    <t>CUST0420</t>
  </si>
  <si>
    <t>15:27:25</t>
  </si>
  <si>
    <t>ORD00622</t>
  </si>
  <si>
    <t>20:00:32</t>
  </si>
  <si>
    <t>ORD00623</t>
  </si>
  <si>
    <t>CUST0446</t>
  </si>
  <si>
    <t>22:32:57</t>
  </si>
  <si>
    <t>ORD00624</t>
  </si>
  <si>
    <t>21:13:17</t>
  </si>
  <si>
    <t>ORD00625</t>
  </si>
  <si>
    <t>15:35:48</t>
  </si>
  <si>
    <t>ORD00626</t>
  </si>
  <si>
    <t>09:40:24</t>
  </si>
  <si>
    <t>ORD00627</t>
  </si>
  <si>
    <t>21:36:49</t>
  </si>
  <si>
    <t>ORD00628</t>
  </si>
  <si>
    <t>04:05:14</t>
  </si>
  <si>
    <t>ORD00629</t>
  </si>
  <si>
    <t>12:21:10</t>
  </si>
  <si>
    <t>ORD00630</t>
  </si>
  <si>
    <t>00:50:03</t>
  </si>
  <si>
    <t>ORD00631</t>
  </si>
  <si>
    <t>15:59:40</t>
  </si>
  <si>
    <t>ORD00632</t>
  </si>
  <si>
    <t>08:23:10</t>
  </si>
  <si>
    <t>ORD00633</t>
  </si>
  <si>
    <t>00:13:58</t>
  </si>
  <si>
    <t>ORD00634</t>
  </si>
  <si>
    <t>05:46:39</t>
  </si>
  <si>
    <t>ORD00635</t>
  </si>
  <si>
    <t>CUST0057</t>
  </si>
  <si>
    <t>22:57:05</t>
  </si>
  <si>
    <t>ORD00636</t>
  </si>
  <si>
    <t>12:23:02</t>
  </si>
  <si>
    <t>ORD00637</t>
  </si>
  <si>
    <t>CUST0288</t>
  </si>
  <si>
    <t>20:56:18</t>
  </si>
  <si>
    <t>ORD00638</t>
  </si>
  <si>
    <t>CUST0205</t>
  </si>
  <si>
    <t>05:36:14</t>
  </si>
  <si>
    <t>ORD00639</t>
  </si>
  <si>
    <t>12:12:14</t>
  </si>
  <si>
    <t>ORD00640</t>
  </si>
  <si>
    <t>17:05:59</t>
  </si>
  <si>
    <t>ORD00641</t>
  </si>
  <si>
    <t>ORD00642</t>
  </si>
  <si>
    <t>13:59:01</t>
  </si>
  <si>
    <t>ORD00643</t>
  </si>
  <si>
    <t>CUST0368</t>
  </si>
  <si>
    <t>15:39:00</t>
  </si>
  <si>
    <t>ORD00644</t>
  </si>
  <si>
    <t>15:09:15</t>
  </si>
  <si>
    <t>ORD00645</t>
  </si>
  <si>
    <t>11:22:29</t>
  </si>
  <si>
    <t>ORD00646</t>
  </si>
  <si>
    <t>04:58:44</t>
  </si>
  <si>
    <t>ORD00647</t>
  </si>
  <si>
    <t>07:21:09</t>
  </si>
  <si>
    <t>ORD00648</t>
  </si>
  <si>
    <t>03:53:05</t>
  </si>
  <si>
    <t>ORD00649</t>
  </si>
  <si>
    <t>20:34:32</t>
  </si>
  <si>
    <t>ORD00650</t>
  </si>
  <si>
    <t>04:38:10</t>
  </si>
  <si>
    <t>ORD00651</t>
  </si>
  <si>
    <t>CUST0050</t>
  </si>
  <si>
    <t>01:29:36</t>
  </si>
  <si>
    <t>ORD00652</t>
  </si>
  <si>
    <t>CUST0033</t>
  </si>
  <si>
    <t>10:20:17</t>
  </si>
  <si>
    <t>ORD00653</t>
  </si>
  <si>
    <t>CUST0327</t>
  </si>
  <si>
    <t>22:41:12</t>
  </si>
  <si>
    <t>ORD00654</t>
  </si>
  <si>
    <t>06:30:16</t>
  </si>
  <si>
    <t>ORD00655</t>
  </si>
  <si>
    <t>13:00:19</t>
  </si>
  <si>
    <t>ORD00656</t>
  </si>
  <si>
    <t>22:52:21</t>
  </si>
  <si>
    <t>ORD00657</t>
  </si>
  <si>
    <t>04:34:42</t>
  </si>
  <si>
    <t>ORD00658</t>
  </si>
  <si>
    <t>18:10:46</t>
  </si>
  <si>
    <t>ORD00659</t>
  </si>
  <si>
    <t>CUST0032</t>
  </si>
  <si>
    <t>18:02:32</t>
  </si>
  <si>
    <t>ORD00660</t>
  </si>
  <si>
    <t>19:15:21</t>
  </si>
  <si>
    <t>ORD00661</t>
  </si>
  <si>
    <t>22:52:18</t>
  </si>
  <si>
    <t>ORD00662</t>
  </si>
  <si>
    <t>03:57:04</t>
  </si>
  <si>
    <t>ORD00663</t>
  </si>
  <si>
    <t>CUST0369</t>
  </si>
  <si>
    <t>10:49:58</t>
  </si>
  <si>
    <t>ORD00664</t>
  </si>
  <si>
    <t>11:58:15</t>
  </si>
  <si>
    <t>ORD00665</t>
  </si>
  <si>
    <t>CUST0150</t>
  </si>
  <si>
    <t>01:28:06</t>
  </si>
  <si>
    <t>ORD00666</t>
  </si>
  <si>
    <t>01:45:00</t>
  </si>
  <si>
    <t>ORD00667</t>
  </si>
  <si>
    <t>05:51:08</t>
  </si>
  <si>
    <t>ORD00668</t>
  </si>
  <si>
    <t>15:04:09</t>
  </si>
  <si>
    <t>ORD00669</t>
  </si>
  <si>
    <t>07:35:16</t>
  </si>
  <si>
    <t>ORD00670</t>
  </si>
  <si>
    <t>CUST0478</t>
  </si>
  <si>
    <t>03:45:47</t>
  </si>
  <si>
    <t>ORD00671</t>
  </si>
  <si>
    <t>01:14:12</t>
  </si>
  <si>
    <t>ORD00672</t>
  </si>
  <si>
    <t>18:34:34</t>
  </si>
  <si>
    <t>ORD00673</t>
  </si>
  <si>
    <t>08:16:21</t>
  </si>
  <si>
    <t>ORD00674</t>
  </si>
  <si>
    <t>CUST0254</t>
  </si>
  <si>
    <t>01:20:53</t>
  </si>
  <si>
    <t>ORD00675</t>
  </si>
  <si>
    <t>21:26:18</t>
  </si>
  <si>
    <t>ORD00676</t>
  </si>
  <si>
    <t>18:33:25</t>
  </si>
  <si>
    <t>ORD00677</t>
  </si>
  <si>
    <t>04:20:26</t>
  </si>
  <si>
    <t>ORD00678</t>
  </si>
  <si>
    <t>05:16:41</t>
  </si>
  <si>
    <t>ORD00679</t>
  </si>
  <si>
    <t>13:35:41</t>
  </si>
  <si>
    <t>ORD00680</t>
  </si>
  <si>
    <t>CUST0467</t>
  </si>
  <si>
    <t>22:45:09</t>
  </si>
  <si>
    <t>ORD00681</t>
  </si>
  <si>
    <t>12:36:09</t>
  </si>
  <si>
    <t>ORD00682</t>
  </si>
  <si>
    <t>23:42:13</t>
  </si>
  <si>
    <t>ORD00683</t>
  </si>
  <si>
    <t>06:20:59</t>
  </si>
  <si>
    <t>ORD00684</t>
  </si>
  <si>
    <t>07:53:12</t>
  </si>
  <si>
    <t>ORD00685</t>
  </si>
  <si>
    <t>21:13:16</t>
  </si>
  <si>
    <t>ORD00686</t>
  </si>
  <si>
    <t>09:51:10</t>
  </si>
  <si>
    <t>ORD00687</t>
  </si>
  <si>
    <t>CUST0119</t>
  </si>
  <si>
    <t>06:56:57</t>
  </si>
  <si>
    <t>ORD00688</t>
  </si>
  <si>
    <t>22:19:08</t>
  </si>
  <si>
    <t>ORD00689</t>
  </si>
  <si>
    <t>06:11:26</t>
  </si>
  <si>
    <t>ORD00690</t>
  </si>
  <si>
    <t>12:29:19</t>
  </si>
  <si>
    <t>ORD00691</t>
  </si>
  <si>
    <t>21:49:55</t>
  </si>
  <si>
    <t>ORD00692</t>
  </si>
  <si>
    <t>06:28:22</t>
  </si>
  <si>
    <t>ORD00693</t>
  </si>
  <si>
    <t>CUST0163</t>
  </si>
  <si>
    <t>00:30:24</t>
  </si>
  <si>
    <t>ORD00694</t>
  </si>
  <si>
    <t>01:00:12</t>
  </si>
  <si>
    <t>ORD00695</t>
  </si>
  <si>
    <t>11:10:56</t>
  </si>
  <si>
    <t>ORD00696</t>
  </si>
  <si>
    <t>19:58:17</t>
  </si>
  <si>
    <t>ORD00697</t>
  </si>
  <si>
    <t>CUST0066</t>
  </si>
  <si>
    <t>12:22:12</t>
  </si>
  <si>
    <t>ORD00698</t>
  </si>
  <si>
    <t>02:27:46</t>
  </si>
  <si>
    <t>ORD00699</t>
  </si>
  <si>
    <t>02:28:35</t>
  </si>
  <si>
    <t>ORD00700</t>
  </si>
  <si>
    <t>23:19:09</t>
  </si>
  <si>
    <t>ORD00701</t>
  </si>
  <si>
    <t>CUST0111</t>
  </si>
  <si>
    <t>22:33:35</t>
  </si>
  <si>
    <t>ORD00702</t>
  </si>
  <si>
    <t>15:07:29</t>
  </si>
  <si>
    <t>ORD00703</t>
  </si>
  <si>
    <t>06:32:20</t>
  </si>
  <si>
    <t>ORD00704</t>
  </si>
  <si>
    <t>05:18:19</t>
  </si>
  <si>
    <t>ORD00705</t>
  </si>
  <si>
    <t>CUST0146</t>
  </si>
  <si>
    <t>13:40:17</t>
  </si>
  <si>
    <t>ORD00706</t>
  </si>
  <si>
    <t>12:20:01</t>
  </si>
  <si>
    <t>ORD00707</t>
  </si>
  <si>
    <t>23:03:39</t>
  </si>
  <si>
    <t>ORD00708</t>
  </si>
  <si>
    <t>CUST0387</t>
  </si>
  <si>
    <t>10:19:29</t>
  </si>
  <si>
    <t>ORD00709</t>
  </si>
  <si>
    <t>02:29:59</t>
  </si>
  <si>
    <t>ORD00710</t>
  </si>
  <si>
    <t>20:21:56</t>
  </si>
  <si>
    <t>ORD00711</t>
  </si>
  <si>
    <t>11:50:24</t>
  </si>
  <si>
    <t>ORD00712</t>
  </si>
  <si>
    <t>13:31:57</t>
  </si>
  <si>
    <t>ORD00713</t>
  </si>
  <si>
    <t>15:04:48</t>
  </si>
  <si>
    <t>ORD00714</t>
  </si>
  <si>
    <t>17:26:03</t>
  </si>
  <si>
    <t>ORD00715</t>
  </si>
  <si>
    <t>16:45:43</t>
  </si>
  <si>
    <t>ORD00716</t>
  </si>
  <si>
    <t>00:17:16</t>
  </si>
  <si>
    <t>ORD00717</t>
  </si>
  <si>
    <t>02:47:54</t>
  </si>
  <si>
    <t>ORD00718</t>
  </si>
  <si>
    <t>00:05:45</t>
  </si>
  <si>
    <t>ORD00719</t>
  </si>
  <si>
    <t>00:37:56</t>
  </si>
  <si>
    <t>ORD00720</t>
  </si>
  <si>
    <t>09:17:44</t>
  </si>
  <si>
    <t>ORD00721</t>
  </si>
  <si>
    <t>08:58:44</t>
  </si>
  <si>
    <t>ORD00722</t>
  </si>
  <si>
    <t>08:44:18</t>
  </si>
  <si>
    <t>ORD00723</t>
  </si>
  <si>
    <t>14:00:16</t>
  </si>
  <si>
    <t>ORD00724</t>
  </si>
  <si>
    <t>CUST0009</t>
  </si>
  <si>
    <t>03:27:14</t>
  </si>
  <si>
    <t>ORD00725</t>
  </si>
  <si>
    <t>01:17:01</t>
  </si>
  <si>
    <t>ORD00726</t>
  </si>
  <si>
    <t>CUST0141</t>
  </si>
  <si>
    <t>15:48:11</t>
  </si>
  <si>
    <t>ORD00727</t>
  </si>
  <si>
    <t>19:49:37</t>
  </si>
  <si>
    <t>ORD00728</t>
  </si>
  <si>
    <t>CUST0195</t>
  </si>
  <si>
    <t>03:04:28</t>
  </si>
  <si>
    <t>ORD00729</t>
  </si>
  <si>
    <t>18:39:34</t>
  </si>
  <si>
    <t>ORD00730</t>
  </si>
  <si>
    <t>CUST0223</t>
  </si>
  <si>
    <t>15:21:05</t>
  </si>
  <si>
    <t>ORD00731</t>
  </si>
  <si>
    <t>04:58:49</t>
  </si>
  <si>
    <t>ORD00732</t>
  </si>
  <si>
    <t>12:45:21</t>
  </si>
  <si>
    <t>ORD00733</t>
  </si>
  <si>
    <t>CUST0356</t>
  </si>
  <si>
    <t>21:23:29</t>
  </si>
  <si>
    <t>ORD00734</t>
  </si>
  <si>
    <t>ORD00735</t>
  </si>
  <si>
    <t>09:55:02</t>
  </si>
  <si>
    <t>ORD00736</t>
  </si>
  <si>
    <t>19:58:39</t>
  </si>
  <si>
    <t>ORD00737</t>
  </si>
  <si>
    <t>10:50:36</t>
  </si>
  <si>
    <t>ORD00738</t>
  </si>
  <si>
    <t>12:58:17</t>
  </si>
  <si>
    <t>ORD00739</t>
  </si>
  <si>
    <t>07:24:22</t>
  </si>
  <si>
    <t>ORD00740</t>
  </si>
  <si>
    <t>01:39:22</t>
  </si>
  <si>
    <t>ORD00741</t>
  </si>
  <si>
    <t>10:27:26</t>
  </si>
  <si>
    <t>ORD00742</t>
  </si>
  <si>
    <t>01:32:02</t>
  </si>
  <si>
    <t>ORD00743</t>
  </si>
  <si>
    <t>23:06:22</t>
  </si>
  <si>
    <t>ORD00744</t>
  </si>
  <si>
    <t>14:19:22</t>
  </si>
  <si>
    <t>ORD00745</t>
  </si>
  <si>
    <t>12:17:16</t>
  </si>
  <si>
    <t>ORD00746</t>
  </si>
  <si>
    <t>17:55:38</t>
  </si>
  <si>
    <t>ORD00747</t>
  </si>
  <si>
    <t>10:12:31</t>
  </si>
  <si>
    <t>ORD00748</t>
  </si>
  <si>
    <t>01:39:33</t>
  </si>
  <si>
    <t>ORD00749</t>
  </si>
  <si>
    <t>CUST0438</t>
  </si>
  <si>
    <t>15:22:26</t>
  </si>
  <si>
    <t>ORD00750</t>
  </si>
  <si>
    <t>20:49:50</t>
  </si>
  <si>
    <t>ORD00751</t>
  </si>
  <si>
    <t>11:20:03</t>
  </si>
  <si>
    <t>ORD00752</t>
  </si>
  <si>
    <t>07:55:51</t>
  </si>
  <si>
    <t>ORD00753</t>
  </si>
  <si>
    <t>CUST0496</t>
  </si>
  <si>
    <t>13:33:41</t>
  </si>
  <si>
    <t>ORD00754</t>
  </si>
  <si>
    <t>08:18:20</t>
  </si>
  <si>
    <t>ORD00755</t>
  </si>
  <si>
    <t>CUST0436</t>
  </si>
  <si>
    <t>12:02:59</t>
  </si>
  <si>
    <t>ORD00756</t>
  </si>
  <si>
    <t>17:45:48</t>
  </si>
  <si>
    <t>ORD00757</t>
  </si>
  <si>
    <t>CUST0423</t>
  </si>
  <si>
    <t>11:41:52</t>
  </si>
  <si>
    <t>ORD00758</t>
  </si>
  <si>
    <t>17:36:30</t>
  </si>
  <si>
    <t>ORD00759</t>
  </si>
  <si>
    <t>CUST0313</t>
  </si>
  <si>
    <t>15:10:12</t>
  </si>
  <si>
    <t>ORD00760</t>
  </si>
  <si>
    <t>CUST0468</t>
  </si>
  <si>
    <t>14:48:58</t>
  </si>
  <si>
    <t>ORD00761</t>
  </si>
  <si>
    <t>17:51:57</t>
  </si>
  <si>
    <t>ORD00762</t>
  </si>
  <si>
    <t>03:30:09</t>
  </si>
  <si>
    <t>ORD00763</t>
  </si>
  <si>
    <t>23:06:49</t>
  </si>
  <si>
    <t>ORD00764</t>
  </si>
  <si>
    <t>17:04:36</t>
  </si>
  <si>
    <t>ORD00765</t>
  </si>
  <si>
    <t>CUST0329</t>
  </si>
  <si>
    <t>05:31:15</t>
  </si>
  <si>
    <t>ORD00766</t>
  </si>
  <si>
    <t>22:44:34</t>
  </si>
  <si>
    <t>ORD00767</t>
  </si>
  <si>
    <t>17:40:11</t>
  </si>
  <si>
    <t>ORD00768</t>
  </si>
  <si>
    <t>20:31:37</t>
  </si>
  <si>
    <t>ORD00769</t>
  </si>
  <si>
    <t>01:45:18</t>
  </si>
  <si>
    <t>ORD00770</t>
  </si>
  <si>
    <t>07:04:33</t>
  </si>
  <si>
    <t>ORD00771</t>
  </si>
  <si>
    <t>10:18:31</t>
  </si>
  <si>
    <t>ORD00772</t>
  </si>
  <si>
    <t>18:44:02</t>
  </si>
  <si>
    <t>ORD00773</t>
  </si>
  <si>
    <t>05:59:36</t>
  </si>
  <si>
    <t>ORD00774</t>
  </si>
  <si>
    <t>14:45:12</t>
  </si>
  <si>
    <t>ORD00775</t>
  </si>
  <si>
    <t>10:38:16</t>
  </si>
  <si>
    <t>ORD00776</t>
  </si>
  <si>
    <t>05:04:56</t>
  </si>
  <si>
    <t>ORD00777</t>
  </si>
  <si>
    <t>16:16:26</t>
  </si>
  <si>
    <t>ORD00778</t>
  </si>
  <si>
    <t>CUST0164</t>
  </si>
  <si>
    <t>11:00:01</t>
  </si>
  <si>
    <t>ORD00779</t>
  </si>
  <si>
    <t>20:53:09</t>
  </si>
  <si>
    <t>ORD00780</t>
  </si>
  <si>
    <t>13:27:50</t>
  </si>
  <si>
    <t>ORD00781</t>
  </si>
  <si>
    <t>09:44:36</t>
  </si>
  <si>
    <t>ORD00782</t>
  </si>
  <si>
    <t>15:53:21</t>
  </si>
  <si>
    <t>ORD00783</t>
  </si>
  <si>
    <t>13:56:00</t>
  </si>
  <si>
    <t>ORD00784</t>
  </si>
  <si>
    <t>14:03:04</t>
  </si>
  <si>
    <t>ORD00785</t>
  </si>
  <si>
    <t>09:23:21</t>
  </si>
  <si>
    <t>ORD00786</t>
  </si>
  <si>
    <t>CUST0117</t>
  </si>
  <si>
    <t>10:15:03</t>
  </si>
  <si>
    <t>ORD00787</t>
  </si>
  <si>
    <t>CUST0271</t>
  </si>
  <si>
    <t>20:14:03</t>
  </si>
  <si>
    <t>ORD00788</t>
  </si>
  <si>
    <t>CUST0048</t>
  </si>
  <si>
    <t>03:24:26</t>
  </si>
  <si>
    <t>ORD00789</t>
  </si>
  <si>
    <t>08:50:54</t>
  </si>
  <si>
    <t>ORD00790</t>
  </si>
  <si>
    <t>22:46:35</t>
  </si>
  <si>
    <t>ORD00791</t>
  </si>
  <si>
    <t>10:25:10</t>
  </si>
  <si>
    <t>ORD00792</t>
  </si>
  <si>
    <t>18:12:00</t>
  </si>
  <si>
    <t>ORD00793</t>
  </si>
  <si>
    <t>22:17:37</t>
  </si>
  <si>
    <t>ORD00794</t>
  </si>
  <si>
    <t>21:49:04</t>
  </si>
  <si>
    <t>ORD00795</t>
  </si>
  <si>
    <t>00:02:26</t>
  </si>
  <si>
    <t>ORD00796</t>
  </si>
  <si>
    <t>17:29:26</t>
  </si>
  <si>
    <t>ORD00797</t>
  </si>
  <si>
    <t>12:17:22</t>
  </si>
  <si>
    <t>ORD00798</t>
  </si>
  <si>
    <t>12:31:12</t>
  </si>
  <si>
    <t>ORD00799</t>
  </si>
  <si>
    <t>15:11:03</t>
  </si>
  <si>
    <t>ORD00800</t>
  </si>
  <si>
    <t>CUST0447</t>
  </si>
  <si>
    <t>20:39:22</t>
  </si>
  <si>
    <t>ORD00801</t>
  </si>
  <si>
    <t>20:11:14</t>
  </si>
  <si>
    <t>ORD00802</t>
  </si>
  <si>
    <t>13:27:07</t>
  </si>
  <si>
    <t>ORD00803</t>
  </si>
  <si>
    <t>17:41:48</t>
  </si>
  <si>
    <t>ORD00804</t>
  </si>
  <si>
    <t>06:01:41</t>
  </si>
  <si>
    <t>ORD00805</t>
  </si>
  <si>
    <t>14:00:21</t>
  </si>
  <si>
    <t>ORD00806</t>
  </si>
  <si>
    <t>19:52:52</t>
  </si>
  <si>
    <t>ORD00807</t>
  </si>
  <si>
    <t>06:43:10</t>
  </si>
  <si>
    <t>ORD00808</t>
  </si>
  <si>
    <t>09:55:04</t>
  </si>
  <si>
    <t>ORD00809</t>
  </si>
  <si>
    <t>21:13:58</t>
  </si>
  <si>
    <t>ORD00810</t>
  </si>
  <si>
    <t>16:24:02</t>
  </si>
  <si>
    <t>ORD00811</t>
  </si>
  <si>
    <t>08:13:34</t>
  </si>
  <si>
    <t>ORD00812</t>
  </si>
  <si>
    <t>CUST0211</t>
  </si>
  <si>
    <t>05:06:59</t>
  </si>
  <si>
    <t>ORD00813</t>
  </si>
  <si>
    <t>19:21:06</t>
  </si>
  <si>
    <t>ORD00814</t>
  </si>
  <si>
    <t>04:54:11</t>
  </si>
  <si>
    <t>ORD00815</t>
  </si>
  <si>
    <t>23:38:34</t>
  </si>
  <si>
    <t>ORD00816</t>
  </si>
  <si>
    <t>CUST0375</t>
  </si>
  <si>
    <t>19:32:54</t>
  </si>
  <si>
    <t>ORD00817</t>
  </si>
  <si>
    <t>21:57:41</t>
  </si>
  <si>
    <t>ORD00818</t>
  </si>
  <si>
    <t>00:57:36</t>
  </si>
  <si>
    <t>ORD00819</t>
  </si>
  <si>
    <t>04:21:44</t>
  </si>
  <si>
    <t>ORD00820</t>
  </si>
  <si>
    <t>CUST0236</t>
  </si>
  <si>
    <t>22:24:32</t>
  </si>
  <si>
    <t>ORD00821</t>
  </si>
  <si>
    <t>00:05:17</t>
  </si>
  <si>
    <t>ORD00822</t>
  </si>
  <si>
    <t>21:50:51</t>
  </si>
  <si>
    <t>ORD00823</t>
  </si>
  <si>
    <t>00:17:58</t>
  </si>
  <si>
    <t>ORD00824</t>
  </si>
  <si>
    <t>CUST0249</t>
  </si>
  <si>
    <t>16:14:39</t>
  </si>
  <si>
    <t>ORD00825</t>
  </si>
  <si>
    <t>16:40:42</t>
  </si>
  <si>
    <t>ORD00826</t>
  </si>
  <si>
    <t>07:49:45</t>
  </si>
  <si>
    <t>ORD00827</t>
  </si>
  <si>
    <t>04:52:51</t>
  </si>
  <si>
    <t>ORD00828</t>
  </si>
  <si>
    <t>13:41:16</t>
  </si>
  <si>
    <t>ORD00829</t>
  </si>
  <si>
    <t>12:22:23</t>
  </si>
  <si>
    <t>ORD00830</t>
  </si>
  <si>
    <t>16:06:59</t>
  </si>
  <si>
    <t>ORD00831</t>
  </si>
  <si>
    <t>CUST0500</t>
  </si>
  <si>
    <t>12:23:37</t>
  </si>
  <si>
    <t>ORD00832</t>
  </si>
  <si>
    <t>CUST0287</t>
  </si>
  <si>
    <t>11:28:27</t>
  </si>
  <si>
    <t>ORD00833</t>
  </si>
  <si>
    <t>06:43:25</t>
  </si>
  <si>
    <t>ORD00834</t>
  </si>
  <si>
    <t>00:42:57</t>
  </si>
  <si>
    <t>ORD00835</t>
  </si>
  <si>
    <t>00:16:17</t>
  </si>
  <si>
    <t>ORD00836</t>
  </si>
  <si>
    <t>21:41:16</t>
  </si>
  <si>
    <t>ORD00837</t>
  </si>
  <si>
    <t>11:01:17</t>
  </si>
  <si>
    <t>ORD00838</t>
  </si>
  <si>
    <t>23:21:48</t>
  </si>
  <si>
    <t>ORD00839</t>
  </si>
  <si>
    <t>01:07:35</t>
  </si>
  <si>
    <t>ORD00840</t>
  </si>
  <si>
    <t>15:38:44</t>
  </si>
  <si>
    <t>ORD00841</t>
  </si>
  <si>
    <t>08:22:45</t>
  </si>
  <si>
    <t>ORD00842</t>
  </si>
  <si>
    <t>CUST0470</t>
  </si>
  <si>
    <t>05:54:50</t>
  </si>
  <si>
    <t>ORD00843</t>
  </si>
  <si>
    <t>CUST0165</t>
  </si>
  <si>
    <t>23:32:31</t>
  </si>
  <si>
    <t>ORD00844</t>
  </si>
  <si>
    <t>23:32:38</t>
  </si>
  <si>
    <t>ORD00845</t>
  </si>
  <si>
    <t>13:07:42</t>
  </si>
  <si>
    <t>ORD00846</t>
  </si>
  <si>
    <t>09:46:00</t>
  </si>
  <si>
    <t>ORD00847</t>
  </si>
  <si>
    <t>03:31:57</t>
  </si>
  <si>
    <t>ORD00848</t>
  </si>
  <si>
    <t>21:38:23</t>
  </si>
  <si>
    <t>ORD00849</t>
  </si>
  <si>
    <t>13:57:29</t>
  </si>
  <si>
    <t>ORD00850</t>
  </si>
  <si>
    <t>11:11:46</t>
  </si>
  <si>
    <t>ORD00851</t>
  </si>
  <si>
    <t>CUST0454</t>
  </si>
  <si>
    <t>21:00:01</t>
  </si>
  <si>
    <t>ORD00852</t>
  </si>
  <si>
    <t>17:35:45</t>
  </si>
  <si>
    <t>ORD00853</t>
  </si>
  <si>
    <t>07:55:16</t>
  </si>
  <si>
    <t>ORD00854</t>
  </si>
  <si>
    <t>CUST0259</t>
  </si>
  <si>
    <t>00:20:20</t>
  </si>
  <si>
    <t>ORD00855</t>
  </si>
  <si>
    <t>03:47:23</t>
  </si>
  <si>
    <t>ORD00856</t>
  </si>
  <si>
    <t>11:16:58</t>
  </si>
  <si>
    <t>ORD00857</t>
  </si>
  <si>
    <t>00:06:39</t>
  </si>
  <si>
    <t>ORD00858</t>
  </si>
  <si>
    <t>00:44:41</t>
  </si>
  <si>
    <t>ORD00859</t>
  </si>
  <si>
    <t>10:10:42</t>
  </si>
  <si>
    <t>ORD00860</t>
  </si>
  <si>
    <t>14:48:17</t>
  </si>
  <si>
    <t>ORD00861</t>
  </si>
  <si>
    <t>01:54:18</t>
  </si>
  <si>
    <t>ORD00862</t>
  </si>
  <si>
    <t>18:36:35</t>
  </si>
  <si>
    <t>ORD00863</t>
  </si>
  <si>
    <t>21:13:11</t>
  </si>
  <si>
    <t>ORD00864</t>
  </si>
  <si>
    <t>CUST0377</t>
  </si>
  <si>
    <t>19:48:50</t>
  </si>
  <si>
    <t>ORD00865</t>
  </si>
  <si>
    <t>17:29:28</t>
  </si>
  <si>
    <t>ORD00866</t>
  </si>
  <si>
    <t>00:16:11</t>
  </si>
  <si>
    <t>ORD00867</t>
  </si>
  <si>
    <t>07:29:27</t>
  </si>
  <si>
    <t>ORD00868</t>
  </si>
  <si>
    <t>20:29:26</t>
  </si>
  <si>
    <t>ORD00869</t>
  </si>
  <si>
    <t>08:42:23</t>
  </si>
  <si>
    <t>ORD00870</t>
  </si>
  <si>
    <t>CUST0087</t>
  </si>
  <si>
    <t>22:51:46</t>
  </si>
  <si>
    <t>ORD00871</t>
  </si>
  <si>
    <t>05:02:03</t>
  </si>
  <si>
    <t>ORD00872</t>
  </si>
  <si>
    <t>19:22:13</t>
  </si>
  <si>
    <t>ORD00873</t>
  </si>
  <si>
    <t>22:27:11</t>
  </si>
  <si>
    <t>ORD00874</t>
  </si>
  <si>
    <t>19:24:26</t>
  </si>
  <si>
    <t>ORD00875</t>
  </si>
  <si>
    <t>05:09:10</t>
  </si>
  <si>
    <t>ORD00876</t>
  </si>
  <si>
    <t>02:44:48</t>
  </si>
  <si>
    <t>ORD00877</t>
  </si>
  <si>
    <t>12:31:44</t>
  </si>
  <si>
    <t>ORD00878</t>
  </si>
  <si>
    <t>16:10:34</t>
  </si>
  <si>
    <t>ORD00879</t>
  </si>
  <si>
    <t>15:25:54</t>
  </si>
  <si>
    <t>ORD00880</t>
  </si>
  <si>
    <t>15:08:33</t>
  </si>
  <si>
    <t>ORD00881</t>
  </si>
  <si>
    <t>02:10:26</t>
  </si>
  <si>
    <t>ORD00882</t>
  </si>
  <si>
    <t>ORD00883</t>
  </si>
  <si>
    <t>02:34:30</t>
  </si>
  <si>
    <t>ORD00884</t>
  </si>
  <si>
    <t>CUST0173</t>
  </si>
  <si>
    <t>05:10:36</t>
  </si>
  <si>
    <t>ORD00885</t>
  </si>
  <si>
    <t>16:13:40</t>
  </si>
  <si>
    <t>ORD00886</t>
  </si>
  <si>
    <t>02:25:21</t>
  </si>
  <si>
    <t>ORD00887</t>
  </si>
  <si>
    <t>05:05:30</t>
  </si>
  <si>
    <t>ORD00888</t>
  </si>
  <si>
    <t>CUST0285</t>
  </si>
  <si>
    <t>08:49:12</t>
  </si>
  <si>
    <t>ORD00889</t>
  </si>
  <si>
    <t>01:59:20</t>
  </si>
  <si>
    <t>ORD00890</t>
  </si>
  <si>
    <t>16:35:54</t>
  </si>
  <si>
    <t>ORD00891</t>
  </si>
  <si>
    <t>22:55:11</t>
  </si>
  <si>
    <t>ORD00892</t>
  </si>
  <si>
    <t>00:31:16</t>
  </si>
  <si>
    <t>ORD00893</t>
  </si>
  <si>
    <t>ORD00894</t>
  </si>
  <si>
    <t>22:48:49</t>
  </si>
  <si>
    <t>ORD00895</t>
  </si>
  <si>
    <t>CUST0014</t>
  </si>
  <si>
    <t>05:56:31</t>
  </si>
  <si>
    <t>ORD00896</t>
  </si>
  <si>
    <t>CUST0068</t>
  </si>
  <si>
    <t>19:45:36</t>
  </si>
  <si>
    <t>ORD00897</t>
  </si>
  <si>
    <t>CUST0253</t>
  </si>
  <si>
    <t>11:11:57</t>
  </si>
  <si>
    <t>ORD00898</t>
  </si>
  <si>
    <t>17:16:41</t>
  </si>
  <si>
    <t>ORD00899</t>
  </si>
  <si>
    <t>18:12:55</t>
  </si>
  <si>
    <t>ORD00900</t>
  </si>
  <si>
    <t>CUST0179</t>
  </si>
  <si>
    <t>11:20:49</t>
  </si>
  <si>
    <t>ORD00901</t>
  </si>
  <si>
    <t>22:21:49</t>
  </si>
  <si>
    <t>ORD00902</t>
  </si>
  <si>
    <t>01:27:45</t>
  </si>
  <si>
    <t>ORD00903</t>
  </si>
  <si>
    <t>23:29:55</t>
  </si>
  <si>
    <t>ORD00904</t>
  </si>
  <si>
    <t>07:40:43</t>
  </si>
  <si>
    <t>ORD00905</t>
  </si>
  <si>
    <t>15:34:57</t>
  </si>
  <si>
    <t>ORD00906</t>
  </si>
  <si>
    <t>00:09:18</t>
  </si>
  <si>
    <t>ORD00907</t>
  </si>
  <si>
    <t>18:06:44</t>
  </si>
  <si>
    <t>ORD00908</t>
  </si>
  <si>
    <t>18:09:52</t>
  </si>
  <si>
    <t>ORD00909</t>
  </si>
  <si>
    <t>08:06:54</t>
  </si>
  <si>
    <t>ORD00910</t>
  </si>
  <si>
    <t>16:49:46</t>
  </si>
  <si>
    <t>ORD00911</t>
  </si>
  <si>
    <t>11:01:55</t>
  </si>
  <si>
    <t>ORD00912</t>
  </si>
  <si>
    <t>11:09:35</t>
  </si>
  <si>
    <t>ORD00913</t>
  </si>
  <si>
    <t>20:09:35</t>
  </si>
  <si>
    <t>ORD00914</t>
  </si>
  <si>
    <t>05:01:28</t>
  </si>
  <si>
    <t>ORD00915</t>
  </si>
  <si>
    <t>14:05:49</t>
  </si>
  <si>
    <t>ORD00916</t>
  </si>
  <si>
    <t>22:58:33</t>
  </si>
  <si>
    <t>ORD00917</t>
  </si>
  <si>
    <t>CUST0410</t>
  </si>
  <si>
    <t>03:12:29</t>
  </si>
  <si>
    <t>ORD00918</t>
  </si>
  <si>
    <t>01:08:37</t>
  </si>
  <si>
    <t>ORD00919</t>
  </si>
  <si>
    <t>CUST0306</t>
  </si>
  <si>
    <t>09:48:08</t>
  </si>
  <si>
    <t>ORD00920</t>
  </si>
  <si>
    <t>05:45:37</t>
  </si>
  <si>
    <t>ORD00921</t>
  </si>
  <si>
    <t>07:43:48</t>
  </si>
  <si>
    <t>ORD00922</t>
  </si>
  <si>
    <t>14:23:31</t>
  </si>
  <si>
    <t>ORD00923</t>
  </si>
  <si>
    <t>CUST0411</t>
  </si>
  <si>
    <t>22:19:10</t>
  </si>
  <si>
    <t>ORD00924</t>
  </si>
  <si>
    <t>10:44:56</t>
  </si>
  <si>
    <t>ORD00925</t>
  </si>
  <si>
    <t>07:03:34</t>
  </si>
  <si>
    <t>ORD00926</t>
  </si>
  <si>
    <t>01:51:25</t>
  </si>
  <si>
    <t>ORD00927</t>
  </si>
  <si>
    <t>CUST0465</t>
  </si>
  <si>
    <t>20:28:52</t>
  </si>
  <si>
    <t>ORD00928</t>
  </si>
  <si>
    <t>02:01:52</t>
  </si>
  <si>
    <t>ORD00929</t>
  </si>
  <si>
    <t>11:18:15</t>
  </si>
  <si>
    <t>ORD00930</t>
  </si>
  <si>
    <t>13:00:28</t>
  </si>
  <si>
    <t>ORD00931</t>
  </si>
  <si>
    <t>00:45:25</t>
  </si>
  <si>
    <t>ORD00932</t>
  </si>
  <si>
    <t>08:02:06</t>
  </si>
  <si>
    <t>ORD00933</t>
  </si>
  <si>
    <t>19:04:34</t>
  </si>
  <si>
    <t>ORD00934</t>
  </si>
  <si>
    <t>03:06:55</t>
  </si>
  <si>
    <t>ORD00935</t>
  </si>
  <si>
    <t>22:12:55</t>
  </si>
  <si>
    <t>ORD00936</t>
  </si>
  <si>
    <t>10:01:56</t>
  </si>
  <si>
    <t>ORD00937</t>
  </si>
  <si>
    <t>CUST0456</t>
  </si>
  <si>
    <t>04:49:27</t>
  </si>
  <si>
    <t>ORD00938</t>
  </si>
  <si>
    <t>12:13:08</t>
  </si>
  <si>
    <t>ORD00939</t>
  </si>
  <si>
    <t>03:58:20</t>
  </si>
  <si>
    <t>ORD00940</t>
  </si>
  <si>
    <t>CUST0299</t>
  </si>
  <si>
    <t>17:28:58</t>
  </si>
  <si>
    <t>ORD00941</t>
  </si>
  <si>
    <t>05:02:30</t>
  </si>
  <si>
    <t>ORD00942</t>
  </si>
  <si>
    <t>11:36:18</t>
  </si>
  <si>
    <t>ORD00943</t>
  </si>
  <si>
    <t>17:39:00</t>
  </si>
  <si>
    <t>ORD00944</t>
  </si>
  <si>
    <t>18:43:00</t>
  </si>
  <si>
    <t>ORD00945</t>
  </si>
  <si>
    <t>23:39:49</t>
  </si>
  <si>
    <t>ORD00946</t>
  </si>
  <si>
    <t>08:33:53</t>
  </si>
  <si>
    <t>ORD00947</t>
  </si>
  <si>
    <t>02:10:14</t>
  </si>
  <si>
    <t>ORD00948</t>
  </si>
  <si>
    <t>15:39:14</t>
  </si>
  <si>
    <t>ORD00949</t>
  </si>
  <si>
    <t>02:41:56</t>
  </si>
  <si>
    <t>ORD00950</t>
  </si>
  <si>
    <t>19:09:50</t>
  </si>
  <si>
    <t>ORD00951</t>
  </si>
  <si>
    <t>18:01:40</t>
  </si>
  <si>
    <t>ORD00952</t>
  </si>
  <si>
    <t>10:11:09</t>
  </si>
  <si>
    <t>ORD00953</t>
  </si>
  <si>
    <t>02:33:19</t>
  </si>
  <si>
    <t>ORD00954</t>
  </si>
  <si>
    <t>17:35:00</t>
  </si>
  <si>
    <t>ORD00955</t>
  </si>
  <si>
    <t>13:12:22</t>
  </si>
  <si>
    <t>ORD00956</t>
  </si>
  <si>
    <t>16:51:33</t>
  </si>
  <si>
    <t>ORD00957</t>
  </si>
  <si>
    <t>19:16:25</t>
  </si>
  <si>
    <t>ORD00958</t>
  </si>
  <si>
    <t>10:43:12</t>
  </si>
  <si>
    <t>ORD00959</t>
  </si>
  <si>
    <t>00:26:39</t>
  </si>
  <si>
    <t>ORD00960</t>
  </si>
  <si>
    <t>08:02:39</t>
  </si>
  <si>
    <t>ORD00961</t>
  </si>
  <si>
    <t>23:44:44</t>
  </si>
  <si>
    <t>ORD00962</t>
  </si>
  <si>
    <t>13:53:59</t>
  </si>
  <si>
    <t>ORD00963</t>
  </si>
  <si>
    <t>01:46:10</t>
  </si>
  <si>
    <t>ORD00964</t>
  </si>
  <si>
    <t>CUST0226</t>
  </si>
  <si>
    <t>23:17:22</t>
  </si>
  <si>
    <t>ORD00965</t>
  </si>
  <si>
    <t>CUST0100</t>
  </si>
  <si>
    <t>04:13:10</t>
  </si>
  <si>
    <t>ORD00966</t>
  </si>
  <si>
    <t>10:34:09</t>
  </si>
  <si>
    <t>ORD00967</t>
  </si>
  <si>
    <t>14:07:48</t>
  </si>
  <si>
    <t>ORD00968</t>
  </si>
  <si>
    <t>02:17:17</t>
  </si>
  <si>
    <t>ORD00969</t>
  </si>
  <si>
    <t>13:57:14</t>
  </si>
  <si>
    <t>ORD00970</t>
  </si>
  <si>
    <t>CUST0340</t>
  </si>
  <si>
    <t>12:15:38</t>
  </si>
  <si>
    <t>ORD00971</t>
  </si>
  <si>
    <t>12:36:18</t>
  </si>
  <si>
    <t>ORD00972</t>
  </si>
  <si>
    <t>21:31:01</t>
  </si>
  <si>
    <t>ORD00973</t>
  </si>
  <si>
    <t>16:52:37</t>
  </si>
  <si>
    <t>ORD00974</t>
  </si>
  <si>
    <t>15:36:01</t>
  </si>
  <si>
    <t>ORD00975</t>
  </si>
  <si>
    <t>14:58:54</t>
  </si>
  <si>
    <t>ORD00976</t>
  </si>
  <si>
    <t>21:20:50</t>
  </si>
  <si>
    <t>ORD00977</t>
  </si>
  <si>
    <t>06:15:22</t>
  </si>
  <si>
    <t>ORD00978</t>
  </si>
  <si>
    <t>CUST0343</t>
  </si>
  <si>
    <t>09:43:13</t>
  </si>
  <si>
    <t>ORD00979</t>
  </si>
  <si>
    <t>CUST0096</t>
  </si>
  <si>
    <t>21:21:14</t>
  </si>
  <si>
    <t>ORD00980</t>
  </si>
  <si>
    <t>07:57:38</t>
  </si>
  <si>
    <t>ORD00981</t>
  </si>
  <si>
    <t>CUST0310</t>
  </si>
  <si>
    <t>15:31:46</t>
  </si>
  <si>
    <t>ORD00982</t>
  </si>
  <si>
    <t>12:43:15</t>
  </si>
  <si>
    <t>ORD00983</t>
  </si>
  <si>
    <t>22:08:35</t>
  </si>
  <si>
    <t>ORD00984</t>
  </si>
  <si>
    <t>09:35:41</t>
  </si>
  <si>
    <t>ORD00985</t>
  </si>
  <si>
    <t>09:07:52</t>
  </si>
  <si>
    <t>ORD00986</t>
  </si>
  <si>
    <t>02:00:10</t>
  </si>
  <si>
    <t>ORD00987</t>
  </si>
  <si>
    <t>02:49:51</t>
  </si>
  <si>
    <t>ORD00988</t>
  </si>
  <si>
    <t>15:55:54</t>
  </si>
  <si>
    <t>ORD00989</t>
  </si>
  <si>
    <t>17:18:59</t>
  </si>
  <si>
    <t>ORD00990</t>
  </si>
  <si>
    <t>CUST0063</t>
  </si>
  <si>
    <t>14:02:32</t>
  </si>
  <si>
    <t>ORD00991</t>
  </si>
  <si>
    <t>16:13:47</t>
  </si>
  <si>
    <t>ORD00992</t>
  </si>
  <si>
    <t>CUST0388</t>
  </si>
  <si>
    <t>13:46:01</t>
  </si>
  <si>
    <t>ORD00993</t>
  </si>
  <si>
    <t>02:51:19</t>
  </si>
  <si>
    <t>ORD00994</t>
  </si>
  <si>
    <t>CUST0341</t>
  </si>
  <si>
    <t>01:34:42</t>
  </si>
  <si>
    <t>ORD00995</t>
  </si>
  <si>
    <t>12:58:20</t>
  </si>
  <si>
    <t>ORD00996</t>
  </si>
  <si>
    <t>CUST0154</t>
  </si>
  <si>
    <t>ORD00997</t>
  </si>
  <si>
    <t>CUST0012</t>
  </si>
  <si>
    <t>00:14:44</t>
  </si>
  <si>
    <t>ORD00998</t>
  </si>
  <si>
    <t>17:51:29</t>
  </si>
  <si>
    <t>ORD00999</t>
  </si>
  <si>
    <t>18:36:40</t>
  </si>
  <si>
    <t>ORD01000</t>
  </si>
  <si>
    <t>12:34:38</t>
  </si>
  <si>
    <t>ORD01001</t>
  </si>
  <si>
    <t>08:10:39</t>
  </si>
  <si>
    <t>ORD01002</t>
  </si>
  <si>
    <t>09:08:24</t>
  </si>
  <si>
    <t>ORD01003</t>
  </si>
  <si>
    <t>16:11:04</t>
  </si>
  <si>
    <t>ORD01004</t>
  </si>
  <si>
    <t>05:14:19</t>
  </si>
  <si>
    <t>ORD01005</t>
  </si>
  <si>
    <t>14:22:41</t>
  </si>
  <si>
    <t>ORD01006</t>
  </si>
  <si>
    <t>06:50:57</t>
  </si>
  <si>
    <t>ORD01007</t>
  </si>
  <si>
    <t>06:20:53</t>
  </si>
  <si>
    <t>ORD01008</t>
  </si>
  <si>
    <t>08:59:38</t>
  </si>
  <si>
    <t>ORD01009</t>
  </si>
  <si>
    <t>13:43:13</t>
  </si>
  <si>
    <t>ORD01010</t>
  </si>
  <si>
    <t>16:22:23</t>
  </si>
  <si>
    <t>ORD01011</t>
  </si>
  <si>
    <t>02:56:41</t>
  </si>
  <si>
    <t>ORD01012</t>
  </si>
  <si>
    <t>14:13:24</t>
  </si>
  <si>
    <t>ORD01013</t>
  </si>
  <si>
    <t>CUST0322</t>
  </si>
  <si>
    <t>12:51:53</t>
  </si>
  <si>
    <t>ORD01014</t>
  </si>
  <si>
    <t>05:07:38</t>
  </si>
  <si>
    <t>ORD01015</t>
  </si>
  <si>
    <t>01:55:18</t>
  </si>
  <si>
    <t>ORD01016</t>
  </si>
  <si>
    <t>05:31:48</t>
  </si>
  <si>
    <t>ORD01017</t>
  </si>
  <si>
    <t>14:02:19</t>
  </si>
  <si>
    <t>ORD01018</t>
  </si>
  <si>
    <t>01:12:56</t>
  </si>
  <si>
    <t>ORD01019</t>
  </si>
  <si>
    <t>14:40:07</t>
  </si>
  <si>
    <t>ORD01020</t>
  </si>
  <si>
    <t>00:22:05</t>
  </si>
  <si>
    <t>ORD01021</t>
  </si>
  <si>
    <t>11:47:48</t>
  </si>
  <si>
    <t>ORD01022</t>
  </si>
  <si>
    <t>CUST0303</t>
  </si>
  <si>
    <t>01:39:45</t>
  </si>
  <si>
    <t>ORD01023</t>
  </si>
  <si>
    <t>CUST0134</t>
  </si>
  <si>
    <t>21:00:09</t>
  </si>
  <si>
    <t>ORD01024</t>
  </si>
  <si>
    <t>01:46:29</t>
  </si>
  <si>
    <t>ORD01025</t>
  </si>
  <si>
    <t>CUST0440</t>
  </si>
  <si>
    <t>00:19:49</t>
  </si>
  <si>
    <t>ORD01026</t>
  </si>
  <si>
    <t>15:38:50</t>
  </si>
  <si>
    <t>ORD01027</t>
  </si>
  <si>
    <t>ORD01028</t>
  </si>
  <si>
    <t>15:22:30</t>
  </si>
  <si>
    <t>ORD01029</t>
  </si>
  <si>
    <t>13:59:53</t>
  </si>
  <si>
    <t>ORD01030</t>
  </si>
  <si>
    <t>ORD01031</t>
  </si>
  <si>
    <t>11:03:39</t>
  </si>
  <si>
    <t>ORD01032</t>
  </si>
  <si>
    <t>21:16:28</t>
  </si>
  <si>
    <t>ORD01033</t>
  </si>
  <si>
    <t>10:39:40</t>
  </si>
  <si>
    <t>ORD01034</t>
  </si>
  <si>
    <t>07:27:44</t>
  </si>
  <si>
    <t>ORD01035</t>
  </si>
  <si>
    <t>21:45:27</t>
  </si>
  <si>
    <t>ORD01036</t>
  </si>
  <si>
    <t>20:51:06</t>
  </si>
  <si>
    <t>ORD01037</t>
  </si>
  <si>
    <t>17:16:07</t>
  </si>
  <si>
    <t>ORD01038</t>
  </si>
  <si>
    <t>16:21:14</t>
  </si>
  <si>
    <t>ORD01039</t>
  </si>
  <si>
    <t>20:30:27</t>
  </si>
  <si>
    <t>ORD01040</t>
  </si>
  <si>
    <t>05:41:53</t>
  </si>
  <si>
    <t>ORD01041</t>
  </si>
  <si>
    <t>14:38:07</t>
  </si>
  <si>
    <t>ORD01042</t>
  </si>
  <si>
    <t>21:01:11</t>
  </si>
  <si>
    <t>ORD01043</t>
  </si>
  <si>
    <t>11:41:46</t>
  </si>
  <si>
    <t>ORD01044</t>
  </si>
  <si>
    <t>07:40:52</t>
  </si>
  <si>
    <t>ORD01045</t>
  </si>
  <si>
    <t>21:25:01</t>
  </si>
  <si>
    <t>ORD01046</t>
  </si>
  <si>
    <t>CUST0360</t>
  </si>
  <si>
    <t>00:06:14</t>
  </si>
  <si>
    <t>ORD01047</t>
  </si>
  <si>
    <t>05:10:10</t>
  </si>
  <si>
    <t>ORD01048</t>
  </si>
  <si>
    <t>CUST0245</t>
  </si>
  <si>
    <t>16:07:23</t>
  </si>
  <si>
    <t>ORD01049</t>
  </si>
  <si>
    <t>23:42:08</t>
  </si>
  <si>
    <t>ORD01050</t>
  </si>
  <si>
    <t>10:44:24</t>
  </si>
  <si>
    <t>ORD01051</t>
  </si>
  <si>
    <t>04:18:40</t>
  </si>
  <si>
    <t>ORD01052</t>
  </si>
  <si>
    <t>CUST0482</t>
  </si>
  <si>
    <t>00:05:40</t>
  </si>
  <si>
    <t>ORD01053</t>
  </si>
  <si>
    <t>12:00:09</t>
  </si>
  <si>
    <t>ORD01054</t>
  </si>
  <si>
    <t>CUST0407</t>
  </si>
  <si>
    <t>18:41:21</t>
  </si>
  <si>
    <t>ORD01055</t>
  </si>
  <si>
    <t>22:24:49</t>
  </si>
  <si>
    <t>ORD01056</t>
  </si>
  <si>
    <t>ORD01057</t>
  </si>
  <si>
    <t>15:01:37</t>
  </si>
  <si>
    <t>ORD01058</t>
  </si>
  <si>
    <t>10:48:08</t>
  </si>
  <si>
    <t>ORD01059</t>
  </si>
  <si>
    <t>16:50:51</t>
  </si>
  <si>
    <t>ORD01060</t>
  </si>
  <si>
    <t>00:08:24</t>
  </si>
  <si>
    <t>ORD01061</t>
  </si>
  <si>
    <t>16:56:24</t>
  </si>
  <si>
    <t>ORD01062</t>
  </si>
  <si>
    <t>12:11:56</t>
  </si>
  <si>
    <t>ORD01063</t>
  </si>
  <si>
    <t>06:07:12</t>
  </si>
  <si>
    <t>ORD01064</t>
  </si>
  <si>
    <t>01:37:50</t>
  </si>
  <si>
    <t>ORD01065</t>
  </si>
  <si>
    <t>CUST0396</t>
  </si>
  <si>
    <t>15:23:07</t>
  </si>
  <si>
    <t>ORD01066</t>
  </si>
  <si>
    <t>08:30:02</t>
  </si>
  <si>
    <t>ORD01067</t>
  </si>
  <si>
    <t>02:17:43</t>
  </si>
  <si>
    <t>ORD01068</t>
  </si>
  <si>
    <t>15:11:44</t>
  </si>
  <si>
    <t>ORD01069</t>
  </si>
  <si>
    <t>07:51:15</t>
  </si>
  <si>
    <t>ORD01070</t>
  </si>
  <si>
    <t>13:27:53</t>
  </si>
  <si>
    <t>ORD01071</t>
  </si>
  <si>
    <t>21:07:56</t>
  </si>
  <si>
    <t>ORD01072</t>
  </si>
  <si>
    <t>01:06:55</t>
  </si>
  <si>
    <t>ORD01073</t>
  </si>
  <si>
    <t>15:26:44</t>
  </si>
  <si>
    <t>ORD01074</t>
  </si>
  <si>
    <t>00:47:45</t>
  </si>
  <si>
    <t>ORD01075</t>
  </si>
  <si>
    <t>08:05:47</t>
  </si>
  <si>
    <t>ORD01076</t>
  </si>
  <si>
    <t>18:46:06</t>
  </si>
  <si>
    <t>ORD01077</t>
  </si>
  <si>
    <t>02:54:06</t>
  </si>
  <si>
    <t>ORD01078</t>
  </si>
  <si>
    <t>03:47:36</t>
  </si>
  <si>
    <t>ORD01079</t>
  </si>
  <si>
    <t>CUST0076</t>
  </si>
  <si>
    <t>07:13:37</t>
  </si>
  <si>
    <t>ORD01080</t>
  </si>
  <si>
    <t>18:58:57</t>
  </si>
  <si>
    <t>ORD01081</t>
  </si>
  <si>
    <t>11:29:41</t>
  </si>
  <si>
    <t>ORD01082</t>
  </si>
  <si>
    <t>CUST0402</t>
  </si>
  <si>
    <t>15:07:05</t>
  </si>
  <si>
    <t>ORD01083</t>
  </si>
  <si>
    <t>02:58:37</t>
  </si>
  <si>
    <t>ORD01084</t>
  </si>
  <si>
    <t>09:09:29</t>
  </si>
  <si>
    <t>ORD01085</t>
  </si>
  <si>
    <t>05:48:14</t>
  </si>
  <si>
    <t>ORD01086</t>
  </si>
  <si>
    <t>22:14:27</t>
  </si>
  <si>
    <t>ORD01087</t>
  </si>
  <si>
    <t>13:49:20</t>
  </si>
  <si>
    <t>ORD01088</t>
  </si>
  <si>
    <t>08:42:37</t>
  </si>
  <si>
    <t>ORD01089</t>
  </si>
  <si>
    <t>22:54:56</t>
  </si>
  <si>
    <t>ORD01090</t>
  </si>
  <si>
    <t>04:46:06</t>
  </si>
  <si>
    <t>ORD01091</t>
  </si>
  <si>
    <t>05:30:41</t>
  </si>
  <si>
    <t>ORD01092</t>
  </si>
  <si>
    <t>23:02:51</t>
  </si>
  <si>
    <t>ORD01093</t>
  </si>
  <si>
    <t>18:58:21</t>
  </si>
  <si>
    <t>ORD01094</t>
  </si>
  <si>
    <t>06:34:20</t>
  </si>
  <si>
    <t>ORD01095</t>
  </si>
  <si>
    <t>16:23:03</t>
  </si>
  <si>
    <t>ORD01096</t>
  </si>
  <si>
    <t>14:00:13</t>
  </si>
  <si>
    <t>ORD01097</t>
  </si>
  <si>
    <t>CUST0395</t>
  </si>
  <si>
    <t>11:19:10</t>
  </si>
  <si>
    <t>ORD01098</t>
  </si>
  <si>
    <t>10:22:37</t>
  </si>
  <si>
    <t>ORD01099</t>
  </si>
  <si>
    <t>12:54:09</t>
  </si>
  <si>
    <t>ORD01100</t>
  </si>
  <si>
    <t>08:42:55</t>
  </si>
  <si>
    <t>ORD01101</t>
  </si>
  <si>
    <t>12:02:28</t>
  </si>
  <si>
    <t>ORD01102</t>
  </si>
  <si>
    <t>20:38:57</t>
  </si>
  <si>
    <t>ORD01103</t>
  </si>
  <si>
    <t>07:49:36</t>
  </si>
  <si>
    <t>ORD01104</t>
  </si>
  <si>
    <t>16:18:40</t>
  </si>
  <si>
    <t>ORD01105</t>
  </si>
  <si>
    <t>CUST0487</t>
  </si>
  <si>
    <t>03:13:38</t>
  </si>
  <si>
    <t>ORD01106</t>
  </si>
  <si>
    <t>05:23:44</t>
  </si>
  <si>
    <t>ORD01107</t>
  </si>
  <si>
    <t>02:26:32</t>
  </si>
  <si>
    <t>ORD01108</t>
  </si>
  <si>
    <t>10:25:20</t>
  </si>
  <si>
    <t>ORD01109</t>
  </si>
  <si>
    <t>15:22:53</t>
  </si>
  <si>
    <t>ORD01110</t>
  </si>
  <si>
    <t>CUST0404</t>
  </si>
  <si>
    <t>21:52:44</t>
  </si>
  <si>
    <t>ORD01111</t>
  </si>
  <si>
    <t>07:30:55</t>
  </si>
  <si>
    <t>ORD01112</t>
  </si>
  <si>
    <t>11:58:26</t>
  </si>
  <si>
    <t>ORD01113</t>
  </si>
  <si>
    <t>CUST0452</t>
  </si>
  <si>
    <t>17:01:46</t>
  </si>
  <si>
    <t>ORD01114</t>
  </si>
  <si>
    <t>13:01:35</t>
  </si>
  <si>
    <t>ORD01115</t>
  </si>
  <si>
    <t>01:25:49</t>
  </si>
  <si>
    <t>ORD01116</t>
  </si>
  <si>
    <t>18:21:19</t>
  </si>
  <si>
    <t>ORD01117</t>
  </si>
  <si>
    <t>02:00:28</t>
  </si>
  <si>
    <t>ORD01118</t>
  </si>
  <si>
    <t>08:42:43</t>
  </si>
  <si>
    <t>ORD01119</t>
  </si>
  <si>
    <t>06:04:07</t>
  </si>
  <si>
    <t>ORD01120</t>
  </si>
  <si>
    <t>17:46:45</t>
  </si>
  <si>
    <t>ORD01121</t>
  </si>
  <si>
    <t>04:49:56</t>
  </si>
  <si>
    <t>ORD01122</t>
  </si>
  <si>
    <t>21:23:38</t>
  </si>
  <si>
    <t>ORD01123</t>
  </si>
  <si>
    <t>07:29:26</t>
  </si>
  <si>
    <t>ORD01124</t>
  </si>
  <si>
    <t>05:14:26</t>
  </si>
  <si>
    <t>ORD01125</t>
  </si>
  <si>
    <t>08:33:26</t>
  </si>
  <si>
    <t>ORD01126</t>
  </si>
  <si>
    <t>11:04:19</t>
  </si>
  <si>
    <t>ORD01127</t>
  </si>
  <si>
    <t>09:58:16</t>
  </si>
  <si>
    <t>ORD01128</t>
  </si>
  <si>
    <t>04:48:59</t>
  </si>
  <si>
    <t>ORD01129</t>
  </si>
  <si>
    <t>19:54:49</t>
  </si>
  <si>
    <t>ORD01130</t>
  </si>
  <si>
    <t>08:10:01</t>
  </si>
  <si>
    <t>ORD01131</t>
  </si>
  <si>
    <t>10:03:07</t>
  </si>
  <si>
    <t>ORD01132</t>
  </si>
  <si>
    <t>16:49:01</t>
  </si>
  <si>
    <t>ORD01133</t>
  </si>
  <si>
    <t>CUST0264</t>
  </si>
  <si>
    <t>07:14:22</t>
  </si>
  <si>
    <t>ORD01134</t>
  </si>
  <si>
    <t>04:23:18</t>
  </si>
  <si>
    <t>ORD01135</t>
  </si>
  <si>
    <t>01:54:24</t>
  </si>
  <si>
    <t>ORD01136</t>
  </si>
  <si>
    <t>11:21:55</t>
  </si>
  <si>
    <t>ORD01137</t>
  </si>
  <si>
    <t>12:27:42</t>
  </si>
  <si>
    <t>ORD01138</t>
  </si>
  <si>
    <t>10:23:30</t>
  </si>
  <si>
    <t>ORD01139</t>
  </si>
  <si>
    <t>08:38:42</t>
  </si>
  <si>
    <t>ORD01140</t>
  </si>
  <si>
    <t>17:08:29</t>
  </si>
  <si>
    <t>ORD01141</t>
  </si>
  <si>
    <t>08:53:34</t>
  </si>
  <si>
    <t>ORD01142</t>
  </si>
  <si>
    <t>05:48:56</t>
  </si>
  <si>
    <t>ORD01143</t>
  </si>
  <si>
    <t>00:15:42</t>
  </si>
  <si>
    <t>ORD01144</t>
  </si>
  <si>
    <t>09:24:19</t>
  </si>
  <si>
    <t>ORD01145</t>
  </si>
  <si>
    <t>15:35:29</t>
  </si>
  <si>
    <t>ORD01146</t>
  </si>
  <si>
    <t>00:00:57</t>
  </si>
  <si>
    <t>ORD01147</t>
  </si>
  <si>
    <t>10:10:43</t>
  </si>
  <si>
    <t>ORD01148</t>
  </si>
  <si>
    <t>CUST0156</t>
  </si>
  <si>
    <t>01:38:30</t>
  </si>
  <si>
    <t>ORD01149</t>
  </si>
  <si>
    <t>13:16:08</t>
  </si>
  <si>
    <t>ORD01150</t>
  </si>
  <si>
    <t>08:49:53</t>
  </si>
  <si>
    <t>ORD01151</t>
  </si>
  <si>
    <t>13:47:36</t>
  </si>
  <si>
    <t>ORD01152</t>
  </si>
  <si>
    <t>14:51:11</t>
  </si>
  <si>
    <t>ORD01153</t>
  </si>
  <si>
    <t>17:31:00</t>
  </si>
  <si>
    <t>ORD01154</t>
  </si>
  <si>
    <t>04:47:45</t>
  </si>
  <si>
    <t>ORD01155</t>
  </si>
  <si>
    <t>04:51:07</t>
  </si>
  <si>
    <t>ORD01156</t>
  </si>
  <si>
    <t>20:47:40</t>
  </si>
  <si>
    <t>ORD01157</t>
  </si>
  <si>
    <t>13:55:06</t>
  </si>
  <si>
    <t>ORD01158</t>
  </si>
  <si>
    <t>13:40:16</t>
  </si>
  <si>
    <t>ORD01159</t>
  </si>
  <si>
    <t>17:00:59</t>
  </si>
  <si>
    <t>ORD01160</t>
  </si>
  <si>
    <t>14:30:40</t>
  </si>
  <si>
    <t>ORD01161</t>
  </si>
  <si>
    <t>10:05:18</t>
  </si>
  <si>
    <t>ORD01162</t>
  </si>
  <si>
    <t>13:45:25</t>
  </si>
  <si>
    <t>ORD01163</t>
  </si>
  <si>
    <t>11:58:04</t>
  </si>
  <si>
    <t>ORD01164</t>
  </si>
  <si>
    <t>19:24:36</t>
  </si>
  <si>
    <t>ORD01165</t>
  </si>
  <si>
    <t>13:06:04</t>
  </si>
  <si>
    <t>ORD01166</t>
  </si>
  <si>
    <t>15:23:22</t>
  </si>
  <si>
    <t>ORD01167</t>
  </si>
  <si>
    <t>CUST0026</t>
  </si>
  <si>
    <t>00:29:01</t>
  </si>
  <si>
    <t>ORD01168</t>
  </si>
  <si>
    <t>11:21:58</t>
  </si>
  <si>
    <t>ORD01169</t>
  </si>
  <si>
    <t>23:20:33</t>
  </si>
  <si>
    <t>ORD01170</t>
  </si>
  <si>
    <t>10:45:19</t>
  </si>
  <si>
    <t>ORD01171</t>
  </si>
  <si>
    <t>05:46:01</t>
  </si>
  <si>
    <t>ORD01172</t>
  </si>
  <si>
    <t>10:39:04</t>
  </si>
  <si>
    <t>ORD01173</t>
  </si>
  <si>
    <t>09:14:09</t>
  </si>
  <si>
    <t>ORD01174</t>
  </si>
  <si>
    <t>03:45:01</t>
  </si>
  <si>
    <t>ORD01175</t>
  </si>
  <si>
    <t>04:31:25</t>
  </si>
  <si>
    <t>ORD01176</t>
  </si>
  <si>
    <t>CUST0374</t>
  </si>
  <si>
    <t>08:48:09</t>
  </si>
  <si>
    <t>ORD01177</t>
  </si>
  <si>
    <t>05:15:33</t>
  </si>
  <si>
    <t>ORD01178</t>
  </si>
  <si>
    <t>CUST0101</t>
  </si>
  <si>
    <t>10:00:02</t>
  </si>
  <si>
    <t>ORD01179</t>
  </si>
  <si>
    <t>13:03:41</t>
  </si>
  <si>
    <t>ORD01180</t>
  </si>
  <si>
    <t>12:55:26</t>
  </si>
  <si>
    <t>ORD01181</t>
  </si>
  <si>
    <t>16:08:40</t>
  </si>
  <si>
    <t>ORD01182</t>
  </si>
  <si>
    <t>07:01:04</t>
  </si>
  <si>
    <t>ORD01183</t>
  </si>
  <si>
    <t>17:29:55</t>
  </si>
  <si>
    <t>ORD01184</t>
  </si>
  <si>
    <t>10:11:19</t>
  </si>
  <si>
    <t>ORD01185</t>
  </si>
  <si>
    <t>02:14:17</t>
  </si>
  <si>
    <t>ORD01186</t>
  </si>
  <si>
    <t>14:50:04</t>
  </si>
  <si>
    <t>ORD01187</t>
  </si>
  <si>
    <t>23:12:09</t>
  </si>
  <si>
    <t>ORD01188</t>
  </si>
  <si>
    <t>20:35:51</t>
  </si>
  <si>
    <t>ORD01189</t>
  </si>
  <si>
    <t>01:50:23</t>
  </si>
  <si>
    <t>ORD01190</t>
  </si>
  <si>
    <t>18:46:48</t>
  </si>
  <si>
    <t>ORD01191</t>
  </si>
  <si>
    <t>05:39:40</t>
  </si>
  <si>
    <t>ORD01192</t>
  </si>
  <si>
    <t>13:16:24</t>
  </si>
  <si>
    <t>ORD01193</t>
  </si>
  <si>
    <t>10:55:19</t>
  </si>
  <si>
    <t>ORD01194</t>
  </si>
  <si>
    <t>15:47:56</t>
  </si>
  <si>
    <t>ORD01195</t>
  </si>
  <si>
    <t>20:10:30</t>
  </si>
  <si>
    <t>ORD01196</t>
  </si>
  <si>
    <t>14:30:42</t>
  </si>
  <si>
    <t>ORD01197</t>
  </si>
  <si>
    <t>19:50:12</t>
  </si>
  <si>
    <t>ORD01198</t>
  </si>
  <si>
    <t>10:26:03</t>
  </si>
  <si>
    <t>ORD01199</t>
  </si>
  <si>
    <t>23:12:30</t>
  </si>
  <si>
    <t>ORD01200</t>
  </si>
  <si>
    <t>15:32:33</t>
  </si>
  <si>
    <t>ORD01201</t>
  </si>
  <si>
    <t>12:20:57</t>
  </si>
  <si>
    <t>ORD01202</t>
  </si>
  <si>
    <t>17:08:58</t>
  </si>
  <si>
    <t>ORD01203</t>
  </si>
  <si>
    <t>10:18:29</t>
  </si>
  <si>
    <t>ORD01204</t>
  </si>
  <si>
    <t>23:10:51</t>
  </si>
  <si>
    <t>ORD01205</t>
  </si>
  <si>
    <t>CUST0443</t>
  </si>
  <si>
    <t>20:48:52</t>
  </si>
  <si>
    <t>ORD01206</t>
  </si>
  <si>
    <t>02:38:30</t>
  </si>
  <si>
    <t>ORD01207</t>
  </si>
  <si>
    <t>23:30:03</t>
  </si>
  <si>
    <t>ORD01208</t>
  </si>
  <si>
    <t>06:09:54</t>
  </si>
  <si>
    <t>ORD01209</t>
  </si>
  <si>
    <t>05:10:21</t>
  </si>
  <si>
    <t>ORD01210</t>
  </si>
  <si>
    <t>16:50:27</t>
  </si>
  <si>
    <t>ORD01211</t>
  </si>
  <si>
    <t>16:55:07</t>
  </si>
  <si>
    <t>ORD01212</t>
  </si>
  <si>
    <t>14:39:36</t>
  </si>
  <si>
    <t>ORD01213</t>
  </si>
  <si>
    <t>16:41:47</t>
  </si>
  <si>
    <t>ORD01214</t>
  </si>
  <si>
    <t>22:26:45</t>
  </si>
  <si>
    <t>ORD01215</t>
  </si>
  <si>
    <t>01:45:25</t>
  </si>
  <si>
    <t>ORD01216</t>
  </si>
  <si>
    <t>21:35:29</t>
  </si>
  <si>
    <t>ORD01217</t>
  </si>
  <si>
    <t>09:00:01</t>
  </si>
  <si>
    <t>ORD01218</t>
  </si>
  <si>
    <t>14:30:51</t>
  </si>
  <si>
    <t>ORD01219</t>
  </si>
  <si>
    <t>14:10:27</t>
  </si>
  <si>
    <t>ORD01220</t>
  </si>
  <si>
    <t>22:58:26</t>
  </si>
  <si>
    <t>ORD01221</t>
  </si>
  <si>
    <t>10:32:46</t>
  </si>
  <si>
    <t>ORD01222</t>
  </si>
  <si>
    <t>15:06:03</t>
  </si>
  <si>
    <t>ORD01223</t>
  </si>
  <si>
    <t>11:06:04</t>
  </si>
  <si>
    <t>ORD01224</t>
  </si>
  <si>
    <t>22:50:53</t>
  </si>
  <si>
    <t>ORD01225</t>
  </si>
  <si>
    <t>19:58:04</t>
  </si>
  <si>
    <t>ORD01226</t>
  </si>
  <si>
    <t>CUST0065</t>
  </si>
  <si>
    <t>21:15:26</t>
  </si>
  <si>
    <t>ORD01227</t>
  </si>
  <si>
    <t>05:55:19</t>
  </si>
  <si>
    <t>ORD01228</t>
  </si>
  <si>
    <t>01:35:45</t>
  </si>
  <si>
    <t>ORD01229</t>
  </si>
  <si>
    <t>CUST0330</t>
  </si>
  <si>
    <t>23:22:57</t>
  </si>
  <si>
    <t>ORD01230</t>
  </si>
  <si>
    <t>05:13:45</t>
  </si>
  <si>
    <t>ORD01231</t>
  </si>
  <si>
    <t>05:49:19</t>
  </si>
  <si>
    <t>ORD01232</t>
  </si>
  <si>
    <t>22:08:00</t>
  </si>
  <si>
    <t>ORD01233</t>
  </si>
  <si>
    <t>09:49:11</t>
  </si>
  <si>
    <t>ORD01234</t>
  </si>
  <si>
    <t>01:04:19</t>
  </si>
  <si>
    <t>ORD01235</t>
  </si>
  <si>
    <t>ORD01236</t>
  </si>
  <si>
    <t>02:48:52</t>
  </si>
  <si>
    <t>ORD01237</t>
  </si>
  <si>
    <t>12:07:28</t>
  </si>
  <si>
    <t>ORD01238</t>
  </si>
  <si>
    <t>21:21:48</t>
  </si>
  <si>
    <t>ORD01239</t>
  </si>
  <si>
    <t>18:43:36</t>
  </si>
  <si>
    <t>ORD01240</t>
  </si>
  <si>
    <t>CUST0345</t>
  </si>
  <si>
    <t>02:56:59</t>
  </si>
  <si>
    <t>ORD01241</t>
  </si>
  <si>
    <t>20:53:46</t>
  </si>
  <si>
    <t>ORD01242</t>
  </si>
  <si>
    <t>21:27:42</t>
  </si>
  <si>
    <t>ORD01243</t>
  </si>
  <si>
    <t>09:41:28</t>
  </si>
  <si>
    <t>ORD01244</t>
  </si>
  <si>
    <t>13:24:25</t>
  </si>
  <si>
    <t>ORD01245</t>
  </si>
  <si>
    <t>13:57:51</t>
  </si>
  <si>
    <t>ORD01246</t>
  </si>
  <si>
    <t>18:35:19</t>
  </si>
  <si>
    <t>ORD01247</t>
  </si>
  <si>
    <t>CUST0201</t>
  </si>
  <si>
    <t>22:01:36</t>
  </si>
  <si>
    <t>ORD01248</t>
  </si>
  <si>
    <t>00:42:30</t>
  </si>
  <si>
    <t>ORD01249</t>
  </si>
  <si>
    <t>04:23:45</t>
  </si>
  <si>
    <t>ORD01250</t>
  </si>
  <si>
    <t>11:10:20</t>
  </si>
  <si>
    <t>ORD01251</t>
  </si>
  <si>
    <t>17:40:08</t>
  </si>
  <si>
    <t>ORD01252</t>
  </si>
  <si>
    <t>CUST0428</t>
  </si>
  <si>
    <t>16:52:21</t>
  </si>
  <si>
    <t>ORD01253</t>
  </si>
  <si>
    <t>18:03:27</t>
  </si>
  <si>
    <t>ORD01254</t>
  </si>
  <si>
    <t>08:36:13</t>
  </si>
  <si>
    <t>ORD01255</t>
  </si>
  <si>
    <t>14:47:04</t>
  </si>
  <si>
    <t>ORD01256</t>
  </si>
  <si>
    <t>21:55:58</t>
  </si>
  <si>
    <t>ORD01257</t>
  </si>
  <si>
    <t>CUST0279</t>
  </si>
  <si>
    <t>04:02:48</t>
  </si>
  <si>
    <t>ORD01258</t>
  </si>
  <si>
    <t>08:48:29</t>
  </si>
  <si>
    <t>ORD01259</t>
  </si>
  <si>
    <t>07:00:38</t>
  </si>
  <si>
    <t>ORD01260</t>
  </si>
  <si>
    <t>07:39:23</t>
  </si>
  <si>
    <t>ORD01261</t>
  </si>
  <si>
    <t>20:25:26</t>
  </si>
  <si>
    <t>ORD01262</t>
  </si>
  <si>
    <t>09:59:14</t>
  </si>
  <si>
    <t>ORD01263</t>
  </si>
  <si>
    <t>21:54:13</t>
  </si>
  <si>
    <t>ORD01264</t>
  </si>
  <si>
    <t>03:14:19</t>
  </si>
  <si>
    <t>ORD01265</t>
  </si>
  <si>
    <t>20:40:34</t>
  </si>
  <si>
    <t>ORD01266</t>
  </si>
  <si>
    <t>20:12:34</t>
  </si>
  <si>
    <t>ORD01267</t>
  </si>
  <si>
    <t>23:19:58</t>
  </si>
  <si>
    <t>ORD01268</t>
  </si>
  <si>
    <t>14:44:45</t>
  </si>
  <si>
    <t>ORD01269</t>
  </si>
  <si>
    <t>00:18:29</t>
  </si>
  <si>
    <t>ORD01270</t>
  </si>
  <si>
    <t>18:11:12</t>
  </si>
  <si>
    <t>ORD01271</t>
  </si>
  <si>
    <t>15:01:16</t>
  </si>
  <si>
    <t>ORD01272</t>
  </si>
  <si>
    <t>17:45:58</t>
  </si>
  <si>
    <t>ORD01273</t>
  </si>
  <si>
    <t>14:11:02</t>
  </si>
  <si>
    <t>ORD01274</t>
  </si>
  <si>
    <t>09:32:16</t>
  </si>
  <si>
    <t>ORD01275</t>
  </si>
  <si>
    <t>22:10:16</t>
  </si>
  <si>
    <t>ORD01276</t>
  </si>
  <si>
    <t>15:07:49</t>
  </si>
  <si>
    <t>ORD01277</t>
  </si>
  <si>
    <t>19:57:56</t>
  </si>
  <si>
    <t>ORD01278</t>
  </si>
  <si>
    <t>19:27:36</t>
  </si>
  <si>
    <t>ORD01279</t>
  </si>
  <si>
    <t>14:05:30</t>
  </si>
  <si>
    <t>ORD01280</t>
  </si>
  <si>
    <t>21:43:18</t>
  </si>
  <si>
    <t>ORD01281</t>
  </si>
  <si>
    <t>22:21:44</t>
  </si>
  <si>
    <t>ORD01282</t>
  </si>
  <si>
    <t>14:08:50</t>
  </si>
  <si>
    <t>ORD01283</t>
  </si>
  <si>
    <t>19:50:28</t>
  </si>
  <si>
    <t>ORD01284</t>
  </si>
  <si>
    <t>05:34:29</t>
  </si>
  <si>
    <t>ORD01285</t>
  </si>
  <si>
    <t>21:29:24</t>
  </si>
  <si>
    <t>ORD01286</t>
  </si>
  <si>
    <t>23:21:51</t>
  </si>
  <si>
    <t>ORD01287</t>
  </si>
  <si>
    <t>16:58:53</t>
  </si>
  <si>
    <t>ORD01288</t>
  </si>
  <si>
    <t>00:10:39</t>
  </si>
  <si>
    <t>ORD01289</t>
  </si>
  <si>
    <t>18:59:35</t>
  </si>
  <si>
    <t>ORD01290</t>
  </si>
  <si>
    <t>12:32:26</t>
  </si>
  <si>
    <t>ORD01291</t>
  </si>
  <si>
    <t>06:06:52</t>
  </si>
  <si>
    <t>ORD01292</t>
  </si>
  <si>
    <t>08:11:15</t>
  </si>
  <si>
    <t>ORD01293</t>
  </si>
  <si>
    <t>09:00:17</t>
  </si>
  <si>
    <t>ORD01294</t>
  </si>
  <si>
    <t>13:23:54</t>
  </si>
  <si>
    <t>ORD01295</t>
  </si>
  <si>
    <t>12:08:06</t>
  </si>
  <si>
    <t>ORD01296</t>
  </si>
  <si>
    <t>01:41:46</t>
  </si>
  <si>
    <t>ORD01297</t>
  </si>
  <si>
    <t>16:53:39</t>
  </si>
  <si>
    <t>ORD01298</t>
  </si>
  <si>
    <t>00:08:11</t>
  </si>
  <si>
    <t>ORD01299</t>
  </si>
  <si>
    <t>18:12:17</t>
  </si>
  <si>
    <t>ORD01300</t>
  </si>
  <si>
    <t>04:32:29</t>
  </si>
  <si>
    <t>ORD01301</t>
  </si>
  <si>
    <t>17:51:06</t>
  </si>
  <si>
    <t>ORD01302</t>
  </si>
  <si>
    <t>19:26:36</t>
  </si>
  <si>
    <t>ORD01303</t>
  </si>
  <si>
    <t>17:44:49</t>
  </si>
  <si>
    <t>ORD01304</t>
  </si>
  <si>
    <t>20:40:13</t>
  </si>
  <si>
    <t>ORD01305</t>
  </si>
  <si>
    <t>15:48:38</t>
  </si>
  <si>
    <t>ORD01306</t>
  </si>
  <si>
    <t>11:10:45</t>
  </si>
  <si>
    <t>ORD01307</t>
  </si>
  <si>
    <t>11:28:36</t>
  </si>
  <si>
    <t>ORD01308</t>
  </si>
  <si>
    <t>CUST0426</t>
  </si>
  <si>
    <t>02:26:14</t>
  </si>
  <si>
    <t>ORD01309</t>
  </si>
  <si>
    <t>15:03:08</t>
  </si>
  <si>
    <t>ORD01310</t>
  </si>
  <si>
    <t>23:06:17</t>
  </si>
  <si>
    <t>ORD01311</t>
  </si>
  <si>
    <t>08:26:19</t>
  </si>
  <si>
    <t>ORD01312</t>
  </si>
  <si>
    <t>06:30:19</t>
  </si>
  <si>
    <t>ORD01313</t>
  </si>
  <si>
    <t>CUST0116</t>
  </si>
  <si>
    <t>02:25:41</t>
  </si>
  <si>
    <t>ORD01314</t>
  </si>
  <si>
    <t>09:23:30</t>
  </si>
  <si>
    <t>ORD01315</t>
  </si>
  <si>
    <t>04:14:38</t>
  </si>
  <si>
    <t>ORD01316</t>
  </si>
  <si>
    <t>02:28:17</t>
  </si>
  <si>
    <t>ORD01317</t>
  </si>
  <si>
    <t>21:14:11</t>
  </si>
  <si>
    <t>ORD01318</t>
  </si>
  <si>
    <t>06:03:25</t>
  </si>
  <si>
    <t>ORD01319</t>
  </si>
  <si>
    <t>10:16:56</t>
  </si>
  <si>
    <t>ORD01320</t>
  </si>
  <si>
    <t>05:09:16</t>
  </si>
  <si>
    <t>ORD01321</t>
  </si>
  <si>
    <t>17:55:28</t>
  </si>
  <si>
    <t>ORD01322</t>
  </si>
  <si>
    <t>19:23:38</t>
  </si>
  <si>
    <t>ORD01323</t>
  </si>
  <si>
    <t>22:30:10</t>
  </si>
  <si>
    <t>ORD01324</t>
  </si>
  <si>
    <t>CUST0030</t>
  </si>
  <si>
    <t>23:25:14</t>
  </si>
  <si>
    <t>ORD01325</t>
  </si>
  <si>
    <t>07:02:19</t>
  </si>
  <si>
    <t>ORD01326</t>
  </si>
  <si>
    <t>16:32:23</t>
  </si>
  <si>
    <t>ORD01327</t>
  </si>
  <si>
    <t>05:56:16</t>
  </si>
  <si>
    <t>ORD01328</t>
  </si>
  <si>
    <t>04:11:39</t>
  </si>
  <si>
    <t>ORD01329</t>
  </si>
  <si>
    <t>16:25:30</t>
  </si>
  <si>
    <t>ORD01330</t>
  </si>
  <si>
    <t>13:27:09</t>
  </si>
  <si>
    <t>ORD01331</t>
  </si>
  <si>
    <t>20:00:47</t>
  </si>
  <si>
    <t>ORD01332</t>
  </si>
  <si>
    <t>23:37:38</t>
  </si>
  <si>
    <t>ORD01333</t>
  </si>
  <si>
    <t>22:08:29</t>
  </si>
  <si>
    <t>ORD01334</t>
  </si>
  <si>
    <t>05:46:58</t>
  </si>
  <si>
    <t>ORD01335</t>
  </si>
  <si>
    <t>05:39:12</t>
  </si>
  <si>
    <t>ORD01336</t>
  </si>
  <si>
    <t>14:43:27</t>
  </si>
  <si>
    <t>ORD01337</t>
  </si>
  <si>
    <t>22:50:24</t>
  </si>
  <si>
    <t>ORD01338</t>
  </si>
  <si>
    <t>22:09:57</t>
  </si>
  <si>
    <t>ORD01339</t>
  </si>
  <si>
    <t>CUST0166</t>
  </si>
  <si>
    <t>10:43:49</t>
  </si>
  <si>
    <t>ORD01340</t>
  </si>
  <si>
    <t>03:28:41</t>
  </si>
  <si>
    <t>ORD01341</t>
  </si>
  <si>
    <t>07:36:47</t>
  </si>
  <si>
    <t>ORD01342</t>
  </si>
  <si>
    <t>04:23:51</t>
  </si>
  <si>
    <t>ORD01343</t>
  </si>
  <si>
    <t>12:30:54</t>
  </si>
  <si>
    <t>ORD01344</t>
  </si>
  <si>
    <t>06:17:08</t>
  </si>
  <si>
    <t>ORD01345</t>
  </si>
  <si>
    <t>06:25:56</t>
  </si>
  <si>
    <t>ORD01346</t>
  </si>
  <si>
    <t>10:09:18</t>
  </si>
  <si>
    <t>ORD01347</t>
  </si>
  <si>
    <t>12:05:01</t>
  </si>
  <si>
    <t>ORD01348</t>
  </si>
  <si>
    <t>05:09:39</t>
  </si>
  <si>
    <t>ORD01349</t>
  </si>
  <si>
    <t>02:34:32</t>
  </si>
  <si>
    <t>ORD01350</t>
  </si>
  <si>
    <t>19:48:52</t>
  </si>
  <si>
    <t>ORD01351</t>
  </si>
  <si>
    <t>18:49:56</t>
  </si>
  <si>
    <t>ORD01352</t>
  </si>
  <si>
    <t>14:09:07</t>
  </si>
  <si>
    <t>ORD01353</t>
  </si>
  <si>
    <t>00:22:00</t>
  </si>
  <si>
    <t>ORD01354</t>
  </si>
  <si>
    <t>03:24:13</t>
  </si>
  <si>
    <t>ORD01355</t>
  </si>
  <si>
    <t>06:49:35</t>
  </si>
  <si>
    <t>ORD01356</t>
  </si>
  <si>
    <t>21:52:18</t>
  </si>
  <si>
    <t>ORD01357</t>
  </si>
  <si>
    <t>ORD01358</t>
  </si>
  <si>
    <t>18:17:30</t>
  </si>
  <si>
    <t>ORD01359</t>
  </si>
  <si>
    <t>00:54:48</t>
  </si>
  <si>
    <t>ORD01360</t>
  </si>
  <si>
    <t>18:02:53</t>
  </si>
  <si>
    <t>ORD01361</t>
  </si>
  <si>
    <t>22:28:04</t>
  </si>
  <si>
    <t>ORD01362</t>
  </si>
  <si>
    <t>12:49:25</t>
  </si>
  <si>
    <t>ORD01363</t>
  </si>
  <si>
    <t>13:16:40</t>
  </si>
  <si>
    <t>ORD01364</t>
  </si>
  <si>
    <t>13:43:20</t>
  </si>
  <si>
    <t>ORD01365</t>
  </si>
  <si>
    <t>01:59:15</t>
  </si>
  <si>
    <t>ORD01366</t>
  </si>
  <si>
    <t>05:11:00</t>
  </si>
  <si>
    <t>ORD01367</t>
  </si>
  <si>
    <t>05:24:14</t>
  </si>
  <si>
    <t>ORD01368</t>
  </si>
  <si>
    <t>02:37:02</t>
  </si>
  <si>
    <t>ORD01369</t>
  </si>
  <si>
    <t>17:03:37</t>
  </si>
  <si>
    <t>ORD01370</t>
  </si>
  <si>
    <t>08:28:52</t>
  </si>
  <si>
    <t>ORD01371</t>
  </si>
  <si>
    <t>23:31:42</t>
  </si>
  <si>
    <t>ORD01372</t>
  </si>
  <si>
    <t>11:14:07</t>
  </si>
  <si>
    <t>ORD01373</t>
  </si>
  <si>
    <t>11:24:42</t>
  </si>
  <si>
    <t>ORD01374</t>
  </si>
  <si>
    <t>16:52:41</t>
  </si>
  <si>
    <t>ORD01375</t>
  </si>
  <si>
    <t>18:24:50</t>
  </si>
  <si>
    <t>ORD01376</t>
  </si>
  <si>
    <t>14:17:23</t>
  </si>
  <si>
    <t>ORD01377</t>
  </si>
  <si>
    <t>11:58:32</t>
  </si>
  <si>
    <t>ORD01378</t>
  </si>
  <si>
    <t>09:14:44</t>
  </si>
  <si>
    <t>ORD01379</t>
  </si>
  <si>
    <t>21:04:24</t>
  </si>
  <si>
    <t>ORD01380</t>
  </si>
  <si>
    <t>12:44:22</t>
  </si>
  <si>
    <t>ORD01381</t>
  </si>
  <si>
    <t>03:20:03</t>
  </si>
  <si>
    <t>ORD01382</t>
  </si>
  <si>
    <t>00:00:20</t>
  </si>
  <si>
    <t>ORD01383</t>
  </si>
  <si>
    <t>01:46:51</t>
  </si>
  <si>
    <t>ORD01384</t>
  </si>
  <si>
    <t>ORD01385</t>
  </si>
  <si>
    <t>05:05:39</t>
  </si>
  <si>
    <t>ORD01386</t>
  </si>
  <si>
    <t>01:15:22</t>
  </si>
  <si>
    <t>ORD01387</t>
  </si>
  <si>
    <t>08:09:26</t>
  </si>
  <si>
    <t>ORD01388</t>
  </si>
  <si>
    <t>17:03:36</t>
  </si>
  <si>
    <t>ORD01389</t>
  </si>
  <si>
    <t>15:47:57</t>
  </si>
  <si>
    <t>ORD01390</t>
  </si>
  <si>
    <t>03:49:08</t>
  </si>
  <si>
    <t>ORD01391</t>
  </si>
  <si>
    <t>04:21:10</t>
  </si>
  <si>
    <t>ORD01392</t>
  </si>
  <si>
    <t>01:09:57</t>
  </si>
  <si>
    <t>ORD01393</t>
  </si>
  <si>
    <t>16:03:20</t>
  </si>
  <si>
    <t>ORD01394</t>
  </si>
  <si>
    <t>CUST0427</t>
  </si>
  <si>
    <t>20:01:15</t>
  </si>
  <si>
    <t>ORD01395</t>
  </si>
  <si>
    <t>02:13:25</t>
  </si>
  <si>
    <t>ORD01396</t>
  </si>
  <si>
    <t>15:09:57</t>
  </si>
  <si>
    <t>ORD01397</t>
  </si>
  <si>
    <t>06:44:59</t>
  </si>
  <si>
    <t>ORD01398</t>
  </si>
  <si>
    <t>04:39:29</t>
  </si>
  <si>
    <t>ORD01399</t>
  </si>
  <si>
    <t>09:08:01</t>
  </si>
  <si>
    <t>ORD01400</t>
  </si>
  <si>
    <t>CUST0155</t>
  </si>
  <si>
    <t>21:13:45</t>
  </si>
  <si>
    <t>ORD01401</t>
  </si>
  <si>
    <t>21:40:23</t>
  </si>
  <si>
    <t>ORD01402</t>
  </si>
  <si>
    <t>10:38:39</t>
  </si>
  <si>
    <t>ORD01403</t>
  </si>
  <si>
    <t>15:45:41</t>
  </si>
  <si>
    <t>ORD01404</t>
  </si>
  <si>
    <t>03:40:17</t>
  </si>
  <si>
    <t>ORD01405</t>
  </si>
  <si>
    <t>07:39:35</t>
  </si>
  <si>
    <t>ORD01406</t>
  </si>
  <si>
    <t>00:42:55</t>
  </si>
  <si>
    <t>ORD01407</t>
  </si>
  <si>
    <t>14:34:15</t>
  </si>
  <si>
    <t>ORD01408</t>
  </si>
  <si>
    <t>07:26:14</t>
  </si>
  <si>
    <t>ORD01409</t>
  </si>
  <si>
    <t>01:42:54</t>
  </si>
  <si>
    <t>ORD01410</t>
  </si>
  <si>
    <t>CUST0366</t>
  </si>
  <si>
    <t>08:49:32</t>
  </si>
  <si>
    <t>ORD01411</t>
  </si>
  <si>
    <t>14:36:37</t>
  </si>
  <si>
    <t>ORD01412</t>
  </si>
  <si>
    <t>15:17:03</t>
  </si>
  <si>
    <t>ORD01413</t>
  </si>
  <si>
    <t>15:07:22</t>
  </si>
  <si>
    <t>ORD01414</t>
  </si>
  <si>
    <t>08:18:45</t>
  </si>
  <si>
    <t>ORD01415</t>
  </si>
  <si>
    <t>05:46:54</t>
  </si>
  <si>
    <t>ORD01416</t>
  </si>
  <si>
    <t>03:19:18</t>
  </si>
  <si>
    <t>ORD01417</t>
  </si>
  <si>
    <t>11:59:26</t>
  </si>
  <si>
    <t>ORD01418</t>
  </si>
  <si>
    <t>00:16:14</t>
  </si>
  <si>
    <t>ORD01419</t>
  </si>
  <si>
    <t>19:20:15</t>
  </si>
  <si>
    <t>ORD01420</t>
  </si>
  <si>
    <t>20:44:34</t>
  </si>
  <si>
    <t>ORD01421</t>
  </si>
  <si>
    <t>21:39:36</t>
  </si>
  <si>
    <t>ORD01422</t>
  </si>
  <si>
    <t>04:51:15</t>
  </si>
  <si>
    <t>ORD01423</t>
  </si>
  <si>
    <t>10:29:14</t>
  </si>
  <si>
    <t>ORD01424</t>
  </si>
  <si>
    <t>21:08:01</t>
  </si>
  <si>
    <t>ORD01425</t>
  </si>
  <si>
    <t>18:08:46</t>
  </si>
  <si>
    <t>ORD01426</t>
  </si>
  <si>
    <t>02:49:16</t>
  </si>
  <si>
    <t>ORD01427</t>
  </si>
  <si>
    <t>19:36:43</t>
  </si>
  <si>
    <t>ORD01428</t>
  </si>
  <si>
    <t>CUST0413</t>
  </si>
  <si>
    <t>12:59:38</t>
  </si>
  <si>
    <t>ORD01429</t>
  </si>
  <si>
    <t>12:29:51</t>
  </si>
  <si>
    <t>ORD01430</t>
  </si>
  <si>
    <t>02:24:34</t>
  </si>
  <si>
    <t>ORD01431</t>
  </si>
  <si>
    <t>20:31:43</t>
  </si>
  <si>
    <t>ORD01432</t>
  </si>
  <si>
    <t>17:59:13</t>
  </si>
  <si>
    <t>ORD01433</t>
  </si>
  <si>
    <t>16:25:10</t>
  </si>
  <si>
    <t>ORD01434</t>
  </si>
  <si>
    <t>00:19:35</t>
  </si>
  <si>
    <t>ORD01435</t>
  </si>
  <si>
    <t>12:44:54</t>
  </si>
  <si>
    <t>ORD01436</t>
  </si>
  <si>
    <t>19:05:44</t>
  </si>
  <si>
    <t>ORD01437</t>
  </si>
  <si>
    <t>CUST0027</t>
  </si>
  <si>
    <t>14:24:25</t>
  </si>
  <si>
    <t>ORD01438</t>
  </si>
  <si>
    <t>11:09:37</t>
  </si>
  <si>
    <t>ORD01439</t>
  </si>
  <si>
    <t>07:11:03</t>
  </si>
  <si>
    <t>ORD01440</t>
  </si>
  <si>
    <t>08:27:27</t>
  </si>
  <si>
    <t>ORD01441</t>
  </si>
  <si>
    <t>21:57:20</t>
  </si>
  <si>
    <t>ORD01442</t>
  </si>
  <si>
    <t>09:08:09</t>
  </si>
  <si>
    <t>ORD01443</t>
  </si>
  <si>
    <t>15:26:50</t>
  </si>
  <si>
    <t>ORD01444</t>
  </si>
  <si>
    <t>11:23:36</t>
  </si>
  <si>
    <t>ORD01445</t>
  </si>
  <si>
    <t>19:03:24</t>
  </si>
  <si>
    <t>ORD01446</t>
  </si>
  <si>
    <t>09:16:05</t>
  </si>
  <si>
    <t>ORD01447</t>
  </si>
  <si>
    <t>17:58:45</t>
  </si>
  <si>
    <t>ORD01448</t>
  </si>
  <si>
    <t>20:44:09</t>
  </si>
  <si>
    <t>ORD01449</t>
  </si>
  <si>
    <t>11:34:19</t>
  </si>
  <si>
    <t>ORD01450</t>
  </si>
  <si>
    <t>03:06:42</t>
  </si>
  <si>
    <t>ORD01451</t>
  </si>
  <si>
    <t>05:01:08</t>
  </si>
  <si>
    <t>ORD01452</t>
  </si>
  <si>
    <t>08:02:04</t>
  </si>
  <si>
    <t>ORD01453</t>
  </si>
  <si>
    <t>11:23:16</t>
  </si>
  <si>
    <t>ORD01454</t>
  </si>
  <si>
    <t>09:15:00</t>
  </si>
  <si>
    <t>ORD01455</t>
  </si>
  <si>
    <t>12:36:41</t>
  </si>
  <si>
    <t>ORD01456</t>
  </si>
  <si>
    <t>02:56:42</t>
  </si>
  <si>
    <t>ORD01457</t>
  </si>
  <si>
    <t>05:43:43</t>
  </si>
  <si>
    <t>ORD01458</t>
  </si>
  <si>
    <t>17:22:16</t>
  </si>
  <si>
    <t>ORD01459</t>
  </si>
  <si>
    <t>18:47:48</t>
  </si>
  <si>
    <t>ORD01460</t>
  </si>
  <si>
    <t>21:54:22</t>
  </si>
  <si>
    <t>ORD01461</t>
  </si>
  <si>
    <t>CUST0247</t>
  </si>
  <si>
    <t>05:10:06</t>
  </si>
  <si>
    <t>ORD01462</t>
  </si>
  <si>
    <t>16:02:49</t>
  </si>
  <si>
    <t>ORD01463</t>
  </si>
  <si>
    <t>CUST0300</t>
  </si>
  <si>
    <t>21:13:22</t>
  </si>
  <si>
    <t>ORD01464</t>
  </si>
  <si>
    <t>16:11:50</t>
  </si>
  <si>
    <t>ORD01465</t>
  </si>
  <si>
    <t>23:58:52</t>
  </si>
  <si>
    <t>ORD01466</t>
  </si>
  <si>
    <t>11:58:59</t>
  </si>
  <si>
    <t>ORD01467</t>
  </si>
  <si>
    <t>09:14:12</t>
  </si>
  <si>
    <t>ORD01468</t>
  </si>
  <si>
    <t>05:31:13</t>
  </si>
  <si>
    <t>ORD01469</t>
  </si>
  <si>
    <t>17:53:13</t>
  </si>
  <si>
    <t>ORD01470</t>
  </si>
  <si>
    <t>16:06:24</t>
  </si>
  <si>
    <t>ORD01471</t>
  </si>
  <si>
    <t>09:42:24</t>
  </si>
  <si>
    <t>ORD01472</t>
  </si>
  <si>
    <t>10:08:58</t>
  </si>
  <si>
    <t>ORD01473</t>
  </si>
  <si>
    <t>19:46:00</t>
  </si>
  <si>
    <t>ORD01474</t>
  </si>
  <si>
    <t>09:42:50</t>
  </si>
  <si>
    <t>ORD01475</t>
  </si>
  <si>
    <t>00:12:16</t>
  </si>
  <si>
    <t>ORD01476</t>
  </si>
  <si>
    <t>17:33:19</t>
  </si>
  <si>
    <t>ORD01477</t>
  </si>
  <si>
    <t>16:28:41</t>
  </si>
  <si>
    <t>ORD01478</t>
  </si>
  <si>
    <t>16:45:58</t>
  </si>
  <si>
    <t>ORD01479</t>
  </si>
  <si>
    <t>21:59:06</t>
  </si>
  <si>
    <t>ORD01480</t>
  </si>
  <si>
    <t>09:18:22</t>
  </si>
  <si>
    <t>ORD01481</t>
  </si>
  <si>
    <t>13:44:17</t>
  </si>
  <si>
    <t>ORD01482</t>
  </si>
  <si>
    <t>00:40:39</t>
  </si>
  <si>
    <t>ORD01483</t>
  </si>
  <si>
    <t>19:11:20</t>
  </si>
  <si>
    <t>ORD01484</t>
  </si>
  <si>
    <t>20:31:40</t>
  </si>
  <si>
    <t>ORD01485</t>
  </si>
  <si>
    <t>04:38:04</t>
  </si>
  <si>
    <t>ORD01486</t>
  </si>
  <si>
    <t>CUST0267</t>
  </si>
  <si>
    <t>09:32:09</t>
  </si>
  <si>
    <t>ORD01487</t>
  </si>
  <si>
    <t>14:01:41</t>
  </si>
  <si>
    <t>ORD01488</t>
  </si>
  <si>
    <t>11:51:37</t>
  </si>
  <si>
    <t>ORD01489</t>
  </si>
  <si>
    <t>03:14:27</t>
  </si>
  <si>
    <t>ORD01490</t>
  </si>
  <si>
    <t>16:43:34</t>
  </si>
  <si>
    <t>ORD01491</t>
  </si>
  <si>
    <t>06:51:56</t>
  </si>
  <si>
    <t>ORD01492</t>
  </si>
  <si>
    <t>20:22:18</t>
  </si>
  <si>
    <t>ORD01493</t>
  </si>
  <si>
    <t>10:40:47</t>
  </si>
  <si>
    <t>ORD01494</t>
  </si>
  <si>
    <t>22:47:52</t>
  </si>
  <si>
    <t>ORD01495</t>
  </si>
  <si>
    <t>23:32:15</t>
  </si>
  <si>
    <t>ORD01496</t>
  </si>
  <si>
    <t>16:30:50</t>
  </si>
  <si>
    <t>ORD01497</t>
  </si>
  <si>
    <t>05:09:08</t>
  </si>
  <si>
    <t>ORD01498</t>
  </si>
  <si>
    <t>03:15:46</t>
  </si>
  <si>
    <t>ORD01499</t>
  </si>
  <si>
    <t>13:40:21</t>
  </si>
  <si>
    <t>ORD01500</t>
  </si>
  <si>
    <t>05:43:15</t>
  </si>
  <si>
    <t>ORD01501</t>
  </si>
  <si>
    <t>13:17:20</t>
  </si>
  <si>
    <t>ORD01502</t>
  </si>
  <si>
    <t>01:40:27</t>
  </si>
  <si>
    <t>ORD01503</t>
  </si>
  <si>
    <t>23:43:38</t>
  </si>
  <si>
    <t>ORD01504</t>
  </si>
  <si>
    <t>14:33:51</t>
  </si>
  <si>
    <t>ORD01505</t>
  </si>
  <si>
    <t>23:09:28</t>
  </si>
  <si>
    <t>ORD01506</t>
  </si>
  <si>
    <t>15:13:34</t>
  </si>
  <si>
    <t>ORD01507</t>
  </si>
  <si>
    <t>10:29:03</t>
  </si>
  <si>
    <t>ORD01508</t>
  </si>
  <si>
    <t>02:43:39</t>
  </si>
  <si>
    <t>ORD01509</t>
  </si>
  <si>
    <t>08:39:40</t>
  </si>
  <si>
    <t>ORD01510</t>
  </si>
  <si>
    <t>04:09:51</t>
  </si>
  <si>
    <t>ORD01511</t>
  </si>
  <si>
    <t>23:13:18</t>
  </si>
  <si>
    <t>ORD01512</t>
  </si>
  <si>
    <t>12:14:35</t>
  </si>
  <si>
    <t>ORD01513</t>
  </si>
  <si>
    <t>05:32:44</t>
  </si>
  <si>
    <t>ORD01514</t>
  </si>
  <si>
    <t>ORD01515</t>
  </si>
  <si>
    <t>02:35:15</t>
  </si>
  <si>
    <t>ORD01516</t>
  </si>
  <si>
    <t>07:43:10</t>
  </si>
  <si>
    <t>ORD01517</t>
  </si>
  <si>
    <t>02:16:39</t>
  </si>
  <si>
    <t>ORD01518</t>
  </si>
  <si>
    <t>22:08:25</t>
  </si>
  <si>
    <t>ORD01519</t>
  </si>
  <si>
    <t>00:09:56</t>
  </si>
  <si>
    <t>ORD01520</t>
  </si>
  <si>
    <t>CUST0230</t>
  </si>
  <si>
    <t>10:42:01</t>
  </si>
  <si>
    <t>ORD01521</t>
  </si>
  <si>
    <t>CUST0266</t>
  </si>
  <si>
    <t>05:27:57</t>
  </si>
  <si>
    <t>ORD01522</t>
  </si>
  <si>
    <t>01:03:36</t>
  </si>
  <si>
    <t>ORD01523</t>
  </si>
  <si>
    <t>05:09:48</t>
  </si>
  <si>
    <t>ORD01524</t>
  </si>
  <si>
    <t>13:52:46</t>
  </si>
  <si>
    <t>ORD01525</t>
  </si>
  <si>
    <t>18:48:11</t>
  </si>
  <si>
    <t>ORD01526</t>
  </si>
  <si>
    <t>08:43:19</t>
  </si>
  <si>
    <t>ORD01527</t>
  </si>
  <si>
    <t>22:11:00</t>
  </si>
  <si>
    <t>ORD01528</t>
  </si>
  <si>
    <t>10:01:58</t>
  </si>
  <si>
    <t>ORD01529</t>
  </si>
  <si>
    <t>03:32:40</t>
  </si>
  <si>
    <t>ORD01530</t>
  </si>
  <si>
    <t>16:44:29</t>
  </si>
  <si>
    <t>ORD01531</t>
  </si>
  <si>
    <t>07:40:29</t>
  </si>
  <si>
    <t>ORD01532</t>
  </si>
  <si>
    <t>11:12:10</t>
  </si>
  <si>
    <t>ORD01533</t>
  </si>
  <si>
    <t>18:57:24</t>
  </si>
  <si>
    <t>ORD01534</t>
  </si>
  <si>
    <t>20:29:07</t>
  </si>
  <si>
    <t>ORD01535</t>
  </si>
  <si>
    <t>08:48:46</t>
  </si>
  <si>
    <t>ORD01536</t>
  </si>
  <si>
    <t>13:39:12</t>
  </si>
  <si>
    <t>ORD01537</t>
  </si>
  <si>
    <t>11:20:24</t>
  </si>
  <si>
    <t>ORD01538</t>
  </si>
  <si>
    <t>04:46:05</t>
  </si>
  <si>
    <t>ORD01539</t>
  </si>
  <si>
    <t>00:33:54</t>
  </si>
  <si>
    <t>ORD01540</t>
  </si>
  <si>
    <t>04:04:36</t>
  </si>
  <si>
    <t>ORD01541</t>
  </si>
  <si>
    <t>01:21:16</t>
  </si>
  <si>
    <t>ORD01542</t>
  </si>
  <si>
    <t>14:54:49</t>
  </si>
  <si>
    <t>ORD01543</t>
  </si>
  <si>
    <t>12:53:49</t>
  </si>
  <si>
    <t>ORD01544</t>
  </si>
  <si>
    <t>03:42:23</t>
  </si>
  <si>
    <t>ORD01545</t>
  </si>
  <si>
    <t>16:09:19</t>
  </si>
  <si>
    <t>ORD01546</t>
  </si>
  <si>
    <t>02:28:53</t>
  </si>
  <si>
    <t>ORD01547</t>
  </si>
  <si>
    <t>05:43:11</t>
  </si>
  <si>
    <t>ORD01548</t>
  </si>
  <si>
    <t>18:27:52</t>
  </si>
  <si>
    <t>ORD01549</t>
  </si>
  <si>
    <t>23:22:23</t>
  </si>
  <si>
    <t>ORD01550</t>
  </si>
  <si>
    <t>22:36:08</t>
  </si>
  <si>
    <t>ORD01551</t>
  </si>
  <si>
    <t>03:40:19</t>
  </si>
  <si>
    <t>ORD01552</t>
  </si>
  <si>
    <t>08:14:48</t>
  </si>
  <si>
    <t>ORD01553</t>
  </si>
  <si>
    <t>05:41:04</t>
  </si>
  <si>
    <t>ORD01554</t>
  </si>
  <si>
    <t>18:46:50</t>
  </si>
  <si>
    <t>ORD01555</t>
  </si>
  <si>
    <t>17:52:37</t>
  </si>
  <si>
    <t>ORD01556</t>
  </si>
  <si>
    <t>08:18:35</t>
  </si>
  <si>
    <t>ORD01557</t>
  </si>
  <si>
    <t>22:07:16</t>
  </si>
  <si>
    <t>ORD01558</t>
  </si>
  <si>
    <t>13:08:08</t>
  </si>
  <si>
    <t>ORD01559</t>
  </si>
  <si>
    <t>23:15:40</t>
  </si>
  <si>
    <t>ORD01560</t>
  </si>
  <si>
    <t>22:54:10</t>
  </si>
  <si>
    <t>ORD01561</t>
  </si>
  <si>
    <t>16:45:17</t>
  </si>
  <si>
    <t>ORD01562</t>
  </si>
  <si>
    <t>12:06:14</t>
  </si>
  <si>
    <t>ORD01563</t>
  </si>
  <si>
    <t>01:14:04</t>
  </si>
  <si>
    <t>ORD01564</t>
  </si>
  <si>
    <t>08:09:25</t>
  </si>
  <si>
    <t>ORD01565</t>
  </si>
  <si>
    <t>11:01:28</t>
  </si>
  <si>
    <t>ORD01566</t>
  </si>
  <si>
    <t>23:19:03</t>
  </si>
  <si>
    <t>ORD01567</t>
  </si>
  <si>
    <t>20:59:51</t>
  </si>
  <si>
    <t>ORD01568</t>
  </si>
  <si>
    <t>14:21:27</t>
  </si>
  <si>
    <t>ORD01569</t>
  </si>
  <si>
    <t>10:38:31</t>
  </si>
  <si>
    <t>ORD01570</t>
  </si>
  <si>
    <t>09:57:27</t>
  </si>
  <si>
    <t>ORD01571</t>
  </si>
  <si>
    <t>05:18:50</t>
  </si>
  <si>
    <t>ORD01572</t>
  </si>
  <si>
    <t>ORD01573</t>
  </si>
  <si>
    <t>07:29:22</t>
  </si>
  <si>
    <t>ORD01574</t>
  </si>
  <si>
    <t>12:09:48</t>
  </si>
  <si>
    <t>ORD01575</t>
  </si>
  <si>
    <t>13:25:54</t>
  </si>
  <si>
    <t>ORD01576</t>
  </si>
  <si>
    <t>11:39:54</t>
  </si>
  <si>
    <t>ORD01577</t>
  </si>
  <si>
    <t>17:21:02</t>
  </si>
  <si>
    <t>ORD01578</t>
  </si>
  <si>
    <t>17:19:48</t>
  </si>
  <si>
    <t>ORD01579</t>
  </si>
  <si>
    <t>09:24:16</t>
  </si>
  <si>
    <t>ORD01580</t>
  </si>
  <si>
    <t>18:17:48</t>
  </si>
  <si>
    <t>ORD01581</t>
  </si>
  <si>
    <t>14:13:33</t>
  </si>
  <si>
    <t>ORD01582</t>
  </si>
  <si>
    <t>CUST0320</t>
  </si>
  <si>
    <t>16:17:39</t>
  </si>
  <si>
    <t>ORD01583</t>
  </si>
  <si>
    <t>CUST0332</t>
  </si>
  <si>
    <t>08:18:10</t>
  </si>
  <si>
    <t>ORD01584</t>
  </si>
  <si>
    <t>CUST0432</t>
  </si>
  <si>
    <t>04:47:31</t>
  </si>
  <si>
    <t>ORD01585</t>
  </si>
  <si>
    <t>CUST0162</t>
  </si>
  <si>
    <t>16:04:25</t>
  </si>
  <si>
    <t>ORD01586</t>
  </si>
  <si>
    <t>23:51:48</t>
  </si>
  <si>
    <t>ORD01587</t>
  </si>
  <si>
    <t>15:54:53</t>
  </si>
  <si>
    <t>ORD01588</t>
  </si>
  <si>
    <t>18:25:40</t>
  </si>
  <si>
    <t>ORD01589</t>
  </si>
  <si>
    <t>01:49:33</t>
  </si>
  <si>
    <t>ORD01590</t>
  </si>
  <si>
    <t>04:34:46</t>
  </si>
  <si>
    <t>ORD01591</t>
  </si>
  <si>
    <t>ORD01592</t>
  </si>
  <si>
    <t>00:10:59</t>
  </si>
  <si>
    <t>ORD01593</t>
  </si>
  <si>
    <t>06:08:50</t>
  </si>
  <si>
    <t>ORD01594</t>
  </si>
  <si>
    <t>09:04:28</t>
  </si>
  <si>
    <t>ORD01595</t>
  </si>
  <si>
    <t>17:24:12</t>
  </si>
  <si>
    <t>ORD01596</t>
  </si>
  <si>
    <t>13:49:31</t>
  </si>
  <si>
    <t>ORD01597</t>
  </si>
  <si>
    <t>08:57:45</t>
  </si>
  <si>
    <t>ORD01598</t>
  </si>
  <si>
    <t>13:55:37</t>
  </si>
  <si>
    <t>ORD01599</t>
  </si>
  <si>
    <t>09:42:27</t>
  </si>
  <si>
    <t>ORD01600</t>
  </si>
  <si>
    <t>19:14:19</t>
  </si>
  <si>
    <t>ORD01601</t>
  </si>
  <si>
    <t>21:33:56</t>
  </si>
  <si>
    <t>ORD01602</t>
  </si>
  <si>
    <t>19:21:41</t>
  </si>
  <si>
    <t>ORD01603</t>
  </si>
  <si>
    <t>17:02:11</t>
  </si>
  <si>
    <t>ORD01604</t>
  </si>
  <si>
    <t>05:38:07</t>
  </si>
  <si>
    <t>ORD01605</t>
  </si>
  <si>
    <t>11:26:11</t>
  </si>
  <si>
    <t>ORD01606</t>
  </si>
  <si>
    <t>18:25:51</t>
  </si>
  <si>
    <t>ORD01607</t>
  </si>
  <si>
    <t>17:56:24</t>
  </si>
  <si>
    <t>ORD01608</t>
  </si>
  <si>
    <t>11:54:16</t>
  </si>
  <si>
    <t>ORD01609</t>
  </si>
  <si>
    <t>16:13:16</t>
  </si>
  <si>
    <t>ORD01610</t>
  </si>
  <si>
    <t>00:04:02</t>
  </si>
  <si>
    <t>ORD01611</t>
  </si>
  <si>
    <t>12:58:54</t>
  </si>
  <si>
    <t>ORD01612</t>
  </si>
  <si>
    <t>05:23:15</t>
  </si>
  <si>
    <t>ORD01613</t>
  </si>
  <si>
    <t>21:45:08</t>
  </si>
  <si>
    <t>ORD01614</t>
  </si>
  <si>
    <t>18:31:37</t>
  </si>
  <si>
    <t>ORD01615</t>
  </si>
  <si>
    <t>09:26:02</t>
  </si>
  <si>
    <t>ORD01616</t>
  </si>
  <si>
    <t>05:40:56</t>
  </si>
  <si>
    <t>ORD01617</t>
  </si>
  <si>
    <t>02:35:56</t>
  </si>
  <si>
    <t>ORD01618</t>
  </si>
  <si>
    <t>00:26:56</t>
  </si>
  <si>
    <t>ORD01619</t>
  </si>
  <si>
    <t>17:52:22</t>
  </si>
  <si>
    <t>ORD01620</t>
  </si>
  <si>
    <t>18:50:51</t>
  </si>
  <si>
    <t>ORD01621</t>
  </si>
  <si>
    <t>09:42:02</t>
  </si>
  <si>
    <t>ORD01622</t>
  </si>
  <si>
    <t>15:50:35</t>
  </si>
  <si>
    <t>ORD01623</t>
  </si>
  <si>
    <t>10:19:38</t>
  </si>
  <si>
    <t>ORD01624</t>
  </si>
  <si>
    <t>20:39:13</t>
  </si>
  <si>
    <t>ORD01625</t>
  </si>
  <si>
    <t>22:40:49</t>
  </si>
  <si>
    <t>ORD01626</t>
  </si>
  <si>
    <t>05:32:56</t>
  </si>
  <si>
    <t>ORD01627</t>
  </si>
  <si>
    <t>15:29:00</t>
  </si>
  <si>
    <t>ORD01628</t>
  </si>
  <si>
    <t>09:09:17</t>
  </si>
  <si>
    <t>ORD01629</t>
  </si>
  <si>
    <t>03:16:26</t>
  </si>
  <si>
    <t>ORD01630</t>
  </si>
  <si>
    <t>09:22:44</t>
  </si>
  <si>
    <t>ORD01631</t>
  </si>
  <si>
    <t>22:56:16</t>
  </si>
  <si>
    <t>ORD01632</t>
  </si>
  <si>
    <t>16:05:19</t>
  </si>
  <si>
    <t>ORD01633</t>
  </si>
  <si>
    <t>01:30:52</t>
  </si>
  <si>
    <t>ORD01634</t>
  </si>
  <si>
    <t>13:05:28</t>
  </si>
  <si>
    <t>ORD01635</t>
  </si>
  <si>
    <t>17:15:19</t>
  </si>
  <si>
    <t>ORD01636</t>
  </si>
  <si>
    <t>21:20:31</t>
  </si>
  <si>
    <t>ORD01637</t>
  </si>
  <si>
    <t>10:34:49</t>
  </si>
  <si>
    <t>ORD01638</t>
  </si>
  <si>
    <t>16:11:58</t>
  </si>
  <si>
    <t>ORD01639</t>
  </si>
  <si>
    <t>CUST0325</t>
  </si>
  <si>
    <t>20:26:39</t>
  </si>
  <si>
    <t>ORD01640</t>
  </si>
  <si>
    <t>17:25:55</t>
  </si>
  <si>
    <t>ORD01641</t>
  </si>
  <si>
    <t>08:34:51</t>
  </si>
  <si>
    <t>ORD01642</t>
  </si>
  <si>
    <t>14:47:39</t>
  </si>
  <si>
    <t>ORD01643</t>
  </si>
  <si>
    <t>14:08:53</t>
  </si>
  <si>
    <t>ORD01644</t>
  </si>
  <si>
    <t>20:18:28</t>
  </si>
  <si>
    <t>ORD01645</t>
  </si>
  <si>
    <t>03:44:19</t>
  </si>
  <si>
    <t>ORD01646</t>
  </si>
  <si>
    <t>03:50:51</t>
  </si>
  <si>
    <t>ORD01647</t>
  </si>
  <si>
    <t>13:53:35</t>
  </si>
  <si>
    <t>ORD01648</t>
  </si>
  <si>
    <t>23:39:41</t>
  </si>
  <si>
    <t>ORD01649</t>
  </si>
  <si>
    <t>22:25:30</t>
  </si>
  <si>
    <t>ORD01650</t>
  </si>
  <si>
    <t>ORD01651</t>
  </si>
  <si>
    <t>08:32:30</t>
  </si>
  <si>
    <t>ORD01652</t>
  </si>
  <si>
    <t>09:27:26</t>
  </si>
  <si>
    <t>ORD01653</t>
  </si>
  <si>
    <t>14:49:36</t>
  </si>
  <si>
    <t>ORD01654</t>
  </si>
  <si>
    <t>00:41:01</t>
  </si>
  <si>
    <t>ORD01655</t>
  </si>
  <si>
    <t>02:10:11</t>
  </si>
  <si>
    <t>ORD01656</t>
  </si>
  <si>
    <t>00:24:12</t>
  </si>
  <si>
    <t>ORD01657</t>
  </si>
  <si>
    <t>17:33:43</t>
  </si>
  <si>
    <t>ORD01658</t>
  </si>
  <si>
    <t>00:21:08</t>
  </si>
  <si>
    <t>ORD01659</t>
  </si>
  <si>
    <t>10:13:44</t>
  </si>
  <si>
    <t>ORD01660</t>
  </si>
  <si>
    <t>20:15:32</t>
  </si>
  <si>
    <t>ORD01661</t>
  </si>
  <si>
    <t>22:29:39</t>
  </si>
  <si>
    <t>ORD01662</t>
  </si>
  <si>
    <t>10:24:37</t>
  </si>
  <si>
    <t>ORD01663</t>
  </si>
  <si>
    <t>05:57:46</t>
  </si>
  <si>
    <t>ORD01664</t>
  </si>
  <si>
    <t>13:31:15</t>
  </si>
  <si>
    <t>ORD01665</t>
  </si>
  <si>
    <t>12:07:54</t>
  </si>
  <si>
    <t>ORD01666</t>
  </si>
  <si>
    <t>10:16:22</t>
  </si>
  <si>
    <t>ORD01667</t>
  </si>
  <si>
    <t>21:43:42</t>
  </si>
  <si>
    <t>ORD01668</t>
  </si>
  <si>
    <t>15:13:07</t>
  </si>
  <si>
    <t>ORD01669</t>
  </si>
  <si>
    <t>05:14:11</t>
  </si>
  <si>
    <t>ORD01670</t>
  </si>
  <si>
    <t>13:38:16</t>
  </si>
  <si>
    <t>ORD01671</t>
  </si>
  <si>
    <t>18:59:22</t>
  </si>
  <si>
    <t>ORD01672</t>
  </si>
  <si>
    <t>02:30:31</t>
  </si>
  <si>
    <t>ORD01673</t>
  </si>
  <si>
    <t>19:43:30</t>
  </si>
  <si>
    <t>ORD01674</t>
  </si>
  <si>
    <t>09:56:08</t>
  </si>
  <si>
    <t>ORD01675</t>
  </si>
  <si>
    <t>04:00:31</t>
  </si>
  <si>
    <t>ORD01676</t>
  </si>
  <si>
    <t>08:18:32</t>
  </si>
  <si>
    <t>ORD01677</t>
  </si>
  <si>
    <t>12:45:25</t>
  </si>
  <si>
    <t>ORD01678</t>
  </si>
  <si>
    <t>21:32:58</t>
  </si>
  <si>
    <t>ORD01679</t>
  </si>
  <si>
    <t>13:44:06</t>
  </si>
  <si>
    <t>ORD01680</t>
  </si>
  <si>
    <t>11:58:09</t>
  </si>
  <si>
    <t>ORD01681</t>
  </si>
  <si>
    <t>15:26:39</t>
  </si>
  <si>
    <t>ORD01682</t>
  </si>
  <si>
    <t>13:58:51</t>
  </si>
  <si>
    <t>ORD01683</t>
  </si>
  <si>
    <t>02:22:57</t>
  </si>
  <si>
    <t>ORD01684</t>
  </si>
  <si>
    <t>19:53:01</t>
  </si>
  <si>
    <t>ORD01685</t>
  </si>
  <si>
    <t>23:37:23</t>
  </si>
  <si>
    <t>ORD01686</t>
  </si>
  <si>
    <t>05:23:28</t>
  </si>
  <si>
    <t>ORD01687</t>
  </si>
  <si>
    <t>22:02:08</t>
  </si>
  <si>
    <t>ORD01688</t>
  </si>
  <si>
    <t>11:52:18</t>
  </si>
  <si>
    <t>ORD01689</t>
  </si>
  <si>
    <t>12:42:29</t>
  </si>
  <si>
    <t>ORD01690</t>
  </si>
  <si>
    <t>10:43:26</t>
  </si>
  <si>
    <t>ORD01691</t>
  </si>
  <si>
    <t>20:15:15</t>
  </si>
  <si>
    <t>ORD01692</t>
  </si>
  <si>
    <t>ORD01693</t>
  </si>
  <si>
    <t>00:36:34</t>
  </si>
  <si>
    <t>ORD01694</t>
  </si>
  <si>
    <t>11:33:01</t>
  </si>
  <si>
    <t>ORD01695</t>
  </si>
  <si>
    <t>02:40:28</t>
  </si>
  <si>
    <t>ORD01696</t>
  </si>
  <si>
    <t>12:25:31</t>
  </si>
  <si>
    <t>ORD01697</t>
  </si>
  <si>
    <t>16:20:35</t>
  </si>
  <si>
    <t>ORD01698</t>
  </si>
  <si>
    <t>17:23:02</t>
  </si>
  <si>
    <t>ORD01699</t>
  </si>
  <si>
    <t>02:59:58</t>
  </si>
  <si>
    <t>ORD01700</t>
  </si>
  <si>
    <t>05:14:27</t>
  </si>
  <si>
    <t>ORD01701</t>
  </si>
  <si>
    <t>05:12:58</t>
  </si>
  <si>
    <t>ORD01702</t>
  </si>
  <si>
    <t>17:41:52</t>
  </si>
  <si>
    <t>ORD01703</t>
  </si>
  <si>
    <t>05:15:42</t>
  </si>
  <si>
    <t>ORD01704</t>
  </si>
  <si>
    <t>01:07:08</t>
  </si>
  <si>
    <t>ORD01705</t>
  </si>
  <si>
    <t>CUST0123</t>
  </si>
  <si>
    <t>00:38:05</t>
  </si>
  <si>
    <t>ORD01706</t>
  </si>
  <si>
    <t>19:54:12</t>
  </si>
  <si>
    <t>ORD01707</t>
  </si>
  <si>
    <t>01:59:14</t>
  </si>
  <si>
    <t>ORD01708</t>
  </si>
  <si>
    <t>07:56:40</t>
  </si>
  <si>
    <t>ORD01709</t>
  </si>
  <si>
    <t>18:58:08</t>
  </si>
  <si>
    <t>ORD01710</t>
  </si>
  <si>
    <t>18:47:32</t>
  </si>
  <si>
    <t>ORD01711</t>
  </si>
  <si>
    <t>10:42:37</t>
  </si>
  <si>
    <t>ORD01712</t>
  </si>
  <si>
    <t>16:08:44</t>
  </si>
  <si>
    <t>ORD01713</t>
  </si>
  <si>
    <t>00:41:53</t>
  </si>
  <si>
    <t>ORD01714</t>
  </si>
  <si>
    <t>18:58:45</t>
  </si>
  <si>
    <t>ORD01715</t>
  </si>
  <si>
    <t>15:09:43</t>
  </si>
  <si>
    <t>ORD01716</t>
  </si>
  <si>
    <t>13:55:46</t>
  </si>
  <si>
    <t>ORD01717</t>
  </si>
  <si>
    <t>09:56:39</t>
  </si>
  <si>
    <t>ORD01718</t>
  </si>
  <si>
    <t>07:57:55</t>
  </si>
  <si>
    <t>ORD01719</t>
  </si>
  <si>
    <t>08:46:47</t>
  </si>
  <si>
    <t>ORD01720</t>
  </si>
  <si>
    <t>00:13:41</t>
  </si>
  <si>
    <t>ORD01721</t>
  </si>
  <si>
    <t>19:43:10</t>
  </si>
  <si>
    <t>ORD01722</t>
  </si>
  <si>
    <t>20:29:51</t>
  </si>
  <si>
    <t>ORD01723</t>
  </si>
  <si>
    <t>02:53:44</t>
  </si>
  <si>
    <t>ORD01724</t>
  </si>
  <si>
    <t>20:41:42</t>
  </si>
  <si>
    <t>ORD01725</t>
  </si>
  <si>
    <t>03:14:25</t>
  </si>
  <si>
    <t>ORD01726</t>
  </si>
  <si>
    <t>17:04:20</t>
  </si>
  <si>
    <t>ORD01727</t>
  </si>
  <si>
    <t>01:35:25</t>
  </si>
  <si>
    <t>ORD01728</t>
  </si>
  <si>
    <t>01:54:27</t>
  </si>
  <si>
    <t>ORD01729</t>
  </si>
  <si>
    <t>09:07:12</t>
  </si>
  <si>
    <t>ORD01730</t>
  </si>
  <si>
    <t>17:02:45</t>
  </si>
  <si>
    <t>ORD01731</t>
  </si>
  <si>
    <t>19:05:36</t>
  </si>
  <si>
    <t>ORD01732</t>
  </si>
  <si>
    <t>21:54:19</t>
  </si>
  <si>
    <t>ORD01733</t>
  </si>
  <si>
    <t>16:06:25</t>
  </si>
  <si>
    <t>ORD01734</t>
  </si>
  <si>
    <t>21:29:28</t>
  </si>
  <si>
    <t>ORD01735</t>
  </si>
  <si>
    <t>21:05:23</t>
  </si>
  <si>
    <t>ORD01736</t>
  </si>
  <si>
    <t>22:02:22</t>
  </si>
  <si>
    <t>ORD01737</t>
  </si>
  <si>
    <t>18:16:43</t>
  </si>
  <si>
    <t>ORD01738</t>
  </si>
  <si>
    <t>14:28:28</t>
  </si>
  <si>
    <t>ORD01739</t>
  </si>
  <si>
    <t>14:39:50</t>
  </si>
  <si>
    <t>ORD01740</t>
  </si>
  <si>
    <t>22:53:30</t>
  </si>
  <si>
    <t>ORD01741</t>
  </si>
  <si>
    <t>19:45:51</t>
  </si>
  <si>
    <t>ORD01742</t>
  </si>
  <si>
    <t>00:41:32</t>
  </si>
  <si>
    <t>ORD01743</t>
  </si>
  <si>
    <t>10:23:21</t>
  </si>
  <si>
    <t>ORD01744</t>
  </si>
  <si>
    <t>05:50:04</t>
  </si>
  <si>
    <t>ORD01745</t>
  </si>
  <si>
    <t>17:44:04</t>
  </si>
  <si>
    <t>ORD01746</t>
  </si>
  <si>
    <t>03:55:55</t>
  </si>
  <si>
    <t>ORD01747</t>
  </si>
  <si>
    <t>10:51:43</t>
  </si>
  <si>
    <t>ORD01748</t>
  </si>
  <si>
    <t>22:26:47</t>
  </si>
  <si>
    <t>ORD01749</t>
  </si>
  <si>
    <t>14:09:08</t>
  </si>
  <si>
    <t>ORD01750</t>
  </si>
  <si>
    <t>21:56:15</t>
  </si>
  <si>
    <t>ORD01751</t>
  </si>
  <si>
    <t>12:23:33</t>
  </si>
  <si>
    <t>ORD01752</t>
  </si>
  <si>
    <t>08:46:08</t>
  </si>
  <si>
    <t>ORD01753</t>
  </si>
  <si>
    <t>20:04:44</t>
  </si>
  <si>
    <t>ORD01754</t>
  </si>
  <si>
    <t>13:00:12</t>
  </si>
  <si>
    <t>ORD01755</t>
  </si>
  <si>
    <t>06:55:50</t>
  </si>
  <si>
    <t>ORD01756</t>
  </si>
  <si>
    <t>17:57:41</t>
  </si>
  <si>
    <t>ORD01757</t>
  </si>
  <si>
    <t>03:27:33</t>
  </si>
  <si>
    <t>ORD01758</t>
  </si>
  <si>
    <t>08:44:59</t>
  </si>
  <si>
    <t>ORD01759</t>
  </si>
  <si>
    <t>20:51:58</t>
  </si>
  <si>
    <t>ORD01760</t>
  </si>
  <si>
    <t>02:27:56</t>
  </si>
  <si>
    <t>ORD01761</t>
  </si>
  <si>
    <t>15:41:04</t>
  </si>
  <si>
    <t>ORD01762</t>
  </si>
  <si>
    <t>11:54:56</t>
  </si>
  <si>
    <t>ORD01763</t>
  </si>
  <si>
    <t>19:25:35</t>
  </si>
  <si>
    <t>ORD01764</t>
  </si>
  <si>
    <t>10:23:45</t>
  </si>
  <si>
    <t>ORD01765</t>
  </si>
  <si>
    <t>14:24:36</t>
  </si>
  <si>
    <t>ORD01766</t>
  </si>
  <si>
    <t>23:47:01</t>
  </si>
  <si>
    <t>ORD01767</t>
  </si>
  <si>
    <t>ORD01768</t>
  </si>
  <si>
    <t>00:54:02</t>
  </si>
  <si>
    <t>ORD01769</t>
  </si>
  <si>
    <t>12:25:51</t>
  </si>
  <si>
    <t>ORD01770</t>
  </si>
  <si>
    <t>08:31:08</t>
  </si>
  <si>
    <t>ORD01771</t>
  </si>
  <si>
    <t>20:26:17</t>
  </si>
  <si>
    <t>ORD01772</t>
  </si>
  <si>
    <t>21:56:22</t>
  </si>
  <si>
    <t>ORD01773</t>
  </si>
  <si>
    <t>09:20:25</t>
  </si>
  <si>
    <t>ORD01774</t>
  </si>
  <si>
    <t>21:56:07</t>
  </si>
  <si>
    <t>ORD01775</t>
  </si>
  <si>
    <t>14:49:13</t>
  </si>
  <si>
    <t>ORD01776</t>
  </si>
  <si>
    <t>CUST0383</t>
  </si>
  <si>
    <t>07:42:01</t>
  </si>
  <si>
    <t>ORD01777</t>
  </si>
  <si>
    <t>14:10:30</t>
  </si>
  <si>
    <t>ORD01778</t>
  </si>
  <si>
    <t>12:10:34</t>
  </si>
  <si>
    <t>ORD01779</t>
  </si>
  <si>
    <t>14:41:07</t>
  </si>
  <si>
    <t>ORD01780</t>
  </si>
  <si>
    <t>19:23:56</t>
  </si>
  <si>
    <t>ORD01781</t>
  </si>
  <si>
    <t>12:20:27</t>
  </si>
  <si>
    <t>ORD01782</t>
  </si>
  <si>
    <t>06:31:33</t>
  </si>
  <si>
    <t>ORD01783</t>
  </si>
  <si>
    <t>18:32:04</t>
  </si>
  <si>
    <t>ORD01784</t>
  </si>
  <si>
    <t>19:02:58</t>
  </si>
  <si>
    <t>ORD01785</t>
  </si>
  <si>
    <t>17:19:17</t>
  </si>
  <si>
    <t>ORD01786</t>
  </si>
  <si>
    <t>17:39:32</t>
  </si>
  <si>
    <t>ORD01787</t>
  </si>
  <si>
    <t>05:08:51</t>
  </si>
  <si>
    <t>ORD01788</t>
  </si>
  <si>
    <t>21:49:38</t>
  </si>
  <si>
    <t>ORD01789</t>
  </si>
  <si>
    <t>08:08:18</t>
  </si>
  <si>
    <t>ORD01790</t>
  </si>
  <si>
    <t>06:00:08</t>
  </si>
  <si>
    <t>ORD01791</t>
  </si>
  <si>
    <t>15:47:31</t>
  </si>
  <si>
    <t>ORD01792</t>
  </si>
  <si>
    <t>13:29:26</t>
  </si>
  <si>
    <t>ORD01793</t>
  </si>
  <si>
    <t>20:12:04</t>
  </si>
  <si>
    <t>ORD01794</t>
  </si>
  <si>
    <t>05:32:02</t>
  </si>
  <si>
    <t>ORD01795</t>
  </si>
  <si>
    <t>CUST0020</t>
  </si>
  <si>
    <t>20:47:54</t>
  </si>
  <si>
    <t>ORD01796</t>
  </si>
  <si>
    <t>01:22:54</t>
  </si>
  <si>
    <t>ORD01797</t>
  </si>
  <si>
    <t>22:20:30</t>
  </si>
  <si>
    <t>ORD01798</t>
  </si>
  <si>
    <t>09:55:30</t>
  </si>
  <si>
    <t>ORD01799</t>
  </si>
  <si>
    <t>18:14:47</t>
  </si>
  <si>
    <t>ORD01800</t>
  </si>
  <si>
    <t>06:19:38</t>
  </si>
  <si>
    <t>ORD01801</t>
  </si>
  <si>
    <t>22:41:03</t>
  </si>
  <si>
    <t>ORD01802</t>
  </si>
  <si>
    <t>22:25:09</t>
  </si>
  <si>
    <t>ORD01803</t>
  </si>
  <si>
    <t>15:41:12</t>
  </si>
  <si>
    <t>ORD01804</t>
  </si>
  <si>
    <t>19:02:47</t>
  </si>
  <si>
    <t>ORD01805</t>
  </si>
  <si>
    <t>14:25:21</t>
  </si>
  <si>
    <t>ORD01806</t>
  </si>
  <si>
    <t>05:12:17</t>
  </si>
  <si>
    <t>ORD01807</t>
  </si>
  <si>
    <t>20:47:02</t>
  </si>
  <si>
    <t>ORD01808</t>
  </si>
  <si>
    <t>12:57:24</t>
  </si>
  <si>
    <t>ORD01809</t>
  </si>
  <si>
    <t>ORD01810</t>
  </si>
  <si>
    <t>18:16:07</t>
  </si>
  <si>
    <t>ORD01811</t>
  </si>
  <si>
    <t>19:46:59</t>
  </si>
  <si>
    <t>ORD01812</t>
  </si>
  <si>
    <t>23:30:31</t>
  </si>
  <si>
    <t>ORD01813</t>
  </si>
  <si>
    <t>05:45:12</t>
  </si>
  <si>
    <t>ORD01814</t>
  </si>
  <si>
    <t>21:47:47</t>
  </si>
  <si>
    <t>ORD01815</t>
  </si>
  <si>
    <t>19:33:04</t>
  </si>
  <si>
    <t>ORD01816</t>
  </si>
  <si>
    <t>19:27:47</t>
  </si>
  <si>
    <t>ORD01817</t>
  </si>
  <si>
    <t>21:30:28</t>
  </si>
  <si>
    <t>ORD01818</t>
  </si>
  <si>
    <t>10:00:01</t>
  </si>
  <si>
    <t>ORD01819</t>
  </si>
  <si>
    <t>CUST0214</t>
  </si>
  <si>
    <t>05:49:06</t>
  </si>
  <si>
    <t>ORD01820</t>
  </si>
  <si>
    <t>08:38:11</t>
  </si>
  <si>
    <t>ORD01821</t>
  </si>
  <si>
    <t>CUST0444</t>
  </si>
  <si>
    <t>02:29:37</t>
  </si>
  <si>
    <t>ORD01822</t>
  </si>
  <si>
    <t>01:02:44</t>
  </si>
  <si>
    <t>ORD01823</t>
  </si>
  <si>
    <t>09:55:11</t>
  </si>
  <si>
    <t>ORD01824</t>
  </si>
  <si>
    <t>CUST0019</t>
  </si>
  <si>
    <t>11:02:19</t>
  </si>
  <si>
    <t>ORD01825</t>
  </si>
  <si>
    <t>09:20:27</t>
  </si>
  <si>
    <t>ORD01826</t>
  </si>
  <si>
    <t>22:53:48</t>
  </si>
  <si>
    <t>ORD01827</t>
  </si>
  <si>
    <t>03:27:26</t>
  </si>
  <si>
    <t>ORD01828</t>
  </si>
  <si>
    <t>04:52:41</t>
  </si>
  <si>
    <t>ORD01829</t>
  </si>
  <si>
    <t>11:49:31</t>
  </si>
  <si>
    <t>ORD01830</t>
  </si>
  <si>
    <t>22:29:27</t>
  </si>
  <si>
    <t>ORD01831</t>
  </si>
  <si>
    <t>04:34:23</t>
  </si>
  <si>
    <t>ORD01832</t>
  </si>
  <si>
    <t>10:53:33</t>
  </si>
  <si>
    <t>ORD01833</t>
  </si>
  <si>
    <t>00:17:03</t>
  </si>
  <si>
    <t>ORD01834</t>
  </si>
  <si>
    <t>06:54:37</t>
  </si>
  <si>
    <t>ORD01835</t>
  </si>
  <si>
    <t>15:01:36</t>
  </si>
  <si>
    <t>ORD01836</t>
  </si>
  <si>
    <t>06:15:41</t>
  </si>
  <si>
    <t>ORD01837</t>
  </si>
  <si>
    <t>07:34:13</t>
  </si>
  <si>
    <t>ORD01838</t>
  </si>
  <si>
    <t>10:28:05</t>
  </si>
  <si>
    <t>ORD01839</t>
  </si>
  <si>
    <t>17:12:21</t>
  </si>
  <si>
    <t>ORD01840</t>
  </si>
  <si>
    <t>00:48:02</t>
  </si>
  <si>
    <t>ORD01841</t>
  </si>
  <si>
    <t>ORD01842</t>
  </si>
  <si>
    <t>21:26:37</t>
  </si>
  <si>
    <t>ORD01843</t>
  </si>
  <si>
    <t>17:46:44</t>
  </si>
  <si>
    <t>ORD01844</t>
  </si>
  <si>
    <t>23:18:45</t>
  </si>
  <si>
    <t>ORD01845</t>
  </si>
  <si>
    <t>CUST0023</t>
  </si>
  <si>
    <t>22:56:00</t>
  </si>
  <si>
    <t>ORD01846</t>
  </si>
  <si>
    <t>12:26:58</t>
  </si>
  <si>
    <t>ORD01847</t>
  </si>
  <si>
    <t>01:13:11</t>
  </si>
  <si>
    <t>ORD01848</t>
  </si>
  <si>
    <t>06:45:06</t>
  </si>
  <si>
    <t>ORD01849</t>
  </si>
  <si>
    <t>23:54:03</t>
  </si>
  <si>
    <t>ORD01850</t>
  </si>
  <si>
    <t>12:54:30</t>
  </si>
  <si>
    <t>ORD01851</t>
  </si>
  <si>
    <t>12:26:49</t>
  </si>
  <si>
    <t>ORD01852</t>
  </si>
  <si>
    <t>15:50:02</t>
  </si>
  <si>
    <t>ORD01853</t>
  </si>
  <si>
    <t>15:49:06</t>
  </si>
  <si>
    <t>ORD01854</t>
  </si>
  <si>
    <t>CUST0441</t>
  </si>
  <si>
    <t>09:57:51</t>
  </si>
  <si>
    <t>ORD01855</t>
  </si>
  <si>
    <t>10:47:35</t>
  </si>
  <si>
    <t>ORD01856</t>
  </si>
  <si>
    <t>14:30:03</t>
  </si>
  <si>
    <t>ORD01857</t>
  </si>
  <si>
    <t>22:19:54</t>
  </si>
  <si>
    <t>ORD01858</t>
  </si>
  <si>
    <t>23:46:14</t>
  </si>
  <si>
    <t>ORD01859</t>
  </si>
  <si>
    <t>03:29:38</t>
  </si>
  <si>
    <t>ORD01860</t>
  </si>
  <si>
    <t>CUST0192</t>
  </si>
  <si>
    <t>10:07:04</t>
  </si>
  <si>
    <t>ORD01861</t>
  </si>
  <si>
    <t>16:42:48</t>
  </si>
  <si>
    <t>ORD01862</t>
  </si>
  <si>
    <t>13:32:14</t>
  </si>
  <si>
    <t>ORD01863</t>
  </si>
  <si>
    <t>07:45:19</t>
  </si>
  <si>
    <t>ORD01864</t>
  </si>
  <si>
    <t>13:17:37</t>
  </si>
  <si>
    <t>ORD01865</t>
  </si>
  <si>
    <t>19:15:44</t>
  </si>
  <si>
    <t>ORD01866</t>
  </si>
  <si>
    <t>02:43:37</t>
  </si>
  <si>
    <t>ORD01867</t>
  </si>
  <si>
    <t>08:32:44</t>
  </si>
  <si>
    <t>ORD01868</t>
  </si>
  <si>
    <t>08:35:24</t>
  </si>
  <si>
    <t>ORD01869</t>
  </si>
  <si>
    <t>19:35:19</t>
  </si>
  <si>
    <t>ORD01870</t>
  </si>
  <si>
    <t>13:13:58</t>
  </si>
  <si>
    <t>ORD01871</t>
  </si>
  <si>
    <t>00:12:13</t>
  </si>
  <si>
    <t>ORD01872</t>
  </si>
  <si>
    <t>05:42:14</t>
  </si>
  <si>
    <t>ORD01873</t>
  </si>
  <si>
    <t>20:31:38</t>
  </si>
  <si>
    <t>ORD01874</t>
  </si>
  <si>
    <t>07:26:56</t>
  </si>
  <si>
    <t>ORD01875</t>
  </si>
  <si>
    <t>07:49:49</t>
  </si>
  <si>
    <t>ORD01876</t>
  </si>
  <si>
    <t>23:32:21</t>
  </si>
  <si>
    <t>ORD01877</t>
  </si>
  <si>
    <t>07:42:25</t>
  </si>
  <si>
    <t>ORD01878</t>
  </si>
  <si>
    <t>05:43:42</t>
  </si>
  <si>
    <t>ORD01879</t>
  </si>
  <si>
    <t>03:21:46</t>
  </si>
  <si>
    <t>ORD01880</t>
  </si>
  <si>
    <t>04:15:45</t>
  </si>
  <si>
    <t>ORD01881</t>
  </si>
  <si>
    <t>01:33:05</t>
  </si>
  <si>
    <t>ORD01882</t>
  </si>
  <si>
    <t>08:00:32</t>
  </si>
  <si>
    <t>ORD01883</t>
  </si>
  <si>
    <t>07:33:20</t>
  </si>
  <si>
    <t>ORD01884</t>
  </si>
  <si>
    <t>21:57:10</t>
  </si>
  <si>
    <t>ORD01885</t>
  </si>
  <si>
    <t>01:50:18</t>
  </si>
  <si>
    <t>ORD01886</t>
  </si>
  <si>
    <t>16:45:46</t>
  </si>
  <si>
    <t>ORD01887</t>
  </si>
  <si>
    <t>01:41:10</t>
  </si>
  <si>
    <t>ORD01888</t>
  </si>
  <si>
    <t>04:20:24</t>
  </si>
  <si>
    <t>ORD01889</t>
  </si>
  <si>
    <t>16:26:55</t>
  </si>
  <si>
    <t>ORD01890</t>
  </si>
  <si>
    <t>01:10:58</t>
  </si>
  <si>
    <t>ORD01891</t>
  </si>
  <si>
    <t>00:29:50</t>
  </si>
  <si>
    <t>ORD01892</t>
  </si>
  <si>
    <t>15:16:01</t>
  </si>
  <si>
    <t>ORD01893</t>
  </si>
  <si>
    <t>11:00:04</t>
  </si>
  <si>
    <t>ORD01894</t>
  </si>
  <si>
    <t>11:49:00</t>
  </si>
  <si>
    <t>ORD01895</t>
  </si>
  <si>
    <t>11:50:57</t>
  </si>
  <si>
    <t>ORD01896</t>
  </si>
  <si>
    <t>06:16:35</t>
  </si>
  <si>
    <t>ORD01897</t>
  </si>
  <si>
    <t>05:11:36</t>
  </si>
  <si>
    <t>ORD01898</t>
  </si>
  <si>
    <t>14:50:37</t>
  </si>
  <si>
    <t>ORD01899</t>
  </si>
  <si>
    <t>03:17:59</t>
  </si>
  <si>
    <t>ORD01900</t>
  </si>
  <si>
    <t>02:13:02</t>
  </si>
  <si>
    <t>ORD01901</t>
  </si>
  <si>
    <t>16:57:38</t>
  </si>
  <si>
    <t>ORD01902</t>
  </si>
  <si>
    <t>06:39:28</t>
  </si>
  <si>
    <t>ORD01903</t>
  </si>
  <si>
    <t>17:06:18</t>
  </si>
  <si>
    <t>ORD01904</t>
  </si>
  <si>
    <t>03:18:28</t>
  </si>
  <si>
    <t>ORD01905</t>
  </si>
  <si>
    <t>ORD01906</t>
  </si>
  <si>
    <t>09:35:55</t>
  </si>
  <si>
    <t>ORD01907</t>
  </si>
  <si>
    <t>18:50:07</t>
  </si>
  <si>
    <t>ORD01908</t>
  </si>
  <si>
    <t>07:44:23</t>
  </si>
  <si>
    <t>ORD01909</t>
  </si>
  <si>
    <t>07:41:08</t>
  </si>
  <si>
    <t>ORD01910</t>
  </si>
  <si>
    <t>16:41:59</t>
  </si>
  <si>
    <t>ORD01911</t>
  </si>
  <si>
    <t>04:37:16</t>
  </si>
  <si>
    <t>ORD01912</t>
  </si>
  <si>
    <t>01:37:55</t>
  </si>
  <si>
    <t>ORD01913</t>
  </si>
  <si>
    <t>05:29:28</t>
  </si>
  <si>
    <t>ORD01914</t>
  </si>
  <si>
    <t>23:07:10</t>
  </si>
  <si>
    <t>ORD01915</t>
  </si>
  <si>
    <t>05:20:12</t>
  </si>
  <si>
    <t>ORD01916</t>
  </si>
  <si>
    <t>19:02:20</t>
  </si>
  <si>
    <t>ORD01917</t>
  </si>
  <si>
    <t>21:32:48</t>
  </si>
  <si>
    <t>ORD01918</t>
  </si>
  <si>
    <t>04:49:05</t>
  </si>
  <si>
    <t>ORD01919</t>
  </si>
  <si>
    <t>23:10:20</t>
  </si>
  <si>
    <t>ORD01920</t>
  </si>
  <si>
    <t>08:15:27</t>
  </si>
  <si>
    <t>ORD01921</t>
  </si>
  <si>
    <t>09:41:46</t>
  </si>
  <si>
    <t>ORD01922</t>
  </si>
  <si>
    <t>18:56:08</t>
  </si>
  <si>
    <t>ORD01923</t>
  </si>
  <si>
    <t>18:32:27</t>
  </si>
  <si>
    <t>ORD01924</t>
  </si>
  <si>
    <t>21:49:59</t>
  </si>
  <si>
    <t>ORD01925</t>
  </si>
  <si>
    <t>12:33:47</t>
  </si>
  <si>
    <t>ORD01926</t>
  </si>
  <si>
    <t>19:12:50</t>
  </si>
  <si>
    <t>ORD01927</t>
  </si>
  <si>
    <t>21:22:01</t>
  </si>
  <si>
    <t>ORD01928</t>
  </si>
  <si>
    <t>15:10:24</t>
  </si>
  <si>
    <t>ORD01929</t>
  </si>
  <si>
    <t>02:44:27</t>
  </si>
  <si>
    <t>ORD01930</t>
  </si>
  <si>
    <t>22:22:26</t>
  </si>
  <si>
    <t>ORD01931</t>
  </si>
  <si>
    <t>17:02:21</t>
  </si>
  <si>
    <t>ORD01932</t>
  </si>
  <si>
    <t>10:35:16</t>
  </si>
  <si>
    <t>ORD01933</t>
  </si>
  <si>
    <t>13:34:24</t>
  </si>
  <si>
    <t>ORD01934</t>
  </si>
  <si>
    <t>04:28:08</t>
  </si>
  <si>
    <t>ORD01935</t>
  </si>
  <si>
    <t>03:03:15</t>
  </si>
  <si>
    <t>ORD01936</t>
  </si>
  <si>
    <t>ORD01937</t>
  </si>
  <si>
    <t>11:13:43</t>
  </si>
  <si>
    <t>ORD01938</t>
  </si>
  <si>
    <t>16:24:33</t>
  </si>
  <si>
    <t>ORD01939</t>
  </si>
  <si>
    <t>20:47:44</t>
  </si>
  <si>
    <t>ORD01940</t>
  </si>
  <si>
    <t>06:11:18</t>
  </si>
  <si>
    <t>ORD01941</t>
  </si>
  <si>
    <t>23:49:27</t>
  </si>
  <si>
    <t>ORD01942</t>
  </si>
  <si>
    <t>18:17:46</t>
  </si>
  <si>
    <t>ORD01943</t>
  </si>
  <si>
    <t>09:17:00</t>
  </si>
  <si>
    <t>ORD01944</t>
  </si>
  <si>
    <t>03:44:36</t>
  </si>
  <si>
    <t>ORD01945</t>
  </si>
  <si>
    <t>17:16:33</t>
  </si>
  <si>
    <t>ORD01946</t>
  </si>
  <si>
    <t>08:51:14</t>
  </si>
  <si>
    <t>ORD01947</t>
  </si>
  <si>
    <t>07:55:26</t>
  </si>
  <si>
    <t>ORD01948</t>
  </si>
  <si>
    <t>04:13:14</t>
  </si>
  <si>
    <t>ORD01949</t>
  </si>
  <si>
    <t>20:11:01</t>
  </si>
  <si>
    <t>ORD01950</t>
  </si>
  <si>
    <t>07:33:55</t>
  </si>
  <si>
    <t>ORD01951</t>
  </si>
  <si>
    <t>00:59:00</t>
  </si>
  <si>
    <t>ORD01952</t>
  </si>
  <si>
    <t>06:07:33</t>
  </si>
  <si>
    <t>ORD01953</t>
  </si>
  <si>
    <t>21:20:56</t>
  </si>
  <si>
    <t>ORD01954</t>
  </si>
  <si>
    <t>14:46:26</t>
  </si>
  <si>
    <t>ORD01955</t>
  </si>
  <si>
    <t>14:40:12</t>
  </si>
  <si>
    <t>ORD01956</t>
  </si>
  <si>
    <t>05:58:42</t>
  </si>
  <si>
    <t>ORD01957</t>
  </si>
  <si>
    <t>23:21:55</t>
  </si>
  <si>
    <t>ORD01958</t>
  </si>
  <si>
    <t>02:57:18</t>
  </si>
  <si>
    <t>ORD01959</t>
  </si>
  <si>
    <t>17:29:09</t>
  </si>
  <si>
    <t>ORD01960</t>
  </si>
  <si>
    <t>23:59:01</t>
  </si>
  <si>
    <t>ORD01961</t>
  </si>
  <si>
    <t>05:31:07</t>
  </si>
  <si>
    <t>ORD01962</t>
  </si>
  <si>
    <t>01:41:12</t>
  </si>
  <si>
    <t>ORD01963</t>
  </si>
  <si>
    <t>16:39:53</t>
  </si>
  <si>
    <t>ORD01964</t>
  </si>
  <si>
    <t>23:34:32</t>
  </si>
  <si>
    <t>ORD01965</t>
  </si>
  <si>
    <t>11:33:27</t>
  </si>
  <si>
    <t>ORD01966</t>
  </si>
  <si>
    <t>04:30:14</t>
  </si>
  <si>
    <t>ORD01967</t>
  </si>
  <si>
    <t>23:45:23</t>
  </si>
  <si>
    <t>ORD01968</t>
  </si>
  <si>
    <t>04:55:49</t>
  </si>
  <si>
    <t>ORD01969</t>
  </si>
  <si>
    <t>16:32:57</t>
  </si>
  <si>
    <t>ORD01970</t>
  </si>
  <si>
    <t>16:20:01</t>
  </si>
  <si>
    <t>ORD01971</t>
  </si>
  <si>
    <t>10:13:00</t>
  </si>
  <si>
    <t>ORD01972</t>
  </si>
  <si>
    <t>12:12:51</t>
  </si>
  <si>
    <t>ORD01973</t>
  </si>
  <si>
    <t>09:18:59</t>
  </si>
  <si>
    <t>ORD01974</t>
  </si>
  <si>
    <t>22:49:23</t>
  </si>
  <si>
    <t>ORD01975</t>
  </si>
  <si>
    <t>04:37:10</t>
  </si>
  <si>
    <t>ORD01976</t>
  </si>
  <si>
    <t>16:33:20</t>
  </si>
  <si>
    <t>ORD01977</t>
  </si>
  <si>
    <t>09:57:14</t>
  </si>
  <si>
    <t>ORD01978</t>
  </si>
  <si>
    <t>13:49:19</t>
  </si>
  <si>
    <t>ORD01979</t>
  </si>
  <si>
    <t>12:20:47</t>
  </si>
  <si>
    <t>ORD01980</t>
  </si>
  <si>
    <t>ORD01981</t>
  </si>
  <si>
    <t>05:56:34</t>
  </si>
  <si>
    <t>ORD01982</t>
  </si>
  <si>
    <t>14:35:13</t>
  </si>
  <si>
    <t>ORD01983</t>
  </si>
  <si>
    <t>22:50:36</t>
  </si>
  <si>
    <t>ORD01984</t>
  </si>
  <si>
    <t>01:47:54</t>
  </si>
  <si>
    <t>ORD01985</t>
  </si>
  <si>
    <t>18:04:30</t>
  </si>
  <si>
    <t>ORD01986</t>
  </si>
  <si>
    <t>15:39:06</t>
  </si>
  <si>
    <t>ORD01987</t>
  </si>
  <si>
    <t>ORD01988</t>
  </si>
  <si>
    <t>07:29:17</t>
  </si>
  <si>
    <t>ORD01989</t>
  </si>
  <si>
    <t>06:34:07</t>
  </si>
  <si>
    <t>ORD01990</t>
  </si>
  <si>
    <t>02:14:28</t>
  </si>
  <si>
    <t>ORD01991</t>
  </si>
  <si>
    <t>01:20:23</t>
  </si>
  <si>
    <t>ORD01992</t>
  </si>
  <si>
    <t>21:58:40</t>
  </si>
  <si>
    <t>ORD01993</t>
  </si>
  <si>
    <t>11:17:30</t>
  </si>
  <si>
    <t>ORD01994</t>
  </si>
  <si>
    <t>16:46:02</t>
  </si>
  <si>
    <t>ORD01995</t>
  </si>
  <si>
    <t>21:07:01</t>
  </si>
  <si>
    <t>ORD01996</t>
  </si>
  <si>
    <t>17:00:46</t>
  </si>
  <si>
    <t>ORD01997</t>
  </si>
  <si>
    <t>13:28:10</t>
  </si>
  <si>
    <t>ORD01998</t>
  </si>
  <si>
    <t>01:59:43</t>
  </si>
  <si>
    <t>ORD01999</t>
  </si>
  <si>
    <t>23:58:38</t>
  </si>
  <si>
    <t>ORD02000</t>
  </si>
  <si>
    <t>08:37:49</t>
  </si>
  <si>
    <t>ORD02001</t>
  </si>
  <si>
    <t>17:33:07</t>
  </si>
  <si>
    <t>ORD02002</t>
  </si>
  <si>
    <t>14:17:37</t>
  </si>
  <si>
    <t>ORD02003</t>
  </si>
  <si>
    <t>17:40:22</t>
  </si>
  <si>
    <t>ORD02004</t>
  </si>
  <si>
    <t>10:19:27</t>
  </si>
  <si>
    <t>ORD02005</t>
  </si>
  <si>
    <t>10:54:44</t>
  </si>
  <si>
    <t>ORD02006</t>
  </si>
  <si>
    <t>10:02:55</t>
  </si>
  <si>
    <t>ORD02007</t>
  </si>
  <si>
    <t>19:04:31</t>
  </si>
  <si>
    <t>ORD02008</t>
  </si>
  <si>
    <t>02:25:15</t>
  </si>
  <si>
    <t>ORD02009</t>
  </si>
  <si>
    <t>05:35:12</t>
  </si>
  <si>
    <t>ORD02010</t>
  </si>
  <si>
    <t>04:15:16</t>
  </si>
  <si>
    <t>ORD02011</t>
  </si>
  <si>
    <t>19:15:53</t>
  </si>
  <si>
    <t>ORD02012</t>
  </si>
  <si>
    <t>ORD02013</t>
  </si>
  <si>
    <t>20:25:22</t>
  </si>
  <si>
    <t>ORD02014</t>
  </si>
  <si>
    <t>03:45:49</t>
  </si>
  <si>
    <t>ORD02015</t>
  </si>
  <si>
    <t>22:21:11</t>
  </si>
  <si>
    <t>ORD02016</t>
  </si>
  <si>
    <t>19:09:54</t>
  </si>
  <si>
    <t>ORD02017</t>
  </si>
  <si>
    <t>04:10:14</t>
  </si>
  <si>
    <t>ORD02018</t>
  </si>
  <si>
    <t>05:13:54</t>
  </si>
  <si>
    <t>ORD02019</t>
  </si>
  <si>
    <t>15:56:01</t>
  </si>
  <si>
    <t>ORD02020</t>
  </si>
  <si>
    <t>23:15:41</t>
  </si>
  <si>
    <t>ORD02021</t>
  </si>
  <si>
    <t>05:52:32</t>
  </si>
  <si>
    <t>ORD02022</t>
  </si>
  <si>
    <t>23:08:59</t>
  </si>
  <si>
    <t>ORD02023</t>
  </si>
  <si>
    <t>17:51:52</t>
  </si>
  <si>
    <t>ORD02024</t>
  </si>
  <si>
    <t>08:05:59</t>
  </si>
  <si>
    <t>ORD02025</t>
  </si>
  <si>
    <t>19:00:05</t>
  </si>
  <si>
    <t>ORD02026</t>
  </si>
  <si>
    <t>06:35:32</t>
  </si>
  <si>
    <t>ORD02027</t>
  </si>
  <si>
    <t>15:32:03</t>
  </si>
  <si>
    <t>ORD02028</t>
  </si>
  <si>
    <t>19:59:52</t>
  </si>
  <si>
    <t>ORD02029</t>
  </si>
  <si>
    <t>08:55:57</t>
  </si>
  <si>
    <t>ORD02030</t>
  </si>
  <si>
    <t>16:37:10</t>
  </si>
  <si>
    <t>ORD02031</t>
  </si>
  <si>
    <t>13:27:31</t>
  </si>
  <si>
    <t>ORD02032</t>
  </si>
  <si>
    <t>20:37:37</t>
  </si>
  <si>
    <t>ORD02033</t>
  </si>
  <si>
    <t>04:46:14</t>
  </si>
  <si>
    <t>ORD02034</t>
  </si>
  <si>
    <t>07:58:31</t>
  </si>
  <si>
    <t>ORD02035</t>
  </si>
  <si>
    <t>19:49:05</t>
  </si>
  <si>
    <t>ORD02036</t>
  </si>
  <si>
    <t>02:09:10</t>
  </si>
  <si>
    <t>ORD02037</t>
  </si>
  <si>
    <t>09:11:18</t>
  </si>
  <si>
    <t>ORD02038</t>
  </si>
  <si>
    <t>08:42:56</t>
  </si>
  <si>
    <t>ORD02039</t>
  </si>
  <si>
    <t>19:29:11</t>
  </si>
  <si>
    <t>ORD02040</t>
  </si>
  <si>
    <t>13:42:29</t>
  </si>
  <si>
    <t>ORD02041</t>
  </si>
  <si>
    <t>14:00:19</t>
  </si>
  <si>
    <t>ORD02042</t>
  </si>
  <si>
    <t>19:49:39</t>
  </si>
  <si>
    <t>ORD02043</t>
  </si>
  <si>
    <t>00:19:33</t>
  </si>
  <si>
    <t>ORD02044</t>
  </si>
  <si>
    <t>23:37:13</t>
  </si>
  <si>
    <t>ORD02045</t>
  </si>
  <si>
    <t>06:36:44</t>
  </si>
  <si>
    <t>ORD02046</t>
  </si>
  <si>
    <t>07:42:55</t>
  </si>
  <si>
    <t>ORD02047</t>
  </si>
  <si>
    <t>05:33:09</t>
  </si>
  <si>
    <t>ORD02048</t>
  </si>
  <si>
    <t>14:21:21</t>
  </si>
  <si>
    <t>ORD02049</t>
  </si>
  <si>
    <t>12:48:31</t>
  </si>
  <si>
    <t>ORD02050</t>
  </si>
  <si>
    <t>16:35:49</t>
  </si>
  <si>
    <t>ORD02051</t>
  </si>
  <si>
    <t>16:30:54</t>
  </si>
  <si>
    <t>ORD02052</t>
  </si>
  <si>
    <t>15:51:28</t>
  </si>
  <si>
    <t>ORD02053</t>
  </si>
  <si>
    <t>13:52:50</t>
  </si>
  <si>
    <t>ORD02054</t>
  </si>
  <si>
    <t>06:01:38</t>
  </si>
  <si>
    <t>ORD02055</t>
  </si>
  <si>
    <t>22:22:34</t>
  </si>
  <si>
    <t>ORD02056</t>
  </si>
  <si>
    <t>11:36:45</t>
  </si>
  <si>
    <t>ORD02057</t>
  </si>
  <si>
    <t>18:42:08</t>
  </si>
  <si>
    <t>ORD02058</t>
  </si>
  <si>
    <t>13:26:43</t>
  </si>
  <si>
    <t>ORD02059</t>
  </si>
  <si>
    <t>02:13:57</t>
  </si>
  <si>
    <t>ORD02060</t>
  </si>
  <si>
    <t>04:36:01</t>
  </si>
  <si>
    <t>ORD02061</t>
  </si>
  <si>
    <t>11:01:43</t>
  </si>
  <si>
    <t>ORD02062</t>
  </si>
  <si>
    <t>03:13:37</t>
  </si>
  <si>
    <t>ORD02063</t>
  </si>
  <si>
    <t>21:36:09</t>
  </si>
  <si>
    <t>ORD02064</t>
  </si>
  <si>
    <t>06:49:23</t>
  </si>
  <si>
    <t>ORD02065</t>
  </si>
  <si>
    <t>20:03:37</t>
  </si>
  <si>
    <t>ORD02066</t>
  </si>
  <si>
    <t>16:51:14</t>
  </si>
  <si>
    <t>ORD02067</t>
  </si>
  <si>
    <t>14:18:35</t>
  </si>
  <si>
    <t>ORD02068</t>
  </si>
  <si>
    <t>09:07:11</t>
  </si>
  <si>
    <t>ORD02069</t>
  </si>
  <si>
    <t>17:42:33</t>
  </si>
  <si>
    <t>ORD02070</t>
  </si>
  <si>
    <t>04:27:51</t>
  </si>
  <si>
    <t>ORD02071</t>
  </si>
  <si>
    <t>04:46:12</t>
  </si>
  <si>
    <t>ORD02072</t>
  </si>
  <si>
    <t>17:18:25</t>
  </si>
  <si>
    <t>ORD02073</t>
  </si>
  <si>
    <t>22:27:25</t>
  </si>
  <si>
    <t>ORD02074</t>
  </si>
  <si>
    <t>13:27:16</t>
  </si>
  <si>
    <t>ORD02075</t>
  </si>
  <si>
    <t>10:33:38</t>
  </si>
  <si>
    <t>ORD02076</t>
  </si>
  <si>
    <t>16:13:56</t>
  </si>
  <si>
    <t>ORD02077</t>
  </si>
  <si>
    <t>10:15:57</t>
  </si>
  <si>
    <t>ORD02078</t>
  </si>
  <si>
    <t>20:40:55</t>
  </si>
  <si>
    <t>ORD02079</t>
  </si>
  <si>
    <t>03:25:36</t>
  </si>
  <si>
    <t>ORD02080</t>
  </si>
  <si>
    <t>12:14:21</t>
  </si>
  <si>
    <t>ORD02081</t>
  </si>
  <si>
    <t>20:40:43</t>
  </si>
  <si>
    <t>ORD02082</t>
  </si>
  <si>
    <t>04:48:01</t>
  </si>
  <si>
    <t>ORD02083</t>
  </si>
  <si>
    <t>10:01:45</t>
  </si>
  <si>
    <t>ORD02084</t>
  </si>
  <si>
    <t>00:20:42</t>
  </si>
  <si>
    <t>ORD02085</t>
  </si>
  <si>
    <t>05:42:16</t>
  </si>
  <si>
    <t>ORD02086</t>
  </si>
  <si>
    <t>23:53:28</t>
  </si>
  <si>
    <t>ORD02087</t>
  </si>
  <si>
    <t>01:04:13</t>
  </si>
  <si>
    <t>ORD02088</t>
  </si>
  <si>
    <t>14:28:12</t>
  </si>
  <si>
    <t>ORD02089</t>
  </si>
  <si>
    <t>13:06:09</t>
  </si>
  <si>
    <t>ORD02090</t>
  </si>
  <si>
    <t>05:45:28</t>
  </si>
  <si>
    <t>ORD02091</t>
  </si>
  <si>
    <t>09:37:56</t>
  </si>
  <si>
    <t>ORD02092</t>
  </si>
  <si>
    <t>13:35:48</t>
  </si>
  <si>
    <t>ORD02093</t>
  </si>
  <si>
    <t>02:18:26</t>
  </si>
  <si>
    <t>ORD02094</t>
  </si>
  <si>
    <t>14:21:14</t>
  </si>
  <si>
    <t>ORD02095</t>
  </si>
  <si>
    <t>13:16:46</t>
  </si>
  <si>
    <t>ORD02096</t>
  </si>
  <si>
    <t>14:39:53</t>
  </si>
  <si>
    <t>ORD02097</t>
  </si>
  <si>
    <t>07:43:45</t>
  </si>
  <si>
    <t>ORD02098</t>
  </si>
  <si>
    <t>15:28:58</t>
  </si>
  <si>
    <t>ORD02099</t>
  </si>
  <si>
    <t>07:51:39</t>
  </si>
  <si>
    <t>ORD02100</t>
  </si>
  <si>
    <t>03:43:49</t>
  </si>
  <si>
    <t>ORD02101</t>
  </si>
  <si>
    <t>04:59:35</t>
  </si>
  <si>
    <t>ORD02102</t>
  </si>
  <si>
    <t>08:40:25</t>
  </si>
  <si>
    <t>ORD02103</t>
  </si>
  <si>
    <t>11:20:54</t>
  </si>
  <si>
    <t>ORD02104</t>
  </si>
  <si>
    <t>16:55:10</t>
  </si>
  <si>
    <t>ORD02105</t>
  </si>
  <si>
    <t>13:28:41</t>
  </si>
  <si>
    <t>ORD02106</t>
  </si>
  <si>
    <t>06:02:45</t>
  </si>
  <si>
    <t>ORD02107</t>
  </si>
  <si>
    <t>22:31:54</t>
  </si>
  <si>
    <t>ORD02108</t>
  </si>
  <si>
    <t>07:50:36</t>
  </si>
  <si>
    <t>ORD02109</t>
  </si>
  <si>
    <t>02:40:13</t>
  </si>
  <si>
    <t>ORD02110</t>
  </si>
  <si>
    <t>07:23:37</t>
  </si>
  <si>
    <t>ORD02111</t>
  </si>
  <si>
    <t>00:40:22</t>
  </si>
  <si>
    <t>ORD02112</t>
  </si>
  <si>
    <t>15:32:06</t>
  </si>
  <si>
    <t>ORD02113</t>
  </si>
  <si>
    <t>19:10:28</t>
  </si>
  <si>
    <t>ORD02114</t>
  </si>
  <si>
    <t>22:24:51</t>
  </si>
  <si>
    <t>ORD02115</t>
  </si>
  <si>
    <t>09:34:13</t>
  </si>
  <si>
    <t>ORD02116</t>
  </si>
  <si>
    <t>ORD02117</t>
  </si>
  <si>
    <t>21:30:53</t>
  </si>
  <si>
    <t>ORD02118</t>
  </si>
  <si>
    <t>06:16:41</t>
  </si>
  <si>
    <t>ORD02119</t>
  </si>
  <si>
    <t>11:16:59</t>
  </si>
  <si>
    <t>ORD02120</t>
  </si>
  <si>
    <t>13:38:46</t>
  </si>
  <si>
    <t>ORD02121</t>
  </si>
  <si>
    <t>19:12:48</t>
  </si>
  <si>
    <t>ORD02122</t>
  </si>
  <si>
    <t>23:20:41</t>
  </si>
  <si>
    <t>ORD02123</t>
  </si>
  <si>
    <t>15:27:59</t>
  </si>
  <si>
    <t>ORD02124</t>
  </si>
  <si>
    <t>22:24:33</t>
  </si>
  <si>
    <t>ORD02125</t>
  </si>
  <si>
    <t>04:57:57</t>
  </si>
  <si>
    <t>ORD02126</t>
  </si>
  <si>
    <t>11:01:54</t>
  </si>
  <si>
    <t>ORD02127</t>
  </si>
  <si>
    <t>01:12:13</t>
  </si>
  <si>
    <t>ORD02128</t>
  </si>
  <si>
    <t>12:21:03</t>
  </si>
  <si>
    <t>ORD02129</t>
  </si>
  <si>
    <t>02:55:03</t>
  </si>
  <si>
    <t>ORD02130</t>
  </si>
  <si>
    <t>04:10:24</t>
  </si>
  <si>
    <t>ORD02131</t>
  </si>
  <si>
    <t>10:10:07</t>
  </si>
  <si>
    <t>ORD02132</t>
  </si>
  <si>
    <t>18:13:18</t>
  </si>
  <si>
    <t>ORD02133</t>
  </si>
  <si>
    <t>22:04:31</t>
  </si>
  <si>
    <t>ORD02134</t>
  </si>
  <si>
    <t>19:42:46</t>
  </si>
  <si>
    <t>ORD02135</t>
  </si>
  <si>
    <t>14:42:52</t>
  </si>
  <si>
    <t>ORD02136</t>
  </si>
  <si>
    <t>00:26:13</t>
  </si>
  <si>
    <t>ORD02137</t>
  </si>
  <si>
    <t>09:42:03</t>
  </si>
  <si>
    <t>ORD02138</t>
  </si>
  <si>
    <t>13:10:17</t>
  </si>
  <si>
    <t>ORD02139</t>
  </si>
  <si>
    <t>17:23:18</t>
  </si>
  <si>
    <t>ORD02140</t>
  </si>
  <si>
    <t>10:27:14</t>
  </si>
  <si>
    <t>ORD02141</t>
  </si>
  <si>
    <t>CUST0385</t>
  </si>
  <si>
    <t>09:38:40</t>
  </si>
  <si>
    <t>ORD02142</t>
  </si>
  <si>
    <t>18:59:12</t>
  </si>
  <si>
    <t>ORD02143</t>
  </si>
  <si>
    <t>11:26:29</t>
  </si>
  <si>
    <t>ORD02144</t>
  </si>
  <si>
    <t>22:12:33</t>
  </si>
  <si>
    <t>ORD02145</t>
  </si>
  <si>
    <t>11:14:05</t>
  </si>
  <si>
    <t>ORD02146</t>
  </si>
  <si>
    <t>ORD02147</t>
  </si>
  <si>
    <t>16:25:41</t>
  </si>
  <si>
    <t>ORD02148</t>
  </si>
  <si>
    <t>18:39:15</t>
  </si>
  <si>
    <t>ORD02149</t>
  </si>
  <si>
    <t>18:30:31</t>
  </si>
  <si>
    <t>ORD02150</t>
  </si>
  <si>
    <t>18:45:44</t>
  </si>
  <si>
    <t>ORD02151</t>
  </si>
  <si>
    <t>18:40:30</t>
  </si>
  <si>
    <t>ORD02152</t>
  </si>
  <si>
    <t>05:28:50</t>
  </si>
  <si>
    <t>ORD02153</t>
  </si>
  <si>
    <t>ORD02154</t>
  </si>
  <si>
    <t>10:33:08</t>
  </si>
  <si>
    <t>ORD02155</t>
  </si>
  <si>
    <t>08:18:53</t>
  </si>
  <si>
    <t>ORD02156</t>
  </si>
  <si>
    <t>15:11:20</t>
  </si>
  <si>
    <t>ORD02157</t>
  </si>
  <si>
    <t>22:44:55</t>
  </si>
  <si>
    <t>ORD02158</t>
  </si>
  <si>
    <t>01:33:14</t>
  </si>
  <si>
    <t>ORD02159</t>
  </si>
  <si>
    <t>02:32:11</t>
  </si>
  <si>
    <t>ORD02160</t>
  </si>
  <si>
    <t>13:31:00</t>
  </si>
  <si>
    <t>ORD02161</t>
  </si>
  <si>
    <t>05:59:38</t>
  </si>
  <si>
    <t>ORD02162</t>
  </si>
  <si>
    <t>09:02:00</t>
  </si>
  <si>
    <t>ORD02163</t>
  </si>
  <si>
    <t>16:32:41</t>
  </si>
  <si>
    <t>ORD02164</t>
  </si>
  <si>
    <t>00:02:27</t>
  </si>
  <si>
    <t>ORD02165</t>
  </si>
  <si>
    <t>14:17:29</t>
  </si>
  <si>
    <t>ORD02166</t>
  </si>
  <si>
    <t>02:50:16</t>
  </si>
  <si>
    <t>ORD02167</t>
  </si>
  <si>
    <t>13:55:43</t>
  </si>
  <si>
    <t>ORD02168</t>
  </si>
  <si>
    <t>10:55:48</t>
  </si>
  <si>
    <t>ORD02169</t>
  </si>
  <si>
    <t>01:29:43</t>
  </si>
  <si>
    <t>ORD02170</t>
  </si>
  <si>
    <t>05:15:21</t>
  </si>
  <si>
    <t>ORD02171</t>
  </si>
  <si>
    <t>23:34:43</t>
  </si>
  <si>
    <t>ORD02172</t>
  </si>
  <si>
    <t>20:27:57</t>
  </si>
  <si>
    <t>ORD02173</t>
  </si>
  <si>
    <t>03:25:28</t>
  </si>
  <si>
    <t>ORD02174</t>
  </si>
  <si>
    <t>07:03:31</t>
  </si>
  <si>
    <t>ORD02175</t>
  </si>
  <si>
    <t>10:34:46</t>
  </si>
  <si>
    <t>ORD02176</t>
  </si>
  <si>
    <t>14:40:54</t>
  </si>
  <si>
    <t>ORD02177</t>
  </si>
  <si>
    <t>12:29:57</t>
  </si>
  <si>
    <t>ORD02178</t>
  </si>
  <si>
    <t>19:57:57</t>
  </si>
  <si>
    <t>ORD02179</t>
  </si>
  <si>
    <t>14:43:13</t>
  </si>
  <si>
    <t>ORD02180</t>
  </si>
  <si>
    <t>17:47:05</t>
  </si>
  <si>
    <t>ORD02181</t>
  </si>
  <si>
    <t>17:08:13</t>
  </si>
  <si>
    <t>ORD02182</t>
  </si>
  <si>
    <t>16:08:55</t>
  </si>
  <si>
    <t>ORD02183</t>
  </si>
  <si>
    <t>20:14:48</t>
  </si>
  <si>
    <t>ORD02184</t>
  </si>
  <si>
    <t>01:42:02</t>
  </si>
  <si>
    <t>ORD02185</t>
  </si>
  <si>
    <t>21:53:44</t>
  </si>
  <si>
    <t>ORD02186</t>
  </si>
  <si>
    <t>19:15:33</t>
  </si>
  <si>
    <t>ORD02187</t>
  </si>
  <si>
    <t>08:07:58</t>
  </si>
  <si>
    <t>ORD02188</t>
  </si>
  <si>
    <t>13:37:56</t>
  </si>
  <si>
    <t>ORD02189</t>
  </si>
  <si>
    <t>06:06:44</t>
  </si>
  <si>
    <t>ORD02190</t>
  </si>
  <si>
    <t>22:02:53</t>
  </si>
  <si>
    <t>ORD02191</t>
  </si>
  <si>
    <t>08:24:05</t>
  </si>
  <si>
    <t>ORD02192</t>
  </si>
  <si>
    <t>23:04:34</t>
  </si>
  <si>
    <t>ORD02193</t>
  </si>
  <si>
    <t>04:14:58</t>
  </si>
  <si>
    <t>ORD02194</t>
  </si>
  <si>
    <t>14:12:46</t>
  </si>
  <si>
    <t>ORD02195</t>
  </si>
  <si>
    <t>06:38:14</t>
  </si>
  <si>
    <t>ORD02196</t>
  </si>
  <si>
    <t>18:36:09</t>
  </si>
  <si>
    <t>ORD02197</t>
  </si>
  <si>
    <t>17:58:29</t>
  </si>
  <si>
    <t>ORD02198</t>
  </si>
  <si>
    <t>11:12:22</t>
  </si>
  <si>
    <t>ORD02199</t>
  </si>
  <si>
    <t>19:24:07</t>
  </si>
  <si>
    <t>ORD02200</t>
  </si>
  <si>
    <t>04:05:31</t>
  </si>
  <si>
    <t>ORD02201</t>
  </si>
  <si>
    <t>07:34:23</t>
  </si>
  <si>
    <t>ORD02202</t>
  </si>
  <si>
    <t>06:25:36</t>
  </si>
  <si>
    <t>ORD02203</t>
  </si>
  <si>
    <t>07:00:51</t>
  </si>
  <si>
    <t>ORD02204</t>
  </si>
  <si>
    <t>15:10:21</t>
  </si>
  <si>
    <t>ORD02205</t>
  </si>
  <si>
    <t>22:55:21</t>
  </si>
  <si>
    <t>ORD02206</t>
  </si>
  <si>
    <t>17:01:41</t>
  </si>
  <si>
    <t>ORD02207</t>
  </si>
  <si>
    <t>10:57:17</t>
  </si>
  <si>
    <t>ORD02208</t>
  </si>
  <si>
    <t>21:59:24</t>
  </si>
  <si>
    <t>ORD02209</t>
  </si>
  <si>
    <t>CUST0056</t>
  </si>
  <si>
    <t>ORD02210</t>
  </si>
  <si>
    <t>04:58:54</t>
  </si>
  <si>
    <t>ORD02211</t>
  </si>
  <si>
    <t>09:59:01</t>
  </si>
  <si>
    <t>ORD02212</t>
  </si>
  <si>
    <t>00:36:17</t>
  </si>
  <si>
    <t>ORD02213</t>
  </si>
  <si>
    <t>23:00:32</t>
  </si>
  <si>
    <t>ORD02214</t>
  </si>
  <si>
    <t>ORD02215</t>
  </si>
  <si>
    <t>07:42:16</t>
  </si>
  <si>
    <t>ORD02216</t>
  </si>
  <si>
    <t>09:59:09</t>
  </si>
  <si>
    <t>ORD02217</t>
  </si>
  <si>
    <t>04:51:37</t>
  </si>
  <si>
    <t>ORD02218</t>
  </si>
  <si>
    <t>09:44:32</t>
  </si>
  <si>
    <t>ORD02219</t>
  </si>
  <si>
    <t>14:18:01</t>
  </si>
  <si>
    <t>ORD02220</t>
  </si>
  <si>
    <t>17:42:45</t>
  </si>
  <si>
    <t>ORD02221</t>
  </si>
  <si>
    <t>12:47:22</t>
  </si>
  <si>
    <t>ORD02222</t>
  </si>
  <si>
    <t>02:43:49</t>
  </si>
  <si>
    <t>ORD02223</t>
  </si>
  <si>
    <t>09:09:32</t>
  </si>
  <si>
    <t>ORD02224</t>
  </si>
  <si>
    <t>17:51:53</t>
  </si>
  <si>
    <t>ORD02225</t>
  </si>
  <si>
    <t>13:04:09</t>
  </si>
  <si>
    <t>ORD02226</t>
  </si>
  <si>
    <t>21:03:40</t>
  </si>
  <si>
    <t>ORD02227</t>
  </si>
  <si>
    <t>CUST0331</t>
  </si>
  <si>
    <t>13:59:11</t>
  </si>
  <si>
    <t>ORD02228</t>
  </si>
  <si>
    <t>09:29:40</t>
  </si>
  <si>
    <t>ORD02229</t>
  </si>
  <si>
    <t>02:38:23</t>
  </si>
  <si>
    <t>ORD02230</t>
  </si>
  <si>
    <t>08:53:10</t>
  </si>
  <si>
    <t>ORD02231</t>
  </si>
  <si>
    <t>03:16:39</t>
  </si>
  <si>
    <t>ORD02232</t>
  </si>
  <si>
    <t>11:16:52</t>
  </si>
  <si>
    <t>ORD02233</t>
  </si>
  <si>
    <t>10:17:43</t>
  </si>
  <si>
    <t>ORD02234</t>
  </si>
  <si>
    <t>10:16:02</t>
  </si>
  <si>
    <t>ORD02235</t>
  </si>
  <si>
    <t>14:49:42</t>
  </si>
  <si>
    <t>ORD02236</t>
  </si>
  <si>
    <t>00:38:42</t>
  </si>
  <si>
    <t>ORD02237</t>
  </si>
  <si>
    <t>22:57:54</t>
  </si>
  <si>
    <t>ORD02238</t>
  </si>
  <si>
    <t>16:03:23</t>
  </si>
  <si>
    <t>ORD02239</t>
  </si>
  <si>
    <t>17:35:32</t>
  </si>
  <si>
    <t>ORD02240</t>
  </si>
  <si>
    <t>16:56:19</t>
  </si>
  <si>
    <t>ORD02241</t>
  </si>
  <si>
    <t>00:00:59</t>
  </si>
  <si>
    <t>ORD02242</t>
  </si>
  <si>
    <t>07:40:59</t>
  </si>
  <si>
    <t>ORD02243</t>
  </si>
  <si>
    <t>18:21:20</t>
  </si>
  <si>
    <t>ORD02244</t>
  </si>
  <si>
    <t>01:59:40</t>
  </si>
  <si>
    <t>ORD02245</t>
  </si>
  <si>
    <t>02:41:53</t>
  </si>
  <si>
    <t>ORD02246</t>
  </si>
  <si>
    <t>22:15:08</t>
  </si>
  <si>
    <t>ORD02247</t>
  </si>
  <si>
    <t>15:33:04</t>
  </si>
  <si>
    <t>ORD02248</t>
  </si>
  <si>
    <t>06:07:39</t>
  </si>
  <si>
    <t>ORD02249</t>
  </si>
  <si>
    <t>CUST0486</t>
  </si>
  <si>
    <t>15:44:17</t>
  </si>
  <si>
    <t>ORD02250</t>
  </si>
  <si>
    <t>14:54:59</t>
  </si>
  <si>
    <t>ORD02251</t>
  </si>
  <si>
    <t>18:30:20</t>
  </si>
  <si>
    <t>ORD02252</t>
  </si>
  <si>
    <t>17:28:39</t>
  </si>
  <si>
    <t>ORD02253</t>
  </si>
  <si>
    <t>19:55:15</t>
  </si>
  <si>
    <t>ORD02254</t>
  </si>
  <si>
    <t>ORD02255</t>
  </si>
  <si>
    <t>03:53:34</t>
  </si>
  <si>
    <t>ORD02256</t>
  </si>
  <si>
    <t>08:10:02</t>
  </si>
  <si>
    <t>ORD02257</t>
  </si>
  <si>
    <t>07:00:07</t>
  </si>
  <si>
    <t>ORD02258</t>
  </si>
  <si>
    <t>12:32:15</t>
  </si>
  <si>
    <t>ORD02259</t>
  </si>
  <si>
    <t>00:31:56</t>
  </si>
  <si>
    <t>ORD02260</t>
  </si>
  <si>
    <t>06:04:01</t>
  </si>
  <si>
    <t>ORD02261</t>
  </si>
  <si>
    <t>09:17:57</t>
  </si>
  <si>
    <t>ORD02262</t>
  </si>
  <si>
    <t>06:59:24</t>
  </si>
  <si>
    <t>ORD02263</t>
  </si>
  <si>
    <t>20:55:35</t>
  </si>
  <si>
    <t>ORD02264</t>
  </si>
  <si>
    <t>15:56:05</t>
  </si>
  <si>
    <t>ORD02265</t>
  </si>
  <si>
    <t>00:18:03</t>
  </si>
  <si>
    <t>ORD02266</t>
  </si>
  <si>
    <t>19:34:55</t>
  </si>
  <si>
    <t>ORD02267</t>
  </si>
  <si>
    <t>10:42:55</t>
  </si>
  <si>
    <t>ORD02268</t>
  </si>
  <si>
    <t>03:31:35</t>
  </si>
  <si>
    <t>ORD02269</t>
  </si>
  <si>
    <t>12:38:38</t>
  </si>
  <si>
    <t>ORD02270</t>
  </si>
  <si>
    <t>15:20:08</t>
  </si>
  <si>
    <t>ORD02271</t>
  </si>
  <si>
    <t>ORD02272</t>
  </si>
  <si>
    <t>17:25:28</t>
  </si>
  <si>
    <t>ORD02273</t>
  </si>
  <si>
    <t>23:59:48</t>
  </si>
  <si>
    <t>ORD02274</t>
  </si>
  <si>
    <t>05:20:57</t>
  </si>
  <si>
    <t>ORD02275</t>
  </si>
  <si>
    <t>05:18:54</t>
  </si>
  <si>
    <t>ORD02276</t>
  </si>
  <si>
    <t>07:07:35</t>
  </si>
  <si>
    <t>ORD02277</t>
  </si>
  <si>
    <t>10:21:38</t>
  </si>
  <si>
    <t>ORD02278</t>
  </si>
  <si>
    <t>00:05:25</t>
  </si>
  <si>
    <t>ORD02279</t>
  </si>
  <si>
    <t>13:09:28</t>
  </si>
  <si>
    <t>ORD02280</t>
  </si>
  <si>
    <t>16:05:12</t>
  </si>
  <si>
    <t>ORD02281</t>
  </si>
  <si>
    <t>09:06:28</t>
  </si>
  <si>
    <t>ORD02282</t>
  </si>
  <si>
    <t>17:44:38</t>
  </si>
  <si>
    <t>ORD02283</t>
  </si>
  <si>
    <t>08:45:54</t>
  </si>
  <si>
    <t>ORD02284</t>
  </si>
  <si>
    <t>12:13:35</t>
  </si>
  <si>
    <t>ORD02285</t>
  </si>
  <si>
    <t>10:31:53</t>
  </si>
  <si>
    <t>ORD02286</t>
  </si>
  <si>
    <t>19:38:58</t>
  </si>
  <si>
    <t>ORD02287</t>
  </si>
  <si>
    <t>22:45:18</t>
  </si>
  <si>
    <t>ORD02288</t>
  </si>
  <si>
    <t>ORD02289</t>
  </si>
  <si>
    <t>17:36:41</t>
  </si>
  <si>
    <t>ORD02290</t>
  </si>
  <si>
    <t>09:37:16</t>
  </si>
  <si>
    <t>ORD02291</t>
  </si>
  <si>
    <t>02:05:23</t>
  </si>
  <si>
    <t>ORD02292</t>
  </si>
  <si>
    <t>18:35:56</t>
  </si>
  <si>
    <t>ORD02293</t>
  </si>
  <si>
    <t>20:12:09</t>
  </si>
  <si>
    <t>ORD02294</t>
  </si>
  <si>
    <t>16:28:46</t>
  </si>
  <si>
    <t>ORD02295</t>
  </si>
  <si>
    <t>11:49:10</t>
  </si>
  <si>
    <t>ORD02296</t>
  </si>
  <si>
    <t>02:19:04</t>
  </si>
  <si>
    <t>ORD02297</t>
  </si>
  <si>
    <t>02:08:15</t>
  </si>
  <si>
    <t>ORD02298</t>
  </si>
  <si>
    <t>12:50:56</t>
  </si>
  <si>
    <t>ORD02299</t>
  </si>
  <si>
    <t>05:53:21</t>
  </si>
  <si>
    <t>ORD02300</t>
  </si>
  <si>
    <t>10:17:58</t>
  </si>
  <si>
    <t>ORD02301</t>
  </si>
  <si>
    <t>22:01:26</t>
  </si>
  <si>
    <t>ORD02302</t>
  </si>
  <si>
    <t>16:50:08</t>
  </si>
  <si>
    <t>ORD02303</t>
  </si>
  <si>
    <t>13:59:52</t>
  </si>
  <si>
    <t>ORD02304</t>
  </si>
  <si>
    <t>02:28:05</t>
  </si>
  <si>
    <t>ORD02305</t>
  </si>
  <si>
    <t>15:46:39</t>
  </si>
  <si>
    <t>ORD02306</t>
  </si>
  <si>
    <t>18:47:18</t>
  </si>
  <si>
    <t>ORD02307</t>
  </si>
  <si>
    <t>17:26:50</t>
  </si>
  <si>
    <t>ORD02308</t>
  </si>
  <si>
    <t>16:30:06</t>
  </si>
  <si>
    <t>ORD02309</t>
  </si>
  <si>
    <t>07:00:36</t>
  </si>
  <si>
    <t>ORD02310</t>
  </si>
  <si>
    <t>04:33:12</t>
  </si>
  <si>
    <t>ORD02311</t>
  </si>
  <si>
    <t>00:00:36</t>
  </si>
  <si>
    <t>ORD02312</t>
  </si>
  <si>
    <t>08:51:34</t>
  </si>
  <si>
    <t>ORD02313</t>
  </si>
  <si>
    <t>14:06:35</t>
  </si>
  <si>
    <t>ORD02314</t>
  </si>
  <si>
    <t>11:21:12</t>
  </si>
  <si>
    <t>ORD02315</t>
  </si>
  <si>
    <t>06:33:57</t>
  </si>
  <si>
    <t>ORD02316</t>
  </si>
  <si>
    <t>08:10:25</t>
  </si>
  <si>
    <t>ORD02317</t>
  </si>
  <si>
    <t>23:53:22</t>
  </si>
  <si>
    <t>ORD02318</t>
  </si>
  <si>
    <t>11:32:15</t>
  </si>
  <si>
    <t>ORD02319</t>
  </si>
  <si>
    <t>23:38:20</t>
  </si>
  <si>
    <t>ORD02320</t>
  </si>
  <si>
    <t>05:37:05</t>
  </si>
  <si>
    <t>ORD02321</t>
  </si>
  <si>
    <t>16:10:44</t>
  </si>
  <si>
    <t>ORD02322</t>
  </si>
  <si>
    <t>07:00:37</t>
  </si>
  <si>
    <t>ORD02323</t>
  </si>
  <si>
    <t>01:00:07</t>
  </si>
  <si>
    <t>ORD02324</t>
  </si>
  <si>
    <t>22:20:20</t>
  </si>
  <si>
    <t>ORD02325</t>
  </si>
  <si>
    <t>01:44:41</t>
  </si>
  <si>
    <t>ORD02326</t>
  </si>
  <si>
    <t>21:23:31</t>
  </si>
  <si>
    <t>ORD02327</t>
  </si>
  <si>
    <t>05:53:34</t>
  </si>
  <si>
    <t>ORD02328</t>
  </si>
  <si>
    <t>12:54:23</t>
  </si>
  <si>
    <t>ORD02329</t>
  </si>
  <si>
    <t>04:54:31</t>
  </si>
  <si>
    <t>ORD02330</t>
  </si>
  <si>
    <t>09:51:12</t>
  </si>
  <si>
    <t>ORD02331</t>
  </si>
  <si>
    <t>02:38:31</t>
  </si>
  <si>
    <t>ORD02332</t>
  </si>
  <si>
    <t>03:20:18</t>
  </si>
  <si>
    <t>ORD02333</t>
  </si>
  <si>
    <t>02:53:25</t>
  </si>
  <si>
    <t>ORD02334</t>
  </si>
  <si>
    <t>07:16:47</t>
  </si>
  <si>
    <t>ORD02335</t>
  </si>
  <si>
    <t>13:55:22</t>
  </si>
  <si>
    <t>ORD02336</t>
  </si>
  <si>
    <t>05:12:29</t>
  </si>
  <si>
    <t>ORD02337</t>
  </si>
  <si>
    <t>04:21:09</t>
  </si>
  <si>
    <t>ORD02338</t>
  </si>
  <si>
    <t>07:59:10</t>
  </si>
  <si>
    <t>ORD02339</t>
  </si>
  <si>
    <t>20:28:59</t>
  </si>
  <si>
    <t>ORD02340</t>
  </si>
  <si>
    <t>04:08:32</t>
  </si>
  <si>
    <t>ORD02341</t>
  </si>
  <si>
    <t>20:46:29</t>
  </si>
  <si>
    <t>ORD02342</t>
  </si>
  <si>
    <t>03:26:36</t>
  </si>
  <si>
    <t>ORD02343</t>
  </si>
  <si>
    <t>07:58:30</t>
  </si>
  <si>
    <t>ORD02344</t>
  </si>
  <si>
    <t>17:11:56</t>
  </si>
  <si>
    <t>ORD02345</t>
  </si>
  <si>
    <t>00:58:33</t>
  </si>
  <si>
    <t>ORD02346</t>
  </si>
  <si>
    <t>05:30:10</t>
  </si>
  <si>
    <t>ORD02347</t>
  </si>
  <si>
    <t>08:47:36</t>
  </si>
  <si>
    <t>ORD02348</t>
  </si>
  <si>
    <t>15:54:33</t>
  </si>
  <si>
    <t>ORD02349</t>
  </si>
  <si>
    <t>01:06:56</t>
  </si>
  <si>
    <t>ORD02350</t>
  </si>
  <si>
    <t>21:10:34</t>
  </si>
  <si>
    <t>ORD02351</t>
  </si>
  <si>
    <t>02:48:03</t>
  </si>
  <si>
    <t>ORD02352</t>
  </si>
  <si>
    <t>12:01:12</t>
  </si>
  <si>
    <t>ORD02353</t>
  </si>
  <si>
    <t>07:27:42</t>
  </si>
  <si>
    <t>ORD02354</t>
  </si>
  <si>
    <t>14:33:01</t>
  </si>
  <si>
    <t>ORD02355</t>
  </si>
  <si>
    <t>12:17:39</t>
  </si>
  <si>
    <t>ORD02356</t>
  </si>
  <si>
    <t>18:21:06</t>
  </si>
  <si>
    <t>ORD02357</t>
  </si>
  <si>
    <t>10:19:48</t>
  </si>
  <si>
    <t>ORD02358</t>
  </si>
  <si>
    <t>20:13:37</t>
  </si>
  <si>
    <t>ORD02359</t>
  </si>
  <si>
    <t>06:56:09</t>
  </si>
  <si>
    <t>ORD02360</t>
  </si>
  <si>
    <t>03:33:01</t>
  </si>
  <si>
    <t>ORD02361</t>
  </si>
  <si>
    <t>20:46:43</t>
  </si>
  <si>
    <t>ORD02362</t>
  </si>
  <si>
    <t>07:22:19</t>
  </si>
  <si>
    <t>ORD02363</t>
  </si>
  <si>
    <t>12:02:32</t>
  </si>
  <si>
    <t>ORD02364</t>
  </si>
  <si>
    <t>06:25:17</t>
  </si>
  <si>
    <t>ORD02365</t>
  </si>
  <si>
    <t>18:08:08</t>
  </si>
  <si>
    <t>ORD02366</t>
  </si>
  <si>
    <t>11:57:41</t>
  </si>
  <si>
    <t>ORD02367</t>
  </si>
  <si>
    <t>06:00:40</t>
  </si>
  <si>
    <t>ORD02368</t>
  </si>
  <si>
    <t>02:17:45</t>
  </si>
  <si>
    <t>ORD02369</t>
  </si>
  <si>
    <t>02:31:52</t>
  </si>
  <si>
    <t>ORD02370</t>
  </si>
  <si>
    <t>16:59:44</t>
  </si>
  <si>
    <t>ORD02371</t>
  </si>
  <si>
    <t>03:00:17</t>
  </si>
  <si>
    <t>ORD02372</t>
  </si>
  <si>
    <t>16:36:37</t>
  </si>
  <si>
    <t>ORD02373</t>
  </si>
  <si>
    <t>14:12:31</t>
  </si>
  <si>
    <t>ORD02374</t>
  </si>
  <si>
    <t>08:42:46</t>
  </si>
  <si>
    <t>ORD02375</t>
  </si>
  <si>
    <t>11:50:22</t>
  </si>
  <si>
    <t>ORD02376</t>
  </si>
  <si>
    <t>01:53:56</t>
  </si>
  <si>
    <t>ORD02377</t>
  </si>
  <si>
    <t>23:06:14</t>
  </si>
  <si>
    <t>ORD02378</t>
  </si>
  <si>
    <t>23:11:32</t>
  </si>
  <si>
    <t>ORD02379</t>
  </si>
  <si>
    <t>00:26:35</t>
  </si>
  <si>
    <t>ORD02380</t>
  </si>
  <si>
    <t>15:33:19</t>
  </si>
  <si>
    <t>ORD02381</t>
  </si>
  <si>
    <t>00:36:57</t>
  </si>
  <si>
    <t>ORD02382</t>
  </si>
  <si>
    <t>09:19:53</t>
  </si>
  <si>
    <t>ORD02383</t>
  </si>
  <si>
    <t>20:28:07</t>
  </si>
  <si>
    <t>ORD02384</t>
  </si>
  <si>
    <t>12:13:07</t>
  </si>
  <si>
    <t>ORD02385</t>
  </si>
  <si>
    <t>11:23:04</t>
  </si>
  <si>
    <t>ORD02386</t>
  </si>
  <si>
    <t>17:33:30</t>
  </si>
  <si>
    <t>ORD02387</t>
  </si>
  <si>
    <t>22:54:32</t>
  </si>
  <si>
    <t>ORD02388</t>
  </si>
  <si>
    <t>18:29:43</t>
  </si>
  <si>
    <t>ORD02389</t>
  </si>
  <si>
    <t>04:16:18</t>
  </si>
  <si>
    <t>ORD02390</t>
  </si>
  <si>
    <t>18:34:40</t>
  </si>
  <si>
    <t>ORD02391</t>
  </si>
  <si>
    <t>11:01:39</t>
  </si>
  <si>
    <t>ORD02392</t>
  </si>
  <si>
    <t>12:02:26</t>
  </si>
  <si>
    <t>ORD02393</t>
  </si>
  <si>
    <t>13:50:21</t>
  </si>
  <si>
    <t>ORD02394</t>
  </si>
  <si>
    <t>14:04:04</t>
  </si>
  <si>
    <t>ORD02395</t>
  </si>
  <si>
    <t>16:06:48</t>
  </si>
  <si>
    <t>ORD02396</t>
  </si>
  <si>
    <t>10:49:39</t>
  </si>
  <si>
    <t>ORD02397</t>
  </si>
  <si>
    <t>22:42:07</t>
  </si>
  <si>
    <t>ORD02398</t>
  </si>
  <si>
    <t>09:54:12</t>
  </si>
  <si>
    <t>ORD02399</t>
  </si>
  <si>
    <t>03:02:59</t>
  </si>
  <si>
    <t>ORD02400</t>
  </si>
  <si>
    <t>16:48:16</t>
  </si>
  <si>
    <t>ORD02401</t>
  </si>
  <si>
    <t>03:34:42</t>
  </si>
  <si>
    <t>ORD02402</t>
  </si>
  <si>
    <t>20:04:26</t>
  </si>
  <si>
    <t>ORD02403</t>
  </si>
  <si>
    <t>08:00:03</t>
  </si>
  <si>
    <t>ORD02404</t>
  </si>
  <si>
    <t>16:21:18</t>
  </si>
  <si>
    <t>ORD02405</t>
  </si>
  <si>
    <t>03:23:21</t>
  </si>
  <si>
    <t>ORD02406</t>
  </si>
  <si>
    <t>10:24:38</t>
  </si>
  <si>
    <t>ORD02407</t>
  </si>
  <si>
    <t>03:58:39</t>
  </si>
  <si>
    <t>ORD02408</t>
  </si>
  <si>
    <t>15:43:51</t>
  </si>
  <si>
    <t>ORD02409</t>
  </si>
  <si>
    <t>07:57:40</t>
  </si>
  <si>
    <t>ORD02410</t>
  </si>
  <si>
    <t>12:38:07</t>
  </si>
  <si>
    <t>ORD02411</t>
  </si>
  <si>
    <t>20:08:36</t>
  </si>
  <si>
    <t>ORD02412</t>
  </si>
  <si>
    <t>07:15:28</t>
  </si>
  <si>
    <t>ORD02413</t>
  </si>
  <si>
    <t>15:17:22</t>
  </si>
  <si>
    <t>ORD02414</t>
  </si>
  <si>
    <t>01:18:13</t>
  </si>
  <si>
    <t>ORD02415</t>
  </si>
  <si>
    <t>16:50:16</t>
  </si>
  <si>
    <t>ORD02416</t>
  </si>
  <si>
    <t>ORD02417</t>
  </si>
  <si>
    <t>20:51:09</t>
  </si>
  <si>
    <t>ORD02418</t>
  </si>
  <si>
    <t>14:35:26</t>
  </si>
  <si>
    <t>ORD02419</t>
  </si>
  <si>
    <t>07:18:16</t>
  </si>
  <si>
    <t>ORD02420</t>
  </si>
  <si>
    <t>14:05:28</t>
  </si>
  <si>
    <t>ORD02421</t>
  </si>
  <si>
    <t>17:11:31</t>
  </si>
  <si>
    <t>ORD02422</t>
  </si>
  <si>
    <t>16:20:54</t>
  </si>
  <si>
    <t>ORD02423</t>
  </si>
  <si>
    <t>20:28:30</t>
  </si>
  <si>
    <t>ORD02424</t>
  </si>
  <si>
    <t>06:48:38</t>
  </si>
  <si>
    <t>ORD02425</t>
  </si>
  <si>
    <t>13:33:56</t>
  </si>
  <si>
    <t>ORD02426</t>
  </si>
  <si>
    <t>10:01:55</t>
  </si>
  <si>
    <t>ORD02427</t>
  </si>
  <si>
    <t>04:18:33</t>
  </si>
  <si>
    <t>ORD02428</t>
  </si>
  <si>
    <t>07:41:09</t>
  </si>
  <si>
    <t>ORD02429</t>
  </si>
  <si>
    <t>09:06:56</t>
  </si>
  <si>
    <t>ORD02430</t>
  </si>
  <si>
    <t>16:26:19</t>
  </si>
  <si>
    <t>ORD02431</t>
  </si>
  <si>
    <t>01:06:25</t>
  </si>
  <si>
    <t>ORD02432</t>
  </si>
  <si>
    <t>22:25:54</t>
  </si>
  <si>
    <t>ORD02433</t>
  </si>
  <si>
    <t>03:52:18</t>
  </si>
  <si>
    <t>ORD02434</t>
  </si>
  <si>
    <t>19:57:05</t>
  </si>
  <si>
    <t>ORD02435</t>
  </si>
  <si>
    <t>12:05:03</t>
  </si>
  <si>
    <t>ORD02436</t>
  </si>
  <si>
    <t>21:13:10</t>
  </si>
  <si>
    <t>ORD02437</t>
  </si>
  <si>
    <t>02:05:37</t>
  </si>
  <si>
    <t>ORD02438</t>
  </si>
  <si>
    <t>04:31:58</t>
  </si>
  <si>
    <t>ORD02439</t>
  </si>
  <si>
    <t>12:17:08</t>
  </si>
  <si>
    <t>ORD02440</t>
  </si>
  <si>
    <t>09:15:57</t>
  </si>
  <si>
    <t>ORD02441</t>
  </si>
  <si>
    <t>21:09:57</t>
  </si>
  <si>
    <t>ORD02442</t>
  </si>
  <si>
    <t>23:27:15</t>
  </si>
  <si>
    <t>ORD02443</t>
  </si>
  <si>
    <t>22:49:43</t>
  </si>
  <si>
    <t>ORD02444</t>
  </si>
  <si>
    <t>05:09:32</t>
  </si>
  <si>
    <t>ORD02445</t>
  </si>
  <si>
    <t>20:21:11</t>
  </si>
  <si>
    <t>ORD02446</t>
  </si>
  <si>
    <t>09:01:22</t>
  </si>
  <si>
    <t>ORD02447</t>
  </si>
  <si>
    <t>01:34:08</t>
  </si>
  <si>
    <t>ORD02448</t>
  </si>
  <si>
    <t>14:34:17</t>
  </si>
  <si>
    <t>ORD02449</t>
  </si>
  <si>
    <t>05:24:56</t>
  </si>
  <si>
    <t>ORD02450</t>
  </si>
  <si>
    <t>10:33:49</t>
  </si>
  <si>
    <t>ORD02451</t>
  </si>
  <si>
    <t>01:55:27</t>
  </si>
  <si>
    <t>ORD02452</t>
  </si>
  <si>
    <t>02:02:27</t>
  </si>
  <si>
    <t>ORD02453</t>
  </si>
  <si>
    <t>23:38:21</t>
  </si>
  <si>
    <t>ORD02454</t>
  </si>
  <si>
    <t>13:36:24</t>
  </si>
  <si>
    <t>ORD02455</t>
  </si>
  <si>
    <t>19:39:08</t>
  </si>
  <si>
    <t>ORD02456</t>
  </si>
  <si>
    <t>02:03:53</t>
  </si>
  <si>
    <t>ORD02457</t>
  </si>
  <si>
    <t>01:19:38</t>
  </si>
  <si>
    <t>ORD02458</t>
  </si>
  <si>
    <t>07:14:33</t>
  </si>
  <si>
    <t>ORD02459</t>
  </si>
  <si>
    <t>09:25:05</t>
  </si>
  <si>
    <t>ORD02460</t>
  </si>
  <si>
    <t>12:30:18</t>
  </si>
  <si>
    <t>ORD02461</t>
  </si>
  <si>
    <t>18:24:01</t>
  </si>
  <si>
    <t>ORD02462</t>
  </si>
  <si>
    <t>10:46:32</t>
  </si>
  <si>
    <t>ORD02463</t>
  </si>
  <si>
    <t>23:10:46</t>
  </si>
  <si>
    <t>ORD02464</t>
  </si>
  <si>
    <t>11:31:10</t>
  </si>
  <si>
    <t>ORD02465</t>
  </si>
  <si>
    <t>21:07:13</t>
  </si>
  <si>
    <t>ORD02466</t>
  </si>
  <si>
    <t>12:25:50</t>
  </si>
  <si>
    <t>ORD02467</t>
  </si>
  <si>
    <t>07:52:08</t>
  </si>
  <si>
    <t>ORD02468</t>
  </si>
  <si>
    <t>19:42:53</t>
  </si>
  <si>
    <t>ORD02469</t>
  </si>
  <si>
    <t>05:34:03</t>
  </si>
  <si>
    <t>ORD02470</t>
  </si>
  <si>
    <t>04:37:26</t>
  </si>
  <si>
    <t>ORD02471</t>
  </si>
  <si>
    <t>10:43:03</t>
  </si>
  <si>
    <t>ORD02472</t>
  </si>
  <si>
    <t>22:10:43</t>
  </si>
  <si>
    <t>ORD02473</t>
  </si>
  <si>
    <t>11:12:19</t>
  </si>
  <si>
    <t>ORD02474</t>
  </si>
  <si>
    <t>04:03:13</t>
  </si>
  <si>
    <t>ORD02475</t>
  </si>
  <si>
    <t>ORD02476</t>
  </si>
  <si>
    <t>23:46:04</t>
  </si>
  <si>
    <t>ORD02477</t>
  </si>
  <si>
    <t>05:16:09</t>
  </si>
  <si>
    <t>ORD02478</t>
  </si>
  <si>
    <t>ORD02479</t>
  </si>
  <si>
    <t>08:35:29</t>
  </si>
  <si>
    <t>ORD02480</t>
  </si>
  <si>
    <t>21:46:30</t>
  </si>
  <si>
    <t>ORD02481</t>
  </si>
  <si>
    <t>06:23:29</t>
  </si>
  <si>
    <t>ORD02482</t>
  </si>
  <si>
    <t>20:55:48</t>
  </si>
  <si>
    <t>ORD02483</t>
  </si>
  <si>
    <t>07:18:36</t>
  </si>
  <si>
    <t>ORD02484</t>
  </si>
  <si>
    <t>02:43:53</t>
  </si>
  <si>
    <t>ORD02485</t>
  </si>
  <si>
    <t>10:54:19</t>
  </si>
  <si>
    <t>ORD02486</t>
  </si>
  <si>
    <t>21:30:59</t>
  </si>
  <si>
    <t>ORD02487</t>
  </si>
  <si>
    <t>02:03:33</t>
  </si>
  <si>
    <t>ORD02488</t>
  </si>
  <si>
    <t>03:39:44</t>
  </si>
  <si>
    <t>ORD02489</t>
  </si>
  <si>
    <t>22:57:56</t>
  </si>
  <si>
    <t>ORD02490</t>
  </si>
  <si>
    <t>17:22:38</t>
  </si>
  <si>
    <t>ORD02491</t>
  </si>
  <si>
    <t>08:52:51</t>
  </si>
  <si>
    <t>ORD02492</t>
  </si>
  <si>
    <t>23:04:36</t>
  </si>
  <si>
    <t>ORD02493</t>
  </si>
  <si>
    <t>20:54:48</t>
  </si>
  <si>
    <t>ORD02494</t>
  </si>
  <si>
    <t>14:36:25</t>
  </si>
  <si>
    <t>ORD02495</t>
  </si>
  <si>
    <t>05:27:30</t>
  </si>
  <si>
    <t>ORD02496</t>
  </si>
  <si>
    <t>13:06:59</t>
  </si>
  <si>
    <t>ORD02497</t>
  </si>
  <si>
    <t>10:23:37</t>
  </si>
  <si>
    <t>ORD02498</t>
  </si>
  <si>
    <t>08:22:33</t>
  </si>
  <si>
    <t>ORD02499</t>
  </si>
  <si>
    <t>22:15:19</t>
  </si>
  <si>
    <t>ORD02500</t>
  </si>
  <si>
    <t>12:00:30</t>
  </si>
  <si>
    <t>ORD02501</t>
  </si>
  <si>
    <t>11:25:03</t>
  </si>
  <si>
    <t>ORD02502</t>
  </si>
  <si>
    <t>23:47:20</t>
  </si>
  <si>
    <t>ORD02503</t>
  </si>
  <si>
    <t>16:09:54</t>
  </si>
  <si>
    <t>ORD02504</t>
  </si>
  <si>
    <t>01:38:16</t>
  </si>
  <si>
    <t>ORD02505</t>
  </si>
  <si>
    <t>15:05:43</t>
  </si>
  <si>
    <t>ORD02506</t>
  </si>
  <si>
    <t>14:55:38</t>
  </si>
  <si>
    <t>ORD02507</t>
  </si>
  <si>
    <t>22:02:55</t>
  </si>
  <si>
    <t>ORD02508</t>
  </si>
  <si>
    <t>03:46:58</t>
  </si>
  <si>
    <t>ORD02509</t>
  </si>
  <si>
    <t>ORD02510</t>
  </si>
  <si>
    <t>06:48:30</t>
  </si>
  <si>
    <t>ORD02511</t>
  </si>
  <si>
    <t>13:33:16</t>
  </si>
  <si>
    <t>ORD02512</t>
  </si>
  <si>
    <t>00:54:31</t>
  </si>
  <si>
    <t>ORD02513</t>
  </si>
  <si>
    <t>16:34:58</t>
  </si>
  <si>
    <t>ORD02514</t>
  </si>
  <si>
    <t>09:51:33</t>
  </si>
  <si>
    <t>ORD02515</t>
  </si>
  <si>
    <t>11:58:18</t>
  </si>
  <si>
    <t>ORD02516</t>
  </si>
  <si>
    <t>04:38:24</t>
  </si>
  <si>
    <t>ORD02517</t>
  </si>
  <si>
    <t>07:18:26</t>
  </si>
  <si>
    <t>ORD02518</t>
  </si>
  <si>
    <t>21:13:14</t>
  </si>
  <si>
    <t>ORD02519</t>
  </si>
  <si>
    <t>03:01:46</t>
  </si>
  <si>
    <t>ORD02520</t>
  </si>
  <si>
    <t>04:50:52</t>
  </si>
  <si>
    <t>ORD02521</t>
  </si>
  <si>
    <t>15:49:44</t>
  </si>
  <si>
    <t>ORD02522</t>
  </si>
  <si>
    <t>13:59:46</t>
  </si>
  <si>
    <t>ORD02523</t>
  </si>
  <si>
    <t>04:20:35</t>
  </si>
  <si>
    <t>ORD02524</t>
  </si>
  <si>
    <t>16:26:51</t>
  </si>
  <si>
    <t>ORD02525</t>
  </si>
  <si>
    <t>10:25:01</t>
  </si>
  <si>
    <t>ORD02526</t>
  </si>
  <si>
    <t>10:20:15</t>
  </si>
  <si>
    <t>ORD02527</t>
  </si>
  <si>
    <t>04:45:03</t>
  </si>
  <si>
    <t>ORD02528</t>
  </si>
  <si>
    <t>17:39:58</t>
  </si>
  <si>
    <t>ORD02529</t>
  </si>
  <si>
    <t>19:57:33</t>
  </si>
  <si>
    <t>ORD02530</t>
  </si>
  <si>
    <t>01:32:57</t>
  </si>
  <si>
    <t>ORD02531</t>
  </si>
  <si>
    <t>09:17:38</t>
  </si>
  <si>
    <t>ORD02532</t>
  </si>
  <si>
    <t>07:19:15</t>
  </si>
  <si>
    <t>ORD02533</t>
  </si>
  <si>
    <t>06:07:40</t>
  </si>
  <si>
    <t>ORD02534</t>
  </si>
  <si>
    <t>18:10:05</t>
  </si>
  <si>
    <t>ORD02535</t>
  </si>
  <si>
    <t>05:47:22</t>
  </si>
  <si>
    <t>ORD02536</t>
  </si>
  <si>
    <t>05:25:51</t>
  </si>
  <si>
    <t>ORD02537</t>
  </si>
  <si>
    <t>10:53:57</t>
  </si>
  <si>
    <t>ORD02538</t>
  </si>
  <si>
    <t>18:58:50</t>
  </si>
  <si>
    <t>ORD02539</t>
  </si>
  <si>
    <t>05:55:06</t>
  </si>
  <si>
    <t>ORD02540</t>
  </si>
  <si>
    <t>17:19:37</t>
  </si>
  <si>
    <t>ORD02541</t>
  </si>
  <si>
    <t>06:01:07</t>
  </si>
  <si>
    <t>ORD02542</t>
  </si>
  <si>
    <t>00:40:08</t>
  </si>
  <si>
    <t>ORD02543</t>
  </si>
  <si>
    <t>21:04:33</t>
  </si>
  <si>
    <t>ORD02544</t>
  </si>
  <si>
    <t>07:47:45</t>
  </si>
  <si>
    <t>ORD02545</t>
  </si>
  <si>
    <t>04:30:11</t>
  </si>
  <si>
    <t>ORD02546</t>
  </si>
  <si>
    <t>00:14:15</t>
  </si>
  <si>
    <t>ORD02547</t>
  </si>
  <si>
    <t>20:55:56</t>
  </si>
  <si>
    <t>ORD02548</t>
  </si>
  <si>
    <t>06:49:41</t>
  </si>
  <si>
    <t>ORD02549</t>
  </si>
  <si>
    <t>09:07:37</t>
  </si>
  <si>
    <t>ORD02550</t>
  </si>
  <si>
    <t>02:20:48</t>
  </si>
  <si>
    <t>ORD02551</t>
  </si>
  <si>
    <t>10:02:17</t>
  </si>
  <si>
    <t>ORD02552</t>
  </si>
  <si>
    <t>16:00:53</t>
  </si>
  <si>
    <t>ORD02553</t>
  </si>
  <si>
    <t>14:31:10</t>
  </si>
  <si>
    <t>ORD02554</t>
  </si>
  <si>
    <t>01:18:15</t>
  </si>
  <si>
    <t>ORD02555</t>
  </si>
  <si>
    <t>12:27:01</t>
  </si>
  <si>
    <t>ORD02556</t>
  </si>
  <si>
    <t>23:04:56</t>
  </si>
  <si>
    <t>ORD02557</t>
  </si>
  <si>
    <t>16:59:56</t>
  </si>
  <si>
    <t>ORD02558</t>
  </si>
  <si>
    <t>00:01:29</t>
  </si>
  <si>
    <t>ORD02559</t>
  </si>
  <si>
    <t>05:03:55</t>
  </si>
  <si>
    <t>ORD02560</t>
  </si>
  <si>
    <t>11:01:48</t>
  </si>
  <si>
    <t>ORD02561</t>
  </si>
  <si>
    <t>19:01:44</t>
  </si>
  <si>
    <t>ORD02562</t>
  </si>
  <si>
    <t>ORD02563</t>
  </si>
  <si>
    <t>08:55:25</t>
  </si>
  <si>
    <t>ORD02564</t>
  </si>
  <si>
    <t>14:16:40</t>
  </si>
  <si>
    <t>ORD02565</t>
  </si>
  <si>
    <t>02:27:10</t>
  </si>
  <si>
    <t>ORD02566</t>
  </si>
  <si>
    <t>16:32:12</t>
  </si>
  <si>
    <t>ORD02567</t>
  </si>
  <si>
    <t>08:28:43</t>
  </si>
  <si>
    <t>ORD02568</t>
  </si>
  <si>
    <t>22:06:06</t>
  </si>
  <si>
    <t>ORD02569</t>
  </si>
  <si>
    <t>18:50:49</t>
  </si>
  <si>
    <t>ORD02570</t>
  </si>
  <si>
    <t>06:18:35</t>
  </si>
  <si>
    <t>ORD02571</t>
  </si>
  <si>
    <t>11:33:18</t>
  </si>
  <si>
    <t>ORD02572</t>
  </si>
  <si>
    <t>23:03:26</t>
  </si>
  <si>
    <t>ORD02573</t>
  </si>
  <si>
    <t>04:51:08</t>
  </si>
  <si>
    <t>ORD02574</t>
  </si>
  <si>
    <t>12:10:15</t>
  </si>
  <si>
    <t>ORD02575</t>
  </si>
  <si>
    <t>15:09:14</t>
  </si>
  <si>
    <t>ORD02576</t>
  </si>
  <si>
    <t>21:26:05</t>
  </si>
  <si>
    <t>ORD02577</t>
  </si>
  <si>
    <t>12:06:39</t>
  </si>
  <si>
    <t>ORD02578</t>
  </si>
  <si>
    <t>22:55:07</t>
  </si>
  <si>
    <t>ORD02579</t>
  </si>
  <si>
    <t>01:28:03</t>
  </si>
  <si>
    <t>ORD02580</t>
  </si>
  <si>
    <t>21:27:31</t>
  </si>
  <si>
    <t>ORD02581</t>
  </si>
  <si>
    <t>10:43:18</t>
  </si>
  <si>
    <t>ORD02582</t>
  </si>
  <si>
    <t>02:26:13</t>
  </si>
  <si>
    <t>ORD02583</t>
  </si>
  <si>
    <t>11:51:17</t>
  </si>
  <si>
    <t>ORD02584</t>
  </si>
  <si>
    <t>14:27:43</t>
  </si>
  <si>
    <t>ORD02585</t>
  </si>
  <si>
    <t>19:07:10</t>
  </si>
  <si>
    <t>ORD02586</t>
  </si>
  <si>
    <t>20:19:41</t>
  </si>
  <si>
    <t>ORD02587</t>
  </si>
  <si>
    <t>03:41:35</t>
  </si>
  <si>
    <t>ORD02588</t>
  </si>
  <si>
    <t>23:23:08</t>
  </si>
  <si>
    <t>ORD02589</t>
  </si>
  <si>
    <t>10:30:31</t>
  </si>
  <si>
    <t>ORD02590</t>
  </si>
  <si>
    <t>16:50:00</t>
  </si>
  <si>
    <t>ORD02591</t>
  </si>
  <si>
    <t>01:02:45</t>
  </si>
  <si>
    <t>ORD02592</t>
  </si>
  <si>
    <t>12:14:24</t>
  </si>
  <si>
    <t>ORD02593</t>
  </si>
  <si>
    <t>07:04:31</t>
  </si>
  <si>
    <t>ORD02594</t>
  </si>
  <si>
    <t>01:34:32</t>
  </si>
  <si>
    <t>ORD02595</t>
  </si>
  <si>
    <t>12:41:53</t>
  </si>
  <si>
    <t>ORD02596</t>
  </si>
  <si>
    <t>00:29:18</t>
  </si>
  <si>
    <t>ORD02597</t>
  </si>
  <si>
    <t>22:02:34</t>
  </si>
  <si>
    <t>ORD02598</t>
  </si>
  <si>
    <t>19:47:30</t>
  </si>
  <si>
    <t>ORD02599</t>
  </si>
  <si>
    <t>12:44:23</t>
  </si>
  <si>
    <t>ORD02600</t>
  </si>
  <si>
    <t>16:11:34</t>
  </si>
  <si>
    <t>ORD02601</t>
  </si>
  <si>
    <t>03:35:06</t>
  </si>
  <si>
    <t>ORD02602</t>
  </si>
  <si>
    <t>04:41:03</t>
  </si>
  <si>
    <t>ORD02603</t>
  </si>
  <si>
    <t>08:23:13</t>
  </si>
  <si>
    <t>ORD02604</t>
  </si>
  <si>
    <t>23:18:58</t>
  </si>
  <si>
    <t>ORD02605</t>
  </si>
  <si>
    <t>11:10:54</t>
  </si>
  <si>
    <t>ORD02606</t>
  </si>
  <si>
    <t>04:32:25</t>
  </si>
  <si>
    <t>ORD02607</t>
  </si>
  <si>
    <t>15:25:13</t>
  </si>
  <si>
    <t>ORD02608</t>
  </si>
  <si>
    <t>04:05:08</t>
  </si>
  <si>
    <t>ORD02609</t>
  </si>
  <si>
    <t>17:31:37</t>
  </si>
  <si>
    <t>ORD02610</t>
  </si>
  <si>
    <t>20:36:41</t>
  </si>
  <si>
    <t>ORD02611</t>
  </si>
  <si>
    <t>18:35:32</t>
  </si>
  <si>
    <t>ORD02612</t>
  </si>
  <si>
    <t>21:26:15</t>
  </si>
  <si>
    <t>ORD02613</t>
  </si>
  <si>
    <t>01:44:31</t>
  </si>
  <si>
    <t>ORD02614</t>
  </si>
  <si>
    <t>05:01:21</t>
  </si>
  <si>
    <t>ORD02615</t>
  </si>
  <si>
    <t>06:08:25</t>
  </si>
  <si>
    <t>ORD02616</t>
  </si>
  <si>
    <t>03:10:53</t>
  </si>
  <si>
    <t>ORD02617</t>
  </si>
  <si>
    <t>01:19:33</t>
  </si>
  <si>
    <t>ORD02618</t>
  </si>
  <si>
    <t>18:02:36</t>
  </si>
  <si>
    <t>ORD02619</t>
  </si>
  <si>
    <t>04:24:55</t>
  </si>
  <si>
    <t>ORD02620</t>
  </si>
  <si>
    <t>23:49:56</t>
  </si>
  <si>
    <t>ORD02621</t>
  </si>
  <si>
    <t>19:32:17</t>
  </si>
  <si>
    <t>ORD02622</t>
  </si>
  <si>
    <t>01:50:43</t>
  </si>
  <si>
    <t>ORD02623</t>
  </si>
  <si>
    <t>01:05:16</t>
  </si>
  <si>
    <t>ORD02624</t>
  </si>
  <si>
    <t>20:07:10</t>
  </si>
  <si>
    <t>ORD02625</t>
  </si>
  <si>
    <t>10:50:26</t>
  </si>
  <si>
    <t>ORD02626</t>
  </si>
  <si>
    <t>00:59:46</t>
  </si>
  <si>
    <t>ORD02627</t>
  </si>
  <si>
    <t>08:26:08</t>
  </si>
  <si>
    <t>ORD02628</t>
  </si>
  <si>
    <t>02:14:36</t>
  </si>
  <si>
    <t>ORD02629</t>
  </si>
  <si>
    <t>22:08:42</t>
  </si>
  <si>
    <t>ORD02630</t>
  </si>
  <si>
    <t>14:21:47</t>
  </si>
  <si>
    <t>ORD02631</t>
  </si>
  <si>
    <t>19:14:59</t>
  </si>
  <si>
    <t>ORD02632</t>
  </si>
  <si>
    <t>21:10:14</t>
  </si>
  <si>
    <t>ORD02633</t>
  </si>
  <si>
    <t>02:35:20</t>
  </si>
  <si>
    <t>ORD02634</t>
  </si>
  <si>
    <t>23:47:37</t>
  </si>
  <si>
    <t>ORD02635</t>
  </si>
  <si>
    <t>12:19:57</t>
  </si>
  <si>
    <t>ORD02636</t>
  </si>
  <si>
    <t>06:03:07</t>
  </si>
  <si>
    <t>ORD02637</t>
  </si>
  <si>
    <t>21:57:12</t>
  </si>
  <si>
    <t>ORD02638</t>
  </si>
  <si>
    <t>10:02:32</t>
  </si>
  <si>
    <t>ORD02639</t>
  </si>
  <si>
    <t>06:01:24</t>
  </si>
  <si>
    <t>ORD02640</t>
  </si>
  <si>
    <t>15:13:20</t>
  </si>
  <si>
    <t>ORD02641</t>
  </si>
  <si>
    <t>10:48:23</t>
  </si>
  <si>
    <t>ORD02642</t>
  </si>
  <si>
    <t>01:04:31</t>
  </si>
  <si>
    <t>ORD02643</t>
  </si>
  <si>
    <t>11:26:46</t>
  </si>
  <si>
    <t>ORD02644</t>
  </si>
  <si>
    <t>18:18:29</t>
  </si>
  <si>
    <t>ORD02645</t>
  </si>
  <si>
    <t>15:01:13</t>
  </si>
  <si>
    <t>ORD02646</t>
  </si>
  <si>
    <t>06:40:50</t>
  </si>
  <si>
    <t>ORD02647</t>
  </si>
  <si>
    <t>23:23:15</t>
  </si>
  <si>
    <t>ORD02648</t>
  </si>
  <si>
    <t>21:36:18</t>
  </si>
  <si>
    <t>ORD02649</t>
  </si>
  <si>
    <t>10:19:05</t>
  </si>
  <si>
    <t>ORD02650</t>
  </si>
  <si>
    <t>06:07:24</t>
  </si>
  <si>
    <t>ORD02651</t>
  </si>
  <si>
    <t>07:06:18</t>
  </si>
  <si>
    <t>ORD02652</t>
  </si>
  <si>
    <t>23:39:37</t>
  </si>
  <si>
    <t>ORD02653</t>
  </si>
  <si>
    <t>07:12:32</t>
  </si>
  <si>
    <t>ORD02654</t>
  </si>
  <si>
    <t>17:47:30</t>
  </si>
  <si>
    <t>ORD02655</t>
  </si>
  <si>
    <t>12:20:41</t>
  </si>
  <si>
    <t>ORD02656</t>
  </si>
  <si>
    <t>04:37:39</t>
  </si>
  <si>
    <t>ORD02657</t>
  </si>
  <si>
    <t>11:43:19</t>
  </si>
  <si>
    <t>ORD02658</t>
  </si>
  <si>
    <t>14:18:39</t>
  </si>
  <si>
    <t>ORD02659</t>
  </si>
  <si>
    <t>04:01:01</t>
  </si>
  <si>
    <t>ORD02660</t>
  </si>
  <si>
    <t>09:11:45</t>
  </si>
  <si>
    <t>ORD02661</t>
  </si>
  <si>
    <t>14:20:38</t>
  </si>
  <si>
    <t>ORD02662</t>
  </si>
  <si>
    <t>00:04:15</t>
  </si>
  <si>
    <t>ORD02663</t>
  </si>
  <si>
    <t>09:20:41</t>
  </si>
  <si>
    <t>ORD02664</t>
  </si>
  <si>
    <t>17:01:43</t>
  </si>
  <si>
    <t>ORD02665</t>
  </si>
  <si>
    <t>04:35:28</t>
  </si>
  <si>
    <t>ORD02666</t>
  </si>
  <si>
    <t>18:03:48</t>
  </si>
  <si>
    <t>ORD02667</t>
  </si>
  <si>
    <t>20:11:08</t>
  </si>
  <si>
    <t>ORD02668</t>
  </si>
  <si>
    <t>06:33:25</t>
  </si>
  <si>
    <t>ORD02669</t>
  </si>
  <si>
    <t>04:09:48</t>
  </si>
  <si>
    <t>ORD02670</t>
  </si>
  <si>
    <t>00:20:00</t>
  </si>
  <si>
    <t>ORD02671</t>
  </si>
  <si>
    <t>14:11:58</t>
  </si>
  <si>
    <t>ORD02672</t>
  </si>
  <si>
    <t>23:34:25</t>
  </si>
  <si>
    <t>ORD02673</t>
  </si>
  <si>
    <t>19:06:02</t>
  </si>
  <si>
    <t>ORD02674</t>
  </si>
  <si>
    <t>ORD02675</t>
  </si>
  <si>
    <t>15:12:42</t>
  </si>
  <si>
    <t>ORD02676</t>
  </si>
  <si>
    <t>13:23:49</t>
  </si>
  <si>
    <t>ORD02677</t>
  </si>
  <si>
    <t>20:25:02</t>
  </si>
  <si>
    <t>ORD02678</t>
  </si>
  <si>
    <t>19:10:09</t>
  </si>
  <si>
    <t>ORD02679</t>
  </si>
  <si>
    <t>16:26:23</t>
  </si>
  <si>
    <t>ORD02680</t>
  </si>
  <si>
    <t>10:43:13</t>
  </si>
  <si>
    <t>ORD02681</t>
  </si>
  <si>
    <t>16:37:15</t>
  </si>
  <si>
    <t>ORD02682</t>
  </si>
  <si>
    <t>23:41:24</t>
  </si>
  <si>
    <t>ORD02683</t>
  </si>
  <si>
    <t>21:48:35</t>
  </si>
  <si>
    <t>ORD02684</t>
  </si>
  <si>
    <t>00:29:41</t>
  </si>
  <si>
    <t>ORD02685</t>
  </si>
  <si>
    <t>00:35:41</t>
  </si>
  <si>
    <t>ORD02686</t>
  </si>
  <si>
    <t>00:46:51</t>
  </si>
  <si>
    <t>ORD02687</t>
  </si>
  <si>
    <t>16:52:25</t>
  </si>
  <si>
    <t>ORD02688</t>
  </si>
  <si>
    <t>04:00:15</t>
  </si>
  <si>
    <t>ORD02689</t>
  </si>
  <si>
    <t>08:33:49</t>
  </si>
  <si>
    <t>ORD02690</t>
  </si>
  <si>
    <t>06:07:32</t>
  </si>
  <si>
    <t>ORD02691</t>
  </si>
  <si>
    <t>14:19:40</t>
  </si>
  <si>
    <t>ORD02692</t>
  </si>
  <si>
    <t>03:47:44</t>
  </si>
  <si>
    <t>ORD02693</t>
  </si>
  <si>
    <t>10:13:42</t>
  </si>
  <si>
    <t>ORD02694</t>
  </si>
  <si>
    <t>14:20:21</t>
  </si>
  <si>
    <t>ORD02695</t>
  </si>
  <si>
    <t>12:46:45</t>
  </si>
  <si>
    <t>ORD02696</t>
  </si>
  <si>
    <t>18:13:12</t>
  </si>
  <si>
    <t>ORD02697</t>
  </si>
  <si>
    <t>09:12:05</t>
  </si>
  <si>
    <t>ORD02698</t>
  </si>
  <si>
    <t>00:33:57</t>
  </si>
  <si>
    <t>ORD02699</t>
  </si>
  <si>
    <t>11:20:16</t>
  </si>
  <si>
    <t>ORD02700</t>
  </si>
  <si>
    <t>05:37:01</t>
  </si>
  <si>
    <t>ORD02701</t>
  </si>
  <si>
    <t>06:06:00</t>
  </si>
  <si>
    <t>ORD02702</t>
  </si>
  <si>
    <t>07:45:26</t>
  </si>
  <si>
    <t>ORD02703</t>
  </si>
  <si>
    <t>22:28:38</t>
  </si>
  <si>
    <t>ORD02704</t>
  </si>
  <si>
    <t>15:26:09</t>
  </si>
  <si>
    <t>ORD02705</t>
  </si>
  <si>
    <t>04:29:28</t>
  </si>
  <si>
    <t>ORD02706</t>
  </si>
  <si>
    <t>15:08:43</t>
  </si>
  <si>
    <t>ORD02707</t>
  </si>
  <si>
    <t>14:15:28</t>
  </si>
  <si>
    <t>ORD02708</t>
  </si>
  <si>
    <t>12:57:27</t>
  </si>
  <si>
    <t>ORD02709</t>
  </si>
  <si>
    <t>06:45:16</t>
  </si>
  <si>
    <t>ORD02710</t>
  </si>
  <si>
    <t>15:07:10</t>
  </si>
  <si>
    <t>ORD02711</t>
  </si>
  <si>
    <t>02:59:51</t>
  </si>
  <si>
    <t>ORD02712</t>
  </si>
  <si>
    <t>14:21:03</t>
  </si>
  <si>
    <t>ORD02713</t>
  </si>
  <si>
    <t>00:21:24</t>
  </si>
  <si>
    <t>ORD02714</t>
  </si>
  <si>
    <t>23:12:17</t>
  </si>
  <si>
    <t>ORD02715</t>
  </si>
  <si>
    <t>16:12:33</t>
  </si>
  <si>
    <t>ORD02716</t>
  </si>
  <si>
    <t>12:47:53</t>
  </si>
  <si>
    <t>ORD02717</t>
  </si>
  <si>
    <t>15:21:16</t>
  </si>
  <si>
    <t>ORD02718</t>
  </si>
  <si>
    <t>16:51:20</t>
  </si>
  <si>
    <t>ORD02719</t>
  </si>
  <si>
    <t>17:43:46</t>
  </si>
  <si>
    <t>ORD02720</t>
  </si>
  <si>
    <t>08:33:15</t>
  </si>
  <si>
    <t>ORD02721</t>
  </si>
  <si>
    <t>01:38:35</t>
  </si>
  <si>
    <t>ORD02722</t>
  </si>
  <si>
    <t>11:44:20</t>
  </si>
  <si>
    <t>ORD02723</t>
  </si>
  <si>
    <t>09:29:51</t>
  </si>
  <si>
    <t>ORD02724</t>
  </si>
  <si>
    <t>01:54:28</t>
  </si>
  <si>
    <t>ORD02725</t>
  </si>
  <si>
    <t>00:09:55</t>
  </si>
  <si>
    <t>ORD02726</t>
  </si>
  <si>
    <t>04:57:28</t>
  </si>
  <si>
    <t>ORD02727</t>
  </si>
  <si>
    <t>13:08:44</t>
  </si>
  <si>
    <t>ORD02728</t>
  </si>
  <si>
    <t>21:19:11</t>
  </si>
  <si>
    <t>ORD02729</t>
  </si>
  <si>
    <t>08:27:33</t>
  </si>
  <si>
    <t>ORD02730</t>
  </si>
  <si>
    <t>01:42:30</t>
  </si>
  <si>
    <t>ORD02731</t>
  </si>
  <si>
    <t>10:13:14</t>
  </si>
  <si>
    <t>ORD02732</t>
  </si>
  <si>
    <t>20:10:26</t>
  </si>
  <si>
    <t>ORD02733</t>
  </si>
  <si>
    <t>02:57:12</t>
  </si>
  <si>
    <t>ORD02734</t>
  </si>
  <si>
    <t>01:54:31</t>
  </si>
  <si>
    <t>ORD02735</t>
  </si>
  <si>
    <t>17:18:30</t>
  </si>
  <si>
    <t>ORD02736</t>
  </si>
  <si>
    <t>01:58:07</t>
  </si>
  <si>
    <t>ORD02737</t>
  </si>
  <si>
    <t>11:54:12</t>
  </si>
  <si>
    <t>ORD02738</t>
  </si>
  <si>
    <t>23:16:02</t>
  </si>
  <si>
    <t>ORD02739</t>
  </si>
  <si>
    <t>08:50:28</t>
  </si>
  <si>
    <t>ORD02740</t>
  </si>
  <si>
    <t>01:00:43</t>
  </si>
  <si>
    <t>ORD02741</t>
  </si>
  <si>
    <t>20:26:44</t>
  </si>
  <si>
    <t>ORD02742</t>
  </si>
  <si>
    <t>12:14:38</t>
  </si>
  <si>
    <t>ORD02743</t>
  </si>
  <si>
    <t>15:56:27</t>
  </si>
  <si>
    <t>ORD02744</t>
  </si>
  <si>
    <t>14:53:47</t>
  </si>
  <si>
    <t>ORD02745</t>
  </si>
  <si>
    <t>20:56:20</t>
  </si>
  <si>
    <t>ORD02746</t>
  </si>
  <si>
    <t>13:06:30</t>
  </si>
  <si>
    <t>ORD02747</t>
  </si>
  <si>
    <t>12:03:13</t>
  </si>
  <si>
    <t>ORD02748</t>
  </si>
  <si>
    <t>23:53:04</t>
  </si>
  <si>
    <t>ORD02749</t>
  </si>
  <si>
    <t>14:26:52</t>
  </si>
  <si>
    <t>ORD02750</t>
  </si>
  <si>
    <t>04:17:10</t>
  </si>
  <si>
    <t>ORD02751</t>
  </si>
  <si>
    <t>06:16:59</t>
  </si>
  <si>
    <t>ORD02752</t>
  </si>
  <si>
    <t>ORD02753</t>
  </si>
  <si>
    <t>16:55:02</t>
  </si>
  <si>
    <t>ORD02754</t>
  </si>
  <si>
    <t>03:07:46</t>
  </si>
  <si>
    <t>ORD02755</t>
  </si>
  <si>
    <t>15:14:48</t>
  </si>
  <si>
    <t>ORD02756</t>
  </si>
  <si>
    <t>17:28:04</t>
  </si>
  <si>
    <t>ORD02757</t>
  </si>
  <si>
    <t>22:50:58</t>
  </si>
  <si>
    <t>ORD02758</t>
  </si>
  <si>
    <t>09:24:14</t>
  </si>
  <si>
    <t>ORD02759</t>
  </si>
  <si>
    <t>15:49:48</t>
  </si>
  <si>
    <t>ORD02760</t>
  </si>
  <si>
    <t>10:58:05</t>
  </si>
  <si>
    <t>ORD02761</t>
  </si>
  <si>
    <t>13:02:35</t>
  </si>
  <si>
    <t>ORD02762</t>
  </si>
  <si>
    <t>17:47:55</t>
  </si>
  <si>
    <t>ORD02763</t>
  </si>
  <si>
    <t>13:05:25</t>
  </si>
  <si>
    <t>ORD02764</t>
  </si>
  <si>
    <t>20:48:37</t>
  </si>
  <si>
    <t>ORD02765</t>
  </si>
  <si>
    <t>01:21:42</t>
  </si>
  <si>
    <t>ORD02766</t>
  </si>
  <si>
    <t>02:51:21</t>
  </si>
  <si>
    <t>ORD02767</t>
  </si>
  <si>
    <t>14:58:05</t>
  </si>
  <si>
    <t>ORD02768</t>
  </si>
  <si>
    <t>06:01:13</t>
  </si>
  <si>
    <t>ORD02769</t>
  </si>
  <si>
    <t>15:46:40</t>
  </si>
  <si>
    <t>ORD02770</t>
  </si>
  <si>
    <t>22:21:27</t>
  </si>
  <si>
    <t>ORD02771</t>
  </si>
  <si>
    <t>12:36:55</t>
  </si>
  <si>
    <t>ORD02772</t>
  </si>
  <si>
    <t>01:12:15</t>
  </si>
  <si>
    <t>ORD02773</t>
  </si>
  <si>
    <t>17:34:46</t>
  </si>
  <si>
    <t>ORD02774</t>
  </si>
  <si>
    <t>01:56:06</t>
  </si>
  <si>
    <t>ORD02775</t>
  </si>
  <si>
    <t>08:22:24</t>
  </si>
  <si>
    <t>ORD02776</t>
  </si>
  <si>
    <t>05:02:09</t>
  </si>
  <si>
    <t>ORD02777</t>
  </si>
  <si>
    <t>ORD02778</t>
  </si>
  <si>
    <t>06:28:28</t>
  </si>
  <si>
    <t>ORD02779</t>
  </si>
  <si>
    <t>01:03:09</t>
  </si>
  <si>
    <t>ORD02780</t>
  </si>
  <si>
    <t>08:11:03</t>
  </si>
  <si>
    <t>ORD02781</t>
  </si>
  <si>
    <t>06:42:07</t>
  </si>
  <si>
    <t>ORD02782</t>
  </si>
  <si>
    <t>05:26:24</t>
  </si>
  <si>
    <t>ORD02783</t>
  </si>
  <si>
    <t>13:25:32</t>
  </si>
  <si>
    <t>ORD02784</t>
  </si>
  <si>
    <t>11:06:58</t>
  </si>
  <si>
    <t>ORD02785</t>
  </si>
  <si>
    <t>14:08:12</t>
  </si>
  <si>
    <t>ORD02786</t>
  </si>
  <si>
    <t>14:20:04</t>
  </si>
  <si>
    <t>ORD02787</t>
  </si>
  <si>
    <t>20:48:30</t>
  </si>
  <si>
    <t>ORD02788</t>
  </si>
  <si>
    <t>14:40:24</t>
  </si>
  <si>
    <t>ORD02789</t>
  </si>
  <si>
    <t>11:02:24</t>
  </si>
  <si>
    <t>ORD02790</t>
  </si>
  <si>
    <t>13:58:08</t>
  </si>
  <si>
    <t>ORD02791</t>
  </si>
  <si>
    <t>19:09:26</t>
  </si>
  <si>
    <t>ORD02792</t>
  </si>
  <si>
    <t>22:04:36</t>
  </si>
  <si>
    <t>ORD02793</t>
  </si>
  <si>
    <t>05:17:19</t>
  </si>
  <si>
    <t>ORD02794</t>
  </si>
  <si>
    <t>ORD02795</t>
  </si>
  <si>
    <t>18:09:39</t>
  </si>
  <si>
    <t>ORD02796</t>
  </si>
  <si>
    <t>12:54:45</t>
  </si>
  <si>
    <t>ORD02797</t>
  </si>
  <si>
    <t>08:40:42</t>
  </si>
  <si>
    <t>ORD02798</t>
  </si>
  <si>
    <t>18:57:25</t>
  </si>
  <si>
    <t>ORD02799</t>
  </si>
  <si>
    <t>01:27:03</t>
  </si>
  <si>
    <t>ORD02800</t>
  </si>
  <si>
    <t>19:58:48</t>
  </si>
  <si>
    <t>ORD02801</t>
  </si>
  <si>
    <t>01:20:34</t>
  </si>
  <si>
    <t>ORD02802</t>
  </si>
  <si>
    <t>13:41:50</t>
  </si>
  <si>
    <t>ORD02803</t>
  </si>
  <si>
    <t>07:22:52</t>
  </si>
  <si>
    <t>ORD02804</t>
  </si>
  <si>
    <t>11:05:16</t>
  </si>
  <si>
    <t>ORD02805</t>
  </si>
  <si>
    <t>16:27:13</t>
  </si>
  <si>
    <t>ORD02806</t>
  </si>
  <si>
    <t>05:34:20</t>
  </si>
  <si>
    <t>ORD02807</t>
  </si>
  <si>
    <t>20:00:57</t>
  </si>
  <si>
    <t>ORD02808</t>
  </si>
  <si>
    <t>23:20:24</t>
  </si>
  <si>
    <t>ORD02809</t>
  </si>
  <si>
    <t>05:19:34</t>
  </si>
  <si>
    <t>ORD02810</t>
  </si>
  <si>
    <t>01:00:19</t>
  </si>
  <si>
    <t>ORD02811</t>
  </si>
  <si>
    <t>05:08:56</t>
  </si>
  <si>
    <t>ORD02812</t>
  </si>
  <si>
    <t>22:30:04</t>
  </si>
  <si>
    <t>ORD02813</t>
  </si>
  <si>
    <t>19:21:26</t>
  </si>
  <si>
    <t>ORD02814</t>
  </si>
  <si>
    <t>10:47:47</t>
  </si>
  <si>
    <t>ORD02815</t>
  </si>
  <si>
    <t>03:54:04</t>
  </si>
  <si>
    <t>ORD02816</t>
  </si>
  <si>
    <t>00:43:23</t>
  </si>
  <si>
    <t>ORD02817</t>
  </si>
  <si>
    <t>15:07:52</t>
  </si>
  <si>
    <t>ORD02818</t>
  </si>
  <si>
    <t>ORD02819</t>
  </si>
  <si>
    <t>07:27:06</t>
  </si>
  <si>
    <t>ORD02820</t>
  </si>
  <si>
    <t>22:09:56</t>
  </si>
  <si>
    <t>ORD02821</t>
  </si>
  <si>
    <t>08:05:52</t>
  </si>
  <si>
    <t>ORD02822</t>
  </si>
  <si>
    <t>00:51:08</t>
  </si>
  <si>
    <t>ORD02823</t>
  </si>
  <si>
    <t>ORD02824</t>
  </si>
  <si>
    <t>08:38:40</t>
  </si>
  <si>
    <t>ORD02825</t>
  </si>
  <si>
    <t>05:34:23</t>
  </si>
  <si>
    <t>ORD02826</t>
  </si>
  <si>
    <t>19:42:09</t>
  </si>
  <si>
    <t>ORD02827</t>
  </si>
  <si>
    <t>14:39:21</t>
  </si>
  <si>
    <t>ORD02828</t>
  </si>
  <si>
    <t>14:48:18</t>
  </si>
  <si>
    <t>ORD02829</t>
  </si>
  <si>
    <t>23:35:13</t>
  </si>
  <si>
    <t>ORD02830</t>
  </si>
  <si>
    <t>03:30:21</t>
  </si>
  <si>
    <t>ORD02831</t>
  </si>
  <si>
    <t>13:47:25</t>
  </si>
  <si>
    <t>ORD02832</t>
  </si>
  <si>
    <t>22:02:58</t>
  </si>
  <si>
    <t>ORD02833</t>
  </si>
  <si>
    <t>14:01:39</t>
  </si>
  <si>
    <t>ORD02834</t>
  </si>
  <si>
    <t>16:39:19</t>
  </si>
  <si>
    <t>ORD02835</t>
  </si>
  <si>
    <t>21:00:45</t>
  </si>
  <si>
    <t>ORD02836</t>
  </si>
  <si>
    <t>20:18:58</t>
  </si>
  <si>
    <t>ORD02837</t>
  </si>
  <si>
    <t>16:01:09</t>
  </si>
  <si>
    <t>ORD02838</t>
  </si>
  <si>
    <t>13:20:04</t>
  </si>
  <si>
    <t>ORD02839</t>
  </si>
  <si>
    <t>03:49:50</t>
  </si>
  <si>
    <t>ORD02840</t>
  </si>
  <si>
    <t>20:55:14</t>
  </si>
  <si>
    <t>ORD02841</t>
  </si>
  <si>
    <t>19:43:07</t>
  </si>
  <si>
    <t>ORD02842</t>
  </si>
  <si>
    <t>21:21:32</t>
  </si>
  <si>
    <t>ORD02843</t>
  </si>
  <si>
    <t>06:14:44</t>
  </si>
  <si>
    <t>ORD02844</t>
  </si>
  <si>
    <t>06:46:46</t>
  </si>
  <si>
    <t>ORD02845</t>
  </si>
  <si>
    <t>18:15:47</t>
  </si>
  <si>
    <t>ORD02846</t>
  </si>
  <si>
    <t>18:21:58</t>
  </si>
  <si>
    <t>ORD02847</t>
  </si>
  <si>
    <t>19:02:07</t>
  </si>
  <si>
    <t>ORD02848</t>
  </si>
  <si>
    <t>11:53:36</t>
  </si>
  <si>
    <t>ORD02849</t>
  </si>
  <si>
    <t>15:25:07</t>
  </si>
  <si>
    <t>ORD02850</t>
  </si>
  <si>
    <t>ORD02851</t>
  </si>
  <si>
    <t>16:07:18</t>
  </si>
  <si>
    <t>ORD02852</t>
  </si>
  <si>
    <t>15:12:31</t>
  </si>
  <si>
    <t>ORD02853</t>
  </si>
  <si>
    <t>04:57:19</t>
  </si>
  <si>
    <t>ORD02854</t>
  </si>
  <si>
    <t>23:03:44</t>
  </si>
  <si>
    <t>ORD02855</t>
  </si>
  <si>
    <t>22:57:53</t>
  </si>
  <si>
    <t>ORD02856</t>
  </si>
  <si>
    <t>13:49:44</t>
  </si>
  <si>
    <t>ORD02857</t>
  </si>
  <si>
    <t>14:31:07</t>
  </si>
  <si>
    <t>ORD02858</t>
  </si>
  <si>
    <t>20:35:55</t>
  </si>
  <si>
    <t>ORD02859</t>
  </si>
  <si>
    <t>21:03:41</t>
  </si>
  <si>
    <t>ORD02860</t>
  </si>
  <si>
    <t>09:49:25</t>
  </si>
  <si>
    <t>ORD02861</t>
  </si>
  <si>
    <t>00:20:30</t>
  </si>
  <si>
    <t>ORD02862</t>
  </si>
  <si>
    <t>23:16:51</t>
  </si>
  <si>
    <t>ORD02863</t>
  </si>
  <si>
    <t>22:33:20</t>
  </si>
  <si>
    <t>ORD02864</t>
  </si>
  <si>
    <t>00:27:17</t>
  </si>
  <si>
    <t>ORD02865</t>
  </si>
  <si>
    <t>03:33:26</t>
  </si>
  <si>
    <t>ORD02866</t>
  </si>
  <si>
    <t>11:47:38</t>
  </si>
  <si>
    <t>ORD02867</t>
  </si>
  <si>
    <t>13:32:51</t>
  </si>
  <si>
    <t>ORD02868</t>
  </si>
  <si>
    <t>12:51:15</t>
  </si>
  <si>
    <t>ORD02869</t>
  </si>
  <si>
    <t>17:47:42</t>
  </si>
  <si>
    <t>ORD02870</t>
  </si>
  <si>
    <t>19:25:58</t>
  </si>
  <si>
    <t>ORD02871</t>
  </si>
  <si>
    <t>06:10:19</t>
  </si>
  <si>
    <t>ORD02872</t>
  </si>
  <si>
    <t>17:02:41</t>
  </si>
  <si>
    <t>ORD02873</t>
  </si>
  <si>
    <t>16:50:49</t>
  </si>
  <si>
    <t>ORD02874</t>
  </si>
  <si>
    <t>05:34:06</t>
  </si>
  <si>
    <t>ORD02875</t>
  </si>
  <si>
    <t>20:30:16</t>
  </si>
  <si>
    <t>ORD02876</t>
  </si>
  <si>
    <t>18:47:22</t>
  </si>
  <si>
    <t>ORD02877</t>
  </si>
  <si>
    <t>01:05:27</t>
  </si>
  <si>
    <t>ORD02878</t>
  </si>
  <si>
    <t>20:20:17</t>
  </si>
  <si>
    <t>ORD02879</t>
  </si>
  <si>
    <t>17:02:04</t>
  </si>
  <si>
    <t>ORD02880</t>
  </si>
  <si>
    <t>20:34:39</t>
  </si>
  <si>
    <t>ORD02881</t>
  </si>
  <si>
    <t>06:33:52</t>
  </si>
  <si>
    <t>ORD02882</t>
  </si>
  <si>
    <t>05:55:44</t>
  </si>
  <si>
    <t>ORD02883</t>
  </si>
  <si>
    <t>18:13:38</t>
  </si>
  <si>
    <t>ORD02884</t>
  </si>
  <si>
    <t>14:14:24</t>
  </si>
  <si>
    <t>ORD02885</t>
  </si>
  <si>
    <t>23:39:26</t>
  </si>
  <si>
    <t>ORD02886</t>
  </si>
  <si>
    <t>03:49:57</t>
  </si>
  <si>
    <t>ORD02887</t>
  </si>
  <si>
    <t>04:02:41</t>
  </si>
  <si>
    <t>ORD02888</t>
  </si>
  <si>
    <t>12:11:39</t>
  </si>
  <si>
    <t>ORD02889</t>
  </si>
  <si>
    <t>19:43:40</t>
  </si>
  <si>
    <t>ORD02890</t>
  </si>
  <si>
    <t>18:23:05</t>
  </si>
  <si>
    <t>ORD02891</t>
  </si>
  <si>
    <t>10:00:38</t>
  </si>
  <si>
    <t>ORD02892</t>
  </si>
  <si>
    <t>05:49:42</t>
  </si>
  <si>
    <t>ORD02893</t>
  </si>
  <si>
    <t>18:05:31</t>
  </si>
  <si>
    <t>ORD02894</t>
  </si>
  <si>
    <t>18:13:06</t>
  </si>
  <si>
    <t>ORD02895</t>
  </si>
  <si>
    <t>10:44:39</t>
  </si>
  <si>
    <t>ORD02896</t>
  </si>
  <si>
    <t>23:40:51</t>
  </si>
  <si>
    <t>ORD02897</t>
  </si>
  <si>
    <t>09:58:49</t>
  </si>
  <si>
    <t>ORD02898</t>
  </si>
  <si>
    <t>14:36:23</t>
  </si>
  <si>
    <t>ORD02899</t>
  </si>
  <si>
    <t>04:41:59</t>
  </si>
  <si>
    <t>ORD02900</t>
  </si>
  <si>
    <t>23:17:16</t>
  </si>
  <si>
    <t>ORD02901</t>
  </si>
  <si>
    <t>01:22:46</t>
  </si>
  <si>
    <t>ORD02902</t>
  </si>
  <si>
    <t>03:58:12</t>
  </si>
  <si>
    <t>ORD02903</t>
  </si>
  <si>
    <t>05:57:14</t>
  </si>
  <si>
    <t>ORD02904</t>
  </si>
  <si>
    <t>15:36:11</t>
  </si>
  <si>
    <t>ORD02905</t>
  </si>
  <si>
    <t>17:08:23</t>
  </si>
  <si>
    <t>ORD02906</t>
  </si>
  <si>
    <t>13:12:53</t>
  </si>
  <si>
    <t>ORD02907</t>
  </si>
  <si>
    <t>00:46:53</t>
  </si>
  <si>
    <t>ORD02908</t>
  </si>
  <si>
    <t>01:14:47</t>
  </si>
  <si>
    <t>ORD02909</t>
  </si>
  <si>
    <t>20:47:35</t>
  </si>
  <si>
    <t>ORD02910</t>
  </si>
  <si>
    <t>21:10:48</t>
  </si>
  <si>
    <t>ORD02911</t>
  </si>
  <si>
    <t>16:29:37</t>
  </si>
  <si>
    <t>ORD02912</t>
  </si>
  <si>
    <t>18:51:29</t>
  </si>
  <si>
    <t>ORD02913</t>
  </si>
  <si>
    <t>21:18:30</t>
  </si>
  <si>
    <t>ORD02914</t>
  </si>
  <si>
    <t>05:52:15</t>
  </si>
  <si>
    <t>ORD02915</t>
  </si>
  <si>
    <t>19:29:19</t>
  </si>
  <si>
    <t>ORD02916</t>
  </si>
  <si>
    <t>08:31:38</t>
  </si>
  <si>
    <t>ORD02917</t>
  </si>
  <si>
    <t>04:32:02</t>
  </si>
  <si>
    <t>ORD02918</t>
  </si>
  <si>
    <t>ORD02919</t>
  </si>
  <si>
    <t>15:56:47</t>
  </si>
  <si>
    <t>ORD02920</t>
  </si>
  <si>
    <t>17:57:12</t>
  </si>
  <si>
    <t>ORD02921</t>
  </si>
  <si>
    <t>02:13:04</t>
  </si>
  <si>
    <t>ORD02922</t>
  </si>
  <si>
    <t>00:43:11</t>
  </si>
  <si>
    <t>ORD02923</t>
  </si>
  <si>
    <t>00:26:18</t>
  </si>
  <si>
    <t>ORD02924</t>
  </si>
  <si>
    <t>11:11:19</t>
  </si>
  <si>
    <t>ORD02925</t>
  </si>
  <si>
    <t>23:21:05</t>
  </si>
  <si>
    <t>ORD02926</t>
  </si>
  <si>
    <t>02:27:18</t>
  </si>
  <si>
    <t>ORD02927</t>
  </si>
  <si>
    <t>06:41:35</t>
  </si>
  <si>
    <t>ORD02928</t>
  </si>
  <si>
    <t>01:10:36</t>
  </si>
  <si>
    <t>ORD02929</t>
  </si>
  <si>
    <t>15:15:25</t>
  </si>
  <si>
    <t>ORD02930</t>
  </si>
  <si>
    <t>07:21:54</t>
  </si>
  <si>
    <t>ORD02931</t>
  </si>
  <si>
    <t>10:54:05</t>
  </si>
  <si>
    <t>ORD02932</t>
  </si>
  <si>
    <t>17:41:30</t>
  </si>
  <si>
    <t>ORD02933</t>
  </si>
  <si>
    <t>14:59:47</t>
  </si>
  <si>
    <t>ORD02934</t>
  </si>
  <si>
    <t>05:49:28</t>
  </si>
  <si>
    <t>ORD02935</t>
  </si>
  <si>
    <t>03:33:34</t>
  </si>
  <si>
    <t>ORD02936</t>
  </si>
  <si>
    <t>10:39:52</t>
  </si>
  <si>
    <t>ORD02937</t>
  </si>
  <si>
    <t>09:05:16</t>
  </si>
  <si>
    <t>ORD02938</t>
  </si>
  <si>
    <t>00:54:21</t>
  </si>
  <si>
    <t>ORD02939</t>
  </si>
  <si>
    <t>01:15:10</t>
  </si>
  <si>
    <t>ORD02940</t>
  </si>
  <si>
    <t>23:11:48</t>
  </si>
  <si>
    <t>ORD02941</t>
  </si>
  <si>
    <t>04:29:33</t>
  </si>
  <si>
    <t>ORD02942</t>
  </si>
  <si>
    <t>22:38:49</t>
  </si>
  <si>
    <t>ORD02943</t>
  </si>
  <si>
    <t>16:28:18</t>
  </si>
  <si>
    <t>ORD02944</t>
  </si>
  <si>
    <t>16:56:15</t>
  </si>
  <si>
    <t>ORD02945</t>
  </si>
  <si>
    <t>04:06:35</t>
  </si>
  <si>
    <t>ORD02946</t>
  </si>
  <si>
    <t>15:44:34</t>
  </si>
  <si>
    <t>ORD02947</t>
  </si>
  <si>
    <t>17:14:19</t>
  </si>
  <si>
    <t>ORD02948</t>
  </si>
  <si>
    <t>11:21:28</t>
  </si>
  <si>
    <t>ORD02949</t>
  </si>
  <si>
    <t>04:16:49</t>
  </si>
  <si>
    <t>ORD02950</t>
  </si>
  <si>
    <t>05:01:34</t>
  </si>
  <si>
    <t>ORD02951</t>
  </si>
  <si>
    <t>13:34:34</t>
  </si>
  <si>
    <t>ORD02952</t>
  </si>
  <si>
    <t>20:38:43</t>
  </si>
  <si>
    <t>ORD02953</t>
  </si>
  <si>
    <t>12:46:05</t>
  </si>
  <si>
    <t>ORD02954</t>
  </si>
  <si>
    <t>03:21:49</t>
  </si>
  <si>
    <t>ORD02955</t>
  </si>
  <si>
    <t>13:37:14</t>
  </si>
  <si>
    <t>ORD02956</t>
  </si>
  <si>
    <t>18:37:21</t>
  </si>
  <si>
    <t>ORD02957</t>
  </si>
  <si>
    <t>10:14:32</t>
  </si>
  <si>
    <t>ORD02958</t>
  </si>
  <si>
    <t>20:34:05</t>
  </si>
  <si>
    <t>ORD02959</t>
  </si>
  <si>
    <t>20:32:25</t>
  </si>
  <si>
    <t>ORD02960</t>
  </si>
  <si>
    <t>11:15:38</t>
  </si>
  <si>
    <t>ORD02961</t>
  </si>
  <si>
    <t>22:39:24</t>
  </si>
  <si>
    <t>ORD02962</t>
  </si>
  <si>
    <t>21:49:09</t>
  </si>
  <si>
    <t>ORD02963</t>
  </si>
  <si>
    <t>00:31:40</t>
  </si>
  <si>
    <t>ORD02964</t>
  </si>
  <si>
    <t>10:04:41</t>
  </si>
  <si>
    <t>ORD02965</t>
  </si>
  <si>
    <t>06:34:23</t>
  </si>
  <si>
    <t>ORD02966</t>
  </si>
  <si>
    <t>04:04:49</t>
  </si>
  <si>
    <t>ORD02967</t>
  </si>
  <si>
    <t>05:25:04</t>
  </si>
  <si>
    <t>ORD02968</t>
  </si>
  <si>
    <t>03:30:02</t>
  </si>
  <si>
    <t>ORD02969</t>
  </si>
  <si>
    <t>18:30:44</t>
  </si>
  <si>
    <t>ORD02970</t>
  </si>
  <si>
    <t>04:02:08</t>
  </si>
  <si>
    <t>ORD02971</t>
  </si>
  <si>
    <t>00:44:05</t>
  </si>
  <si>
    <t>ORD02972</t>
  </si>
  <si>
    <t>02:41:57</t>
  </si>
  <si>
    <t>ORD02973</t>
  </si>
  <si>
    <t>03:40:52</t>
  </si>
  <si>
    <t>ORD02974</t>
  </si>
  <si>
    <t>10:17:18</t>
  </si>
  <si>
    <t>ORD02975</t>
  </si>
  <si>
    <t>18:41:20</t>
  </si>
  <si>
    <t>ORD02976</t>
  </si>
  <si>
    <t>06:02:35</t>
  </si>
  <si>
    <t>ORD02977</t>
  </si>
  <si>
    <t>20:15:01</t>
  </si>
  <si>
    <t>ORD02978</t>
  </si>
  <si>
    <t>21:16:06</t>
  </si>
  <si>
    <t>ORD02979</t>
  </si>
  <si>
    <t>09:35:06</t>
  </si>
  <si>
    <t>ORD02980</t>
  </si>
  <si>
    <t>01:08:18</t>
  </si>
  <si>
    <t>ORD02981</t>
  </si>
  <si>
    <t>03:21:08</t>
  </si>
  <si>
    <t>ORD02982</t>
  </si>
  <si>
    <t>00:15:06</t>
  </si>
  <si>
    <t>ORD02983</t>
  </si>
  <si>
    <t>14:51:27</t>
  </si>
  <si>
    <t>ORD02984</t>
  </si>
  <si>
    <t>17:58:36</t>
  </si>
  <si>
    <t>ORD02985</t>
  </si>
  <si>
    <t>06:01:56</t>
  </si>
  <si>
    <t>ORD02986</t>
  </si>
  <si>
    <t>21:43:14</t>
  </si>
  <si>
    <t>ORD02987</t>
  </si>
  <si>
    <t>13:50:00</t>
  </si>
  <si>
    <t>ORD02988</t>
  </si>
  <si>
    <t>19:15:02</t>
  </si>
  <si>
    <t>ORD02989</t>
  </si>
  <si>
    <t>05:03:36</t>
  </si>
  <si>
    <t>ORD02990</t>
  </si>
  <si>
    <t>06:28:33</t>
  </si>
  <si>
    <t>ORD02991</t>
  </si>
  <si>
    <t>07:38:02</t>
  </si>
  <si>
    <t>ORD02992</t>
  </si>
  <si>
    <t>19:43:24</t>
  </si>
  <si>
    <t>ORD02993</t>
  </si>
  <si>
    <t>01:42:53</t>
  </si>
  <si>
    <t>ORD02994</t>
  </si>
  <si>
    <t>08:06:55</t>
  </si>
  <si>
    <t>ORD02995</t>
  </si>
  <si>
    <t>13:34:10</t>
  </si>
  <si>
    <t>ORD02996</t>
  </si>
  <si>
    <t>01:55:51</t>
  </si>
  <si>
    <t>ORD02997</t>
  </si>
  <si>
    <t>12:44:18</t>
  </si>
  <si>
    <t>ORD02998</t>
  </si>
  <si>
    <t>17:42:51</t>
  </si>
  <si>
    <t>ORD02999</t>
  </si>
  <si>
    <t>03:41:25</t>
  </si>
  <si>
    <t>ORD03000</t>
  </si>
  <si>
    <t>20:32:46</t>
  </si>
  <si>
    <t>customer_name</t>
  </si>
  <si>
    <t>email</t>
  </si>
  <si>
    <t>phone</t>
  </si>
  <si>
    <t>area</t>
  </si>
  <si>
    <t>city</t>
  </si>
  <si>
    <t>signup_date</t>
  </si>
  <si>
    <t>gender</t>
  </si>
  <si>
    <t>customer_type</t>
  </si>
  <si>
    <t>Vinaya Khurana</t>
  </si>
  <si>
    <t>wshere@example.org</t>
  </si>
  <si>
    <t>Indiranagar</t>
  </si>
  <si>
    <t>Bangalore</t>
  </si>
  <si>
    <t>2024-05-11</t>
  </si>
  <si>
    <t>Male</t>
  </si>
  <si>
    <t>Regular</t>
  </si>
  <si>
    <t>Wriddhish Krish</t>
  </si>
  <si>
    <t>krishasamra@example.net</t>
  </si>
  <si>
    <t>HSR Layout</t>
  </si>
  <si>
    <t>2023-07-10</t>
  </si>
  <si>
    <t>Onkar Bal</t>
  </si>
  <si>
    <t>xiti59@example.org</t>
  </si>
  <si>
    <t>Hebbal</t>
  </si>
  <si>
    <t>2024-06-09</t>
  </si>
  <si>
    <t>Other</t>
  </si>
  <si>
    <t>Chandani Pingle</t>
  </si>
  <si>
    <t>karaliam@example.com</t>
  </si>
  <si>
    <t>Koramangala</t>
  </si>
  <si>
    <t>2023-11-24</t>
  </si>
  <si>
    <t>Amrita Patla</t>
  </si>
  <si>
    <t>harita23@example.net</t>
  </si>
  <si>
    <t>Yelahanka</t>
  </si>
  <si>
    <t>2023-06-30</t>
  </si>
  <si>
    <t>Chakradev Sankaran</t>
  </si>
  <si>
    <t>walionkar@example.com</t>
  </si>
  <si>
    <t>2023-06-04</t>
  </si>
  <si>
    <t>Rachit Bakshi</t>
  </si>
  <si>
    <t>zayan28@example.org</t>
  </si>
  <si>
    <t>2023-11-22</t>
  </si>
  <si>
    <t>Female</t>
  </si>
  <si>
    <t>Keya Issac</t>
  </si>
  <si>
    <t>ozarohan@example.org</t>
  </si>
  <si>
    <t>2024-09-20</t>
  </si>
  <si>
    <t>Balendra Balakrishnan</t>
  </si>
  <si>
    <t>upma25@example.com</t>
  </si>
  <si>
    <t>Jayanagar</t>
  </si>
  <si>
    <t>2023-09-22</t>
  </si>
  <si>
    <t>Harsh Aggarwal</t>
  </si>
  <si>
    <t>charita81@example.com</t>
  </si>
  <si>
    <t>Marathahalli</t>
  </si>
  <si>
    <t>2024-08-16</t>
  </si>
  <si>
    <t>Pahal Kumar</t>
  </si>
  <si>
    <t>pallavi10@example.com</t>
  </si>
  <si>
    <t>2023-03-17</t>
  </si>
  <si>
    <t>Neha Sastry</t>
  </si>
  <si>
    <t>kotamatthew@example.net</t>
  </si>
  <si>
    <t>2024-09-18</t>
  </si>
  <si>
    <t>Odika Mani</t>
  </si>
  <si>
    <t>ucchalgarg@example.org</t>
  </si>
  <si>
    <t>BTM Layout</t>
  </si>
  <si>
    <t>2023-04-07</t>
  </si>
  <si>
    <t>Yachana Dutt</t>
  </si>
  <si>
    <t>maanav76@example.com</t>
  </si>
  <si>
    <t>Malleshwaram</t>
  </si>
  <si>
    <t>2024-10-06</t>
  </si>
  <si>
    <t>Premium</t>
  </si>
  <si>
    <t>Anmol Khatri</t>
  </si>
  <si>
    <t>talwarjhalak@example.com</t>
  </si>
  <si>
    <t>Rajajinagar</t>
  </si>
  <si>
    <t>2023-10-08</t>
  </si>
  <si>
    <t>Arunima Mandal</t>
  </si>
  <si>
    <t>tarak45@example.org</t>
  </si>
  <si>
    <t>2023-02-05</t>
  </si>
  <si>
    <t>Ucchal Rao</t>
  </si>
  <si>
    <t>sureshekapad@example.com</t>
  </si>
  <si>
    <t>2023-03-03</t>
  </si>
  <si>
    <t>Bhavika Nori</t>
  </si>
  <si>
    <t>ynarang@example.org</t>
  </si>
  <si>
    <t>2023-12-19</t>
  </si>
  <si>
    <t>Jagrati Kala</t>
  </si>
  <si>
    <t>chaitanyathaman@example.com</t>
  </si>
  <si>
    <t>2023-10-03</t>
  </si>
  <si>
    <t>Madhavi Sharma</t>
  </si>
  <si>
    <t>karan13@example.org</t>
  </si>
  <si>
    <t>2024-06-14</t>
  </si>
  <si>
    <t>Hiral Mani</t>
  </si>
  <si>
    <t>tanish99@example.com</t>
  </si>
  <si>
    <t>2023-05-13</t>
  </si>
  <si>
    <t>Hritik Dixit</t>
  </si>
  <si>
    <t>kulkarnigautami@example.net</t>
  </si>
  <si>
    <t>2023-12-26</t>
  </si>
  <si>
    <t>Harinakshi Sani</t>
  </si>
  <si>
    <t>tristanvasa@example.org</t>
  </si>
  <si>
    <t>2024-05-12</t>
  </si>
  <si>
    <t>Warinder Bir</t>
  </si>
  <si>
    <t>prakashtanay@example.com</t>
  </si>
  <si>
    <t>2023-09-09</t>
  </si>
  <si>
    <t>Advaith Gaba</t>
  </si>
  <si>
    <t>ramachandrantriya@example.org</t>
  </si>
  <si>
    <t>2024-09-17</t>
  </si>
  <si>
    <t>Anthony Hayre</t>
  </si>
  <si>
    <t>gautami17@example.com</t>
  </si>
  <si>
    <t>2023-06-13</t>
  </si>
  <si>
    <t>Jagvi Dewan</t>
  </si>
  <si>
    <t>arin37@example.com</t>
  </si>
  <si>
    <t>Electronic City</t>
  </si>
  <si>
    <t>2024-05-24</t>
  </si>
  <si>
    <t>Hritik Bhattacharyya</t>
  </si>
  <si>
    <t>bsaha@example.com</t>
  </si>
  <si>
    <t>2024-05-14</t>
  </si>
  <si>
    <t>Baghyawati Solanki</t>
  </si>
  <si>
    <t>garima41@example.net</t>
  </si>
  <si>
    <t>2023-07-11</t>
  </si>
  <si>
    <t>Rushil Prashad</t>
  </si>
  <si>
    <t>urvashisur@example.org</t>
  </si>
  <si>
    <t>2024-08-03</t>
  </si>
  <si>
    <t>Kavya Subramaniam</t>
  </si>
  <si>
    <t>libnichacko@example.com</t>
  </si>
  <si>
    <t>2023-11-07</t>
  </si>
  <si>
    <t>Lohit Balakrishnan</t>
  </si>
  <si>
    <t>chauhanlaksh@example.org</t>
  </si>
  <si>
    <t>2023-04-18</t>
  </si>
  <si>
    <t>Brijesh Parsa</t>
  </si>
  <si>
    <t>madannimrat@example.org</t>
  </si>
  <si>
    <t>2023-02-06</t>
  </si>
  <si>
    <t>Panini Borah</t>
  </si>
  <si>
    <t>yahvimander@example.net</t>
  </si>
  <si>
    <t>2024-09-07</t>
  </si>
  <si>
    <t>Prisha Yadav</t>
  </si>
  <si>
    <t>nicholasrai@example.org</t>
  </si>
  <si>
    <t>2023-10-26</t>
  </si>
  <si>
    <t>Parth Manda</t>
  </si>
  <si>
    <t>mbhatt@example.org</t>
  </si>
  <si>
    <t>2024-02-15</t>
  </si>
  <si>
    <t>Aayush Goyal</t>
  </si>
  <si>
    <t>saumya02@example.net</t>
  </si>
  <si>
    <t>2023-01-09</t>
  </si>
  <si>
    <t>Yashica Chandran</t>
  </si>
  <si>
    <t>ganeshtriya@example.com</t>
  </si>
  <si>
    <t>2024-11-18</t>
  </si>
  <si>
    <t>Vrinda Misra</t>
  </si>
  <si>
    <t>sridharyashasvi@example.org</t>
  </si>
  <si>
    <t>Neelima Ramanathan</t>
  </si>
  <si>
    <t>sankarsamesh@example.com</t>
  </si>
  <si>
    <t>Gagan Anne</t>
  </si>
  <si>
    <t>doctoroscar@example.org</t>
  </si>
  <si>
    <t>2023-07-24</t>
  </si>
  <si>
    <t>Wyatt Sane</t>
  </si>
  <si>
    <t>bobaltimothy@example.com</t>
  </si>
  <si>
    <t>2023-03-24</t>
  </si>
  <si>
    <t>Anthony Mandal</t>
  </si>
  <si>
    <t>boraakshay@example.org</t>
  </si>
  <si>
    <t>2024-01-30</t>
  </si>
  <si>
    <t>Meghana Vala</t>
  </si>
  <si>
    <t>aradhana87@example.net</t>
  </si>
  <si>
    <t>Whitefield</t>
  </si>
  <si>
    <t>2024-08-15</t>
  </si>
  <si>
    <t>Darika Maharaj</t>
  </si>
  <si>
    <t>gabrielpandey@example.org</t>
  </si>
  <si>
    <t>2024-02-16</t>
  </si>
  <si>
    <t>Aahana Krish</t>
  </si>
  <si>
    <t>lankawriddhish@example.org</t>
  </si>
  <si>
    <t>2023-01-16</t>
  </si>
  <si>
    <t>Gunbir Mitra</t>
  </si>
  <si>
    <t>gokhaleyahvi@example.com</t>
  </si>
  <si>
    <t>2024-10-07</t>
  </si>
  <si>
    <t>Jyoti Rajan</t>
  </si>
  <si>
    <t>amarabhatti@example.com</t>
  </si>
  <si>
    <t>2024-11-12</t>
  </si>
  <si>
    <t>Alka Char</t>
  </si>
  <si>
    <t>ymane@example.com</t>
  </si>
  <si>
    <t>2024-01-13</t>
  </si>
  <si>
    <t>Dev Ben</t>
  </si>
  <si>
    <t>qprasad@example.org</t>
  </si>
  <si>
    <t>2023-04-10</t>
  </si>
  <si>
    <t>Upkaar Bedi</t>
  </si>
  <si>
    <t>gopalbaghyawati@example.org</t>
  </si>
  <si>
    <t>2023-05-09</t>
  </si>
  <si>
    <t>Oeshi Dugal</t>
  </si>
  <si>
    <t>saiprakash@example.org</t>
  </si>
  <si>
    <t>2023-11-25</t>
  </si>
  <si>
    <t>Yochana Kunda</t>
  </si>
  <si>
    <t>rajupma@example.net</t>
  </si>
  <si>
    <t>2024-06-19</t>
  </si>
  <si>
    <t>Aahana Mani</t>
  </si>
  <si>
    <t>nadigojas@example.com</t>
  </si>
  <si>
    <t>2024-06-05</t>
  </si>
  <si>
    <t>Lavanya Barad</t>
  </si>
  <si>
    <t>meera72@example.net</t>
  </si>
  <si>
    <t>2024-02-07</t>
  </si>
  <si>
    <t>Harrison Shroff</t>
  </si>
  <si>
    <t>rajagopalanzayyan@example.com</t>
  </si>
  <si>
    <t>2023-02-19</t>
  </si>
  <si>
    <t>Yagnesh Shankar</t>
  </si>
  <si>
    <t>snehabava@example.org</t>
  </si>
  <si>
    <t>2023-06-28</t>
  </si>
  <si>
    <t>Anya Kapadia</t>
  </si>
  <si>
    <t>pranit88@example.com</t>
  </si>
  <si>
    <t>2024-07-03</t>
  </si>
  <si>
    <t>Ubika Maharaj</t>
  </si>
  <si>
    <t>bhavsaraachal@example.com</t>
  </si>
  <si>
    <t>2023-01-25</t>
  </si>
  <si>
    <t>Omisha Date</t>
  </si>
  <si>
    <t>bakhshi66@example.net</t>
  </si>
  <si>
    <t>2023-08-05</t>
  </si>
  <si>
    <t>Jai Nanda</t>
  </si>
  <si>
    <t>xdevan@example.com</t>
  </si>
  <si>
    <t>2023-04-13</t>
  </si>
  <si>
    <t>Peter Gulati</t>
  </si>
  <si>
    <t>harini47@example.net</t>
  </si>
  <si>
    <t>2023-07-08</t>
  </si>
  <si>
    <t>Naveen Chad</t>
  </si>
  <si>
    <t>kalitalibni@example.com</t>
  </si>
  <si>
    <t>Gaurangi Iyengar</t>
  </si>
  <si>
    <t>vkale@example.com</t>
  </si>
  <si>
    <t>2023-11-16</t>
  </si>
  <si>
    <t>Dayita Batra</t>
  </si>
  <si>
    <t>malhotraanirudh@example.org</t>
  </si>
  <si>
    <t>2024-05-22</t>
  </si>
  <si>
    <t>Jacob Varma</t>
  </si>
  <si>
    <t>aachal64@example.com</t>
  </si>
  <si>
    <t>2024-07-19</t>
  </si>
  <si>
    <t>Urmi Jaggi</t>
  </si>
  <si>
    <t>abeervarma@example.org</t>
  </si>
  <si>
    <t>2023-05-28</t>
  </si>
  <si>
    <t>Yahvi Parikh</t>
  </si>
  <si>
    <t>jchaudhuri@example.com</t>
  </si>
  <si>
    <t>2023-05-23</t>
  </si>
  <si>
    <t>Bhavini Pillai</t>
  </si>
  <si>
    <t>haritasathe@example.net</t>
  </si>
  <si>
    <t>2023-02-28</t>
  </si>
  <si>
    <t>Kavya Dubey</t>
  </si>
  <si>
    <t>agour@example.org</t>
  </si>
  <si>
    <t>2024-05-21</t>
  </si>
  <si>
    <t>Suhani Muni</t>
  </si>
  <si>
    <t>qarin05@example.org</t>
  </si>
  <si>
    <t>2024-08-08</t>
  </si>
  <si>
    <t>Samuel Patla</t>
  </si>
  <si>
    <t>dgour@example.com</t>
  </si>
  <si>
    <t>2024-01-09</t>
  </si>
  <si>
    <t>Zayan Borde</t>
  </si>
  <si>
    <t>qarinnarasimhan@example.net</t>
  </si>
  <si>
    <t>2023-05-08</t>
  </si>
  <si>
    <t>Aashi Kashyap</t>
  </si>
  <si>
    <t>upmachoudhry@example.net</t>
  </si>
  <si>
    <t>2023-07-25</t>
  </si>
  <si>
    <t>Neha Lanka</t>
  </si>
  <si>
    <t>tanveer69@example.com</t>
  </si>
  <si>
    <t>2024-07-21</t>
  </si>
  <si>
    <t>Fariq Oommen</t>
  </si>
  <si>
    <t>zaidapte@example.com</t>
  </si>
  <si>
    <t>2023-05-01</t>
  </si>
  <si>
    <t>Gunbir Mody</t>
  </si>
  <si>
    <t>iryachatterjee@example.org</t>
  </si>
  <si>
    <t>2023-02-15</t>
  </si>
  <si>
    <t>Chandran Bobal</t>
  </si>
  <si>
    <t>falan68@example.net</t>
  </si>
  <si>
    <t>Anvi Borde</t>
  </si>
  <si>
    <t>eshana92@example.org</t>
  </si>
  <si>
    <t>2024-01-06</t>
  </si>
  <si>
    <t>Zilmil Kadakia</t>
  </si>
  <si>
    <t>ibhatti@example.com</t>
  </si>
  <si>
    <t>Maanav Minhas</t>
  </si>
  <si>
    <t>eeshadayal@example.net</t>
  </si>
  <si>
    <t>2023-02-22</t>
  </si>
  <si>
    <t>Mugdha Nayak</t>
  </si>
  <si>
    <t>pranitmitra@example.com</t>
  </si>
  <si>
    <t>2024-11-22</t>
  </si>
  <si>
    <t>Saumya Balay</t>
  </si>
  <si>
    <t>mraja@example.org</t>
  </si>
  <si>
    <t>2023-01-31</t>
  </si>
  <si>
    <t>Krishna Chatterjee</t>
  </si>
  <si>
    <t>chowdhuryudyati@example.org</t>
  </si>
  <si>
    <t>2024-03-29</t>
  </si>
  <si>
    <t>George Sani</t>
  </si>
  <si>
    <t>dayallucky@example.org</t>
  </si>
  <si>
    <t>2023-07-22</t>
  </si>
  <si>
    <t>Jalsa Chana</t>
  </si>
  <si>
    <t>eseshadri@example.org</t>
  </si>
  <si>
    <t>2023-07-05</t>
  </si>
  <si>
    <t>Rachit Gara</t>
  </si>
  <si>
    <t>kevinramesh@example.org</t>
  </si>
  <si>
    <t>2024-05-16</t>
  </si>
  <si>
    <t>Chandani Vohra</t>
  </si>
  <si>
    <t>kataluke@example.org</t>
  </si>
  <si>
    <t>2024-08-06</t>
  </si>
  <si>
    <t>Abhimanyu Sathe</t>
  </si>
  <si>
    <t>falanjain@example.net</t>
  </si>
  <si>
    <t>2024-03-13</t>
  </si>
  <si>
    <t>Onveer Barad</t>
  </si>
  <si>
    <t>lakshmangat@example.net</t>
  </si>
  <si>
    <t>2024-01-28</t>
  </si>
  <si>
    <t>Vritti Agate</t>
  </si>
  <si>
    <t>subramanianodika@example.com</t>
  </si>
  <si>
    <t>2024-11-15</t>
  </si>
  <si>
    <t>Baljiwan Radhakrishnan</t>
  </si>
  <si>
    <t>pallazilmil@example.com</t>
  </si>
  <si>
    <t>2023-05-03</t>
  </si>
  <si>
    <t>Bhavya Dada</t>
  </si>
  <si>
    <t>zarna18@example.com</t>
  </si>
  <si>
    <t>2024-04-20</t>
  </si>
  <si>
    <t>Abeer Yogi</t>
  </si>
  <si>
    <t>idika77@example.com</t>
  </si>
  <si>
    <t>2024-09-26</t>
  </si>
  <si>
    <t>Yatin Chahal</t>
  </si>
  <si>
    <t>kritika97@example.net</t>
  </si>
  <si>
    <t>2023-03-22</t>
  </si>
  <si>
    <t>George Wason</t>
  </si>
  <si>
    <t>ybahri@example.org</t>
  </si>
  <si>
    <t>2023-03-25</t>
  </si>
  <si>
    <t>Alexander Kara</t>
  </si>
  <si>
    <t>charanraj@example.org</t>
  </si>
  <si>
    <t>2023-08-07</t>
  </si>
  <si>
    <t>Mahika Pant</t>
  </si>
  <si>
    <t>pandyaanya@example.com</t>
  </si>
  <si>
    <t>2023-06-08</t>
  </si>
  <si>
    <t>Praneel Ramachandran</t>
  </si>
  <si>
    <t>madanarya@example.org</t>
  </si>
  <si>
    <t>Nilima Dave</t>
  </si>
  <si>
    <t>krishkeer@example.org</t>
  </si>
  <si>
    <t>2024-10-19</t>
  </si>
  <si>
    <t>Azaan Raghavan</t>
  </si>
  <si>
    <t>odixit@example.org</t>
  </si>
  <si>
    <t>Aditya Varma</t>
  </si>
  <si>
    <t>omishadhillon@example.org</t>
  </si>
  <si>
    <t>2024-08-21</t>
  </si>
  <si>
    <t>Tarak Devi</t>
  </si>
  <si>
    <t>charansathe@example.net</t>
  </si>
  <si>
    <t>2023-05-06</t>
  </si>
  <si>
    <t>George Bath</t>
  </si>
  <si>
    <t>fitan02@example.net</t>
  </si>
  <si>
    <t>2023-11-29</t>
  </si>
  <si>
    <t>Jackson Bhat</t>
  </si>
  <si>
    <t>urvashi44@example.net</t>
  </si>
  <si>
    <t>2024-11-16</t>
  </si>
  <si>
    <t>Kiaan Nair</t>
  </si>
  <si>
    <t>nihal62@example.net</t>
  </si>
  <si>
    <t>2024-10-10</t>
  </si>
  <si>
    <t>Udarsh Cherian</t>
  </si>
  <si>
    <t>upadhriti39@example.com</t>
  </si>
  <si>
    <t>2023-11-30</t>
  </si>
  <si>
    <t>Jacob Sankar</t>
  </si>
  <si>
    <t>oscaraurora@example.net</t>
  </si>
  <si>
    <t>2024-11-29</t>
  </si>
  <si>
    <t>Diya Ghosh</t>
  </si>
  <si>
    <t>lbala@example.org</t>
  </si>
  <si>
    <t>2023-07-13</t>
  </si>
  <si>
    <t>Anmol Amble</t>
  </si>
  <si>
    <t>vrinda05@example.com</t>
  </si>
  <si>
    <t>2024-03-10</t>
  </si>
  <si>
    <t>Nirja Nagi</t>
  </si>
  <si>
    <t>pathakmitali@example.com</t>
  </si>
  <si>
    <t>2023-07-03</t>
  </si>
  <si>
    <t>Nakul Kapoor</t>
  </si>
  <si>
    <t>baghyawatisrivastava@example.org</t>
  </si>
  <si>
    <t>2023-01-20</t>
  </si>
  <si>
    <t>Qushi Lala</t>
  </si>
  <si>
    <t>meghanaraman@example.com</t>
  </si>
  <si>
    <t>2024-08-30</t>
  </si>
  <si>
    <t>Sanya Golla</t>
  </si>
  <si>
    <t>aishani09@example.net</t>
  </si>
  <si>
    <t>2024-09-21</t>
  </si>
  <si>
    <t>Yug Basak</t>
  </si>
  <si>
    <t>xrana@example.com</t>
  </si>
  <si>
    <t>2024-06-28</t>
  </si>
  <si>
    <t>Aradhana Sharma</t>
  </si>
  <si>
    <t>sidhuluke@example.net</t>
  </si>
  <si>
    <t>2024-10-28</t>
  </si>
  <si>
    <t>Aarini Patel</t>
  </si>
  <si>
    <t>dbhagat@example.net</t>
  </si>
  <si>
    <t>2023-12-24</t>
  </si>
  <si>
    <t>Niharika Balasubramanian</t>
  </si>
  <si>
    <t>jasmitchad@example.com</t>
  </si>
  <si>
    <t>2024-11-07</t>
  </si>
  <si>
    <t>Pranav Bhatnagar</t>
  </si>
  <si>
    <t>ekanta43@example.com</t>
  </si>
  <si>
    <t>2023-05-31</t>
  </si>
  <si>
    <t>Waida Deo</t>
  </si>
  <si>
    <t>anya27@example.org</t>
  </si>
  <si>
    <t>2023-02-23</t>
  </si>
  <si>
    <t>Mekhala Srinivasan</t>
  </si>
  <si>
    <t>uhari@example.net</t>
  </si>
  <si>
    <t>Aadhya Dubey</t>
  </si>
  <si>
    <t>robert18@example.net</t>
  </si>
  <si>
    <t>2023-01-22</t>
  </si>
  <si>
    <t>Michael Bhat</t>
  </si>
  <si>
    <t>kalitachakradev@example.org</t>
  </si>
  <si>
    <t>2023-07-26</t>
  </si>
  <si>
    <t>Warjas Khosla</t>
  </si>
  <si>
    <t>zchauhan@example.com</t>
  </si>
  <si>
    <t>2023-09-26</t>
  </si>
  <si>
    <t>Xalak Lal</t>
  </si>
  <si>
    <t>lakshitbala@example.org</t>
  </si>
  <si>
    <t>2024-02-02</t>
  </si>
  <si>
    <t>Kamala Jain</t>
  </si>
  <si>
    <t>semlaksh@example.com</t>
  </si>
  <si>
    <t>Falak Devi</t>
  </si>
  <si>
    <t>pahalkulkarni@example.org</t>
  </si>
  <si>
    <t>2023-01-02</t>
  </si>
  <si>
    <t>Sneha Srinivas</t>
  </si>
  <si>
    <t>ranbir04@example.com</t>
  </si>
  <si>
    <t>2024-07-30</t>
  </si>
  <si>
    <t>Akshay Som</t>
  </si>
  <si>
    <t>yutika33@example.com</t>
  </si>
  <si>
    <t>2023-12-01</t>
  </si>
  <si>
    <t>Garima Ben</t>
  </si>
  <si>
    <t>bhavikaradhakrishnan@example.net</t>
  </si>
  <si>
    <t>2024-04-29</t>
  </si>
  <si>
    <t>Abhiram Randhawa</t>
  </si>
  <si>
    <t>choudhryelijah@example.net</t>
  </si>
  <si>
    <t>2024-07-13</t>
  </si>
  <si>
    <t>Urishilla Bath</t>
  </si>
  <si>
    <t>vritti35@example.org</t>
  </si>
  <si>
    <t>2023-11-14</t>
  </si>
  <si>
    <t>Vyanjana Acharya</t>
  </si>
  <si>
    <t>niharika20@example.com</t>
  </si>
  <si>
    <t>2024-03-06</t>
  </si>
  <si>
    <t>Arya Dutt</t>
  </si>
  <si>
    <t>varghesepahal@example.net</t>
  </si>
  <si>
    <t>2023-10-22</t>
  </si>
  <si>
    <t>Samesh Rama</t>
  </si>
  <si>
    <t>isem@example.org</t>
  </si>
  <si>
    <t>2024-04-23</t>
  </si>
  <si>
    <t>Umang Gulati</t>
  </si>
  <si>
    <t>rudrapandya@example.org</t>
  </si>
  <si>
    <t>2024-10-09</t>
  </si>
  <si>
    <t>Abha Srivastava</t>
  </si>
  <si>
    <t>rprabhakar@example.com</t>
  </si>
  <si>
    <t>Arya Sood</t>
  </si>
  <si>
    <t>guptakamya@example.com</t>
  </si>
  <si>
    <t>2023-12-28</t>
  </si>
  <si>
    <t>Naveen Divan</t>
  </si>
  <si>
    <t>tanviganguly@example.com</t>
  </si>
  <si>
    <t>Rayaan Divan</t>
  </si>
  <si>
    <t>jasonmore@example.net</t>
  </si>
  <si>
    <t>2023-03-07</t>
  </si>
  <si>
    <t>Chameli Talwar</t>
  </si>
  <si>
    <t>krishnamurthysuhani@example.net</t>
  </si>
  <si>
    <t>2024-04-25</t>
  </si>
  <si>
    <t>Anirudh Shetty</t>
  </si>
  <si>
    <t>lakshghosh@example.org</t>
  </si>
  <si>
    <t>Ekaja Randhawa</t>
  </si>
  <si>
    <t>jairaj28@example.org</t>
  </si>
  <si>
    <t>Faraj Dugar</t>
  </si>
  <si>
    <t>yugkrishna@example.com</t>
  </si>
  <si>
    <t>Urishilla Sane</t>
  </si>
  <si>
    <t>zparsa@example.com</t>
  </si>
  <si>
    <t>2023-02-26</t>
  </si>
  <si>
    <t>Chameli Ahluwalia</t>
  </si>
  <si>
    <t>indira85@example.org</t>
  </si>
  <si>
    <t>2024-03-23</t>
  </si>
  <si>
    <t>Abeer Kara</t>
  </si>
  <si>
    <t>udyati67@example.org</t>
  </si>
  <si>
    <t>2024-01-19</t>
  </si>
  <si>
    <t>Caleb Kumar</t>
  </si>
  <si>
    <t>hemani12@example.com</t>
  </si>
  <si>
    <t>2024-06-18</t>
  </si>
  <si>
    <t>Chameli Shah</t>
  </si>
  <si>
    <t>yutika35@example.com</t>
  </si>
  <si>
    <t>2023-06-19</t>
  </si>
  <si>
    <t>Omya Gole</t>
  </si>
  <si>
    <t>sacharurishilla@example.com</t>
  </si>
  <si>
    <t>2023-02-09</t>
  </si>
  <si>
    <t>Robert Anne</t>
  </si>
  <si>
    <t>hmadan@example.net</t>
  </si>
  <si>
    <t>2023-04-05</t>
  </si>
  <si>
    <t>Gabriel Vala</t>
  </si>
  <si>
    <t>moraraarav@example.org</t>
  </si>
  <si>
    <t>2024-06-02</t>
  </si>
  <si>
    <t>Sachi Narayanan</t>
  </si>
  <si>
    <t>alexander83@example.org</t>
  </si>
  <si>
    <t>2024-08-09</t>
  </si>
  <si>
    <t>Hiral Prashad</t>
  </si>
  <si>
    <t>theodoregokhale@example.net</t>
  </si>
  <si>
    <t>2024-11-23</t>
  </si>
  <si>
    <t>Bishakha Sehgal</t>
  </si>
  <si>
    <t>savantguneet@example.net</t>
  </si>
  <si>
    <t>2024-03-01</t>
  </si>
  <si>
    <t>Nathaniel Bassi</t>
  </si>
  <si>
    <t>eshana54@example.net</t>
  </si>
  <si>
    <t>2024-01-04</t>
  </si>
  <si>
    <t>Raksha Shukla</t>
  </si>
  <si>
    <t>cdani@example.org</t>
  </si>
  <si>
    <t>2024-10-14</t>
  </si>
  <si>
    <t>Yatin Chaudhry</t>
  </si>
  <si>
    <t>rattasai@example.org</t>
  </si>
  <si>
    <t>2024-02-09</t>
  </si>
  <si>
    <t>Siddharth Anne</t>
  </si>
  <si>
    <t>manifalan@example.net</t>
  </si>
  <si>
    <t>2023-12-08</t>
  </si>
  <si>
    <t>Nidra Padmanabhan</t>
  </si>
  <si>
    <t>mthakur@example.com</t>
  </si>
  <si>
    <t>2023-07-31</t>
  </si>
  <si>
    <t>Karan Dyal</t>
  </si>
  <si>
    <t>uthakkar@example.org</t>
  </si>
  <si>
    <t>2023-03-04</t>
  </si>
  <si>
    <t>Ishwar Chanda</t>
  </si>
  <si>
    <t>gaurisura@example.net</t>
  </si>
  <si>
    <t>2024-06-23</t>
  </si>
  <si>
    <t>Farhan Savant</t>
  </si>
  <si>
    <t>vinaya97@example.net</t>
  </si>
  <si>
    <t>2023-11-19</t>
  </si>
  <si>
    <t>Upma Bera</t>
  </si>
  <si>
    <t>rkumar@example.net</t>
  </si>
  <si>
    <t>Nandini Keer</t>
  </si>
  <si>
    <t>balveer16@example.org</t>
  </si>
  <si>
    <t>2023-10-30</t>
  </si>
  <si>
    <t>Rehaan Jaggi</t>
  </si>
  <si>
    <t>christopherparmer@example.net</t>
  </si>
  <si>
    <t>Dipta Sem</t>
  </si>
  <si>
    <t>jasonrau@example.net</t>
  </si>
  <si>
    <t>2023-10-01</t>
  </si>
  <si>
    <t>Nathaniel Brar</t>
  </si>
  <si>
    <t>chaitanya15@example.org</t>
  </si>
  <si>
    <t>2024-10-11</t>
  </si>
  <si>
    <t>Upma Sathe</t>
  </si>
  <si>
    <t>manbir04@example.org</t>
  </si>
  <si>
    <t>2024-02-29</t>
  </si>
  <si>
    <t>Finn Din</t>
  </si>
  <si>
    <t>sara83@example.net</t>
  </si>
  <si>
    <t>Viraj Deshpande</t>
  </si>
  <si>
    <t>zsrinivas@example.com</t>
  </si>
  <si>
    <t>2023-09-19</t>
  </si>
  <si>
    <t>Vasatika Vaidya</t>
  </si>
  <si>
    <t>jagdishmitra@example.net</t>
  </si>
  <si>
    <t>2024-07-16</t>
  </si>
  <si>
    <t>Dayamai Doshi</t>
  </si>
  <si>
    <t>vargheselajita@example.org</t>
  </si>
  <si>
    <t>2024-04-28</t>
  </si>
  <si>
    <t>Zayyan Rana</t>
  </si>
  <si>
    <t>adweta69@example.net</t>
  </si>
  <si>
    <t>2024-04-04</t>
  </si>
  <si>
    <t>Chakradev Kota</t>
  </si>
  <si>
    <t>tmagar@example.com</t>
  </si>
  <si>
    <t>Maanas Bhat</t>
  </si>
  <si>
    <t>boravictor@example.net</t>
  </si>
  <si>
    <t>2023-05-22</t>
  </si>
  <si>
    <t>Girindra Mitra</t>
  </si>
  <si>
    <t>chanakyasodhi@example.net</t>
  </si>
  <si>
    <t>2023-06-14</t>
  </si>
  <si>
    <t>Kritika Batta</t>
  </si>
  <si>
    <t>sulejagat@example.org</t>
  </si>
  <si>
    <t>2024-11-14</t>
  </si>
  <si>
    <t>Adya Morar</t>
  </si>
  <si>
    <t>janujasarkar@example.com</t>
  </si>
  <si>
    <t>2024-10-08</t>
  </si>
  <si>
    <t>Arjun Balan</t>
  </si>
  <si>
    <t>waliadarsh@example.org</t>
  </si>
  <si>
    <t>2024-01-01</t>
  </si>
  <si>
    <t>Ati Zachariah</t>
  </si>
  <si>
    <t>aaravkalita@example.net</t>
  </si>
  <si>
    <t>2023-09-29</t>
  </si>
  <si>
    <t>Lavanya Kaur</t>
  </si>
  <si>
    <t>ayushman53@example.org</t>
  </si>
  <si>
    <t>Aayush Wadhwa</t>
  </si>
  <si>
    <t>vanya29@example.com</t>
  </si>
  <si>
    <t>Krishna Sood</t>
  </si>
  <si>
    <t>hemanigokhale@example.com</t>
  </si>
  <si>
    <t>2023-04-09</t>
  </si>
  <si>
    <t>Oeshi Contractor</t>
  </si>
  <si>
    <t>osha75@example.com</t>
  </si>
  <si>
    <t>Hemang Bora</t>
  </si>
  <si>
    <t>sanghvibachittar@example.org</t>
  </si>
  <si>
    <t>2023-10-14</t>
  </si>
  <si>
    <t>Vyanjana Bahri</t>
  </si>
  <si>
    <t>suriethan@example.com</t>
  </si>
  <si>
    <t>Divya Ravel</t>
  </si>
  <si>
    <t>jainvihaan@example.net</t>
  </si>
  <si>
    <t>Jatin Boase</t>
  </si>
  <si>
    <t>aahana20@example.com</t>
  </si>
  <si>
    <t>2023-08-31</t>
  </si>
  <si>
    <t>Inaya Dave</t>
  </si>
  <si>
    <t>zhayre@example.org</t>
  </si>
  <si>
    <t>2023-10-19</t>
  </si>
  <si>
    <t>Girish Edwin</t>
  </si>
  <si>
    <t>ekbal12@example.org</t>
  </si>
  <si>
    <t>Deepa Wadhwa</t>
  </si>
  <si>
    <t>masterguneet@example.net</t>
  </si>
  <si>
    <t>2024-06-25</t>
  </si>
  <si>
    <t>Chaaya Barad</t>
  </si>
  <si>
    <t>osinghal@example.com</t>
  </si>
  <si>
    <t>Osha Golla</t>
  </si>
  <si>
    <t>barkha08@example.org</t>
  </si>
  <si>
    <t>Shivani Mohanty</t>
  </si>
  <si>
    <t>amol63@example.net</t>
  </si>
  <si>
    <t>2024-05-17</t>
  </si>
  <si>
    <t>Liam Baral</t>
  </si>
  <si>
    <t>amaira08@example.net</t>
  </si>
  <si>
    <t>2024-09-30</t>
  </si>
  <si>
    <t>Kavya Manda</t>
  </si>
  <si>
    <t>nadkarnisiya@example.org</t>
  </si>
  <si>
    <t>2023-10-09</t>
  </si>
  <si>
    <t>Shivani Bava</t>
  </si>
  <si>
    <t>jackson50@example.net</t>
  </si>
  <si>
    <t>2023-12-05</t>
  </si>
  <si>
    <t>Dhriti Lala</t>
  </si>
  <si>
    <t>onkar69@example.net</t>
  </si>
  <si>
    <t>2024-05-20</t>
  </si>
  <si>
    <t>Arunima Anne</t>
  </si>
  <si>
    <t>radha06@example.org</t>
  </si>
  <si>
    <t>2024-02-23</t>
  </si>
  <si>
    <t>Chakrika Pant</t>
  </si>
  <si>
    <t>arin20@example.org</t>
  </si>
  <si>
    <t>Rudra Bahl</t>
  </si>
  <si>
    <t>etashenoy@example.org</t>
  </si>
  <si>
    <t>Mohini Pingle</t>
  </si>
  <si>
    <t>ishaan59@example.org</t>
  </si>
  <si>
    <t>2023-07-09</t>
  </si>
  <si>
    <t>Rohan Varghese</t>
  </si>
  <si>
    <t>chokshiekaja@example.com</t>
  </si>
  <si>
    <t>Aditya Rana</t>
  </si>
  <si>
    <t>krisha15@example.org</t>
  </si>
  <si>
    <t>2023-09-10</t>
  </si>
  <si>
    <t>Ijaya Loyal</t>
  </si>
  <si>
    <t>varenyakrishnan@example.org</t>
  </si>
  <si>
    <t>2024-09-11</t>
  </si>
  <si>
    <t>Lakshit D’Alia</t>
  </si>
  <si>
    <t>kamala83@example.org</t>
  </si>
  <si>
    <t>2024-04-08</t>
  </si>
  <si>
    <t>Nihal Das</t>
  </si>
  <si>
    <t>yashodharaoak@example.org</t>
  </si>
  <si>
    <t>2024-02-06</t>
  </si>
  <si>
    <t>Devansh Zacharia</t>
  </si>
  <si>
    <t>leenamodi@example.com</t>
  </si>
  <si>
    <t>2023-11-12</t>
  </si>
  <si>
    <t>Maanas Khanna</t>
  </si>
  <si>
    <t>shettyamaira@example.org</t>
  </si>
  <si>
    <t>2024-06-20</t>
  </si>
  <si>
    <t>Tarak Malhotra</t>
  </si>
  <si>
    <t>eloke@example.org</t>
  </si>
  <si>
    <t>2023-12-15</t>
  </si>
  <si>
    <t>Mason Datta</t>
  </si>
  <si>
    <t>yachanakakar@example.org</t>
  </si>
  <si>
    <t>2023-11-11</t>
  </si>
  <si>
    <t>Vedika Kade</t>
  </si>
  <si>
    <t>nkhare@example.org</t>
  </si>
  <si>
    <t>2024-03-27</t>
  </si>
  <si>
    <t>Dakshesh Bir</t>
  </si>
  <si>
    <t>chandradarpan@example.com</t>
  </si>
  <si>
    <t>2023-09-25</t>
  </si>
  <si>
    <t>Bakhshi Misra</t>
  </si>
  <si>
    <t>binavenkatesh@example.com</t>
  </si>
  <si>
    <t>Tamanna Oak</t>
  </si>
  <si>
    <t>aswaminathan@example.org</t>
  </si>
  <si>
    <t>2023-07-15</t>
  </si>
  <si>
    <t>Tarak Mane</t>
  </si>
  <si>
    <t>fchana@example.com</t>
  </si>
  <si>
    <t>2023-09-03</t>
  </si>
  <si>
    <t>Hritik Luthra</t>
  </si>
  <si>
    <t>wwarrior@example.net</t>
  </si>
  <si>
    <t>Jackson Thakur</t>
  </si>
  <si>
    <t>jackdar@example.net</t>
  </si>
  <si>
    <t>2024-07-27</t>
  </si>
  <si>
    <t>Kamya Sethi</t>
  </si>
  <si>
    <t>diptaganguly@example.com</t>
  </si>
  <si>
    <t>2024-08-13</t>
  </si>
  <si>
    <t>Arunima Prakash</t>
  </si>
  <si>
    <t>balendra02@example.org</t>
  </si>
  <si>
    <t>2023-03-20</t>
  </si>
  <si>
    <t>Kavya Nori</t>
  </si>
  <si>
    <t>tnagar@example.org</t>
  </si>
  <si>
    <t>2023-05-20</t>
  </si>
  <si>
    <t>Rishi Bath</t>
  </si>
  <si>
    <t>danielandra@example.com</t>
  </si>
  <si>
    <t>Bhavika Dixit</t>
  </si>
  <si>
    <t>kprakash@example.org</t>
  </si>
  <si>
    <t>2024-03-05</t>
  </si>
  <si>
    <t>Vaishnavi Deshpande</t>
  </si>
  <si>
    <t>tmitra@example.org</t>
  </si>
  <si>
    <t>2024-05-10</t>
  </si>
  <si>
    <t>Wakeeta Bhagat</t>
  </si>
  <si>
    <t>shankerucchal@example.org</t>
  </si>
  <si>
    <t>2024-03-21</t>
  </si>
  <si>
    <t>Yasti Talwar</t>
  </si>
  <si>
    <t>manan60@example.org</t>
  </si>
  <si>
    <t>Ucchal Khosla</t>
  </si>
  <si>
    <t>dalalyoshita@example.net</t>
  </si>
  <si>
    <t>2024-10-31</t>
  </si>
  <si>
    <t>Kalpit Kanda</t>
  </si>
  <si>
    <t>butalaxalak@example.com</t>
  </si>
  <si>
    <t>2023-11-08</t>
  </si>
  <si>
    <t>Vedika Sane</t>
  </si>
  <si>
    <t>isaac78@example.com</t>
  </si>
  <si>
    <t>2024-06-17</t>
  </si>
  <si>
    <t>Jai Kashyap</t>
  </si>
  <si>
    <t>merchantdamyanti@example.com</t>
  </si>
  <si>
    <t>Lucky Kale</t>
  </si>
  <si>
    <t>ayushmanparsa@example.net</t>
  </si>
  <si>
    <t>2023-04-03</t>
  </si>
  <si>
    <t>Azad Dani</t>
  </si>
  <si>
    <t>divya55@example.com</t>
  </si>
  <si>
    <t>2024-09-06</t>
  </si>
  <si>
    <t>Damyanti Toor</t>
  </si>
  <si>
    <t>urvibath@example.com</t>
  </si>
  <si>
    <t>2023-10-23</t>
  </si>
  <si>
    <t>Isha Bhardwaj</t>
  </si>
  <si>
    <t>maanas96@example.com</t>
  </si>
  <si>
    <t>2024-04-02</t>
  </si>
  <si>
    <t>Onveer Raj</t>
  </si>
  <si>
    <t>aadhyaparekh@example.com</t>
  </si>
  <si>
    <t>2023-02-16</t>
  </si>
  <si>
    <t>Fariq Bera</t>
  </si>
  <si>
    <t>wverma@example.net</t>
  </si>
  <si>
    <t>Nimrat De</t>
  </si>
  <si>
    <t>jagdish28@example.com</t>
  </si>
  <si>
    <t>2024-05-27</t>
  </si>
  <si>
    <t>Dhruv Halder</t>
  </si>
  <si>
    <t>chowdhurypahal@example.net</t>
  </si>
  <si>
    <t>2024-03-04</t>
  </si>
  <si>
    <t>Kavya Saxena</t>
  </si>
  <si>
    <t>indalirajagopalan@example.com</t>
  </si>
  <si>
    <t>2023-12-16</t>
  </si>
  <si>
    <t>Brijesh Korpal</t>
  </si>
  <si>
    <t>uppalyasti@example.org</t>
  </si>
  <si>
    <t>2023-01-26</t>
  </si>
  <si>
    <t>Chandresh Memon</t>
  </si>
  <si>
    <t>arya19@example.org</t>
  </si>
  <si>
    <t>2024-06-30</t>
  </si>
  <si>
    <t>Aarnav Chatterjee</t>
  </si>
  <si>
    <t>rrajan@example.com</t>
  </si>
  <si>
    <t>Chandran Handa</t>
  </si>
  <si>
    <t>samanakul@example.com</t>
  </si>
  <si>
    <t>2023-06-03</t>
  </si>
  <si>
    <t>Dhriti Dara</t>
  </si>
  <si>
    <t>charvi88@example.com</t>
  </si>
  <si>
    <t>2024-05-18</t>
  </si>
  <si>
    <t>Dayamai Malhotra</t>
  </si>
  <si>
    <t>vrishti34@example.org</t>
  </si>
  <si>
    <t>2023-02-25</t>
  </si>
  <si>
    <t>Gauri Mangat</t>
  </si>
  <si>
    <t>dayita60@example.org</t>
  </si>
  <si>
    <t>2024-04-07</t>
  </si>
  <si>
    <t>Anirudh Krish</t>
  </si>
  <si>
    <t>vansha94@example.com</t>
  </si>
  <si>
    <t>Ansh Swamy</t>
  </si>
  <si>
    <t>turvi06@example.com</t>
  </si>
  <si>
    <t>2024-06-27</t>
  </si>
  <si>
    <t>Bhavani Narang</t>
  </si>
  <si>
    <t>bhavika62@example.org</t>
  </si>
  <si>
    <t>Bhavika Sagar</t>
  </si>
  <si>
    <t>jasmit10@example.com</t>
  </si>
  <si>
    <t>2024-11-21</t>
  </si>
  <si>
    <t>Aayush Rajagopalan</t>
  </si>
  <si>
    <t>benjaminvasa@example.net</t>
  </si>
  <si>
    <t>2023-07-14</t>
  </si>
  <si>
    <t>Hamsini Gera</t>
  </si>
  <si>
    <t>georgegarg@example.net</t>
  </si>
  <si>
    <t>2024-06-07</t>
  </si>
  <si>
    <t>Aryan Palla</t>
  </si>
  <si>
    <t>wkhare@example.com</t>
  </si>
  <si>
    <t>2024-08-17</t>
  </si>
  <si>
    <t>Aarush Bhatnagar</t>
  </si>
  <si>
    <t>vsuresh@example.org</t>
  </si>
  <si>
    <t>Urvi Kapoor</t>
  </si>
  <si>
    <t>hnadkarni@example.com</t>
  </si>
  <si>
    <t>2023-12-10</t>
  </si>
  <si>
    <t>Damyanti Garg</t>
  </si>
  <si>
    <t>veda75@example.net</t>
  </si>
  <si>
    <t>Gunbir Batta</t>
  </si>
  <si>
    <t>sai40@example.com</t>
  </si>
  <si>
    <t>Ekaja Sheth</t>
  </si>
  <si>
    <t>alexanderverma@example.com</t>
  </si>
  <si>
    <t>2024-06-04</t>
  </si>
  <si>
    <t>Xiti Wali</t>
  </si>
  <si>
    <t>saumyakanda@example.net</t>
  </si>
  <si>
    <t>2024-06-22</t>
  </si>
  <si>
    <t>Dayamai Hans</t>
  </si>
  <si>
    <t>sanghviekansh@example.net</t>
  </si>
  <si>
    <t>Lavanya Malhotra</t>
  </si>
  <si>
    <t>vdubey@example.net</t>
  </si>
  <si>
    <t>2023-09-02</t>
  </si>
  <si>
    <t>Anya Mittal</t>
  </si>
  <si>
    <t>saneijaya@example.com</t>
  </si>
  <si>
    <t>2024-08-23</t>
  </si>
  <si>
    <t>Tanish Kalita</t>
  </si>
  <si>
    <t>kchaudhary@example.com</t>
  </si>
  <si>
    <t>2023-01-01</t>
  </si>
  <si>
    <t>Vinaya Jain</t>
  </si>
  <si>
    <t>widisha83@example.org</t>
  </si>
  <si>
    <t>2023-02-12</t>
  </si>
  <si>
    <t>Vedant Toor</t>
  </si>
  <si>
    <t>nakul06@example.org</t>
  </si>
  <si>
    <t>2024-08-10</t>
  </si>
  <si>
    <t>Advik Warrior</t>
  </si>
  <si>
    <t>sdayal@example.org</t>
  </si>
  <si>
    <t>2023-02-10</t>
  </si>
  <si>
    <t>Tripti Khurana</t>
  </si>
  <si>
    <t>ekavir43@example.com</t>
  </si>
  <si>
    <t>2023-08-12</t>
  </si>
  <si>
    <t>Utkarsh Ganguly</t>
  </si>
  <si>
    <t>anaykashyap@example.org</t>
  </si>
  <si>
    <t>2023-01-23</t>
  </si>
  <si>
    <t>Abhiram Bobal</t>
  </si>
  <si>
    <t>pallaviraja@example.org</t>
  </si>
  <si>
    <t>2024-07-05</t>
  </si>
  <si>
    <t>Hitesh Purohit</t>
  </si>
  <si>
    <t>bedisara@example.org</t>
  </si>
  <si>
    <t>Imaran Upadhyay</t>
  </si>
  <si>
    <t>ravelanamika@example.org</t>
  </si>
  <si>
    <t>2024-10-15</t>
  </si>
  <si>
    <t>Hemal Patel</t>
  </si>
  <si>
    <t>bimala78@example.net</t>
  </si>
  <si>
    <t>Hemang Bawa</t>
  </si>
  <si>
    <t>eeshadatta@example.org</t>
  </si>
  <si>
    <t>2023-08-15</t>
  </si>
  <si>
    <t>Pranit Naidu</t>
  </si>
  <si>
    <t>urishillabarman@example.net</t>
  </si>
  <si>
    <t>Aahana Andra</t>
  </si>
  <si>
    <t>rajatanmayi@example.net</t>
  </si>
  <si>
    <t>Harsh Chandran</t>
  </si>
  <si>
    <t>baradqasim@example.com</t>
  </si>
  <si>
    <t>2024-04-10</t>
  </si>
  <si>
    <t>Logan Bajaj</t>
  </si>
  <si>
    <t>urvashi79@example.org</t>
  </si>
  <si>
    <t>2024-11-02</t>
  </si>
  <si>
    <t>Nilima Bera</t>
  </si>
  <si>
    <t>zachariahtripti@example.com</t>
  </si>
  <si>
    <t>2024-10-25</t>
  </si>
  <si>
    <t>Kavya Kurian</t>
  </si>
  <si>
    <t>tarak44@example.com</t>
  </si>
  <si>
    <t>Lohit Rastogi</t>
  </si>
  <si>
    <t>xsinha@example.org</t>
  </si>
  <si>
    <t>2023-08-20</t>
  </si>
  <si>
    <t>Anirudh Baria</t>
  </si>
  <si>
    <t>paupanini@example.org</t>
  </si>
  <si>
    <t>2024-01-16</t>
  </si>
  <si>
    <t>Anjali Sandhu</t>
  </si>
  <si>
    <t>chahalsaanvi@example.org</t>
  </si>
  <si>
    <t>Samesh Krishna</t>
  </si>
  <si>
    <t>trivedijacob@example.org</t>
  </si>
  <si>
    <t>2023-10-20</t>
  </si>
  <si>
    <t>Varsha Dora</t>
  </si>
  <si>
    <t>jmittal@example.org</t>
  </si>
  <si>
    <t>Xiti Andra</t>
  </si>
  <si>
    <t>ishaansaran@example.com</t>
  </si>
  <si>
    <t>2024-10-26</t>
  </si>
  <si>
    <t>Daniel Kohli</t>
  </si>
  <si>
    <t>yoshitadivan@example.net</t>
  </si>
  <si>
    <t>2024-01-03</t>
  </si>
  <si>
    <t>Irya Arya</t>
  </si>
  <si>
    <t>brattan@example.org</t>
  </si>
  <si>
    <t>2024-05-30</t>
  </si>
  <si>
    <t>Yatin Chaudry</t>
  </si>
  <si>
    <t>etalal@example.net</t>
  </si>
  <si>
    <t>2023-01-29</t>
  </si>
  <si>
    <t>Vrinda Salvi</t>
  </si>
  <si>
    <t>manddavid@example.net</t>
  </si>
  <si>
    <t>2023-09-15</t>
  </si>
  <si>
    <t>Ria Oommen</t>
  </si>
  <si>
    <t>nimratedwin@example.net</t>
  </si>
  <si>
    <t>2023-12-21</t>
  </si>
  <si>
    <t>Zaid Vasa</t>
  </si>
  <si>
    <t>dakshesh92@example.org</t>
  </si>
  <si>
    <t>Mahika Master</t>
  </si>
  <si>
    <t>tparikh@example.com</t>
  </si>
  <si>
    <t>Maya Oak</t>
  </si>
  <si>
    <t>alkagolla@example.com</t>
  </si>
  <si>
    <t>2023-11-05</t>
  </si>
  <si>
    <t>Nakul Patil</t>
  </si>
  <si>
    <t>obose@example.net</t>
  </si>
  <si>
    <t>2024-10-24</t>
  </si>
  <si>
    <t>Ayush Chacko</t>
  </si>
  <si>
    <t>xborde@example.org</t>
  </si>
  <si>
    <t>Bhavani Bassi</t>
  </si>
  <si>
    <t>echacko@example.org</t>
  </si>
  <si>
    <t>2024-01-15</t>
  </si>
  <si>
    <t>Reva Barman</t>
  </si>
  <si>
    <t>samimanthan@example.com</t>
  </si>
  <si>
    <t>2023-07-02</t>
  </si>
  <si>
    <t>Hardik Khare</t>
  </si>
  <si>
    <t>narasimhanharish@example.net</t>
  </si>
  <si>
    <t>2023-06-26</t>
  </si>
  <si>
    <t>Omisha Narayanan</t>
  </si>
  <si>
    <t>urvigole@example.org</t>
  </si>
  <si>
    <t>2023-03-18</t>
  </si>
  <si>
    <t>Devansh Mitra</t>
  </si>
  <si>
    <t>vbatta@example.org</t>
  </si>
  <si>
    <t>2023-12-11</t>
  </si>
  <si>
    <t>Charvi Mital</t>
  </si>
  <si>
    <t>urmi29@example.com</t>
  </si>
  <si>
    <t>Hemang Sastry</t>
  </si>
  <si>
    <t>rajushravya@example.com</t>
  </si>
  <si>
    <t>2023-08-16</t>
  </si>
  <si>
    <t>Dayita Sarma</t>
  </si>
  <si>
    <t>frederick21@example.net</t>
  </si>
  <si>
    <t>Ayaan Parmer</t>
  </si>
  <si>
    <t>regeekaja@example.org</t>
  </si>
  <si>
    <t>Hiral Dara</t>
  </si>
  <si>
    <t>parsajoshua@example.com</t>
  </si>
  <si>
    <t>2024-04-18</t>
  </si>
  <si>
    <t>Raagini Bahri</t>
  </si>
  <si>
    <t>omyanagy@example.net</t>
  </si>
  <si>
    <t>2024-01-22</t>
  </si>
  <si>
    <t>Yashodhara Savant</t>
  </si>
  <si>
    <t>rramanathan@example.org</t>
  </si>
  <si>
    <t>Niharika Dhillon</t>
  </si>
  <si>
    <t>vedaborde@example.org</t>
  </si>
  <si>
    <t>2023-01-08</t>
  </si>
  <si>
    <t>Kashvi Dar</t>
  </si>
  <si>
    <t>wallachandresh@example.com</t>
  </si>
  <si>
    <t>Michael Devi</t>
  </si>
  <si>
    <t>hemangini37@example.net</t>
  </si>
  <si>
    <t>2024-04-01</t>
  </si>
  <si>
    <t>Keya More</t>
  </si>
  <si>
    <t>dsachdeva@example.org</t>
  </si>
  <si>
    <t>Azad Chaudhari</t>
  </si>
  <si>
    <t>abeermaster@example.net</t>
  </si>
  <si>
    <t>Nihal Memon</t>
  </si>
  <si>
    <t>aggarwaladweta@example.com</t>
  </si>
  <si>
    <t>2023-10-24</t>
  </si>
  <si>
    <t>Dominic Menon</t>
  </si>
  <si>
    <t>ekapad98@example.com</t>
  </si>
  <si>
    <t>Xalak Sethi</t>
  </si>
  <si>
    <t>jainabha@example.com</t>
  </si>
  <si>
    <t>2024-05-26</t>
  </si>
  <si>
    <t>Christopher Buch</t>
  </si>
  <si>
    <t>amajumdar@example.net</t>
  </si>
  <si>
    <t>Utkarsh Dass</t>
  </si>
  <si>
    <t>skamdar@example.org</t>
  </si>
  <si>
    <t>2024-04-16</t>
  </si>
  <si>
    <t>Ekanta Baral</t>
  </si>
  <si>
    <t>vivaankrishnan@example.net</t>
  </si>
  <si>
    <t>2023-08-11</t>
  </si>
  <si>
    <t>Radhika Oza</t>
  </si>
  <si>
    <t>bakshikamya@example.org</t>
  </si>
  <si>
    <t>2023-06-20</t>
  </si>
  <si>
    <t>Joshua Saxena</t>
  </si>
  <si>
    <t>sinhajanaki@example.org</t>
  </si>
  <si>
    <t>2024-06-10</t>
  </si>
  <si>
    <t>Tanvi Issac</t>
  </si>
  <si>
    <t>murtypallavi@example.net</t>
  </si>
  <si>
    <t>2023-04-17</t>
  </si>
  <si>
    <t>Vasana Hans</t>
  </si>
  <si>
    <t>garima42@example.org</t>
  </si>
  <si>
    <t>Quincy Karpe</t>
  </si>
  <si>
    <t>trivedijoshua@example.com</t>
  </si>
  <si>
    <t>Nakul Lad</t>
  </si>
  <si>
    <t>chopraavi@example.com</t>
  </si>
  <si>
    <t>2023-03-12</t>
  </si>
  <si>
    <t>Ekaraj Ratti</t>
  </si>
  <si>
    <t>libnipandey@example.net</t>
  </si>
  <si>
    <t>2023-05-17</t>
  </si>
  <si>
    <t>Aahana Vaidya</t>
  </si>
  <si>
    <t>akshayrajagopalan@example.org</t>
  </si>
  <si>
    <t>2024-11-11</t>
  </si>
  <si>
    <t>Aarush Talwar</t>
  </si>
  <si>
    <t>ubhatnagar@example.com</t>
  </si>
  <si>
    <t>Hemani Vig</t>
  </si>
  <si>
    <t>vasana48@example.org</t>
  </si>
  <si>
    <t>2024-01-10</t>
  </si>
  <si>
    <t>Dhruv Mutti</t>
  </si>
  <si>
    <t>dbuch@example.com</t>
  </si>
  <si>
    <t>2024-09-16</t>
  </si>
  <si>
    <t>Raghav Tailor</t>
  </si>
  <si>
    <t>zkhatri@example.net</t>
  </si>
  <si>
    <t>2023-04-20</t>
  </si>
  <si>
    <t>Adweta Mallick</t>
  </si>
  <si>
    <t>anayray@example.net</t>
  </si>
  <si>
    <t>Manan Saxena</t>
  </si>
  <si>
    <t>yparmar@example.com</t>
  </si>
  <si>
    <t>2023-11-03</t>
  </si>
  <si>
    <t>Aachal Gokhale</t>
  </si>
  <si>
    <t>irajani@example.net</t>
  </si>
  <si>
    <t>2023-12-20</t>
  </si>
  <si>
    <t>Lakshmi Loyal</t>
  </si>
  <si>
    <t>laksh27@example.net</t>
  </si>
  <si>
    <t>2023-07-23</t>
  </si>
  <si>
    <t>Indrajit Devan</t>
  </si>
  <si>
    <t>wsharma@example.net</t>
  </si>
  <si>
    <t>2023-10-16</t>
  </si>
  <si>
    <t>Arin Sridhar</t>
  </si>
  <si>
    <t>tanvirout@example.org</t>
  </si>
  <si>
    <t>Warhi Bhatia</t>
  </si>
  <si>
    <t>eshere@example.net</t>
  </si>
  <si>
    <t>Yashica Loyal</t>
  </si>
  <si>
    <t>gaurisharaf@example.com</t>
  </si>
  <si>
    <t>2024-10-01</t>
  </si>
  <si>
    <t>Jalsa Sunder</t>
  </si>
  <si>
    <t>indalibhagat@example.net</t>
  </si>
  <si>
    <t>Hemani Warrior</t>
  </si>
  <si>
    <t>jasonbava@example.org</t>
  </si>
  <si>
    <t>Nitara Lal</t>
  </si>
  <si>
    <t>ira27@example.org</t>
  </si>
  <si>
    <t>Zayan Vaidya</t>
  </si>
  <si>
    <t>xmody@example.org</t>
  </si>
  <si>
    <t>Tamanna Ratta</t>
  </si>
  <si>
    <t>trattan@example.com</t>
  </si>
  <si>
    <t>2024-02-24</t>
  </si>
  <si>
    <t>Maya Barad</t>
  </si>
  <si>
    <t>qmukhopadhyay@example.net</t>
  </si>
  <si>
    <t>Vrinda Dube</t>
  </si>
  <si>
    <t>advayjain@example.org</t>
  </si>
  <si>
    <t>Zaitra Arya</t>
  </si>
  <si>
    <t>tdewan@example.org</t>
  </si>
  <si>
    <t>2023-08-06</t>
  </si>
  <si>
    <t>Januja Kala</t>
  </si>
  <si>
    <t>lipika38@example.org</t>
  </si>
  <si>
    <t>Faris Thaman</t>
  </si>
  <si>
    <t>ekanta97@example.org</t>
  </si>
  <si>
    <t>2023-03-19</t>
  </si>
  <si>
    <t>Azaan Wali</t>
  </si>
  <si>
    <t>amairaluthra@example.net</t>
  </si>
  <si>
    <t>2024-05-15</t>
  </si>
  <si>
    <t>Nidra Sastry</t>
  </si>
  <si>
    <t>amol08@example.org</t>
  </si>
  <si>
    <t>Odika Mangat</t>
  </si>
  <si>
    <t>yben@example.org</t>
  </si>
  <si>
    <t>Jagrati Gole</t>
  </si>
  <si>
    <t>sanghviaradhana@example.com</t>
  </si>
  <si>
    <t>2023-01-17</t>
  </si>
  <si>
    <t>Janaki Sridhar</t>
  </si>
  <si>
    <t>deshmukhalexander@example.org</t>
  </si>
  <si>
    <t>2023-04-08</t>
  </si>
  <si>
    <t>Hemang Varma</t>
  </si>
  <si>
    <t>lipika45@example.org</t>
  </si>
  <si>
    <t>Varsha Batta</t>
  </si>
  <si>
    <t>shravyakhosla@example.com</t>
  </si>
  <si>
    <t>2024-09-23</t>
  </si>
  <si>
    <t>Alka Sunder</t>
  </si>
  <si>
    <t>lakshit82@example.net</t>
  </si>
  <si>
    <t>2024-09-04</t>
  </si>
  <si>
    <t>Aarnav Behl</t>
  </si>
  <si>
    <t>khalsadamyanti@example.org</t>
  </si>
  <si>
    <t>2023-04-23</t>
  </si>
  <si>
    <t>Daksh Bhakta</t>
  </si>
  <si>
    <t>karasamesh@example.net</t>
  </si>
  <si>
    <t>2023-05-16</t>
  </si>
  <si>
    <t>Hema Desai</t>
  </si>
  <si>
    <t>gbhatti@example.com</t>
  </si>
  <si>
    <t>Bhavika Shanker</t>
  </si>
  <si>
    <t>anjali72@example.com</t>
  </si>
  <si>
    <t>2023-07-04</t>
  </si>
  <si>
    <t>Krishna Bhatt</t>
  </si>
  <si>
    <t>taranikita@example.com</t>
  </si>
  <si>
    <t>Hamsini Kalla</t>
  </si>
  <si>
    <t>esridhar@example.com</t>
  </si>
  <si>
    <t>2024-02-13</t>
  </si>
  <si>
    <t>Jack Mannan</t>
  </si>
  <si>
    <t>balayoviya@example.com</t>
  </si>
  <si>
    <t>Wridesh Venkataraman</t>
  </si>
  <si>
    <t>ramanadvika@example.org</t>
  </si>
  <si>
    <t>2023-12-18</t>
  </si>
  <si>
    <t>Samaksh Patel</t>
  </si>
  <si>
    <t>royfalguni@example.com</t>
  </si>
  <si>
    <t>2023-02-03</t>
  </si>
  <si>
    <t>Utkarsh Sant</t>
  </si>
  <si>
    <t>sanaya46@example.com</t>
  </si>
  <si>
    <t>2023-12-22</t>
  </si>
  <si>
    <t>Upasna Gara</t>
  </si>
  <si>
    <t>nagichanchal@example.org</t>
  </si>
  <si>
    <t>2024-01-08</t>
  </si>
  <si>
    <t>Mitesh Sarna</t>
  </si>
  <si>
    <t>oviya74@example.org</t>
  </si>
  <si>
    <t>Nisha Sharaf</t>
  </si>
  <si>
    <t>madhav43@example.org</t>
  </si>
  <si>
    <t>Zehaan Chadha</t>
  </si>
  <si>
    <t>sarafyatin@example.com</t>
  </si>
  <si>
    <t>Vasatika Bhardwaj</t>
  </si>
  <si>
    <t>oaktamanna@example.net</t>
  </si>
  <si>
    <t>Ikbal Varty</t>
  </si>
  <si>
    <t>pillailipika@example.com</t>
  </si>
  <si>
    <t>2024-04-09</t>
  </si>
  <si>
    <t>Nitara Sani</t>
  </si>
  <si>
    <t>mangatsiddharth@example.net</t>
  </si>
  <si>
    <t>2024-04-15</t>
  </si>
  <si>
    <t>Raghav Varkey</t>
  </si>
  <si>
    <t>menonleela@example.net</t>
  </si>
  <si>
    <t>2023-03-30</t>
  </si>
  <si>
    <t>Vrishti Panchal</t>
  </si>
  <si>
    <t>ati22@example.net</t>
  </si>
  <si>
    <t>Manya Bhat</t>
  </si>
  <si>
    <t>unni25@example.net</t>
  </si>
  <si>
    <t>2024-11-20</t>
  </si>
  <si>
    <t>Upadhriti Vohra</t>
  </si>
  <si>
    <t>chavvi54@example.net</t>
  </si>
  <si>
    <t>Yoshita Atwal</t>
  </si>
  <si>
    <t>samesh68@example.net</t>
  </si>
  <si>
    <t>Balvan Bhat</t>
  </si>
  <si>
    <t>dasguptaoni@example.org</t>
  </si>
  <si>
    <t>2023-10-18</t>
  </si>
  <si>
    <t>Zilmil Sura</t>
  </si>
  <si>
    <t>iraben@example.org</t>
  </si>
  <si>
    <t>Wyatt Patel</t>
  </si>
  <si>
    <t>skhatri@example.com</t>
  </si>
  <si>
    <t>Harish Mishra</t>
  </si>
  <si>
    <t>qabilacharya@example.com</t>
  </si>
  <si>
    <t>2023-04-12</t>
  </si>
  <si>
    <t>Madhav Sinha</t>
  </si>
  <si>
    <t>onkarswaminathan@example.com</t>
  </si>
  <si>
    <t>2024-03-12</t>
  </si>
  <si>
    <t>Nathaniel Gola</t>
  </si>
  <si>
    <t>rajata16@example.net</t>
  </si>
  <si>
    <t>Ekansh Pandya</t>
  </si>
  <si>
    <t>borasneha@example.com</t>
  </si>
  <si>
    <t>Pooja Jayaraman</t>
  </si>
  <si>
    <t>owali@example.org</t>
  </si>
  <si>
    <t>2024-04-11</t>
  </si>
  <si>
    <t>Manya Deshmukh</t>
  </si>
  <si>
    <t>gdhaliwal@example.net</t>
  </si>
  <si>
    <t>Fariq Som</t>
  </si>
  <si>
    <t>eben@example.com</t>
  </si>
  <si>
    <t>2023-06-24</t>
  </si>
  <si>
    <t>Nihal Dayal</t>
  </si>
  <si>
    <t>dalajamand@example.net</t>
  </si>
  <si>
    <t>2023-10-13</t>
  </si>
  <si>
    <t>Zinal Som</t>
  </si>
  <si>
    <t>zehaan30@example.com</t>
  </si>
  <si>
    <t>Harinakshi Dubey</t>
  </si>
  <si>
    <t>slalla@example.org</t>
  </si>
  <si>
    <t>2024-09-27</t>
  </si>
  <si>
    <t>Yashica Dayal</t>
  </si>
  <si>
    <t>ganga80@example.net</t>
  </si>
  <si>
    <t>2024-03-08</t>
  </si>
  <si>
    <t>Deepa Nadkarni</t>
  </si>
  <si>
    <t>ipal@example.org</t>
  </si>
  <si>
    <t>Chaaya Rama</t>
  </si>
  <si>
    <t>zdewan@example.com</t>
  </si>
  <si>
    <t>2023-08-01</t>
  </si>
  <si>
    <t>David Murthy</t>
  </si>
  <si>
    <t>sai28@example.org</t>
  </si>
  <si>
    <t>2023-09-30</t>
  </si>
  <si>
    <t>Aachal Kunda</t>
  </si>
  <si>
    <t>ipalla@example.org</t>
  </si>
  <si>
    <t>2024-03-15</t>
  </si>
  <si>
    <t>Upkaar Sanghvi</t>
  </si>
  <si>
    <t>benjaminramachandran@example.net</t>
  </si>
  <si>
    <t>2024-07-29</t>
  </si>
  <si>
    <t>Karan Rao</t>
  </si>
  <si>
    <t>lakshrattan@example.org</t>
  </si>
  <si>
    <t>2024-02-17</t>
  </si>
  <si>
    <t>Tripti Nayak</t>
  </si>
  <si>
    <t>qchandra@example.org</t>
  </si>
  <si>
    <t>Upadhriti Puri</t>
  </si>
  <si>
    <t>sailalla@example.org</t>
  </si>
  <si>
    <t>Niharika Kala</t>
  </si>
  <si>
    <t>qasimchand@example.org</t>
  </si>
  <si>
    <t>Neel Halder</t>
  </si>
  <si>
    <t>mdyal@example.net</t>
  </si>
  <si>
    <t>2023-02-08</t>
  </si>
  <si>
    <t>Damini Din</t>
  </si>
  <si>
    <t>fradokapoor@example.org</t>
  </si>
  <si>
    <t>2024-05-29</t>
  </si>
  <si>
    <t>Anika Pai</t>
  </si>
  <si>
    <t>aarna75@example.org</t>
  </si>
  <si>
    <t>2023-11-18</t>
  </si>
  <si>
    <t>Udarsh Bhandari</t>
  </si>
  <si>
    <t>aayush01@example.org</t>
  </si>
  <si>
    <t>Caleb Sethi</t>
  </si>
  <si>
    <t>vbaral@example.com</t>
  </si>
  <si>
    <t>Chandani Venkatesh</t>
  </si>
  <si>
    <t>parekhdakshesh@example.net</t>
  </si>
  <si>
    <t>Azad Mistry</t>
  </si>
  <si>
    <t>tgara@example.com</t>
  </si>
  <si>
    <t>Amol Madan</t>
  </si>
  <si>
    <t>nagarajanlajita@example.org</t>
  </si>
  <si>
    <t>Januja Gade</t>
  </si>
  <si>
    <t>pathakgauri@example.org</t>
  </si>
  <si>
    <t>2023-04-04</t>
  </si>
  <si>
    <t>Champak Raghavan</t>
  </si>
  <si>
    <t>warjasbumb@example.net</t>
  </si>
  <si>
    <t>Yamini Bath</t>
  </si>
  <si>
    <t>dadaaarush@example.com</t>
  </si>
  <si>
    <t>Alexander Agrawal</t>
  </si>
  <si>
    <t>ftak@example.com</t>
  </si>
  <si>
    <t>Shaurya Hegde</t>
  </si>
  <si>
    <t>netraravi@example.net</t>
  </si>
  <si>
    <t>Diya Garg</t>
  </si>
  <si>
    <t>gdevi@example.com</t>
  </si>
  <si>
    <t>2023-03-02</t>
  </si>
  <si>
    <t>Azad Hayre</t>
  </si>
  <si>
    <t>nisha72@example.com</t>
  </si>
  <si>
    <t>Gautam Saxena</t>
  </si>
  <si>
    <t>vartyanthony@example.com</t>
  </si>
  <si>
    <t>2023-03-31</t>
  </si>
  <si>
    <t>Jagdish Yogi</t>
  </si>
  <si>
    <t>andrew87@example.com</t>
  </si>
  <si>
    <t>2023-05-14</t>
  </si>
  <si>
    <t>Ansh Swaminathan</t>
  </si>
  <si>
    <t>aachal96@example.com</t>
  </si>
  <si>
    <t>Ijaya Sami</t>
  </si>
  <si>
    <t>virknidra@example.net</t>
  </si>
  <si>
    <t>Nitara Bains</t>
  </si>
  <si>
    <t>jkhosla@example.org</t>
  </si>
  <si>
    <t>Chaman Chadha</t>
  </si>
  <si>
    <t>nagiekani@example.net</t>
  </si>
  <si>
    <t>2023-06-22</t>
  </si>
  <si>
    <t>Manthan Chaudhari</t>
  </si>
  <si>
    <t>nimratdar@example.org</t>
  </si>
  <si>
    <t>2024-05-06</t>
  </si>
  <si>
    <t>Arya Raja</t>
  </si>
  <si>
    <t>kibewaida@example.com</t>
  </si>
  <si>
    <t>2024-08-25</t>
  </si>
  <si>
    <t>Nandini Ramanathan</t>
  </si>
  <si>
    <t>ekata@example.com</t>
  </si>
  <si>
    <t>2024-09-28</t>
  </si>
  <si>
    <t>Alka Vyas</t>
  </si>
  <si>
    <t>yahvi04@example.com</t>
  </si>
  <si>
    <t>2023-04-24</t>
  </si>
  <si>
    <t>Kamya Kumer</t>
  </si>
  <si>
    <t>chanchal18@example.org</t>
  </si>
  <si>
    <t>2023-04-29</t>
  </si>
  <si>
    <t>Kabir Parmer</t>
  </si>
  <si>
    <t>iyernetra@example.org</t>
  </si>
  <si>
    <t>Yashoda Bawa</t>
  </si>
  <si>
    <t>hitesh22@example.com</t>
  </si>
  <si>
    <t>Jason Pradhan</t>
  </si>
  <si>
    <t>vnazareth@example.com</t>
  </si>
  <si>
    <t>Onkar Khalsa</t>
  </si>
  <si>
    <t>farhan10@example.net</t>
  </si>
  <si>
    <t>2024-04-30</t>
  </si>
  <si>
    <t>Udyati Sengupta</t>
  </si>
  <si>
    <t>perichaitanya@example.net</t>
  </si>
  <si>
    <t>Qadim Ben</t>
  </si>
  <si>
    <t>tanmayi94@example.com</t>
  </si>
  <si>
    <t>2023-08-24</t>
  </si>
  <si>
    <t>Banjeet Chandran</t>
  </si>
  <si>
    <t>bhatmanya@example.net</t>
  </si>
  <si>
    <t>Udarsh Baral</t>
  </si>
  <si>
    <t>noritanay@example.org</t>
  </si>
  <si>
    <t>2023-01-30</t>
  </si>
  <si>
    <t>Ekanta Sankaran</t>
  </si>
  <si>
    <t>pallavikapadia@example.net</t>
  </si>
  <si>
    <t>2023-03-01</t>
  </si>
  <si>
    <t>Panini Mall</t>
  </si>
  <si>
    <t>ddeep@example.com</t>
  </si>
  <si>
    <t>2024-01-29</t>
  </si>
  <si>
    <t>Veer Bains</t>
  </si>
  <si>
    <t>rsen@example.org</t>
  </si>
  <si>
    <t>Gautami Kurian</t>
  </si>
  <si>
    <t>ldalia@example.com</t>
  </si>
  <si>
    <t>Aarna Balay</t>
  </si>
  <si>
    <t>hritik65@example.net</t>
  </si>
  <si>
    <t>2024-04-14</t>
  </si>
  <si>
    <t>Kamala Mody</t>
  </si>
  <si>
    <t>dayita67@example.com</t>
  </si>
  <si>
    <t>2023-02-18</t>
  </si>
  <si>
    <t>Mitali Pant</t>
  </si>
  <si>
    <t>saumya35@example.org</t>
  </si>
  <si>
    <t>2024-10-12</t>
  </si>
  <si>
    <t>Sai Sibal</t>
  </si>
  <si>
    <t>upasna79@example.net</t>
  </si>
  <si>
    <t>Ekapad Sood</t>
  </si>
  <si>
    <t>iganesan@example.net</t>
  </si>
  <si>
    <t>2023-12-07</t>
  </si>
  <si>
    <t>Tristan Bhatia</t>
  </si>
  <si>
    <t>aadhya43@example.com</t>
  </si>
  <si>
    <t>2023-05-04</t>
  </si>
  <si>
    <t>Yashvi Ramaswamy</t>
  </si>
  <si>
    <t>vmalhotra@example.org</t>
  </si>
  <si>
    <t>2023-10-28</t>
  </si>
  <si>
    <t>Aditya Handa</t>
  </si>
  <si>
    <t>anmolvala@example.org</t>
  </si>
  <si>
    <t>Shravya Parekh</t>
  </si>
  <si>
    <t>rohanvohra@example.net</t>
  </si>
  <si>
    <t>2023-09-14</t>
  </si>
  <si>
    <t>Damyanti Rana</t>
  </si>
  <si>
    <t>gaurangibhavsar@example.org</t>
  </si>
  <si>
    <t>2023-08-09</t>
  </si>
  <si>
    <t>Aachal Sarraf</t>
  </si>
  <si>
    <t>ganeshdaniel@example.com</t>
  </si>
  <si>
    <t>2024-04-13</t>
  </si>
  <si>
    <t>Nitara Patla</t>
  </si>
  <si>
    <t>vidhi68@example.net</t>
  </si>
  <si>
    <t>Krish Deo</t>
  </si>
  <si>
    <t>avni11@example.org</t>
  </si>
  <si>
    <t>Gagan Joshi</t>
  </si>
  <si>
    <t>rachitrai@example.org</t>
  </si>
  <si>
    <t>Gagan Khanna</t>
  </si>
  <si>
    <t>pratyushtara@example.net</t>
  </si>
  <si>
    <t>Noah Nayak</t>
  </si>
  <si>
    <t>samralogan@example.org</t>
  </si>
  <si>
    <t>Sanya Sharma</t>
  </si>
  <si>
    <t>gaganhari@example.com</t>
  </si>
  <si>
    <t>Ekantika Kapur</t>
  </si>
  <si>
    <t>surijhalak@example.com</t>
  </si>
  <si>
    <t>Ganga Sathe</t>
  </si>
  <si>
    <t>ahluwaliarajata@example.org</t>
  </si>
  <si>
    <t>2023-05-21</t>
  </si>
  <si>
    <t>Amruta Sura</t>
  </si>
  <si>
    <t>eta37@example.com</t>
  </si>
  <si>
    <t>Saksham Joshi</t>
  </si>
  <si>
    <t>cpurohit@example.org</t>
  </si>
  <si>
    <t>Watika Nagar</t>
  </si>
  <si>
    <t>iravel@example.net</t>
  </si>
  <si>
    <t>Guneet Shukla</t>
  </si>
  <si>
    <t>rohan40@example.com</t>
  </si>
  <si>
    <t>2024-11-17</t>
  </si>
  <si>
    <t>Bimala Pradhan</t>
  </si>
  <si>
    <t>cwalia@example.org</t>
  </si>
  <si>
    <t>Sneha Natt</t>
  </si>
  <si>
    <t>baljiwan77@example.com</t>
  </si>
  <si>
    <t>2023-04-30</t>
  </si>
  <si>
    <t>Anmol Dayal</t>
  </si>
  <si>
    <t>eupadhyay@example.com</t>
  </si>
  <si>
    <t>Darsh Bansal</t>
  </si>
  <si>
    <t>santraghav@example.com</t>
  </si>
  <si>
    <t>Zansi Jayaraman</t>
  </si>
  <si>
    <t>nidranigam@example.org</t>
  </si>
  <si>
    <t>Advik Mittal</t>
  </si>
  <si>
    <t>luckyzachariah@example.org</t>
  </si>
  <si>
    <t>2024-08-04</t>
  </si>
  <si>
    <t>Geetika Dalal</t>
  </si>
  <si>
    <t>pdate@example.org</t>
  </si>
  <si>
    <t>2023-08-29</t>
  </si>
  <si>
    <t>Vasudha Varghese</t>
  </si>
  <si>
    <t>sanayaapte@example.org</t>
  </si>
  <si>
    <t>2024-03-19</t>
  </si>
  <si>
    <t>Faras Kapur</t>
  </si>
  <si>
    <t>girik10@example.org</t>
  </si>
  <si>
    <t>2024-08-27</t>
  </si>
  <si>
    <t>Aadhya Hayre</t>
  </si>
  <si>
    <t>nachiket95@example.com</t>
  </si>
  <si>
    <t>Daksha Natt</t>
  </si>
  <si>
    <t>saanvibala@example.com</t>
  </si>
  <si>
    <t>Rajeshri Bora</t>
  </si>
  <si>
    <t>xkar@example.com</t>
  </si>
  <si>
    <t>Chatura Parikh</t>
  </si>
  <si>
    <t>anusha89@example.net</t>
  </si>
  <si>
    <t>2024-02-05</t>
  </si>
  <si>
    <t>Leela Tandon</t>
  </si>
  <si>
    <t>nilima55@example.net</t>
  </si>
  <si>
    <t>2023-05-05</t>
  </si>
  <si>
    <t>Gunbir Warrior</t>
  </si>
  <si>
    <t>sachimorar@example.org</t>
  </si>
  <si>
    <t>2023-04-25</t>
  </si>
  <si>
    <t>Sarthak Bhatti</t>
  </si>
  <si>
    <t>luke98@example.org</t>
  </si>
  <si>
    <t>Parth Sanghvi</t>
  </si>
  <si>
    <t>rayaanlad@example.com</t>
  </si>
  <si>
    <t>Thomas Bora</t>
  </si>
  <si>
    <t>egour@example.com</t>
  </si>
  <si>
    <t>Tanish Maharaj</t>
  </si>
  <si>
    <t>palwakeeta@example.org</t>
  </si>
  <si>
    <t>Idika Boase</t>
  </si>
  <si>
    <t>okashyap@example.net</t>
  </si>
  <si>
    <t>2024-05-19</t>
  </si>
  <si>
    <t>Hemang Bhattacharyya</t>
  </si>
  <si>
    <t>nandini12@example.org</t>
  </si>
  <si>
    <t>Janaki Vora</t>
  </si>
  <si>
    <t>qadim21@example.org</t>
  </si>
  <si>
    <t>2024-08-12</t>
  </si>
  <si>
    <t>Jyoti Dubey</t>
  </si>
  <si>
    <t>raghavanrajata@example.net</t>
  </si>
  <si>
    <t>2023-01-05</t>
  </si>
  <si>
    <t>Prisha Raju</t>
  </si>
  <si>
    <t>zansiwable@example.com</t>
  </si>
  <si>
    <t>Abeer Behl</t>
  </si>
  <si>
    <t>hvaidya@example.org</t>
  </si>
  <si>
    <t>2024-04-17</t>
  </si>
  <si>
    <t>Bimala Rana</t>
  </si>
  <si>
    <t>baniktristan@example.com</t>
  </si>
  <si>
    <t>Bina Parikh</t>
  </si>
  <si>
    <t>sacharwazir@example.org</t>
  </si>
  <si>
    <t>Vinaya Viswanathan</t>
  </si>
  <si>
    <t>ssachdev@example.net</t>
  </si>
  <si>
    <t>Shaurya Krishnamurthy</t>
  </si>
  <si>
    <t>guneetbanerjee@example.com</t>
  </si>
  <si>
    <t>2024-01-24</t>
  </si>
  <si>
    <t>Zayyan Peri</t>
  </si>
  <si>
    <t>wpuri@example.com</t>
  </si>
  <si>
    <t>Lekha Bali</t>
  </si>
  <si>
    <t>indrajitbalakrishnan@example.org</t>
  </si>
  <si>
    <t>Zaid Kade</t>
  </si>
  <si>
    <t>qgara@example.net</t>
  </si>
  <si>
    <t>2023-07-06</t>
  </si>
  <si>
    <t>Eesha Nanda</t>
  </si>
  <si>
    <t>ekbal93@example.org</t>
  </si>
  <si>
    <t>2024-06-03</t>
  </si>
  <si>
    <t>Xavier Chaudhry</t>
  </si>
  <si>
    <t>dipta53@example.com</t>
  </si>
  <si>
    <t>Gaurangi Puri</t>
  </si>
  <si>
    <t>nirjamadan@example.net</t>
  </si>
  <si>
    <t>Janaki Rajagopal</t>
  </si>
  <si>
    <t>nishabaria@example.com</t>
  </si>
  <si>
    <t>Hemani Bose</t>
  </si>
  <si>
    <t>rluthra@example.org</t>
  </si>
  <si>
    <t>2023-10-17</t>
  </si>
  <si>
    <t>rider_name</t>
  </si>
  <si>
    <t>area_assigned</t>
  </si>
  <si>
    <t>vehicle_type</t>
  </si>
  <si>
    <t>joining_date</t>
  </si>
  <si>
    <t>rating</t>
  </si>
  <si>
    <t>total_deliveries</t>
  </si>
  <si>
    <t>is_active</t>
  </si>
  <si>
    <t>Nihal Bail</t>
  </si>
  <si>
    <t>Bicycle</t>
  </si>
  <si>
    <t>2022-10-06</t>
  </si>
  <si>
    <t>Rachana Prasad</t>
  </si>
  <si>
    <t>2022-08-25</t>
  </si>
  <si>
    <t>Vasatika Pau</t>
  </si>
  <si>
    <t>Bike</t>
  </si>
  <si>
    <t>Ekani Soni</t>
  </si>
  <si>
    <t>2022-12-29</t>
  </si>
  <si>
    <t>Vidhi Srinivas</t>
  </si>
  <si>
    <t>2022-11-04</t>
  </si>
  <si>
    <t>Priya Srivastava</t>
  </si>
  <si>
    <t>2022-10-11</t>
  </si>
  <si>
    <t>Advik Swamy</t>
  </si>
  <si>
    <t>Scooter</t>
  </si>
  <si>
    <t>2022-11-10</t>
  </si>
  <si>
    <t>Ekani Issac</t>
  </si>
  <si>
    <t>2022-12-22</t>
  </si>
  <si>
    <t>Nandini Jain</t>
  </si>
  <si>
    <t>2023-01-14</t>
  </si>
  <si>
    <t>Vrishti Johal</t>
  </si>
  <si>
    <t>2022-12-16</t>
  </si>
  <si>
    <t>Jason Mane</t>
  </si>
  <si>
    <t>2022-08-05</t>
  </si>
  <si>
    <t>Kamya Pant</t>
  </si>
  <si>
    <t>2022-12-17</t>
  </si>
  <si>
    <t>Pooja Goda</t>
  </si>
  <si>
    <t>2022-11-18</t>
  </si>
  <si>
    <t>Priya Shan</t>
  </si>
  <si>
    <t>2022-12-09</t>
  </si>
  <si>
    <t>Joshua Mohanty</t>
  </si>
  <si>
    <t>Yug Bhatt</t>
  </si>
  <si>
    <t>2022-11-22</t>
  </si>
  <si>
    <t>Bakhshi Narain</t>
  </si>
  <si>
    <t>2022-11-26</t>
  </si>
  <si>
    <t>Imaran Dey</t>
  </si>
  <si>
    <t>2022-12-06</t>
  </si>
  <si>
    <t>Nisha Srinivas</t>
  </si>
  <si>
    <t>2022-09-15</t>
  </si>
  <si>
    <t>Zarna Chandra</t>
  </si>
  <si>
    <t>2022-10-14</t>
  </si>
  <si>
    <t>Yutika Kale</t>
  </si>
  <si>
    <t>2023-01-11</t>
  </si>
  <si>
    <t>Umang Soni</t>
  </si>
  <si>
    <t>2022-12-24</t>
  </si>
  <si>
    <t>Azaan More</t>
  </si>
  <si>
    <t>Anmol Rattan</t>
  </si>
  <si>
    <t>2022-09-10</t>
  </si>
  <si>
    <t>Baljiwan Baral</t>
  </si>
  <si>
    <t>2022-10-04</t>
  </si>
  <si>
    <t>Triveni Krishna</t>
  </si>
  <si>
    <t>Bachittar Sanghvi</t>
  </si>
  <si>
    <t>2022-11-02</t>
  </si>
  <si>
    <t>Yashvi Nagy</t>
  </si>
  <si>
    <t>2022-08-02</t>
  </si>
  <si>
    <t>Chandran Sanghvi</t>
  </si>
  <si>
    <t>2023-01-21</t>
  </si>
  <si>
    <t>Dhruv Ratta</t>
  </si>
  <si>
    <t>2022-12-20</t>
  </si>
  <si>
    <t>Bhavya Mohan</t>
  </si>
  <si>
    <t>2022-10-31</t>
  </si>
  <si>
    <t>Tripti Wason</t>
  </si>
  <si>
    <t>Vanya Shetty</t>
  </si>
  <si>
    <t>2022-10-19</t>
  </si>
  <si>
    <t>Jhalak Sule</t>
  </si>
  <si>
    <t>2022-09-08</t>
  </si>
  <si>
    <t>Ati Palan</t>
  </si>
  <si>
    <t>Dalaja Sodhi</t>
  </si>
  <si>
    <t>2022-07-22</t>
  </si>
  <si>
    <t>Advika Soman</t>
  </si>
  <si>
    <t>2022-07-16</t>
  </si>
  <si>
    <t>Chameli Kalita</t>
  </si>
  <si>
    <t>2022-10-08</t>
  </si>
  <si>
    <t>Indrajit Sridhar</t>
  </si>
  <si>
    <t>2022-07-28</t>
  </si>
  <si>
    <t>Daksha Palla</t>
  </si>
  <si>
    <t>Chakrika Bali</t>
  </si>
  <si>
    <t>2022-08-24</t>
  </si>
  <si>
    <t>Neel Balay</t>
  </si>
  <si>
    <t>Rehaan Parmer</t>
  </si>
  <si>
    <t>2022-10-25</t>
  </si>
  <si>
    <t>Libni Sahota</t>
  </si>
  <si>
    <t>2023-02-14</t>
  </si>
  <si>
    <t>Wriddhish Sachar</t>
  </si>
  <si>
    <t>Vritti Ahuja</t>
  </si>
  <si>
    <t>Ladli Gera</t>
  </si>
  <si>
    <t>2022-07-24</t>
  </si>
  <si>
    <t>Hardik Parmer</t>
  </si>
  <si>
    <t>2022-12-19</t>
  </si>
  <si>
    <t>Edhitha Parmar</t>
  </si>
  <si>
    <t>Urishilla Saha</t>
  </si>
  <si>
    <t>Isaac Bhakta</t>
  </si>
  <si>
    <t>2023-02-27</t>
  </si>
  <si>
    <t>Ekansh Lal</t>
  </si>
  <si>
    <t>2022-11-23</t>
  </si>
  <si>
    <t>Champak Patla</t>
  </si>
  <si>
    <t>2022-07-20</t>
  </si>
  <si>
    <t>Laban Shukla</t>
  </si>
  <si>
    <t>Kashish Ahuja</t>
  </si>
  <si>
    <t>2022-09-06</t>
  </si>
  <si>
    <t>Advay Bhatnagar</t>
  </si>
  <si>
    <t>2023-01-27</t>
  </si>
  <si>
    <t>Ekalinga Anne</t>
  </si>
  <si>
    <t>Janya Pai</t>
  </si>
  <si>
    <t>2022-07-15</t>
  </si>
  <si>
    <t>Charvi Boase</t>
  </si>
  <si>
    <t>2022-10-01</t>
  </si>
  <si>
    <t>Pranit Sane</t>
  </si>
  <si>
    <t>2022-11-29</t>
  </si>
  <si>
    <t>facility_name</t>
  </si>
  <si>
    <t>location</t>
  </si>
  <si>
    <t>capacity_per_day</t>
  </si>
  <si>
    <t>operating_since</t>
  </si>
  <si>
    <t>manager_name</t>
  </si>
  <si>
    <t>is_operational</t>
  </si>
  <si>
    <t>Laundryheap Center - Hebbal</t>
  </si>
  <si>
    <t>2022-09-26</t>
  </si>
  <si>
    <t>Pranav Dara</t>
  </si>
  <si>
    <t>Laundryheap Center - Indiranagar</t>
  </si>
  <si>
    <t>2022-12-05</t>
  </si>
  <si>
    <t>Oviya Raja</t>
  </si>
  <si>
    <t>Laundryheap Center - HSR Layout</t>
  </si>
  <si>
    <t>2022-10-02</t>
  </si>
  <si>
    <t>Unnati Garde</t>
  </si>
  <si>
    <t>Laundryheap Center - Koramangala</t>
  </si>
  <si>
    <t>2022-08-06</t>
  </si>
  <si>
    <t>Azad Krishna</t>
  </si>
  <si>
    <t>Laundryheap Center - Electronic City</t>
  </si>
  <si>
    <t>Tamanna Dey</t>
  </si>
  <si>
    <t>Laundryheap Center - Whitefield</t>
  </si>
  <si>
    <t>2022-06-28</t>
  </si>
  <si>
    <t>Yashasvi Chakrabarti</t>
  </si>
  <si>
    <t>Laundryheap Center - Rajajinagar</t>
  </si>
  <si>
    <t>2022-08-01</t>
  </si>
  <si>
    <t>Eesha Madan</t>
  </si>
  <si>
    <t>Laundryheap Center - Malleshwaram</t>
  </si>
  <si>
    <t>Sanaya Karan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</si>
</sst>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i/>
      <sz val="10"/>
      <color rgb="FFFFFFFF"/>
      <name val="Arial"/>
      <family val="2"/>
    </font>
    <font>
      <b/>
      <sz val="11"/>
      <color rgb="FF12343B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sz val="9"/>
      <color rgb="FF494D5F"/>
      <name val="Courier New"/>
      <family val="3"/>
    </font>
    <font>
      <b/>
      <sz val="13"/>
      <color rgb="FFFFFFFF"/>
      <name val="Arial"/>
      <family val="2"/>
    </font>
    <font>
      <b/>
      <sz val="10"/>
      <color rgb="FF12343B"/>
      <name val="Arial"/>
      <family val="2"/>
    </font>
    <font>
      <sz val="8"/>
      <name val="Arial"/>
      <family val="2"/>
    </font>
    <font>
      <sz val="8"/>
      <color rgb="FF1F497D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2343B"/>
        <bgColor rgb="FF003300"/>
      </patternFill>
    </fill>
    <fill>
      <patternFill patternType="solid">
        <fgColor rgb="FF2D545E"/>
        <bgColor rgb="FF1F497D"/>
      </patternFill>
    </fill>
    <fill>
      <patternFill patternType="solid">
        <fgColor rgb="FFD6ECEE"/>
        <bgColor rgb="FFE2EFDA"/>
      </patternFill>
    </fill>
    <fill>
      <patternFill patternType="solid">
        <fgColor rgb="FFFFFFFF"/>
        <bgColor rgb="FFFFF2CC"/>
      </patternFill>
    </fill>
    <fill>
      <patternFill patternType="solid">
        <fgColor rgb="FFFFF2CC"/>
        <bgColor rgb="FFFFE0E0"/>
      </patternFill>
    </fill>
    <fill>
      <patternFill patternType="solid">
        <fgColor rgb="FFE2EFDA"/>
        <bgColor rgb="FFD6ECEE"/>
      </patternFill>
    </fill>
    <fill>
      <patternFill patternType="solid">
        <fgColor rgb="FFFFE0E0"/>
        <bgColor rgb="FFFFF2CC"/>
      </patternFill>
    </fill>
    <fill>
      <patternFill patternType="solid">
        <fgColor rgb="FF494D5F"/>
        <bgColor rgb="FF2D545E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0" xfId="0" applyFont="1"/>
    <xf numFmtId="0" fontId="4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6" fillId="0" borderId="0" xfId="0" applyFont="1"/>
    <xf numFmtId="0" fontId="4" fillId="3" borderId="1" xfId="0" applyFont="1" applyFill="1" applyBorder="1"/>
    <xf numFmtId="0" fontId="5" fillId="6" borderId="1" xfId="0" applyFont="1" applyFill="1" applyBorder="1"/>
    <xf numFmtId="0" fontId="8" fillId="0" borderId="0" xfId="0" applyFont="1"/>
    <xf numFmtId="0" fontId="5" fillId="7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4" fillId="9" borderId="1" xfId="0" applyFont="1" applyFill="1" applyBorder="1"/>
    <xf numFmtId="0" fontId="5" fillId="4" borderId="1" xfId="0" applyFont="1" applyFill="1" applyBorder="1"/>
    <xf numFmtId="0" fontId="5" fillId="5" borderId="1" xfId="0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0" fontId="5" fillId="6" borderId="1" xfId="0" applyNumberFormat="1" applyFont="1" applyFill="1" applyBorder="1" applyAlignment="1">
      <alignment horizontal="left" vertical="center"/>
    </xf>
    <xf numFmtId="14" fontId="9" fillId="4" borderId="1" xfId="0" applyNumberFormat="1" applyFont="1" applyFill="1" applyBorder="1" applyAlignment="1">
      <alignment horizontal="left" vertical="center"/>
    </xf>
    <xf numFmtId="14" fontId="9" fillId="5" borderId="1" xfId="0" applyNumberFormat="1" applyFont="1" applyFill="1" applyBorder="1" applyAlignment="1">
      <alignment horizontal="left" vertical="center"/>
    </xf>
    <xf numFmtId="22" fontId="9" fillId="4" borderId="1" xfId="0" applyNumberFormat="1" applyFont="1" applyFill="1" applyBorder="1" applyAlignment="1">
      <alignment horizontal="left" vertical="center"/>
    </xf>
    <xf numFmtId="22" fontId="9" fillId="5" borderId="1" xfId="0" applyNumberFormat="1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6EC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2D545E"/>
      <rgbColor rgb="FF969696"/>
      <rgbColor rgb="FF12343B"/>
      <rgbColor rgb="FF339966"/>
      <rgbColor rgb="FF003300"/>
      <rgbColor rgb="FF333300"/>
      <rgbColor rgb="FF993300"/>
      <rgbColor rgb="FF993366"/>
      <rgbColor rgb="FF1F497D"/>
      <rgbColor rgb="FF494D5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showGridLines="0" topLeftCell="A5" zoomScaleNormal="100" workbookViewId="0">
      <selection activeCell="E18" sqref="E18"/>
    </sheetView>
  </sheetViews>
  <sheetFormatPr defaultColWidth="8.7109375" defaultRowHeight="14.45"/>
  <cols>
    <col min="1" max="1" width="20" customWidth="1"/>
    <col min="2" max="2" width="30" customWidth="1"/>
    <col min="3" max="3" width="12" customWidth="1"/>
    <col min="4" max="4" width="22" customWidth="1"/>
    <col min="5" max="5" width="45" customWidth="1"/>
  </cols>
  <sheetData>
    <row r="1" spans="1:6" ht="39.75" customHeight="1">
      <c r="A1" s="30" t="s">
        <v>0</v>
      </c>
      <c r="B1" s="30"/>
      <c r="C1" s="30"/>
      <c r="D1" s="30"/>
      <c r="E1" s="30"/>
      <c r="F1" s="30"/>
    </row>
    <row r="2" spans="1:6" ht="19.5" customHeight="1">
      <c r="A2" s="31" t="s">
        <v>1</v>
      </c>
      <c r="B2" s="31"/>
      <c r="C2" s="31"/>
      <c r="D2" s="31"/>
      <c r="E2" s="31"/>
      <c r="F2" s="31"/>
    </row>
    <row r="4" spans="1:6">
      <c r="A4" s="1" t="s">
        <v>2</v>
      </c>
    </row>
    <row r="5" spans="1:6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</row>
    <row r="6" spans="1:6">
      <c r="A6" s="3" t="s">
        <v>8</v>
      </c>
      <c r="B6" s="3" t="s">
        <v>9</v>
      </c>
      <c r="C6" s="3" t="s">
        <v>10</v>
      </c>
      <c r="D6" s="3" t="s">
        <v>10</v>
      </c>
      <c r="E6" s="3" t="s">
        <v>11</v>
      </c>
    </row>
    <row r="7" spans="1:6">
      <c r="A7" s="4" t="s">
        <v>12</v>
      </c>
      <c r="B7" s="4" t="s">
        <v>13</v>
      </c>
      <c r="C7" s="4" t="s">
        <v>10</v>
      </c>
      <c r="D7" s="4" t="s">
        <v>10</v>
      </c>
      <c r="E7" s="4" t="s">
        <v>14</v>
      </c>
    </row>
    <row r="8" spans="1:6">
      <c r="A8" s="3" t="s">
        <v>15</v>
      </c>
      <c r="B8" s="3" t="s">
        <v>16</v>
      </c>
      <c r="C8" s="3" t="s">
        <v>17</v>
      </c>
      <c r="D8" s="3" t="s">
        <v>18</v>
      </c>
      <c r="E8" s="3" t="s">
        <v>19</v>
      </c>
    </row>
    <row r="9" spans="1:6">
      <c r="A9" s="4" t="s">
        <v>20</v>
      </c>
      <c r="B9" s="4" t="s">
        <v>21</v>
      </c>
      <c r="C9" s="4" t="s">
        <v>22</v>
      </c>
      <c r="D9" s="4" t="s">
        <v>23</v>
      </c>
      <c r="E9" s="4" t="s">
        <v>24</v>
      </c>
    </row>
    <row r="10" spans="1:6">
      <c r="A10" s="3" t="s">
        <v>25</v>
      </c>
      <c r="B10" s="3" t="s">
        <v>26</v>
      </c>
      <c r="C10" s="3" t="s">
        <v>27</v>
      </c>
      <c r="D10" s="3" t="s">
        <v>28</v>
      </c>
      <c r="E10" s="3" t="s">
        <v>24</v>
      </c>
    </row>
    <row r="11" spans="1:6">
      <c r="A11" s="4" t="s">
        <v>29</v>
      </c>
      <c r="B11" s="4" t="s">
        <v>30</v>
      </c>
      <c r="C11" s="4" t="s">
        <v>31</v>
      </c>
      <c r="D11" s="4" t="s">
        <v>32</v>
      </c>
      <c r="E11" s="4" t="s">
        <v>24</v>
      </c>
    </row>
    <row r="13" spans="1:6">
      <c r="A13" s="1" t="s">
        <v>33</v>
      </c>
    </row>
    <row r="14" spans="1:6">
      <c r="A14" s="5" t="s">
        <v>34</v>
      </c>
    </row>
    <row r="15" spans="1:6">
      <c r="A15" s="5" t="s">
        <v>35</v>
      </c>
    </row>
    <row r="16" spans="1:6">
      <c r="A16" s="5" t="s">
        <v>36</v>
      </c>
    </row>
    <row r="17" spans="1:4">
      <c r="A17" s="5"/>
    </row>
    <row r="18" spans="1:4">
      <c r="A18" s="5" t="s">
        <v>37</v>
      </c>
    </row>
    <row r="20" spans="1:4">
      <c r="A20" s="1" t="s">
        <v>38</v>
      </c>
    </row>
    <row r="21" spans="1:4">
      <c r="A21" s="6" t="s">
        <v>39</v>
      </c>
      <c r="B21" s="6" t="s">
        <v>40</v>
      </c>
      <c r="C21" s="6" t="s">
        <v>41</v>
      </c>
      <c r="D21" s="6" t="s">
        <v>42</v>
      </c>
    </row>
    <row r="22" spans="1:4">
      <c r="A22" s="7" t="s">
        <v>43</v>
      </c>
      <c r="B22" s="7" t="s">
        <v>44</v>
      </c>
      <c r="C22" s="7" t="s">
        <v>45</v>
      </c>
      <c r="D22" s="7" t="s">
        <v>46</v>
      </c>
    </row>
    <row r="23" spans="1:4">
      <c r="A23" s="7" t="s">
        <v>43</v>
      </c>
      <c r="B23" s="7" t="s">
        <v>47</v>
      </c>
      <c r="C23" s="7" t="s">
        <v>45</v>
      </c>
      <c r="D23" s="7" t="s">
        <v>48</v>
      </c>
    </row>
    <row r="24" spans="1:4">
      <c r="A24" s="7" t="s">
        <v>43</v>
      </c>
      <c r="B24" s="7" t="s">
        <v>49</v>
      </c>
      <c r="C24" s="7" t="s">
        <v>50</v>
      </c>
      <c r="D24" s="7" t="s">
        <v>51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showGridLines="0" zoomScaleNormal="100" workbookViewId="0">
      <selection activeCell="A3" sqref="A3"/>
    </sheetView>
  </sheetViews>
  <sheetFormatPr defaultColWidth="8.7109375" defaultRowHeight="14.45"/>
  <cols>
    <col min="1" max="1" width="5" customWidth="1"/>
    <col min="2" max="2" width="18" customWidth="1"/>
    <col min="3" max="3" width="20" customWidth="1"/>
    <col min="4" max="4" width="14" customWidth="1"/>
    <col min="5" max="5" width="10" customWidth="1"/>
    <col min="6" max="6" width="16" customWidth="1"/>
    <col min="7" max="7" width="38" customWidth="1"/>
  </cols>
  <sheetData>
    <row r="1" spans="1:7" ht="30" customHeight="1">
      <c r="A1" s="32" t="s">
        <v>52</v>
      </c>
      <c r="B1" s="32"/>
      <c r="C1" s="32"/>
      <c r="D1" s="32"/>
      <c r="E1" s="32"/>
      <c r="F1" s="32"/>
      <c r="G1" s="32"/>
    </row>
    <row r="3" spans="1:7">
      <c r="A3" s="8" t="s">
        <v>53</v>
      </c>
    </row>
    <row r="4" spans="1:7">
      <c r="A4" s="2" t="s">
        <v>39</v>
      </c>
      <c r="B4" s="2" t="s">
        <v>54</v>
      </c>
      <c r="C4" s="2" t="s">
        <v>40</v>
      </c>
      <c r="D4" s="2" t="s">
        <v>41</v>
      </c>
      <c r="E4" s="2" t="s">
        <v>55</v>
      </c>
      <c r="F4" s="2" t="s">
        <v>56</v>
      </c>
      <c r="G4" s="2" t="s">
        <v>57</v>
      </c>
    </row>
    <row r="5" spans="1:7">
      <c r="A5" s="9" t="s">
        <v>58</v>
      </c>
      <c r="B5" s="9">
        <v>500</v>
      </c>
      <c r="C5" s="9" t="s">
        <v>59</v>
      </c>
      <c r="D5" s="9">
        <v>0</v>
      </c>
      <c r="E5" s="9" t="s">
        <v>60</v>
      </c>
      <c r="F5" s="9" t="s">
        <v>61</v>
      </c>
      <c r="G5" s="9" t="s">
        <v>62</v>
      </c>
    </row>
    <row r="6" spans="1:7">
      <c r="A6" s="9" t="s">
        <v>63</v>
      </c>
      <c r="B6" s="9">
        <v>60</v>
      </c>
      <c r="C6" s="9" t="s">
        <v>59</v>
      </c>
      <c r="D6" s="9">
        <v>0</v>
      </c>
      <c r="E6" s="9" t="s">
        <v>60</v>
      </c>
      <c r="F6" s="9" t="s">
        <v>61</v>
      </c>
      <c r="G6" s="9" t="s">
        <v>62</v>
      </c>
    </row>
    <row r="7" spans="1:7">
      <c r="A7" s="9" t="s">
        <v>64</v>
      </c>
      <c r="B7" s="9">
        <v>8</v>
      </c>
      <c r="C7" s="9" t="s">
        <v>59</v>
      </c>
      <c r="D7" s="9">
        <v>0</v>
      </c>
      <c r="E7" s="9" t="s">
        <v>60</v>
      </c>
      <c r="F7" s="9" t="s">
        <v>61</v>
      </c>
      <c r="G7" s="9" t="s">
        <v>62</v>
      </c>
    </row>
    <row r="8" spans="1:7">
      <c r="A8" s="10" t="s">
        <v>43</v>
      </c>
      <c r="B8" s="10">
        <v>3000</v>
      </c>
      <c r="C8" s="10" t="s">
        <v>44</v>
      </c>
      <c r="D8" s="10">
        <v>494</v>
      </c>
      <c r="E8" s="24">
        <v>0.16500000000000001</v>
      </c>
      <c r="F8" s="10" t="s">
        <v>65</v>
      </c>
      <c r="G8" s="10" t="s">
        <v>66</v>
      </c>
    </row>
    <row r="9" spans="1:7">
      <c r="A9" s="10" t="s">
        <v>43</v>
      </c>
      <c r="B9" s="10">
        <v>3000</v>
      </c>
      <c r="C9" s="10" t="s">
        <v>47</v>
      </c>
      <c r="D9" s="10">
        <v>494</v>
      </c>
      <c r="E9" s="10" t="s">
        <v>67</v>
      </c>
      <c r="F9" s="10" t="s">
        <v>65</v>
      </c>
      <c r="G9" s="10" t="s">
        <v>66</v>
      </c>
    </row>
    <row r="10" spans="1:7">
      <c r="A10" s="11" t="s">
        <v>43</v>
      </c>
      <c r="B10" s="11">
        <v>3000</v>
      </c>
      <c r="C10" s="11" t="s">
        <v>49</v>
      </c>
      <c r="D10" s="11">
        <v>999</v>
      </c>
      <c r="E10" s="11" t="s">
        <v>68</v>
      </c>
      <c r="F10" s="11" t="s">
        <v>69</v>
      </c>
      <c r="G10" s="11" t="s">
        <v>70</v>
      </c>
    </row>
    <row r="12" spans="1:7">
      <c r="A12" s="8" t="s">
        <v>71</v>
      </c>
    </row>
    <row r="13" spans="1:7">
      <c r="A13" s="12" t="s">
        <v>72</v>
      </c>
      <c r="B13" s="12" t="s">
        <v>73</v>
      </c>
      <c r="C13" s="12" t="s">
        <v>74</v>
      </c>
    </row>
    <row r="14" spans="1:7">
      <c r="A14" s="13" t="s">
        <v>75</v>
      </c>
      <c r="B14" s="13" t="s">
        <v>76</v>
      </c>
      <c r="C14" s="13" t="s">
        <v>77</v>
      </c>
    </row>
    <row r="15" spans="1:7">
      <c r="A15" s="14" t="s">
        <v>78</v>
      </c>
      <c r="B15" s="14" t="s">
        <v>79</v>
      </c>
      <c r="C15" s="14" t="s">
        <v>80</v>
      </c>
    </row>
    <row r="16" spans="1:7">
      <c r="A16" s="13" t="s">
        <v>81</v>
      </c>
      <c r="B16" s="13" t="s">
        <v>82</v>
      </c>
      <c r="C16" s="13" t="s">
        <v>83</v>
      </c>
    </row>
    <row r="17" spans="1:3">
      <c r="A17" s="14" t="s">
        <v>84</v>
      </c>
      <c r="B17" s="14" t="s">
        <v>85</v>
      </c>
      <c r="C17" s="14" t="s">
        <v>86</v>
      </c>
    </row>
    <row r="18" spans="1:3">
      <c r="A18" s="13" t="s">
        <v>87</v>
      </c>
      <c r="B18" s="13" t="s">
        <v>88</v>
      </c>
      <c r="C18" s="13" t="s">
        <v>89</v>
      </c>
    </row>
    <row r="19" spans="1:3">
      <c r="A19" s="14" t="s">
        <v>90</v>
      </c>
      <c r="B19" s="14" t="s">
        <v>91</v>
      </c>
      <c r="C19" s="14" t="s">
        <v>92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001"/>
  <sheetViews>
    <sheetView showGridLines="0" tabSelected="1" topLeftCell="J1" zoomScaleNormal="100" workbookViewId="0">
      <pane ySplit="1" topLeftCell="A2" activePane="bottomLeft" state="frozen"/>
      <selection pane="bottomLeft" activeCell="S2" sqref="S2"/>
    </sheetView>
  </sheetViews>
  <sheetFormatPr defaultColWidth="8.7109375" defaultRowHeight="14.45"/>
  <cols>
    <col min="1" max="1" width="10" customWidth="1"/>
    <col min="2" max="2" width="13" customWidth="1"/>
    <col min="3" max="3" width="10" customWidth="1"/>
    <col min="4" max="4" width="13" customWidth="1"/>
    <col min="5" max="6" width="12" customWidth="1"/>
    <col min="7" max="7" width="14" customWidth="1"/>
    <col min="8" max="8" width="11" customWidth="1"/>
    <col min="9" max="9" width="19" customWidth="1"/>
    <col min="10" max="11" width="14" customWidth="1"/>
    <col min="12" max="12" width="16" customWidth="1"/>
    <col min="13" max="13" width="11" customWidth="1"/>
    <col min="14" max="15" width="18" customWidth="1"/>
    <col min="16" max="16" width="17" customWidth="1"/>
    <col min="17" max="17" width="16" customWidth="1"/>
    <col min="18" max="18" width="12" customWidth="1"/>
    <col min="19" max="19" width="30" customWidth="1"/>
    <col min="20" max="20" width="16.5703125" customWidth="1"/>
    <col min="21" max="21" width="11" customWidth="1"/>
    <col min="22" max="22" width="12.140625" customWidth="1"/>
  </cols>
  <sheetData>
    <row r="1" spans="1:22" ht="30" customHeight="1">
      <c r="A1" s="15" t="s">
        <v>93</v>
      </c>
      <c r="B1" s="15" t="s">
        <v>94</v>
      </c>
      <c r="C1" s="15" t="s">
        <v>95</v>
      </c>
      <c r="D1" s="15" t="s">
        <v>96</v>
      </c>
      <c r="E1" s="15" t="s">
        <v>97</v>
      </c>
      <c r="F1" s="15" t="s">
        <v>98</v>
      </c>
      <c r="G1" s="15" t="s">
        <v>99</v>
      </c>
      <c r="H1" s="15" t="s">
        <v>100</v>
      </c>
      <c r="I1" s="15" t="s">
        <v>101</v>
      </c>
      <c r="J1" s="15" t="s">
        <v>102</v>
      </c>
      <c r="K1" s="15" t="s">
        <v>103</v>
      </c>
      <c r="L1" s="15" t="s">
        <v>104</v>
      </c>
      <c r="M1" s="15" t="s">
        <v>105</v>
      </c>
      <c r="N1" s="15" t="s">
        <v>44</v>
      </c>
      <c r="O1" s="15" t="s">
        <v>47</v>
      </c>
      <c r="P1" s="15" t="s">
        <v>49</v>
      </c>
      <c r="Q1" s="15" t="s">
        <v>106</v>
      </c>
      <c r="R1" s="15" t="s">
        <v>107</v>
      </c>
      <c r="S1" s="15" t="s">
        <v>108</v>
      </c>
      <c r="T1" s="29" t="s">
        <v>109</v>
      </c>
      <c r="U1" s="29" t="s">
        <v>110</v>
      </c>
      <c r="V1" s="29" t="s">
        <v>111</v>
      </c>
    </row>
    <row r="2" spans="1:22">
      <c r="A2" s="16" t="s">
        <v>112</v>
      </c>
      <c r="B2" s="16" t="s">
        <v>113</v>
      </c>
      <c r="C2" s="16" t="s">
        <v>114</v>
      </c>
      <c r="D2" s="16" t="s">
        <v>115</v>
      </c>
      <c r="E2" s="25">
        <v>45118</v>
      </c>
      <c r="F2" s="16" t="s">
        <v>116</v>
      </c>
      <c r="G2" s="16" t="s">
        <v>117</v>
      </c>
      <c r="H2" s="16">
        <v>4.9000000000000004</v>
      </c>
      <c r="I2" s="16">
        <v>149</v>
      </c>
      <c r="J2" s="16">
        <v>0</v>
      </c>
      <c r="K2" s="16">
        <v>730.1</v>
      </c>
      <c r="L2" s="16" t="s">
        <v>118</v>
      </c>
      <c r="M2" s="16" t="s">
        <v>119</v>
      </c>
      <c r="N2" s="27">
        <v>45118.609722222223</v>
      </c>
      <c r="O2" s="27">
        <v>45119.488194444442</v>
      </c>
      <c r="P2" s="16">
        <v>3.9</v>
      </c>
      <c r="Q2" s="16" t="b">
        <f>FALSE()</f>
        <v>0</v>
      </c>
      <c r="R2" s="16" t="b">
        <f>FALSE()</f>
        <v>0</v>
      </c>
      <c r="S2" s="17">
        <f t="shared" ref="S2:S65" si="0">IF(OR(N2="",O2=""),"N/A",ROUND(((O2-N2)*24),1))</f>
        <v>21.1</v>
      </c>
      <c r="T2">
        <f>COUNTIF('👤 Customers'!$A:$A, B2)</f>
        <v>1</v>
      </c>
      <c r="U2">
        <f>COUNTIF('🚴 Riders'!A1:A61, C2)</f>
        <v>1</v>
      </c>
      <c r="V2">
        <f>COUNTIF('🏭 Facilities'!A1:A9, D2)</f>
        <v>1</v>
      </c>
    </row>
    <row r="3" spans="1:22">
      <c r="A3" s="18" t="s">
        <v>120</v>
      </c>
      <c r="B3" s="18" t="s">
        <v>121</v>
      </c>
      <c r="C3" s="18" t="s">
        <v>122</v>
      </c>
      <c r="D3" s="18" t="s">
        <v>123</v>
      </c>
      <c r="E3" s="26">
        <v>45150</v>
      </c>
      <c r="F3" s="18" t="s">
        <v>124</v>
      </c>
      <c r="G3" s="18" t="s">
        <v>125</v>
      </c>
      <c r="H3" s="18">
        <v>5</v>
      </c>
      <c r="I3" s="18">
        <v>199</v>
      </c>
      <c r="J3" s="18">
        <v>0</v>
      </c>
      <c r="K3" s="18">
        <v>995</v>
      </c>
      <c r="L3" s="18" t="s">
        <v>126</v>
      </c>
      <c r="M3" s="18" t="s">
        <v>119</v>
      </c>
      <c r="N3" s="28">
        <v>45150.672222222223</v>
      </c>
      <c r="O3" s="28">
        <v>45151.74722222222</v>
      </c>
      <c r="P3" s="18">
        <v>3.4</v>
      </c>
      <c r="Q3" s="18" t="b">
        <f>FALSE()</f>
        <v>0</v>
      </c>
      <c r="R3" s="18" t="b">
        <f>FALSE()</f>
        <v>0</v>
      </c>
      <c r="S3" s="19">
        <f t="shared" si="0"/>
        <v>25.8</v>
      </c>
      <c r="T3">
        <f>COUNTIF('👤 Customers'!$A:$A, B3)</f>
        <v>1</v>
      </c>
      <c r="U3">
        <f>COUNTIF('🚴 Riders'!A2:A62, C3)</f>
        <v>1</v>
      </c>
      <c r="V3">
        <f>COUNTIF('🏭 Facilities'!A2:A10, D3)</f>
        <v>1</v>
      </c>
    </row>
    <row r="4" spans="1:22">
      <c r="A4" s="16" t="s">
        <v>127</v>
      </c>
      <c r="B4" s="16" t="s">
        <v>128</v>
      </c>
      <c r="C4" s="16" t="s">
        <v>129</v>
      </c>
      <c r="D4" s="16" t="s">
        <v>130</v>
      </c>
      <c r="E4" s="25">
        <v>45299</v>
      </c>
      <c r="F4" s="16" t="s">
        <v>131</v>
      </c>
      <c r="G4" s="16" t="s">
        <v>132</v>
      </c>
      <c r="H4" s="16">
        <v>2.4</v>
      </c>
      <c r="I4" s="16">
        <v>399</v>
      </c>
      <c r="J4" s="16">
        <v>0</v>
      </c>
      <c r="K4" s="16">
        <v>957.6</v>
      </c>
      <c r="L4" s="16" t="s">
        <v>126</v>
      </c>
      <c r="M4" s="16" t="s">
        <v>133</v>
      </c>
      <c r="N4" s="20"/>
      <c r="O4" s="20"/>
      <c r="P4" s="20"/>
      <c r="Q4" s="16" t="b">
        <f>FALSE()</f>
        <v>0</v>
      </c>
      <c r="R4" s="16" t="b">
        <f>FALSE()</f>
        <v>0</v>
      </c>
      <c r="S4" s="17" t="str">
        <f t="shared" si="0"/>
        <v>N/A</v>
      </c>
      <c r="T4">
        <f>COUNTIF('👤 Customers'!$A:$A, B4)</f>
        <v>1</v>
      </c>
      <c r="U4">
        <f>COUNTIF('🚴 Riders'!A3:A63, C4)</f>
        <v>1</v>
      </c>
      <c r="V4">
        <f>COUNTIF('🏭 Facilities'!A3:A11, D4)</f>
        <v>1</v>
      </c>
    </row>
    <row r="5" spans="1:22">
      <c r="A5" s="18" t="s">
        <v>134</v>
      </c>
      <c r="B5" s="18" t="s">
        <v>135</v>
      </c>
      <c r="C5" s="18" t="s">
        <v>136</v>
      </c>
      <c r="D5" s="18" t="s">
        <v>137</v>
      </c>
      <c r="E5" s="26">
        <v>45422</v>
      </c>
      <c r="F5" s="18" t="s">
        <v>138</v>
      </c>
      <c r="G5" s="18" t="s">
        <v>132</v>
      </c>
      <c r="H5" s="18">
        <v>1.4</v>
      </c>
      <c r="I5" s="18">
        <v>399</v>
      </c>
      <c r="J5" s="18">
        <v>0</v>
      </c>
      <c r="K5" s="18">
        <v>558.6</v>
      </c>
      <c r="L5" s="18" t="s">
        <v>139</v>
      </c>
      <c r="M5" s="18" t="s">
        <v>140</v>
      </c>
      <c r="N5" s="28">
        <v>45422.595833333333</v>
      </c>
      <c r="O5" s="28">
        <v>45423.409722222219</v>
      </c>
      <c r="P5" s="20"/>
      <c r="Q5" s="18" t="b">
        <f>FALSE()</f>
        <v>0</v>
      </c>
      <c r="R5" s="18" t="b">
        <f>FALSE()</f>
        <v>0</v>
      </c>
      <c r="S5" s="19">
        <f t="shared" si="0"/>
        <v>19.5</v>
      </c>
      <c r="T5">
        <f>COUNTIF('👤 Customers'!$A:$A, B5)</f>
        <v>1</v>
      </c>
      <c r="U5">
        <f>COUNTIF('🚴 Riders'!A4:A64, C5)</f>
        <v>1</v>
      </c>
      <c r="V5">
        <f>COUNTIF('🏭 Facilities'!A4:A12, D5)</f>
        <v>1</v>
      </c>
    </row>
    <row r="6" spans="1:22">
      <c r="A6" s="16" t="s">
        <v>141</v>
      </c>
      <c r="B6" s="16" t="s">
        <v>142</v>
      </c>
      <c r="C6" s="16" t="s">
        <v>143</v>
      </c>
      <c r="D6" s="16" t="s">
        <v>130</v>
      </c>
      <c r="E6" s="25">
        <v>45296</v>
      </c>
      <c r="F6" s="16" t="s">
        <v>144</v>
      </c>
      <c r="G6" s="16" t="s">
        <v>145</v>
      </c>
      <c r="H6" s="16">
        <v>5.6</v>
      </c>
      <c r="I6" s="16">
        <v>299</v>
      </c>
      <c r="J6" s="16">
        <v>10</v>
      </c>
      <c r="K6" s="16">
        <v>1506.96</v>
      </c>
      <c r="L6" s="16" t="s">
        <v>146</v>
      </c>
      <c r="M6" s="16" t="s">
        <v>119</v>
      </c>
      <c r="N6" s="27">
        <v>45296.554166666669</v>
      </c>
      <c r="O6" s="27">
        <v>45297.40625</v>
      </c>
      <c r="P6" s="16">
        <v>4.3</v>
      </c>
      <c r="Q6" s="16" t="b">
        <f>FALSE()</f>
        <v>0</v>
      </c>
      <c r="R6" s="16" t="b">
        <f>TRUE()</f>
        <v>1</v>
      </c>
      <c r="S6" s="17">
        <f t="shared" si="0"/>
        <v>20.399999999999999</v>
      </c>
      <c r="T6">
        <f>COUNTIF('👤 Customers'!$A:$A, B6)</f>
        <v>1</v>
      </c>
      <c r="U6">
        <f>COUNTIF('🚴 Riders'!A5:A65, C6)</f>
        <v>1</v>
      </c>
      <c r="V6">
        <f>COUNTIF('🏭 Facilities'!A5:A13, D6)</f>
        <v>1</v>
      </c>
    </row>
    <row r="7" spans="1:22">
      <c r="A7" s="18" t="s">
        <v>147</v>
      </c>
      <c r="B7" s="18" t="s">
        <v>148</v>
      </c>
      <c r="C7" s="18" t="s">
        <v>149</v>
      </c>
      <c r="D7" s="18" t="s">
        <v>123</v>
      </c>
      <c r="E7" s="26">
        <v>45642</v>
      </c>
      <c r="F7" s="18" t="s">
        <v>150</v>
      </c>
      <c r="G7" s="18" t="s">
        <v>132</v>
      </c>
      <c r="H7" s="18">
        <v>3.9</v>
      </c>
      <c r="I7" s="18">
        <v>399</v>
      </c>
      <c r="J7" s="18">
        <v>20</v>
      </c>
      <c r="K7" s="18">
        <v>1244.8800000000001</v>
      </c>
      <c r="L7" s="18" t="s">
        <v>126</v>
      </c>
      <c r="M7" s="18" t="s">
        <v>119</v>
      </c>
      <c r="N7" s="28">
        <v>45642.893750000003</v>
      </c>
      <c r="O7" s="28">
        <v>45643.524305555555</v>
      </c>
      <c r="P7" s="18">
        <v>2.5</v>
      </c>
      <c r="Q7" s="18" t="b">
        <f>FALSE()</f>
        <v>0</v>
      </c>
      <c r="R7" s="18" t="b">
        <f>TRUE()</f>
        <v>1</v>
      </c>
      <c r="S7" s="19">
        <f t="shared" si="0"/>
        <v>15.1</v>
      </c>
      <c r="T7">
        <f>COUNTIF('👤 Customers'!$A:$A, B7)</f>
        <v>1</v>
      </c>
      <c r="U7">
        <f>COUNTIF('🚴 Riders'!A6:A66, C7)</f>
        <v>1</v>
      </c>
      <c r="V7">
        <f>COUNTIF('🏭 Facilities'!A6:A14, D7)</f>
        <v>1</v>
      </c>
    </row>
    <row r="8" spans="1:22">
      <c r="A8" s="16" t="s">
        <v>151</v>
      </c>
      <c r="B8" s="16" t="s">
        <v>152</v>
      </c>
      <c r="C8" s="16" t="s">
        <v>153</v>
      </c>
      <c r="D8" s="16" t="s">
        <v>130</v>
      </c>
      <c r="E8" s="25">
        <v>45187</v>
      </c>
      <c r="F8" s="16" t="s">
        <v>154</v>
      </c>
      <c r="G8" s="16" t="s">
        <v>117</v>
      </c>
      <c r="H8" s="16">
        <v>4.2</v>
      </c>
      <c r="I8" s="16">
        <v>149</v>
      </c>
      <c r="J8" s="16">
        <v>10</v>
      </c>
      <c r="K8" s="16">
        <v>563.22</v>
      </c>
      <c r="L8" s="16" t="s">
        <v>126</v>
      </c>
      <c r="M8" s="16" t="s">
        <v>133</v>
      </c>
      <c r="N8" s="20"/>
      <c r="O8" s="20"/>
      <c r="P8" s="20"/>
      <c r="Q8" s="16" t="b">
        <f>FALSE()</f>
        <v>0</v>
      </c>
      <c r="R8" s="16" t="b">
        <f>FALSE()</f>
        <v>0</v>
      </c>
      <c r="S8" s="17" t="str">
        <f t="shared" si="0"/>
        <v>N/A</v>
      </c>
      <c r="T8">
        <f>COUNTIF('👤 Customers'!$A:$A, B8)</f>
        <v>1</v>
      </c>
      <c r="U8">
        <f>COUNTIF('🚴 Riders'!A7:A67, C8)</f>
        <v>1</v>
      </c>
      <c r="V8">
        <f>COUNTIF('🏭 Facilities'!A7:A15, D8)</f>
        <v>0</v>
      </c>
    </row>
    <row r="9" spans="1:22">
      <c r="A9" s="18" t="s">
        <v>155</v>
      </c>
      <c r="B9" s="18" t="s">
        <v>156</v>
      </c>
      <c r="C9" s="18" t="s">
        <v>157</v>
      </c>
      <c r="D9" s="18" t="s">
        <v>158</v>
      </c>
      <c r="E9" s="26">
        <v>45430</v>
      </c>
      <c r="F9" s="18" t="s">
        <v>159</v>
      </c>
      <c r="G9" s="18" t="s">
        <v>117</v>
      </c>
      <c r="H9" s="18">
        <v>6</v>
      </c>
      <c r="I9" s="18">
        <v>149</v>
      </c>
      <c r="J9" s="18">
        <v>0</v>
      </c>
      <c r="K9" s="18">
        <v>894</v>
      </c>
      <c r="L9" s="18" t="s">
        <v>139</v>
      </c>
      <c r="M9" s="18" t="s">
        <v>119</v>
      </c>
      <c r="N9" s="28">
        <v>45430.673611111109</v>
      </c>
      <c r="O9" s="28">
        <v>45431.454861111109</v>
      </c>
      <c r="P9" s="18">
        <v>3.8</v>
      </c>
      <c r="Q9" s="18" t="b">
        <f>TRUE()</f>
        <v>1</v>
      </c>
      <c r="R9" s="18" t="b">
        <f>FALSE()</f>
        <v>0</v>
      </c>
      <c r="S9" s="19">
        <f t="shared" si="0"/>
        <v>18.8</v>
      </c>
      <c r="T9">
        <f>COUNTIF('👤 Customers'!$A:$A, B9)</f>
        <v>1</v>
      </c>
      <c r="U9">
        <f>COUNTIF('🚴 Riders'!A8:A68, C9)</f>
        <v>1</v>
      </c>
      <c r="V9">
        <f>COUNTIF('🏭 Facilities'!A8:A16, D9)</f>
        <v>1</v>
      </c>
    </row>
    <row r="10" spans="1:22">
      <c r="A10" s="16" t="s">
        <v>160</v>
      </c>
      <c r="B10" s="16" t="s">
        <v>161</v>
      </c>
      <c r="C10" s="16" t="s">
        <v>162</v>
      </c>
      <c r="D10" s="16" t="s">
        <v>123</v>
      </c>
      <c r="E10" s="25">
        <v>45070</v>
      </c>
      <c r="F10" s="16" t="s">
        <v>163</v>
      </c>
      <c r="G10" s="16" t="s">
        <v>132</v>
      </c>
      <c r="H10" s="16">
        <v>4.3</v>
      </c>
      <c r="I10" s="16">
        <v>399</v>
      </c>
      <c r="J10" s="16">
        <v>20</v>
      </c>
      <c r="K10" s="16">
        <v>1372.56</v>
      </c>
      <c r="L10" s="16" t="s">
        <v>146</v>
      </c>
      <c r="M10" s="16" t="s">
        <v>119</v>
      </c>
      <c r="N10" s="27">
        <v>45070.582638888889</v>
      </c>
      <c r="O10" s="27">
        <v>45071.113194444442</v>
      </c>
      <c r="P10" s="16">
        <v>4.3</v>
      </c>
      <c r="Q10" s="16" t="b">
        <f>TRUE()</f>
        <v>1</v>
      </c>
      <c r="R10" s="16" t="b">
        <f>FALSE()</f>
        <v>0</v>
      </c>
      <c r="S10" s="17">
        <f t="shared" si="0"/>
        <v>12.7</v>
      </c>
      <c r="T10">
        <f>COUNTIF('👤 Customers'!$A:$A, B10)</f>
        <v>1</v>
      </c>
      <c r="U10">
        <f>COUNTIF('🚴 Riders'!A9:A69, C10)</f>
        <v>1</v>
      </c>
      <c r="V10">
        <f>COUNTIF('🏭 Facilities'!A9:A17, D10)</f>
        <v>0</v>
      </c>
    </row>
    <row r="11" spans="1:22">
      <c r="A11" s="18" t="s">
        <v>164</v>
      </c>
      <c r="B11" s="18" t="s">
        <v>165</v>
      </c>
      <c r="C11" s="18" t="s">
        <v>166</v>
      </c>
      <c r="D11" s="18" t="s">
        <v>123</v>
      </c>
      <c r="E11" s="26">
        <v>45465</v>
      </c>
      <c r="F11" s="18" t="s">
        <v>167</v>
      </c>
      <c r="G11" s="18" t="s">
        <v>132</v>
      </c>
      <c r="H11" s="18">
        <v>1.4</v>
      </c>
      <c r="I11" s="18">
        <v>399</v>
      </c>
      <c r="J11" s="18">
        <v>0</v>
      </c>
      <c r="K11" s="18">
        <v>558.6</v>
      </c>
      <c r="L11" s="18" t="s">
        <v>126</v>
      </c>
      <c r="M11" s="18" t="s">
        <v>119</v>
      </c>
      <c r="N11" s="28">
        <v>45465.133333333331</v>
      </c>
      <c r="O11" s="28">
        <v>45466.015972222223</v>
      </c>
      <c r="P11" s="18">
        <v>4.0999999999999996</v>
      </c>
      <c r="Q11" s="18" t="b">
        <f>FALSE()</f>
        <v>0</v>
      </c>
      <c r="R11" s="18" t="b">
        <f>FALSE()</f>
        <v>0</v>
      </c>
      <c r="S11" s="19">
        <f t="shared" si="0"/>
        <v>21.2</v>
      </c>
      <c r="T11">
        <f>COUNTIF('👤 Customers'!$A:$A, B11)</f>
        <v>1</v>
      </c>
      <c r="U11">
        <f>COUNTIF('🚴 Riders'!A10:A70, C11)</f>
        <v>1</v>
      </c>
      <c r="V11">
        <f>COUNTIF('🏭 Facilities'!A10:A18, D11)</f>
        <v>0</v>
      </c>
    </row>
    <row r="12" spans="1:22">
      <c r="A12" s="16" t="s">
        <v>168</v>
      </c>
      <c r="B12" s="16" t="s">
        <v>169</v>
      </c>
      <c r="C12" s="16" t="s">
        <v>170</v>
      </c>
      <c r="D12" s="16" t="s">
        <v>115</v>
      </c>
      <c r="E12" s="25">
        <v>45098</v>
      </c>
      <c r="F12" s="16" t="s">
        <v>171</v>
      </c>
      <c r="G12" s="16" t="s">
        <v>132</v>
      </c>
      <c r="H12" s="16">
        <v>7.7</v>
      </c>
      <c r="I12" s="16">
        <v>399</v>
      </c>
      <c r="J12" s="16">
        <v>0</v>
      </c>
      <c r="K12" s="16">
        <v>3072.3</v>
      </c>
      <c r="L12" s="16" t="s">
        <v>146</v>
      </c>
      <c r="M12" s="16" t="s">
        <v>119</v>
      </c>
      <c r="N12" s="27">
        <v>45098.668055555558</v>
      </c>
      <c r="O12" s="27">
        <v>45099.448611111111</v>
      </c>
      <c r="P12" s="16">
        <v>4.5</v>
      </c>
      <c r="Q12" s="16" t="b">
        <f>FALSE()</f>
        <v>0</v>
      </c>
      <c r="R12" s="16" t="b">
        <f>FALSE()</f>
        <v>0</v>
      </c>
      <c r="S12" s="17">
        <f t="shared" si="0"/>
        <v>18.7</v>
      </c>
      <c r="T12">
        <f>COUNTIF('👤 Customers'!$A:$A, B12)</f>
        <v>1</v>
      </c>
      <c r="U12">
        <f>COUNTIF('🚴 Riders'!A11:A71, C12)</f>
        <v>1</v>
      </c>
      <c r="V12">
        <f>COUNTIF('🏭 Facilities'!A11:A19, D12)</f>
        <v>0</v>
      </c>
    </row>
    <row r="13" spans="1:22">
      <c r="A13" s="18" t="s">
        <v>172</v>
      </c>
      <c r="B13" s="18" t="s">
        <v>173</v>
      </c>
      <c r="C13" s="18" t="s">
        <v>174</v>
      </c>
      <c r="D13" s="18" t="s">
        <v>130</v>
      </c>
      <c r="E13" s="26">
        <v>45455</v>
      </c>
      <c r="F13" s="18" t="s">
        <v>175</v>
      </c>
      <c r="G13" s="18" t="s">
        <v>176</v>
      </c>
      <c r="H13" s="18">
        <v>7.1</v>
      </c>
      <c r="I13" s="18">
        <v>599</v>
      </c>
      <c r="J13" s="18">
        <v>0</v>
      </c>
      <c r="K13" s="18">
        <v>4252.8999999999996</v>
      </c>
      <c r="L13" s="18" t="s">
        <v>146</v>
      </c>
      <c r="M13" s="18" t="s">
        <v>119</v>
      </c>
      <c r="N13" s="28">
        <v>45455.534722222219</v>
      </c>
      <c r="O13" s="28">
        <v>45456.174305555556</v>
      </c>
      <c r="P13" s="18">
        <v>3.8</v>
      </c>
      <c r="Q13" s="18" t="b">
        <f>FALSE()</f>
        <v>0</v>
      </c>
      <c r="R13" s="18" t="b">
        <f>FALSE()</f>
        <v>0</v>
      </c>
      <c r="S13" s="19">
        <f t="shared" si="0"/>
        <v>15.4</v>
      </c>
      <c r="T13">
        <f>COUNTIF('👤 Customers'!$A:$A, B13)</f>
        <v>1</v>
      </c>
      <c r="U13">
        <f>COUNTIF('🚴 Riders'!A12:A72, C13)</f>
        <v>0</v>
      </c>
      <c r="V13">
        <f>COUNTIF('🏭 Facilities'!A12:A20, D13)</f>
        <v>0</v>
      </c>
    </row>
    <row r="14" spans="1:22">
      <c r="A14" s="16" t="s">
        <v>177</v>
      </c>
      <c r="B14" s="16" t="s">
        <v>178</v>
      </c>
      <c r="C14" s="16" t="s">
        <v>179</v>
      </c>
      <c r="D14" s="16" t="s">
        <v>158</v>
      </c>
      <c r="E14" s="25">
        <v>45270</v>
      </c>
      <c r="F14" s="16" t="s">
        <v>180</v>
      </c>
      <c r="G14" s="16" t="s">
        <v>125</v>
      </c>
      <c r="H14" s="16">
        <v>5.8</v>
      </c>
      <c r="I14" s="16">
        <v>199</v>
      </c>
      <c r="J14" s="16">
        <v>10</v>
      </c>
      <c r="K14" s="16">
        <v>1038.78</v>
      </c>
      <c r="L14" s="16" t="s">
        <v>139</v>
      </c>
      <c r="M14" s="16" t="s">
        <v>119</v>
      </c>
      <c r="N14" s="27">
        <v>45270.22152777778</v>
      </c>
      <c r="O14" s="27">
        <v>45270.963194444441</v>
      </c>
      <c r="P14" s="16">
        <v>3.9</v>
      </c>
      <c r="Q14" s="16" t="b">
        <f>FALSE()</f>
        <v>0</v>
      </c>
      <c r="R14" s="16" t="b">
        <f>FALSE()</f>
        <v>0</v>
      </c>
      <c r="S14" s="17">
        <f t="shared" si="0"/>
        <v>17.8</v>
      </c>
      <c r="T14">
        <f>COUNTIF('👤 Customers'!$A:$A, B14)</f>
        <v>1</v>
      </c>
      <c r="U14">
        <f>COUNTIF('🚴 Riders'!A13:A73, C14)</f>
        <v>0</v>
      </c>
      <c r="V14">
        <f>COUNTIF('🏭 Facilities'!A13:A21, D14)</f>
        <v>0</v>
      </c>
    </row>
    <row r="15" spans="1:22">
      <c r="A15" s="18" t="s">
        <v>181</v>
      </c>
      <c r="B15" s="18" t="s">
        <v>182</v>
      </c>
      <c r="C15" s="18" t="s">
        <v>183</v>
      </c>
      <c r="D15" s="18" t="s">
        <v>184</v>
      </c>
      <c r="E15" s="26">
        <v>45166</v>
      </c>
      <c r="F15" s="18" t="s">
        <v>185</v>
      </c>
      <c r="G15" s="18" t="s">
        <v>125</v>
      </c>
      <c r="H15" s="18">
        <v>3.8</v>
      </c>
      <c r="I15" s="18">
        <v>199</v>
      </c>
      <c r="J15" s="18">
        <v>20</v>
      </c>
      <c r="K15" s="18">
        <v>604.96</v>
      </c>
      <c r="L15" s="18" t="s">
        <v>126</v>
      </c>
      <c r="M15" s="18" t="s">
        <v>140</v>
      </c>
      <c r="N15" s="28">
        <v>45166.414583333331</v>
      </c>
      <c r="O15" s="28">
        <v>45166.796527777777</v>
      </c>
      <c r="P15" s="20"/>
      <c r="Q15" s="18" t="b">
        <f>FALSE()</f>
        <v>0</v>
      </c>
      <c r="R15" s="18" t="b">
        <f>FALSE()</f>
        <v>0</v>
      </c>
      <c r="S15" s="19">
        <f t="shared" si="0"/>
        <v>9.1999999999999993</v>
      </c>
      <c r="T15">
        <f>COUNTIF('👤 Customers'!$A:$A, B15)</f>
        <v>1</v>
      </c>
      <c r="U15">
        <f>COUNTIF('🚴 Riders'!A14:A74, C15)</f>
        <v>0</v>
      </c>
      <c r="V15">
        <f>COUNTIF('🏭 Facilities'!A14:A22, D15)</f>
        <v>0</v>
      </c>
    </row>
    <row r="16" spans="1:22">
      <c r="A16" s="16" t="s">
        <v>186</v>
      </c>
      <c r="B16" s="16" t="s">
        <v>187</v>
      </c>
      <c r="C16" s="16" t="s">
        <v>188</v>
      </c>
      <c r="D16" s="16" t="s">
        <v>115</v>
      </c>
      <c r="E16" s="25">
        <v>45149</v>
      </c>
      <c r="F16" s="16" t="s">
        <v>189</v>
      </c>
      <c r="G16" s="16" t="s">
        <v>145</v>
      </c>
      <c r="H16" s="16">
        <v>2.2999999999999998</v>
      </c>
      <c r="I16" s="16">
        <v>299</v>
      </c>
      <c r="J16" s="16">
        <v>0</v>
      </c>
      <c r="K16" s="16">
        <v>687.7</v>
      </c>
      <c r="L16" s="16" t="s">
        <v>139</v>
      </c>
      <c r="M16" s="16" t="s">
        <v>140</v>
      </c>
      <c r="N16" s="27">
        <v>45150.152777777781</v>
      </c>
      <c r="O16" s="27">
        <v>45150.963888888888</v>
      </c>
      <c r="P16" s="20"/>
      <c r="Q16" s="16" t="b">
        <f>FALSE()</f>
        <v>0</v>
      </c>
      <c r="R16" s="16" t="b">
        <f>FALSE()</f>
        <v>0</v>
      </c>
      <c r="S16" s="17">
        <f t="shared" si="0"/>
        <v>19.5</v>
      </c>
      <c r="T16">
        <f>COUNTIF('👤 Customers'!$A:$A, B16)</f>
        <v>1</v>
      </c>
      <c r="U16">
        <f>COUNTIF('🚴 Riders'!A15:A75, C16)</f>
        <v>1</v>
      </c>
      <c r="V16">
        <f>COUNTIF('🏭 Facilities'!A15:A23, D16)</f>
        <v>0</v>
      </c>
    </row>
    <row r="17" spans="1:22">
      <c r="A17" s="18" t="s">
        <v>190</v>
      </c>
      <c r="B17" s="18" t="s">
        <v>191</v>
      </c>
      <c r="C17" s="18" t="s">
        <v>192</v>
      </c>
      <c r="D17" s="18" t="s">
        <v>184</v>
      </c>
      <c r="E17" s="26">
        <v>45441</v>
      </c>
      <c r="F17" s="18" t="s">
        <v>193</v>
      </c>
      <c r="G17" s="18" t="s">
        <v>176</v>
      </c>
      <c r="H17" s="18">
        <v>1.9</v>
      </c>
      <c r="I17" s="18">
        <v>599</v>
      </c>
      <c r="J17" s="18">
        <v>20</v>
      </c>
      <c r="K17" s="18">
        <v>910.48</v>
      </c>
      <c r="L17" s="18" t="s">
        <v>126</v>
      </c>
      <c r="M17" s="18" t="s">
        <v>119</v>
      </c>
      <c r="N17" s="28">
        <v>45441.075694444444</v>
      </c>
      <c r="O17" s="28">
        <v>45441.814583333333</v>
      </c>
      <c r="P17" s="18">
        <v>4.9000000000000004</v>
      </c>
      <c r="Q17" s="18" t="b">
        <f>FALSE()</f>
        <v>0</v>
      </c>
      <c r="R17" s="18" t="b">
        <f>FALSE()</f>
        <v>0</v>
      </c>
      <c r="S17" s="19">
        <f t="shared" si="0"/>
        <v>17.7</v>
      </c>
      <c r="T17">
        <f>COUNTIF('👤 Customers'!$A:$A, B17)</f>
        <v>1</v>
      </c>
      <c r="U17">
        <f>COUNTIF('🚴 Riders'!A16:A76, C17)</f>
        <v>1</v>
      </c>
      <c r="V17">
        <f>COUNTIF('🏭 Facilities'!A16:A24, D17)</f>
        <v>0</v>
      </c>
    </row>
    <row r="18" spans="1:22">
      <c r="A18" s="16" t="s">
        <v>194</v>
      </c>
      <c r="B18" s="16" t="s">
        <v>195</v>
      </c>
      <c r="C18" s="16" t="s">
        <v>196</v>
      </c>
      <c r="D18" s="16" t="s">
        <v>197</v>
      </c>
      <c r="E18" s="25">
        <v>45256</v>
      </c>
      <c r="F18" s="16" t="s">
        <v>198</v>
      </c>
      <c r="G18" s="16" t="s">
        <v>176</v>
      </c>
      <c r="H18" s="16">
        <v>3.7</v>
      </c>
      <c r="I18" s="16">
        <v>599</v>
      </c>
      <c r="J18" s="16">
        <v>0</v>
      </c>
      <c r="K18" s="16">
        <v>2216.3000000000002</v>
      </c>
      <c r="L18" s="16" t="s">
        <v>126</v>
      </c>
      <c r="M18" s="16" t="s">
        <v>119</v>
      </c>
      <c r="N18" s="27">
        <v>45256.500694444447</v>
      </c>
      <c r="O18" s="27">
        <v>45257.077777777777</v>
      </c>
      <c r="P18" s="16">
        <v>4.5</v>
      </c>
      <c r="Q18" s="16" t="b">
        <f>FALSE()</f>
        <v>0</v>
      </c>
      <c r="R18" s="16" t="b">
        <f>FALSE()</f>
        <v>0</v>
      </c>
      <c r="S18" s="17">
        <f t="shared" si="0"/>
        <v>13.8</v>
      </c>
      <c r="T18">
        <f>COUNTIF('👤 Customers'!$A:$A, B18)</f>
        <v>1</v>
      </c>
      <c r="U18">
        <f>COUNTIF('🚴 Riders'!A17:A77, C18)</f>
        <v>1</v>
      </c>
      <c r="V18">
        <f>COUNTIF('🏭 Facilities'!A17:A25, D18)</f>
        <v>0</v>
      </c>
    </row>
    <row r="19" spans="1:22">
      <c r="A19" s="18" t="s">
        <v>199</v>
      </c>
      <c r="B19" s="18" t="s">
        <v>200</v>
      </c>
      <c r="C19" s="18" t="s">
        <v>129</v>
      </c>
      <c r="D19" s="18" t="s">
        <v>184</v>
      </c>
      <c r="E19" s="26">
        <v>45613</v>
      </c>
      <c r="F19" s="18" t="s">
        <v>201</v>
      </c>
      <c r="G19" s="18" t="s">
        <v>125</v>
      </c>
      <c r="H19" s="18">
        <v>2.7</v>
      </c>
      <c r="I19" s="18">
        <v>199</v>
      </c>
      <c r="J19" s="18">
        <v>0</v>
      </c>
      <c r="K19" s="18">
        <v>537.29999999999995</v>
      </c>
      <c r="L19" s="18" t="s">
        <v>139</v>
      </c>
      <c r="M19" s="18" t="s">
        <v>133</v>
      </c>
      <c r="N19" s="20"/>
      <c r="O19" s="20"/>
      <c r="P19" s="20"/>
      <c r="Q19" s="18" t="b">
        <f>FALSE()</f>
        <v>0</v>
      </c>
      <c r="R19" s="18" t="b">
        <f>FALSE()</f>
        <v>0</v>
      </c>
      <c r="S19" s="19" t="str">
        <f t="shared" si="0"/>
        <v>N/A</v>
      </c>
      <c r="T19">
        <f>COUNTIF('👤 Customers'!$A:$A, B19)</f>
        <v>1</v>
      </c>
      <c r="U19">
        <f>COUNTIF('🚴 Riders'!A18:A78, C19)</f>
        <v>0</v>
      </c>
      <c r="V19">
        <f>COUNTIF('🏭 Facilities'!A18:A26, D19)</f>
        <v>0</v>
      </c>
    </row>
    <row r="20" spans="1:22">
      <c r="A20" s="16" t="s">
        <v>202</v>
      </c>
      <c r="B20" s="16" t="s">
        <v>203</v>
      </c>
      <c r="C20" s="16" t="s">
        <v>204</v>
      </c>
      <c r="D20" s="16" t="s">
        <v>205</v>
      </c>
      <c r="E20" s="25">
        <v>45512</v>
      </c>
      <c r="F20" s="16" t="s">
        <v>206</v>
      </c>
      <c r="G20" s="16" t="s">
        <v>125</v>
      </c>
      <c r="H20" s="16">
        <v>2</v>
      </c>
      <c r="I20" s="16">
        <v>199</v>
      </c>
      <c r="J20" s="16">
        <v>30</v>
      </c>
      <c r="K20" s="16">
        <v>278.60000000000002</v>
      </c>
      <c r="L20" s="16" t="s">
        <v>207</v>
      </c>
      <c r="M20" s="16" t="s">
        <v>119</v>
      </c>
      <c r="N20" s="27">
        <v>45513.088194444441</v>
      </c>
      <c r="O20" s="27">
        <v>45513.954861111109</v>
      </c>
      <c r="P20" s="16">
        <v>3.3</v>
      </c>
      <c r="Q20" s="16" t="b">
        <f>TRUE()</f>
        <v>1</v>
      </c>
      <c r="R20" s="16" t="b">
        <f>FALSE()</f>
        <v>0</v>
      </c>
      <c r="S20" s="17">
        <f t="shared" si="0"/>
        <v>20.8</v>
      </c>
      <c r="T20">
        <f>COUNTIF('👤 Customers'!$A:$A, B20)</f>
        <v>1</v>
      </c>
      <c r="U20">
        <f>COUNTIF('🚴 Riders'!A19:A79, C20)</f>
        <v>1</v>
      </c>
      <c r="V20">
        <f>COUNTIF('🏭 Facilities'!A19:A27, D20)</f>
        <v>0</v>
      </c>
    </row>
    <row r="21" spans="1:22">
      <c r="A21" s="18" t="s">
        <v>208</v>
      </c>
      <c r="B21" s="18" t="s">
        <v>209</v>
      </c>
      <c r="C21" s="18" t="s">
        <v>136</v>
      </c>
      <c r="D21" s="18" t="s">
        <v>115</v>
      </c>
      <c r="E21" s="26">
        <v>45098</v>
      </c>
      <c r="F21" s="18" t="s">
        <v>210</v>
      </c>
      <c r="G21" s="18" t="s">
        <v>145</v>
      </c>
      <c r="H21" s="18">
        <v>3.1</v>
      </c>
      <c r="I21" s="18">
        <v>299</v>
      </c>
      <c r="J21" s="18">
        <v>0</v>
      </c>
      <c r="K21" s="18">
        <v>926.9</v>
      </c>
      <c r="L21" s="18" t="s">
        <v>126</v>
      </c>
      <c r="M21" s="18" t="s">
        <v>133</v>
      </c>
      <c r="N21" s="20"/>
      <c r="O21" s="20"/>
      <c r="P21" s="20"/>
      <c r="Q21" s="18" t="b">
        <f>FALSE()</f>
        <v>0</v>
      </c>
      <c r="R21" s="18" t="b">
        <f>FALSE()</f>
        <v>0</v>
      </c>
      <c r="S21" s="19" t="str">
        <f t="shared" si="0"/>
        <v>N/A</v>
      </c>
      <c r="T21">
        <f>COUNTIF('👤 Customers'!$A:$A, B21)</f>
        <v>1</v>
      </c>
      <c r="U21">
        <f>COUNTIF('🚴 Riders'!A20:A80, C21)</f>
        <v>1</v>
      </c>
      <c r="V21">
        <f>COUNTIF('🏭 Facilities'!A20:A28, D21)</f>
        <v>0</v>
      </c>
    </row>
    <row r="22" spans="1:22">
      <c r="A22" s="16" t="s">
        <v>211</v>
      </c>
      <c r="B22" s="16" t="s">
        <v>212</v>
      </c>
      <c r="C22" s="16" t="s">
        <v>213</v>
      </c>
      <c r="D22" s="16" t="s">
        <v>130</v>
      </c>
      <c r="E22" s="25">
        <v>45448</v>
      </c>
      <c r="F22" s="16" t="s">
        <v>214</v>
      </c>
      <c r="G22" s="16" t="s">
        <v>145</v>
      </c>
      <c r="H22" s="16">
        <v>6.5</v>
      </c>
      <c r="I22" s="16">
        <v>299</v>
      </c>
      <c r="J22" s="16">
        <v>0</v>
      </c>
      <c r="K22" s="16">
        <v>1943.5</v>
      </c>
      <c r="L22" s="16" t="s">
        <v>207</v>
      </c>
      <c r="M22" s="16" t="s">
        <v>119</v>
      </c>
      <c r="N22" s="27">
        <v>45448.527083333334</v>
      </c>
      <c r="O22" s="27">
        <v>45449.059027777781</v>
      </c>
      <c r="P22" s="16">
        <v>3.3</v>
      </c>
      <c r="Q22" s="16" t="b">
        <f>FALSE()</f>
        <v>0</v>
      </c>
      <c r="R22" s="16" t="b">
        <f>FALSE()</f>
        <v>0</v>
      </c>
      <c r="S22" s="17">
        <f t="shared" si="0"/>
        <v>12.8</v>
      </c>
      <c r="T22">
        <f>COUNTIF('👤 Customers'!$A:$A, B22)</f>
        <v>1</v>
      </c>
      <c r="U22">
        <f>COUNTIF('🚴 Riders'!A21:A81, C22)</f>
        <v>1</v>
      </c>
      <c r="V22">
        <f>COUNTIF('🏭 Facilities'!A21:A29, D22)</f>
        <v>0</v>
      </c>
    </row>
    <row r="23" spans="1:22">
      <c r="A23" s="18" t="s">
        <v>215</v>
      </c>
      <c r="B23" s="18" t="s">
        <v>216</v>
      </c>
      <c r="C23" s="18" t="s">
        <v>143</v>
      </c>
      <c r="D23" s="18" t="s">
        <v>197</v>
      </c>
      <c r="E23" s="26">
        <v>45637</v>
      </c>
      <c r="F23" s="18" t="s">
        <v>217</v>
      </c>
      <c r="G23" s="18" t="s">
        <v>125</v>
      </c>
      <c r="H23" s="18">
        <v>4.9000000000000004</v>
      </c>
      <c r="I23" s="18">
        <v>199</v>
      </c>
      <c r="J23" s="18">
        <v>30</v>
      </c>
      <c r="K23" s="18">
        <v>682.57</v>
      </c>
      <c r="L23" s="18" t="s">
        <v>139</v>
      </c>
      <c r="M23" s="18" t="s">
        <v>133</v>
      </c>
      <c r="N23" s="20"/>
      <c r="O23" s="20"/>
      <c r="P23" s="20"/>
      <c r="Q23" s="18" t="b">
        <f>FALSE()</f>
        <v>0</v>
      </c>
      <c r="R23" s="18" t="b">
        <f>TRUE()</f>
        <v>1</v>
      </c>
      <c r="S23" s="19" t="str">
        <f t="shared" si="0"/>
        <v>N/A</v>
      </c>
      <c r="T23">
        <f>COUNTIF('👤 Customers'!$A:$A, B23)</f>
        <v>1</v>
      </c>
      <c r="U23">
        <f>COUNTIF('🚴 Riders'!A22:A82, C23)</f>
        <v>1</v>
      </c>
      <c r="V23">
        <f>COUNTIF('🏭 Facilities'!A22:A30, D23)</f>
        <v>0</v>
      </c>
    </row>
    <row r="24" spans="1:22">
      <c r="A24" s="16" t="s">
        <v>218</v>
      </c>
      <c r="B24" s="16" t="s">
        <v>219</v>
      </c>
      <c r="C24" s="16" t="s">
        <v>220</v>
      </c>
      <c r="D24" s="16" t="s">
        <v>130</v>
      </c>
      <c r="E24" s="25">
        <v>45489</v>
      </c>
      <c r="F24" s="16" t="s">
        <v>221</v>
      </c>
      <c r="G24" s="16" t="s">
        <v>132</v>
      </c>
      <c r="H24" s="16">
        <v>1.4</v>
      </c>
      <c r="I24" s="16">
        <v>399</v>
      </c>
      <c r="J24" s="16">
        <v>0</v>
      </c>
      <c r="K24" s="16">
        <v>558.6</v>
      </c>
      <c r="L24" s="16" t="s">
        <v>139</v>
      </c>
      <c r="M24" s="16" t="s">
        <v>133</v>
      </c>
      <c r="N24" s="20"/>
      <c r="O24" s="20"/>
      <c r="P24" s="20"/>
      <c r="Q24" s="16" t="b">
        <f>FALSE()</f>
        <v>0</v>
      </c>
      <c r="R24" s="16" t="b">
        <f>FALSE()</f>
        <v>0</v>
      </c>
      <c r="S24" s="17" t="str">
        <f t="shared" si="0"/>
        <v>N/A</v>
      </c>
      <c r="T24">
        <f>COUNTIF('👤 Customers'!$A:$A, B24)</f>
        <v>1</v>
      </c>
      <c r="U24">
        <f>COUNTIF('🚴 Riders'!A23:A83, C24)</f>
        <v>1</v>
      </c>
      <c r="V24">
        <f>COUNTIF('🏭 Facilities'!A23:A31, D24)</f>
        <v>0</v>
      </c>
    </row>
    <row r="25" spans="1:22">
      <c r="A25" s="18" t="s">
        <v>222</v>
      </c>
      <c r="B25" s="18" t="s">
        <v>223</v>
      </c>
      <c r="C25" s="18" t="s">
        <v>224</v>
      </c>
      <c r="D25" s="18" t="s">
        <v>130</v>
      </c>
      <c r="E25" s="26">
        <v>45162</v>
      </c>
      <c r="F25" s="18" t="s">
        <v>225</v>
      </c>
      <c r="G25" s="18" t="s">
        <v>125</v>
      </c>
      <c r="H25" s="18">
        <v>2.5</v>
      </c>
      <c r="I25" s="18">
        <v>199</v>
      </c>
      <c r="J25" s="18">
        <v>0</v>
      </c>
      <c r="K25" s="18">
        <v>497.5</v>
      </c>
      <c r="L25" s="18" t="s">
        <v>139</v>
      </c>
      <c r="M25" s="18" t="s">
        <v>140</v>
      </c>
      <c r="N25" s="28">
        <v>45162.530555555553</v>
      </c>
      <c r="O25" s="28">
        <v>45163.611805555556</v>
      </c>
      <c r="P25" s="20"/>
      <c r="Q25" s="18" t="b">
        <f>FALSE()</f>
        <v>0</v>
      </c>
      <c r="R25" s="18" t="b">
        <f>FALSE()</f>
        <v>0</v>
      </c>
      <c r="S25" s="19">
        <f t="shared" si="0"/>
        <v>26</v>
      </c>
      <c r="T25">
        <f>COUNTIF('👤 Customers'!$A:$A, B25)</f>
        <v>1</v>
      </c>
      <c r="U25">
        <f>COUNTIF('🚴 Riders'!A24:A84, C25)</f>
        <v>1</v>
      </c>
      <c r="V25">
        <f>COUNTIF('🏭 Facilities'!A24:A32, D25)</f>
        <v>0</v>
      </c>
    </row>
    <row r="26" spans="1:22">
      <c r="A26" s="16" t="s">
        <v>226</v>
      </c>
      <c r="B26" s="16" t="s">
        <v>227</v>
      </c>
      <c r="C26" s="16" t="s">
        <v>228</v>
      </c>
      <c r="D26" s="16" t="s">
        <v>115</v>
      </c>
      <c r="E26" s="25">
        <v>45529</v>
      </c>
      <c r="F26" s="16" t="s">
        <v>229</v>
      </c>
      <c r="G26" s="16" t="s">
        <v>117</v>
      </c>
      <c r="H26" s="16">
        <v>3.7</v>
      </c>
      <c r="I26" s="16">
        <v>149</v>
      </c>
      <c r="J26" s="16">
        <v>0</v>
      </c>
      <c r="K26" s="16">
        <v>551.29999999999995</v>
      </c>
      <c r="L26" s="16" t="s">
        <v>118</v>
      </c>
      <c r="M26" s="16" t="s">
        <v>119</v>
      </c>
      <c r="N26" s="27">
        <v>45529.425000000003</v>
      </c>
      <c r="O26" s="27">
        <v>45530.05972222222</v>
      </c>
      <c r="P26" s="16">
        <v>4.8</v>
      </c>
      <c r="Q26" s="16" t="b">
        <f>FALSE()</f>
        <v>0</v>
      </c>
      <c r="R26" s="16" t="b">
        <f>FALSE()</f>
        <v>0</v>
      </c>
      <c r="S26" s="17">
        <f t="shared" si="0"/>
        <v>15.2</v>
      </c>
      <c r="T26">
        <f>COUNTIF('👤 Customers'!$A:$A, B26)</f>
        <v>1</v>
      </c>
      <c r="U26">
        <f>COUNTIF('🚴 Riders'!A25:A85, C26)</f>
        <v>0</v>
      </c>
      <c r="V26">
        <f>COUNTIF('🏭 Facilities'!A25:A33, D26)</f>
        <v>0</v>
      </c>
    </row>
    <row r="27" spans="1:22">
      <c r="A27" s="18" t="s">
        <v>230</v>
      </c>
      <c r="B27" s="18" t="s">
        <v>231</v>
      </c>
      <c r="C27" s="18" t="s">
        <v>232</v>
      </c>
      <c r="D27" s="18" t="s">
        <v>205</v>
      </c>
      <c r="E27" s="26">
        <v>45363</v>
      </c>
      <c r="F27" s="18" t="s">
        <v>233</v>
      </c>
      <c r="G27" s="18" t="s">
        <v>132</v>
      </c>
      <c r="H27" s="18">
        <v>6.2</v>
      </c>
      <c r="I27" s="18">
        <v>399</v>
      </c>
      <c r="J27" s="18">
        <v>0</v>
      </c>
      <c r="K27" s="18">
        <v>2473.8000000000002</v>
      </c>
      <c r="L27" s="18" t="s">
        <v>207</v>
      </c>
      <c r="M27" s="18" t="s">
        <v>133</v>
      </c>
      <c r="N27" s="20"/>
      <c r="O27" s="20"/>
      <c r="P27" s="20"/>
      <c r="Q27" s="18" t="b">
        <f>FALSE()</f>
        <v>0</v>
      </c>
      <c r="R27" s="18" t="b">
        <f>FALSE()</f>
        <v>0</v>
      </c>
      <c r="S27" s="19" t="str">
        <f t="shared" si="0"/>
        <v>N/A</v>
      </c>
      <c r="T27">
        <f>COUNTIF('👤 Customers'!$A:$A, B27)</f>
        <v>1</v>
      </c>
      <c r="U27">
        <f>COUNTIF('🚴 Riders'!A26:A86, C27)</f>
        <v>0</v>
      </c>
      <c r="V27">
        <f>COUNTIF('🏭 Facilities'!A26:A34, D27)</f>
        <v>0</v>
      </c>
    </row>
    <row r="28" spans="1:22">
      <c r="A28" s="16" t="s">
        <v>234</v>
      </c>
      <c r="B28" s="16" t="s">
        <v>235</v>
      </c>
      <c r="C28" s="16" t="s">
        <v>236</v>
      </c>
      <c r="D28" s="16" t="s">
        <v>115</v>
      </c>
      <c r="E28" s="25">
        <v>45314</v>
      </c>
      <c r="F28" s="16" t="s">
        <v>237</v>
      </c>
      <c r="G28" s="16" t="s">
        <v>176</v>
      </c>
      <c r="H28" s="16">
        <v>5.6</v>
      </c>
      <c r="I28" s="16">
        <v>599</v>
      </c>
      <c r="J28" s="16">
        <v>10</v>
      </c>
      <c r="K28" s="16">
        <v>3018.96</v>
      </c>
      <c r="L28" s="16" t="s">
        <v>207</v>
      </c>
      <c r="M28" s="16" t="s">
        <v>119</v>
      </c>
      <c r="N28" s="27">
        <v>45314.950694444444</v>
      </c>
      <c r="O28" s="27">
        <v>45315.669444444444</v>
      </c>
      <c r="P28" s="16">
        <v>4.3</v>
      </c>
      <c r="Q28" s="16" t="b">
        <f>FALSE()</f>
        <v>0</v>
      </c>
      <c r="R28" s="16" t="b">
        <f>TRUE()</f>
        <v>1</v>
      </c>
      <c r="S28" s="17">
        <f t="shared" si="0"/>
        <v>17.3</v>
      </c>
      <c r="T28">
        <f>COUNTIF('👤 Customers'!$A:$A, B28)</f>
        <v>1</v>
      </c>
      <c r="U28">
        <f>COUNTIF('🚴 Riders'!A27:A87, C28)</f>
        <v>1</v>
      </c>
      <c r="V28">
        <f>COUNTIF('🏭 Facilities'!A27:A35, D28)</f>
        <v>0</v>
      </c>
    </row>
    <row r="29" spans="1:22">
      <c r="A29" s="18" t="s">
        <v>238</v>
      </c>
      <c r="B29" s="18" t="s">
        <v>239</v>
      </c>
      <c r="C29" s="18" t="s">
        <v>240</v>
      </c>
      <c r="D29" s="18" t="s">
        <v>184</v>
      </c>
      <c r="E29" s="26">
        <v>45351</v>
      </c>
      <c r="F29" s="18" t="s">
        <v>241</v>
      </c>
      <c r="G29" s="18" t="s">
        <v>145</v>
      </c>
      <c r="H29" s="18">
        <v>2.2999999999999998</v>
      </c>
      <c r="I29" s="18">
        <v>299</v>
      </c>
      <c r="J29" s="18">
        <v>20</v>
      </c>
      <c r="K29" s="18">
        <v>550.16</v>
      </c>
      <c r="L29" s="18" t="s">
        <v>126</v>
      </c>
      <c r="M29" s="18" t="s">
        <v>140</v>
      </c>
      <c r="N29" s="28">
        <v>45351.675000000003</v>
      </c>
      <c r="O29" s="28">
        <v>45352.429861111108</v>
      </c>
      <c r="P29" s="20"/>
      <c r="Q29" s="18" t="b">
        <f>FALSE()</f>
        <v>0</v>
      </c>
      <c r="R29" s="18" t="b">
        <f>FALSE()</f>
        <v>0</v>
      </c>
      <c r="S29" s="19">
        <f t="shared" si="0"/>
        <v>18.100000000000001</v>
      </c>
      <c r="T29">
        <f>COUNTIF('👤 Customers'!$A:$A, B29)</f>
        <v>1</v>
      </c>
      <c r="U29">
        <f>COUNTIF('🚴 Riders'!A28:A88, C29)</f>
        <v>1</v>
      </c>
      <c r="V29">
        <f>COUNTIF('🏭 Facilities'!A28:A36, D29)</f>
        <v>0</v>
      </c>
    </row>
    <row r="30" spans="1:22">
      <c r="A30" s="16" t="s">
        <v>242</v>
      </c>
      <c r="B30" s="16" t="s">
        <v>243</v>
      </c>
      <c r="C30" s="16" t="s">
        <v>157</v>
      </c>
      <c r="D30" s="16" t="s">
        <v>115</v>
      </c>
      <c r="E30" s="25">
        <v>45106</v>
      </c>
      <c r="F30" s="16" t="s">
        <v>244</v>
      </c>
      <c r="G30" s="16" t="s">
        <v>125</v>
      </c>
      <c r="H30" s="16">
        <v>6</v>
      </c>
      <c r="I30" s="16">
        <v>199</v>
      </c>
      <c r="J30" s="16">
        <v>0</v>
      </c>
      <c r="K30" s="16">
        <v>1194</v>
      </c>
      <c r="L30" s="16" t="s">
        <v>139</v>
      </c>
      <c r="M30" s="16" t="s">
        <v>133</v>
      </c>
      <c r="N30" s="20"/>
      <c r="O30" s="20"/>
      <c r="P30" s="20"/>
      <c r="Q30" s="16" t="b">
        <f>TRUE()</f>
        <v>1</v>
      </c>
      <c r="R30" s="16" t="b">
        <f>FALSE()</f>
        <v>0</v>
      </c>
      <c r="S30" s="17" t="str">
        <f t="shared" si="0"/>
        <v>N/A</v>
      </c>
      <c r="T30">
        <f>COUNTIF('👤 Customers'!$A:$A, B30)</f>
        <v>1</v>
      </c>
      <c r="U30">
        <f>COUNTIF('🚴 Riders'!A29:A89, C30)</f>
        <v>1</v>
      </c>
      <c r="V30">
        <f>COUNTIF('🏭 Facilities'!A29:A37, D30)</f>
        <v>0</v>
      </c>
    </row>
    <row r="31" spans="1:22">
      <c r="A31" s="18" t="s">
        <v>245</v>
      </c>
      <c r="B31" s="18" t="s">
        <v>246</v>
      </c>
      <c r="C31" s="18" t="s">
        <v>247</v>
      </c>
      <c r="D31" s="18" t="s">
        <v>137</v>
      </c>
      <c r="E31" s="26">
        <v>45246</v>
      </c>
      <c r="F31" s="18" t="s">
        <v>248</v>
      </c>
      <c r="G31" s="18" t="s">
        <v>125</v>
      </c>
      <c r="H31" s="18">
        <v>1.1000000000000001</v>
      </c>
      <c r="I31" s="18">
        <v>199</v>
      </c>
      <c r="J31" s="18">
        <v>10</v>
      </c>
      <c r="K31" s="18">
        <v>197.01</v>
      </c>
      <c r="L31" s="18" t="s">
        <v>126</v>
      </c>
      <c r="M31" s="18" t="s">
        <v>133</v>
      </c>
      <c r="N31" s="20"/>
      <c r="O31" s="20"/>
      <c r="P31" s="20"/>
      <c r="Q31" s="18" t="b">
        <f>FALSE()</f>
        <v>0</v>
      </c>
      <c r="R31" s="18" t="b">
        <f>FALSE()</f>
        <v>0</v>
      </c>
      <c r="S31" s="19" t="str">
        <f t="shared" si="0"/>
        <v>N/A</v>
      </c>
      <c r="T31">
        <f>COUNTIF('👤 Customers'!$A:$A, B31)</f>
        <v>1</v>
      </c>
      <c r="U31">
        <f>COUNTIF('🚴 Riders'!A30:A90, C31)</f>
        <v>0</v>
      </c>
      <c r="V31">
        <f>COUNTIF('🏭 Facilities'!A30:A38, D31)</f>
        <v>0</v>
      </c>
    </row>
    <row r="32" spans="1:22">
      <c r="A32" s="16" t="s">
        <v>249</v>
      </c>
      <c r="B32" s="16" t="s">
        <v>250</v>
      </c>
      <c r="C32" s="16" t="s">
        <v>251</v>
      </c>
      <c r="D32" s="16" t="s">
        <v>130</v>
      </c>
      <c r="E32" s="25">
        <v>45114</v>
      </c>
      <c r="F32" s="16" t="s">
        <v>252</v>
      </c>
      <c r="G32" s="16" t="s">
        <v>132</v>
      </c>
      <c r="H32" s="16">
        <v>5.3</v>
      </c>
      <c r="I32" s="16">
        <v>399</v>
      </c>
      <c r="J32" s="16">
        <v>0</v>
      </c>
      <c r="K32" s="16">
        <v>2114.6999999999998</v>
      </c>
      <c r="L32" s="16" t="s">
        <v>207</v>
      </c>
      <c r="M32" s="16" t="s">
        <v>119</v>
      </c>
      <c r="N32" s="27">
        <v>45114.225694444445</v>
      </c>
      <c r="O32" s="27">
        <v>45114.845833333333</v>
      </c>
      <c r="P32" s="16">
        <v>3.2</v>
      </c>
      <c r="Q32" s="16" t="b">
        <f>FALSE()</f>
        <v>0</v>
      </c>
      <c r="R32" s="16" t="b">
        <f>TRUE()</f>
        <v>1</v>
      </c>
      <c r="S32" s="17">
        <f t="shared" si="0"/>
        <v>14.9</v>
      </c>
      <c r="T32">
        <f>COUNTIF('👤 Customers'!$A:$A, B32)</f>
        <v>1</v>
      </c>
      <c r="U32">
        <f>COUNTIF('🚴 Riders'!A31:A91, C32)</f>
        <v>1</v>
      </c>
      <c r="V32">
        <f>COUNTIF('🏭 Facilities'!A31:A39, D32)</f>
        <v>0</v>
      </c>
    </row>
    <row r="33" spans="1:22">
      <c r="A33" s="18" t="s">
        <v>253</v>
      </c>
      <c r="B33" s="18" t="s">
        <v>254</v>
      </c>
      <c r="C33" s="18" t="s">
        <v>236</v>
      </c>
      <c r="D33" s="18" t="s">
        <v>158</v>
      </c>
      <c r="E33" s="26">
        <v>45593</v>
      </c>
      <c r="F33" s="18" t="s">
        <v>255</v>
      </c>
      <c r="G33" s="18" t="s">
        <v>125</v>
      </c>
      <c r="H33" s="18">
        <v>1.7</v>
      </c>
      <c r="I33" s="18">
        <v>199</v>
      </c>
      <c r="J33" s="18">
        <v>0</v>
      </c>
      <c r="K33" s="18">
        <v>338.3</v>
      </c>
      <c r="L33" s="18" t="s">
        <v>118</v>
      </c>
      <c r="M33" s="18" t="s">
        <v>133</v>
      </c>
      <c r="N33" s="20"/>
      <c r="O33" s="20"/>
      <c r="P33" s="20"/>
      <c r="Q33" s="18" t="b">
        <f>FALSE()</f>
        <v>0</v>
      </c>
      <c r="R33" s="18" t="b">
        <f>FALSE()</f>
        <v>0</v>
      </c>
      <c r="S33" s="19" t="str">
        <f t="shared" si="0"/>
        <v>N/A</v>
      </c>
      <c r="T33">
        <f>COUNTIF('👤 Customers'!$A:$A, B33)</f>
        <v>1</v>
      </c>
      <c r="U33">
        <f>COUNTIF('🚴 Riders'!A32:A92, C33)</f>
        <v>1</v>
      </c>
      <c r="V33">
        <f>COUNTIF('🏭 Facilities'!A32:A40, D33)</f>
        <v>0</v>
      </c>
    </row>
    <row r="34" spans="1:22">
      <c r="A34" s="16" t="s">
        <v>256</v>
      </c>
      <c r="B34" s="16" t="s">
        <v>239</v>
      </c>
      <c r="C34" s="16" t="s">
        <v>257</v>
      </c>
      <c r="D34" s="16" t="s">
        <v>123</v>
      </c>
      <c r="E34" s="25">
        <v>45001</v>
      </c>
      <c r="F34" s="16" t="s">
        <v>258</v>
      </c>
      <c r="G34" s="16" t="s">
        <v>176</v>
      </c>
      <c r="H34" s="16">
        <v>7.4</v>
      </c>
      <c r="I34" s="16">
        <v>599</v>
      </c>
      <c r="J34" s="16">
        <v>0</v>
      </c>
      <c r="K34" s="16">
        <v>4432.6000000000004</v>
      </c>
      <c r="L34" s="16" t="s">
        <v>146</v>
      </c>
      <c r="M34" s="16" t="s">
        <v>140</v>
      </c>
      <c r="N34" s="27">
        <v>45001.219444444447</v>
      </c>
      <c r="O34" s="27">
        <v>45001.871527777781</v>
      </c>
      <c r="P34" s="20"/>
      <c r="Q34" s="16" t="b">
        <f>FALSE()</f>
        <v>0</v>
      </c>
      <c r="R34" s="16" t="b">
        <f>TRUE()</f>
        <v>1</v>
      </c>
      <c r="S34" s="17">
        <f t="shared" si="0"/>
        <v>15.7</v>
      </c>
      <c r="T34">
        <f>COUNTIF('👤 Customers'!$A:$A, B34)</f>
        <v>1</v>
      </c>
      <c r="U34">
        <f>COUNTIF('🚴 Riders'!A33:A93, C34)</f>
        <v>1</v>
      </c>
      <c r="V34">
        <f>COUNTIF('🏭 Facilities'!A33:A41, D34)</f>
        <v>0</v>
      </c>
    </row>
    <row r="35" spans="1:22">
      <c r="A35" s="18" t="s">
        <v>259</v>
      </c>
      <c r="B35" s="18" t="s">
        <v>260</v>
      </c>
      <c r="C35" s="18" t="s">
        <v>261</v>
      </c>
      <c r="D35" s="18" t="s">
        <v>137</v>
      </c>
      <c r="E35" s="26">
        <v>45648</v>
      </c>
      <c r="F35" s="18" t="s">
        <v>262</v>
      </c>
      <c r="G35" s="18" t="s">
        <v>117</v>
      </c>
      <c r="H35" s="18">
        <v>1.1000000000000001</v>
      </c>
      <c r="I35" s="18">
        <v>149</v>
      </c>
      <c r="J35" s="18">
        <v>0</v>
      </c>
      <c r="K35" s="18">
        <v>163.9</v>
      </c>
      <c r="L35" s="18" t="s">
        <v>146</v>
      </c>
      <c r="M35" s="18" t="s">
        <v>119</v>
      </c>
      <c r="N35" s="28">
        <v>45648.524305555555</v>
      </c>
      <c r="O35" s="28">
        <v>45649.384027777778</v>
      </c>
      <c r="P35" s="18">
        <v>3.1</v>
      </c>
      <c r="Q35" s="18" t="b">
        <f>FALSE()</f>
        <v>0</v>
      </c>
      <c r="R35" s="18" t="b">
        <f>FALSE()</f>
        <v>0</v>
      </c>
      <c r="S35" s="19">
        <f t="shared" si="0"/>
        <v>20.6</v>
      </c>
      <c r="T35">
        <f>COUNTIF('👤 Customers'!$A:$A, B35)</f>
        <v>1</v>
      </c>
      <c r="U35">
        <f>COUNTIF('🚴 Riders'!A34:A94, C35)</f>
        <v>0</v>
      </c>
      <c r="V35">
        <f>COUNTIF('🏭 Facilities'!A34:A42, D35)</f>
        <v>0</v>
      </c>
    </row>
    <row r="36" spans="1:22">
      <c r="A36" s="16" t="s">
        <v>263</v>
      </c>
      <c r="B36" s="16" t="s">
        <v>264</v>
      </c>
      <c r="C36" s="16" t="s">
        <v>265</v>
      </c>
      <c r="D36" s="16" t="s">
        <v>184</v>
      </c>
      <c r="E36" s="25">
        <v>45623</v>
      </c>
      <c r="F36" s="16" t="s">
        <v>266</v>
      </c>
      <c r="G36" s="16" t="s">
        <v>176</v>
      </c>
      <c r="H36" s="16">
        <v>3.3</v>
      </c>
      <c r="I36" s="16">
        <v>599</v>
      </c>
      <c r="J36" s="16">
        <v>10</v>
      </c>
      <c r="K36" s="16">
        <v>1779.03</v>
      </c>
      <c r="L36" s="16" t="s">
        <v>126</v>
      </c>
      <c r="M36" s="16" t="s">
        <v>119</v>
      </c>
      <c r="N36" s="27">
        <v>45623.488194444442</v>
      </c>
      <c r="O36" s="27">
        <v>45624.302777777775</v>
      </c>
      <c r="P36" s="16">
        <v>3.6</v>
      </c>
      <c r="Q36" s="16" t="b">
        <f>FALSE()</f>
        <v>0</v>
      </c>
      <c r="R36" s="16" t="b">
        <f>FALSE()</f>
        <v>0</v>
      </c>
      <c r="S36" s="17">
        <f t="shared" si="0"/>
        <v>19.5</v>
      </c>
      <c r="T36">
        <f>COUNTIF('👤 Customers'!$A:$A, B36)</f>
        <v>1</v>
      </c>
      <c r="U36">
        <f>COUNTIF('🚴 Riders'!A35:A95, C36)</f>
        <v>0</v>
      </c>
      <c r="V36">
        <f>COUNTIF('🏭 Facilities'!A35:A43, D36)</f>
        <v>0</v>
      </c>
    </row>
    <row r="37" spans="1:22">
      <c r="A37" s="18" t="s">
        <v>267</v>
      </c>
      <c r="B37" s="18" t="s">
        <v>268</v>
      </c>
      <c r="C37" s="18" t="s">
        <v>192</v>
      </c>
      <c r="D37" s="18" t="s">
        <v>205</v>
      </c>
      <c r="E37" s="26">
        <v>45524</v>
      </c>
      <c r="F37" s="18" t="s">
        <v>269</v>
      </c>
      <c r="G37" s="18" t="s">
        <v>176</v>
      </c>
      <c r="H37" s="18">
        <v>7.7</v>
      </c>
      <c r="I37" s="18">
        <v>599</v>
      </c>
      <c r="J37" s="18">
        <v>0</v>
      </c>
      <c r="K37" s="18">
        <v>4612.3</v>
      </c>
      <c r="L37" s="18" t="s">
        <v>146</v>
      </c>
      <c r="M37" s="18" t="s">
        <v>119</v>
      </c>
      <c r="N37" s="28">
        <v>45524.32916666667</v>
      </c>
      <c r="O37" s="28">
        <v>45524.908333333333</v>
      </c>
      <c r="P37" s="18">
        <v>4.9000000000000004</v>
      </c>
      <c r="Q37" s="18" t="b">
        <f>FALSE()</f>
        <v>0</v>
      </c>
      <c r="R37" s="18" t="b">
        <f>FALSE()</f>
        <v>0</v>
      </c>
      <c r="S37" s="19">
        <f t="shared" si="0"/>
        <v>13.9</v>
      </c>
      <c r="T37">
        <f>COUNTIF('👤 Customers'!$A:$A, B37)</f>
        <v>1</v>
      </c>
      <c r="U37">
        <f>COUNTIF('🚴 Riders'!A36:A96, C37)</f>
        <v>0</v>
      </c>
      <c r="V37">
        <f>COUNTIF('🏭 Facilities'!A36:A44, D37)</f>
        <v>0</v>
      </c>
    </row>
    <row r="38" spans="1:22">
      <c r="A38" s="16" t="s">
        <v>270</v>
      </c>
      <c r="B38" s="16" t="s">
        <v>271</v>
      </c>
      <c r="C38" s="16" t="s">
        <v>272</v>
      </c>
      <c r="D38" s="16" t="s">
        <v>137</v>
      </c>
      <c r="E38" s="25">
        <v>45440</v>
      </c>
      <c r="F38" s="16" t="s">
        <v>273</v>
      </c>
      <c r="G38" s="16" t="s">
        <v>145</v>
      </c>
      <c r="H38" s="16">
        <v>1.6</v>
      </c>
      <c r="I38" s="16">
        <v>299</v>
      </c>
      <c r="J38" s="16">
        <v>10</v>
      </c>
      <c r="K38" s="16">
        <v>430.56</v>
      </c>
      <c r="L38" s="16" t="s">
        <v>139</v>
      </c>
      <c r="M38" s="16" t="s">
        <v>119</v>
      </c>
      <c r="N38" s="27">
        <v>45440.283333333333</v>
      </c>
      <c r="O38" s="27">
        <v>45440.649305555555</v>
      </c>
      <c r="P38" s="16">
        <v>3.3</v>
      </c>
      <c r="Q38" s="16" t="b">
        <f>TRUE()</f>
        <v>1</v>
      </c>
      <c r="R38" s="16" t="b">
        <f>TRUE()</f>
        <v>1</v>
      </c>
      <c r="S38" s="17">
        <f t="shared" si="0"/>
        <v>8.8000000000000007</v>
      </c>
      <c r="T38">
        <f>COUNTIF('👤 Customers'!$A:$A, B38)</f>
        <v>1</v>
      </c>
      <c r="U38">
        <f>COUNTIF('🚴 Riders'!A37:A97, C38)</f>
        <v>1</v>
      </c>
      <c r="V38">
        <f>COUNTIF('🏭 Facilities'!A37:A45, D38)</f>
        <v>0</v>
      </c>
    </row>
    <row r="39" spans="1:22">
      <c r="A39" s="18" t="s">
        <v>274</v>
      </c>
      <c r="B39" s="18" t="s">
        <v>275</v>
      </c>
      <c r="C39" s="18" t="s">
        <v>276</v>
      </c>
      <c r="D39" s="18" t="s">
        <v>197</v>
      </c>
      <c r="E39" s="26">
        <v>45166</v>
      </c>
      <c r="F39" s="18" t="s">
        <v>277</v>
      </c>
      <c r="G39" s="18" t="s">
        <v>145</v>
      </c>
      <c r="H39" s="18">
        <v>3.5</v>
      </c>
      <c r="I39" s="18">
        <v>299</v>
      </c>
      <c r="J39" s="18">
        <v>0</v>
      </c>
      <c r="K39" s="18">
        <v>1046.5</v>
      </c>
      <c r="L39" s="18" t="s">
        <v>126</v>
      </c>
      <c r="M39" s="18" t="s">
        <v>119</v>
      </c>
      <c r="N39" s="28">
        <v>45166.47152777778</v>
      </c>
      <c r="O39" s="28">
        <v>45167.132638888892</v>
      </c>
      <c r="P39" s="18">
        <v>2.7</v>
      </c>
      <c r="Q39" s="18" t="b">
        <f>FALSE()</f>
        <v>0</v>
      </c>
      <c r="R39" s="18" t="b">
        <f>FALSE()</f>
        <v>0</v>
      </c>
      <c r="S39" s="19">
        <f t="shared" si="0"/>
        <v>15.9</v>
      </c>
      <c r="T39">
        <f>COUNTIF('👤 Customers'!$A:$A, B39)</f>
        <v>1</v>
      </c>
      <c r="U39">
        <f>COUNTIF('🚴 Riders'!A38:A98, C39)</f>
        <v>0</v>
      </c>
      <c r="V39">
        <f>COUNTIF('🏭 Facilities'!A38:A46, D39)</f>
        <v>0</v>
      </c>
    </row>
    <row r="40" spans="1:22">
      <c r="A40" s="16" t="s">
        <v>278</v>
      </c>
      <c r="B40" s="16" t="s">
        <v>279</v>
      </c>
      <c r="C40" s="16" t="s">
        <v>129</v>
      </c>
      <c r="D40" s="16" t="s">
        <v>137</v>
      </c>
      <c r="E40" s="25">
        <v>45536</v>
      </c>
      <c r="F40" s="16" t="s">
        <v>280</v>
      </c>
      <c r="G40" s="16" t="s">
        <v>117</v>
      </c>
      <c r="H40" s="16">
        <v>7</v>
      </c>
      <c r="I40" s="16">
        <v>149</v>
      </c>
      <c r="J40" s="16">
        <v>0</v>
      </c>
      <c r="K40" s="16">
        <v>1043</v>
      </c>
      <c r="L40" s="16" t="s">
        <v>139</v>
      </c>
      <c r="M40" s="16" t="s">
        <v>119</v>
      </c>
      <c r="N40" s="27">
        <v>45536.368750000001</v>
      </c>
      <c r="O40" s="27">
        <v>45536.798611111109</v>
      </c>
      <c r="P40" s="16">
        <v>2.9</v>
      </c>
      <c r="Q40" s="16" t="b">
        <f>FALSE()</f>
        <v>0</v>
      </c>
      <c r="R40" s="16" t="b">
        <f>FALSE()</f>
        <v>0</v>
      </c>
      <c r="S40" s="17">
        <f t="shared" si="0"/>
        <v>10.3</v>
      </c>
      <c r="T40">
        <f>COUNTIF('👤 Customers'!$A:$A, B40)</f>
        <v>1</v>
      </c>
      <c r="U40">
        <f>COUNTIF('🚴 Riders'!A39:A99, C40)</f>
        <v>0</v>
      </c>
      <c r="V40">
        <f>COUNTIF('🏭 Facilities'!A39:A47, D40)</f>
        <v>0</v>
      </c>
    </row>
    <row r="41" spans="1:22">
      <c r="A41" s="18" t="s">
        <v>281</v>
      </c>
      <c r="B41" s="18" t="s">
        <v>282</v>
      </c>
      <c r="C41" s="18" t="s">
        <v>283</v>
      </c>
      <c r="D41" s="18" t="s">
        <v>115</v>
      </c>
      <c r="E41" s="26">
        <v>45040</v>
      </c>
      <c r="F41" s="18" t="s">
        <v>284</v>
      </c>
      <c r="G41" s="18" t="s">
        <v>125</v>
      </c>
      <c r="H41" s="18">
        <v>2.2000000000000002</v>
      </c>
      <c r="I41" s="18">
        <v>199</v>
      </c>
      <c r="J41" s="18">
        <v>0</v>
      </c>
      <c r="K41" s="18">
        <v>437.8</v>
      </c>
      <c r="L41" s="18" t="s">
        <v>146</v>
      </c>
      <c r="M41" s="18" t="s">
        <v>119</v>
      </c>
      <c r="N41" s="28">
        <v>45040.442361111112</v>
      </c>
      <c r="O41" s="28">
        <v>45040.8125</v>
      </c>
      <c r="P41" s="18">
        <v>4</v>
      </c>
      <c r="Q41" s="18" t="b">
        <f>FALSE()</f>
        <v>0</v>
      </c>
      <c r="R41" s="18" t="b">
        <f>TRUE()</f>
        <v>1</v>
      </c>
      <c r="S41" s="19">
        <f t="shared" si="0"/>
        <v>8.9</v>
      </c>
      <c r="T41">
        <f>COUNTIF('👤 Customers'!$A:$A, B41)</f>
        <v>1</v>
      </c>
      <c r="U41">
        <f>COUNTIF('🚴 Riders'!A40:A100, C41)</f>
        <v>1</v>
      </c>
      <c r="V41">
        <f>COUNTIF('🏭 Facilities'!A40:A48, D41)</f>
        <v>0</v>
      </c>
    </row>
    <row r="42" spans="1:22">
      <c r="A42" s="16" t="s">
        <v>285</v>
      </c>
      <c r="B42" s="16" t="s">
        <v>286</v>
      </c>
      <c r="C42" s="16" t="s">
        <v>287</v>
      </c>
      <c r="D42" s="16" t="s">
        <v>137</v>
      </c>
      <c r="E42" s="25">
        <v>44932</v>
      </c>
      <c r="F42" s="16" t="s">
        <v>288</v>
      </c>
      <c r="G42" s="16" t="s">
        <v>145</v>
      </c>
      <c r="H42" s="16">
        <v>3.3</v>
      </c>
      <c r="I42" s="16">
        <v>299</v>
      </c>
      <c r="J42" s="16">
        <v>10</v>
      </c>
      <c r="K42" s="16">
        <v>888.03</v>
      </c>
      <c r="L42" s="16" t="s">
        <v>118</v>
      </c>
      <c r="M42" s="16" t="s">
        <v>119</v>
      </c>
      <c r="N42" s="27">
        <v>44932.34097222222</v>
      </c>
      <c r="O42" s="27">
        <v>44933.024305555555</v>
      </c>
      <c r="P42" s="16">
        <v>3.3</v>
      </c>
      <c r="Q42" s="16" t="b">
        <f>FALSE()</f>
        <v>0</v>
      </c>
      <c r="R42" s="16" t="b">
        <f>FALSE()</f>
        <v>0</v>
      </c>
      <c r="S42" s="17">
        <f t="shared" si="0"/>
        <v>16.399999999999999</v>
      </c>
      <c r="T42">
        <f>COUNTIF('👤 Customers'!$A:$A, B42)</f>
        <v>1</v>
      </c>
      <c r="U42">
        <f>COUNTIF('🚴 Riders'!A41:A101, C42)</f>
        <v>0</v>
      </c>
      <c r="V42">
        <f>COUNTIF('🏭 Facilities'!A41:A49, D42)</f>
        <v>0</v>
      </c>
    </row>
    <row r="43" spans="1:22">
      <c r="A43" s="18" t="s">
        <v>289</v>
      </c>
      <c r="B43" s="18" t="s">
        <v>290</v>
      </c>
      <c r="C43" s="18" t="s">
        <v>129</v>
      </c>
      <c r="D43" s="18" t="s">
        <v>205</v>
      </c>
      <c r="E43" s="26">
        <v>45171</v>
      </c>
      <c r="F43" s="18" t="s">
        <v>291</v>
      </c>
      <c r="G43" s="18" t="s">
        <v>132</v>
      </c>
      <c r="H43" s="18">
        <v>7.8</v>
      </c>
      <c r="I43" s="18">
        <v>399</v>
      </c>
      <c r="J43" s="18">
        <v>30</v>
      </c>
      <c r="K43" s="18">
        <v>2178.54</v>
      </c>
      <c r="L43" s="18" t="s">
        <v>139</v>
      </c>
      <c r="M43" s="18" t="s">
        <v>119</v>
      </c>
      <c r="N43" s="28">
        <v>45171.161111111112</v>
      </c>
      <c r="O43" s="28">
        <v>45172.008333333331</v>
      </c>
      <c r="P43" s="18">
        <v>3.2</v>
      </c>
      <c r="Q43" s="18" t="b">
        <f>FALSE()</f>
        <v>0</v>
      </c>
      <c r="R43" s="18" t="b">
        <f>FALSE()</f>
        <v>0</v>
      </c>
      <c r="S43" s="19">
        <f t="shared" si="0"/>
        <v>20.3</v>
      </c>
      <c r="T43">
        <f>COUNTIF('👤 Customers'!$A:$A, B43)</f>
        <v>1</v>
      </c>
      <c r="U43">
        <f>COUNTIF('🚴 Riders'!A42:A102, C43)</f>
        <v>0</v>
      </c>
      <c r="V43">
        <f>COUNTIF('🏭 Facilities'!A42:A50, D43)</f>
        <v>0</v>
      </c>
    </row>
    <row r="44" spans="1:22">
      <c r="A44" s="16" t="s">
        <v>292</v>
      </c>
      <c r="B44" s="16" t="s">
        <v>293</v>
      </c>
      <c r="C44" s="16" t="s">
        <v>166</v>
      </c>
      <c r="D44" s="16" t="s">
        <v>130</v>
      </c>
      <c r="E44" s="25">
        <v>45650</v>
      </c>
      <c r="F44" s="16" t="s">
        <v>294</v>
      </c>
      <c r="G44" s="16" t="s">
        <v>176</v>
      </c>
      <c r="H44" s="16">
        <v>2.4</v>
      </c>
      <c r="I44" s="16">
        <v>599</v>
      </c>
      <c r="J44" s="16">
        <v>30</v>
      </c>
      <c r="K44" s="16">
        <v>1006.32</v>
      </c>
      <c r="L44" s="16" t="s">
        <v>139</v>
      </c>
      <c r="M44" s="16" t="s">
        <v>119</v>
      </c>
      <c r="N44" s="27">
        <v>45651.077777777777</v>
      </c>
      <c r="O44" s="27">
        <v>45651.861805555556</v>
      </c>
      <c r="P44" s="16">
        <v>4.5</v>
      </c>
      <c r="Q44" s="16" t="b">
        <f>FALSE()</f>
        <v>0</v>
      </c>
      <c r="R44" s="16" t="b">
        <f>TRUE()</f>
        <v>1</v>
      </c>
      <c r="S44" s="17">
        <f t="shared" si="0"/>
        <v>18.8</v>
      </c>
      <c r="T44">
        <f>COUNTIF('👤 Customers'!$A:$A, B44)</f>
        <v>1</v>
      </c>
      <c r="U44">
        <f>COUNTIF('🚴 Riders'!A43:A103, C44)</f>
        <v>1</v>
      </c>
      <c r="V44">
        <f>COUNTIF('🏭 Facilities'!A43:A51, D44)</f>
        <v>0</v>
      </c>
    </row>
    <row r="45" spans="1:22">
      <c r="A45" s="18" t="s">
        <v>295</v>
      </c>
      <c r="B45" s="18" t="s">
        <v>296</v>
      </c>
      <c r="C45" s="18" t="s">
        <v>188</v>
      </c>
      <c r="D45" s="18" t="s">
        <v>197</v>
      </c>
      <c r="E45" s="26">
        <v>45585</v>
      </c>
      <c r="F45" s="18" t="s">
        <v>297</v>
      </c>
      <c r="G45" s="18" t="s">
        <v>145</v>
      </c>
      <c r="H45" s="18">
        <v>5.7</v>
      </c>
      <c r="I45" s="18">
        <v>299</v>
      </c>
      <c r="J45" s="18">
        <v>0</v>
      </c>
      <c r="K45" s="18">
        <v>1704.3</v>
      </c>
      <c r="L45" s="18" t="s">
        <v>139</v>
      </c>
      <c r="M45" s="18" t="s">
        <v>119</v>
      </c>
      <c r="N45" s="28">
        <v>45585.552083333336</v>
      </c>
      <c r="O45" s="28">
        <v>45586.397222222222</v>
      </c>
      <c r="P45" s="18">
        <v>5</v>
      </c>
      <c r="Q45" s="18" t="b">
        <f>FALSE()</f>
        <v>0</v>
      </c>
      <c r="R45" s="18" t="b">
        <f>FALSE()</f>
        <v>0</v>
      </c>
      <c r="S45" s="19">
        <f t="shared" si="0"/>
        <v>20.3</v>
      </c>
      <c r="T45">
        <f>COUNTIF('👤 Customers'!$A:$A, B45)</f>
        <v>1</v>
      </c>
      <c r="U45">
        <f>COUNTIF('🚴 Riders'!A44:A104, C45)</f>
        <v>0</v>
      </c>
      <c r="V45">
        <f>COUNTIF('🏭 Facilities'!A44:A52, D45)</f>
        <v>0</v>
      </c>
    </row>
    <row r="46" spans="1:22">
      <c r="A46" s="16" t="s">
        <v>298</v>
      </c>
      <c r="B46" s="16" t="s">
        <v>299</v>
      </c>
      <c r="C46" s="16" t="s">
        <v>300</v>
      </c>
      <c r="D46" s="16" t="s">
        <v>197</v>
      </c>
      <c r="E46" s="25">
        <v>45320</v>
      </c>
      <c r="F46" s="16" t="s">
        <v>301</v>
      </c>
      <c r="G46" s="16" t="s">
        <v>145</v>
      </c>
      <c r="H46" s="16">
        <v>4.8</v>
      </c>
      <c r="I46" s="16">
        <v>299</v>
      </c>
      <c r="J46" s="16">
        <v>10</v>
      </c>
      <c r="K46" s="16">
        <v>1291.68</v>
      </c>
      <c r="L46" s="16" t="s">
        <v>207</v>
      </c>
      <c r="M46" s="16" t="s">
        <v>119</v>
      </c>
      <c r="N46" s="27">
        <v>45320.620138888888</v>
      </c>
      <c r="O46" s="27">
        <v>45321.570833333331</v>
      </c>
      <c r="P46" s="16">
        <v>4.0999999999999996</v>
      </c>
      <c r="Q46" s="16" t="b">
        <f>FALSE()</f>
        <v>0</v>
      </c>
      <c r="R46" s="16" t="b">
        <f>FALSE()</f>
        <v>0</v>
      </c>
      <c r="S46" s="17">
        <f t="shared" si="0"/>
        <v>22.8</v>
      </c>
      <c r="T46">
        <f>COUNTIF('👤 Customers'!$A:$A, B46)</f>
        <v>1</v>
      </c>
      <c r="U46">
        <f>COUNTIF('🚴 Riders'!A45:A105, C46)</f>
        <v>0</v>
      </c>
      <c r="V46">
        <f>COUNTIF('🏭 Facilities'!A45:A53, D46)</f>
        <v>0</v>
      </c>
    </row>
    <row r="47" spans="1:22">
      <c r="A47" s="18" t="s">
        <v>302</v>
      </c>
      <c r="B47" s="18" t="s">
        <v>303</v>
      </c>
      <c r="C47" s="18" t="s">
        <v>304</v>
      </c>
      <c r="D47" s="18" t="s">
        <v>197</v>
      </c>
      <c r="E47" s="26">
        <v>44961</v>
      </c>
      <c r="F47" s="18" t="s">
        <v>305</v>
      </c>
      <c r="G47" s="18" t="s">
        <v>176</v>
      </c>
      <c r="H47" s="18">
        <v>7.9</v>
      </c>
      <c r="I47" s="18">
        <v>599</v>
      </c>
      <c r="J47" s="18">
        <v>10</v>
      </c>
      <c r="K47" s="18">
        <v>4258.8900000000003</v>
      </c>
      <c r="L47" s="18" t="s">
        <v>118</v>
      </c>
      <c r="M47" s="18" t="s">
        <v>119</v>
      </c>
      <c r="N47" s="28">
        <v>44961.568055555559</v>
      </c>
      <c r="O47" s="28">
        <v>44962.174305555556</v>
      </c>
      <c r="P47" s="18">
        <v>3.1</v>
      </c>
      <c r="Q47" s="18" t="b">
        <f>FALSE()</f>
        <v>0</v>
      </c>
      <c r="R47" s="18" t="b">
        <f>FALSE()</f>
        <v>0</v>
      </c>
      <c r="S47" s="19">
        <f t="shared" si="0"/>
        <v>14.5</v>
      </c>
      <c r="T47">
        <f>COUNTIF('👤 Customers'!$A:$A, B47)</f>
        <v>1</v>
      </c>
      <c r="U47">
        <f>COUNTIF('🚴 Riders'!A46:A106, C47)</f>
        <v>0</v>
      </c>
      <c r="V47">
        <f>COUNTIF('🏭 Facilities'!A46:A54, D47)</f>
        <v>0</v>
      </c>
    </row>
    <row r="48" spans="1:22">
      <c r="A48" s="16" t="s">
        <v>306</v>
      </c>
      <c r="B48" s="16" t="s">
        <v>307</v>
      </c>
      <c r="C48" s="16" t="s">
        <v>308</v>
      </c>
      <c r="D48" s="16" t="s">
        <v>115</v>
      </c>
      <c r="E48" s="25">
        <v>45461</v>
      </c>
      <c r="F48" s="16" t="s">
        <v>309</v>
      </c>
      <c r="G48" s="16" t="s">
        <v>176</v>
      </c>
      <c r="H48" s="16">
        <v>2.5</v>
      </c>
      <c r="I48" s="16">
        <v>599</v>
      </c>
      <c r="J48" s="16">
        <v>0</v>
      </c>
      <c r="K48" s="16">
        <v>1497.5</v>
      </c>
      <c r="L48" s="16" t="s">
        <v>126</v>
      </c>
      <c r="M48" s="16" t="s">
        <v>119</v>
      </c>
      <c r="N48" s="27">
        <v>45461.257638888892</v>
      </c>
      <c r="O48" s="27">
        <v>45462.032638888886</v>
      </c>
      <c r="P48" s="16">
        <v>3.2</v>
      </c>
      <c r="Q48" s="16" t="b">
        <f>FALSE()</f>
        <v>0</v>
      </c>
      <c r="R48" s="16" t="b">
        <f>TRUE()</f>
        <v>1</v>
      </c>
      <c r="S48" s="17">
        <f t="shared" si="0"/>
        <v>18.600000000000001</v>
      </c>
      <c r="T48">
        <f>COUNTIF('👤 Customers'!$A:$A, B48)</f>
        <v>1</v>
      </c>
      <c r="U48">
        <f>COUNTIF('🚴 Riders'!A47:A107, C48)</f>
        <v>0</v>
      </c>
      <c r="V48">
        <f>COUNTIF('🏭 Facilities'!A47:A55, D48)</f>
        <v>0</v>
      </c>
    </row>
    <row r="49" spans="1:22">
      <c r="A49" s="18" t="s">
        <v>310</v>
      </c>
      <c r="B49" s="18" t="s">
        <v>311</v>
      </c>
      <c r="C49" s="18" t="s">
        <v>224</v>
      </c>
      <c r="D49" s="18" t="s">
        <v>115</v>
      </c>
      <c r="E49" s="26">
        <v>45572</v>
      </c>
      <c r="F49" s="18" t="s">
        <v>312</v>
      </c>
      <c r="G49" s="18" t="s">
        <v>132</v>
      </c>
      <c r="H49" s="18">
        <v>3.4</v>
      </c>
      <c r="I49" s="18">
        <v>399</v>
      </c>
      <c r="J49" s="18">
        <v>0</v>
      </c>
      <c r="K49" s="18">
        <v>1356.6</v>
      </c>
      <c r="L49" s="18" t="s">
        <v>118</v>
      </c>
      <c r="M49" s="18" t="s">
        <v>119</v>
      </c>
      <c r="N49" s="28">
        <v>45572.800000000003</v>
      </c>
      <c r="O49" s="28">
        <v>45573.361111111109</v>
      </c>
      <c r="P49" s="18">
        <v>2.7</v>
      </c>
      <c r="Q49" s="18" t="b">
        <f>TRUE()</f>
        <v>1</v>
      </c>
      <c r="R49" s="18" t="b">
        <f>FALSE()</f>
        <v>0</v>
      </c>
      <c r="S49" s="19">
        <f t="shared" si="0"/>
        <v>13.5</v>
      </c>
      <c r="T49">
        <f>COUNTIF('👤 Customers'!$A:$A, B49)</f>
        <v>1</v>
      </c>
      <c r="U49">
        <f>COUNTIF('🚴 Riders'!A48:A108, C49)</f>
        <v>0</v>
      </c>
      <c r="V49">
        <f>COUNTIF('🏭 Facilities'!A48:A56, D49)</f>
        <v>0</v>
      </c>
    </row>
    <row r="50" spans="1:22">
      <c r="A50" s="16" t="s">
        <v>313</v>
      </c>
      <c r="B50" s="16" t="s">
        <v>314</v>
      </c>
      <c r="C50" s="16" t="s">
        <v>315</v>
      </c>
      <c r="D50" s="16" t="s">
        <v>205</v>
      </c>
      <c r="E50" s="25">
        <v>44944</v>
      </c>
      <c r="F50" s="16" t="s">
        <v>316</v>
      </c>
      <c r="G50" s="16" t="s">
        <v>117</v>
      </c>
      <c r="H50" s="16">
        <v>5.5</v>
      </c>
      <c r="I50" s="16">
        <v>149</v>
      </c>
      <c r="J50" s="16">
        <v>10</v>
      </c>
      <c r="K50" s="16">
        <v>737.55</v>
      </c>
      <c r="L50" s="16" t="s">
        <v>146</v>
      </c>
      <c r="M50" s="16" t="s">
        <v>119</v>
      </c>
      <c r="N50" s="27">
        <v>44944.698611111111</v>
      </c>
      <c r="O50" s="27">
        <v>44945.588194444441</v>
      </c>
      <c r="P50" s="16">
        <v>3.6</v>
      </c>
      <c r="Q50" s="16" t="b">
        <f>FALSE()</f>
        <v>0</v>
      </c>
      <c r="R50" s="16" t="b">
        <f>FALSE()</f>
        <v>0</v>
      </c>
      <c r="S50" s="17">
        <f t="shared" si="0"/>
        <v>21.3</v>
      </c>
      <c r="T50">
        <f>COUNTIF('👤 Customers'!$A:$A, B50)</f>
        <v>1</v>
      </c>
      <c r="U50">
        <f>COUNTIF('🚴 Riders'!A49:A109, C50)</f>
        <v>0</v>
      </c>
      <c r="V50">
        <f>COUNTIF('🏭 Facilities'!A49:A57, D50)</f>
        <v>0</v>
      </c>
    </row>
    <row r="51" spans="1:22">
      <c r="A51" s="18" t="s">
        <v>317</v>
      </c>
      <c r="B51" s="18" t="s">
        <v>318</v>
      </c>
      <c r="C51" s="18" t="s">
        <v>247</v>
      </c>
      <c r="D51" s="18" t="s">
        <v>158</v>
      </c>
      <c r="E51" s="26">
        <v>45416</v>
      </c>
      <c r="F51" s="18" t="s">
        <v>319</v>
      </c>
      <c r="G51" s="18" t="s">
        <v>132</v>
      </c>
      <c r="H51" s="18">
        <v>2.2999999999999998</v>
      </c>
      <c r="I51" s="18">
        <v>399</v>
      </c>
      <c r="J51" s="18">
        <v>10</v>
      </c>
      <c r="K51" s="18">
        <v>825.93</v>
      </c>
      <c r="L51" s="18" t="s">
        <v>126</v>
      </c>
      <c r="M51" s="18" t="s">
        <v>119</v>
      </c>
      <c r="N51" s="28">
        <v>45416.174305555556</v>
      </c>
      <c r="O51" s="28">
        <v>45416.943055555559</v>
      </c>
      <c r="P51" s="18">
        <v>4.3</v>
      </c>
      <c r="Q51" s="18" t="b">
        <f>FALSE()</f>
        <v>0</v>
      </c>
      <c r="R51" s="18" t="b">
        <f>FALSE()</f>
        <v>0</v>
      </c>
      <c r="S51" s="19">
        <f t="shared" si="0"/>
        <v>18.5</v>
      </c>
      <c r="T51">
        <f>COUNTIF('👤 Customers'!$A:$A, B51)</f>
        <v>1</v>
      </c>
      <c r="U51">
        <f>COUNTIF('🚴 Riders'!A50:A110, C51)</f>
        <v>0</v>
      </c>
      <c r="V51">
        <f>COUNTIF('🏭 Facilities'!A50:A58, D51)</f>
        <v>0</v>
      </c>
    </row>
    <row r="52" spans="1:22">
      <c r="A52" s="16" t="s">
        <v>320</v>
      </c>
      <c r="B52" s="16" t="s">
        <v>321</v>
      </c>
      <c r="C52" s="16" t="s">
        <v>322</v>
      </c>
      <c r="D52" s="16" t="s">
        <v>115</v>
      </c>
      <c r="E52" s="25">
        <v>45555</v>
      </c>
      <c r="F52" s="16" t="s">
        <v>323</v>
      </c>
      <c r="G52" s="16" t="s">
        <v>125</v>
      </c>
      <c r="H52" s="16">
        <v>5</v>
      </c>
      <c r="I52" s="16">
        <v>199</v>
      </c>
      <c r="J52" s="16">
        <v>10</v>
      </c>
      <c r="K52" s="16">
        <v>895.5</v>
      </c>
      <c r="L52" s="16" t="s">
        <v>146</v>
      </c>
      <c r="M52" s="16" t="s">
        <v>133</v>
      </c>
      <c r="N52" s="20"/>
      <c r="O52" s="20"/>
      <c r="P52" s="20"/>
      <c r="Q52" s="16" t="b">
        <f>FALSE()</f>
        <v>0</v>
      </c>
      <c r="R52" s="16" t="b">
        <f>FALSE()</f>
        <v>0</v>
      </c>
      <c r="S52" s="17" t="str">
        <f t="shared" si="0"/>
        <v>N/A</v>
      </c>
      <c r="T52">
        <f>COUNTIF('👤 Customers'!$A:$A, B52)</f>
        <v>1</v>
      </c>
      <c r="U52">
        <f>COUNTIF('🚴 Riders'!A51:A111, C52)</f>
        <v>0</v>
      </c>
      <c r="V52">
        <f>COUNTIF('🏭 Facilities'!A51:A59, D52)</f>
        <v>0</v>
      </c>
    </row>
    <row r="53" spans="1:22">
      <c r="A53" s="18" t="s">
        <v>324</v>
      </c>
      <c r="B53" s="18" t="s">
        <v>325</v>
      </c>
      <c r="C53" s="18" t="s">
        <v>326</v>
      </c>
      <c r="D53" s="18" t="s">
        <v>123</v>
      </c>
      <c r="E53" s="26">
        <v>45228</v>
      </c>
      <c r="F53" s="18" t="s">
        <v>327</v>
      </c>
      <c r="G53" s="18" t="s">
        <v>176</v>
      </c>
      <c r="H53" s="18">
        <v>3.7</v>
      </c>
      <c r="I53" s="18">
        <v>599</v>
      </c>
      <c r="J53" s="18">
        <v>0</v>
      </c>
      <c r="K53" s="18">
        <v>2216.3000000000002</v>
      </c>
      <c r="L53" s="18" t="s">
        <v>146</v>
      </c>
      <c r="M53" s="18" t="s">
        <v>119</v>
      </c>
      <c r="N53" s="28">
        <v>45229.009027777778</v>
      </c>
      <c r="O53" s="28">
        <v>45229.831250000003</v>
      </c>
      <c r="P53" s="18">
        <v>4</v>
      </c>
      <c r="Q53" s="18" t="b">
        <f>FALSE()</f>
        <v>0</v>
      </c>
      <c r="R53" s="18" t="b">
        <f>FALSE()</f>
        <v>0</v>
      </c>
      <c r="S53" s="19">
        <f t="shared" si="0"/>
        <v>19.7</v>
      </c>
      <c r="T53">
        <f>COUNTIF('👤 Customers'!$A:$A, B53)</f>
        <v>1</v>
      </c>
      <c r="U53">
        <f>COUNTIF('🚴 Riders'!A52:A112, C53)</f>
        <v>1</v>
      </c>
      <c r="V53">
        <f>COUNTIF('🏭 Facilities'!A52:A60, D53)</f>
        <v>0</v>
      </c>
    </row>
    <row r="54" spans="1:22">
      <c r="A54" s="16" t="s">
        <v>328</v>
      </c>
      <c r="B54" s="16" t="s">
        <v>329</v>
      </c>
      <c r="C54" s="16" t="s">
        <v>247</v>
      </c>
      <c r="D54" s="16" t="s">
        <v>137</v>
      </c>
      <c r="E54" s="25">
        <v>45112</v>
      </c>
      <c r="F54" s="16" t="s">
        <v>330</v>
      </c>
      <c r="G54" s="16" t="s">
        <v>117</v>
      </c>
      <c r="H54" s="16">
        <v>1.8</v>
      </c>
      <c r="I54" s="16">
        <v>149</v>
      </c>
      <c r="J54" s="16">
        <v>0</v>
      </c>
      <c r="K54" s="16">
        <v>268.2</v>
      </c>
      <c r="L54" s="16" t="s">
        <v>139</v>
      </c>
      <c r="M54" s="16" t="s">
        <v>119</v>
      </c>
      <c r="N54" s="27">
        <v>45112.4</v>
      </c>
      <c r="O54" s="27">
        <v>45113.01666666667</v>
      </c>
      <c r="P54" s="16">
        <v>4.0999999999999996</v>
      </c>
      <c r="Q54" s="16" t="b">
        <f>FALSE()</f>
        <v>0</v>
      </c>
      <c r="R54" s="16" t="b">
        <f>FALSE()</f>
        <v>0</v>
      </c>
      <c r="S54" s="17">
        <f t="shared" si="0"/>
        <v>14.8</v>
      </c>
      <c r="T54">
        <f>COUNTIF('👤 Customers'!$A:$A, B54)</f>
        <v>1</v>
      </c>
      <c r="U54">
        <f>COUNTIF('🚴 Riders'!A53:A113, C54)</f>
        <v>0</v>
      </c>
      <c r="V54">
        <f>COUNTIF('🏭 Facilities'!A53:A61, D54)</f>
        <v>0</v>
      </c>
    </row>
    <row r="55" spans="1:22">
      <c r="A55" s="18" t="s">
        <v>331</v>
      </c>
      <c r="B55" s="18" t="s">
        <v>332</v>
      </c>
      <c r="C55" s="18" t="s">
        <v>304</v>
      </c>
      <c r="D55" s="18" t="s">
        <v>115</v>
      </c>
      <c r="E55" s="26">
        <v>45061</v>
      </c>
      <c r="F55" s="18" t="s">
        <v>333</v>
      </c>
      <c r="G55" s="18" t="s">
        <v>176</v>
      </c>
      <c r="H55" s="18">
        <v>2.2000000000000002</v>
      </c>
      <c r="I55" s="18">
        <v>599</v>
      </c>
      <c r="J55" s="18">
        <v>0</v>
      </c>
      <c r="K55" s="18">
        <v>1317.8</v>
      </c>
      <c r="L55" s="18" t="s">
        <v>207</v>
      </c>
      <c r="M55" s="18" t="s">
        <v>119</v>
      </c>
      <c r="N55" s="28">
        <v>45061.621527777781</v>
      </c>
      <c r="O55" s="28">
        <v>45062.256249999999</v>
      </c>
      <c r="P55" s="18">
        <v>3</v>
      </c>
      <c r="Q55" s="18" t="b">
        <f>FALSE()</f>
        <v>0</v>
      </c>
      <c r="R55" s="18" t="b">
        <f>FALSE()</f>
        <v>0</v>
      </c>
      <c r="S55" s="19">
        <f t="shared" si="0"/>
        <v>15.2</v>
      </c>
      <c r="T55">
        <f>COUNTIF('👤 Customers'!$A:$A, B55)</f>
        <v>1</v>
      </c>
      <c r="U55">
        <f>COUNTIF('🚴 Riders'!A54:A114, C55)</f>
        <v>0</v>
      </c>
      <c r="V55">
        <f>COUNTIF('🏭 Facilities'!A54:A62, D55)</f>
        <v>0</v>
      </c>
    </row>
    <row r="56" spans="1:22">
      <c r="A56" s="16" t="s">
        <v>334</v>
      </c>
      <c r="B56" s="16" t="s">
        <v>335</v>
      </c>
      <c r="C56" s="16" t="s">
        <v>272</v>
      </c>
      <c r="D56" s="16" t="s">
        <v>130</v>
      </c>
      <c r="E56" s="25">
        <v>45434</v>
      </c>
      <c r="F56" s="16" t="s">
        <v>336</v>
      </c>
      <c r="G56" s="16" t="s">
        <v>145</v>
      </c>
      <c r="H56" s="16">
        <v>3.9</v>
      </c>
      <c r="I56" s="16">
        <v>299</v>
      </c>
      <c r="J56" s="16">
        <v>0</v>
      </c>
      <c r="K56" s="16">
        <v>1166.0999999999999</v>
      </c>
      <c r="L56" s="16" t="s">
        <v>118</v>
      </c>
      <c r="M56" s="16" t="s">
        <v>140</v>
      </c>
      <c r="N56" s="27">
        <v>45434.397222222222</v>
      </c>
      <c r="O56" s="27">
        <v>45435.0625</v>
      </c>
      <c r="P56" s="20"/>
      <c r="Q56" s="16" t="b">
        <f>TRUE()</f>
        <v>1</v>
      </c>
      <c r="R56" s="16" t="b">
        <f>FALSE()</f>
        <v>0</v>
      </c>
      <c r="S56" s="17">
        <f t="shared" si="0"/>
        <v>16</v>
      </c>
      <c r="T56">
        <f>COUNTIF('👤 Customers'!$A:$A, B56)</f>
        <v>1</v>
      </c>
      <c r="U56">
        <f>COUNTIF('🚴 Riders'!A55:A115, C56)</f>
        <v>0</v>
      </c>
      <c r="V56">
        <f>COUNTIF('🏭 Facilities'!A55:A63, D56)</f>
        <v>0</v>
      </c>
    </row>
    <row r="57" spans="1:22">
      <c r="A57" s="18" t="s">
        <v>337</v>
      </c>
      <c r="B57" s="18" t="s">
        <v>338</v>
      </c>
      <c r="C57" s="18" t="s">
        <v>339</v>
      </c>
      <c r="D57" s="18" t="s">
        <v>205</v>
      </c>
      <c r="E57" s="26">
        <v>45151</v>
      </c>
      <c r="F57" s="18" t="s">
        <v>340</v>
      </c>
      <c r="G57" s="18" t="s">
        <v>132</v>
      </c>
      <c r="H57" s="18">
        <v>6.5</v>
      </c>
      <c r="I57" s="18">
        <v>399</v>
      </c>
      <c r="J57" s="18">
        <v>0</v>
      </c>
      <c r="K57" s="18">
        <v>2593.5</v>
      </c>
      <c r="L57" s="18" t="s">
        <v>146</v>
      </c>
      <c r="M57" s="18" t="s">
        <v>119</v>
      </c>
      <c r="N57" s="28">
        <v>45151.317361111112</v>
      </c>
      <c r="O57" s="28">
        <v>45151.703472222223</v>
      </c>
      <c r="P57" s="18">
        <v>4.5999999999999996</v>
      </c>
      <c r="Q57" s="18" t="b">
        <f>TRUE()</f>
        <v>1</v>
      </c>
      <c r="R57" s="18" t="b">
        <f>FALSE()</f>
        <v>0</v>
      </c>
      <c r="S57" s="19">
        <f t="shared" si="0"/>
        <v>9.3000000000000007</v>
      </c>
      <c r="T57">
        <f>COUNTIF('👤 Customers'!$A:$A, B57)</f>
        <v>1</v>
      </c>
      <c r="U57">
        <f>COUNTIF('🚴 Riders'!A56:A116, C57)</f>
        <v>0</v>
      </c>
      <c r="V57">
        <f>COUNTIF('🏭 Facilities'!A56:A64, D57)</f>
        <v>0</v>
      </c>
    </row>
    <row r="58" spans="1:22">
      <c r="A58" s="16" t="s">
        <v>341</v>
      </c>
      <c r="B58" s="16" t="s">
        <v>342</v>
      </c>
      <c r="C58" s="16" t="s">
        <v>343</v>
      </c>
      <c r="D58" s="16" t="s">
        <v>205</v>
      </c>
      <c r="E58" s="25">
        <v>45351</v>
      </c>
      <c r="F58" s="16" t="s">
        <v>344</v>
      </c>
      <c r="G58" s="16" t="s">
        <v>132</v>
      </c>
      <c r="H58" s="16">
        <v>7.9</v>
      </c>
      <c r="I58" s="16">
        <v>399</v>
      </c>
      <c r="J58" s="16">
        <v>0</v>
      </c>
      <c r="K58" s="16">
        <v>3152.1</v>
      </c>
      <c r="L58" s="16" t="s">
        <v>126</v>
      </c>
      <c r="M58" s="16" t="s">
        <v>140</v>
      </c>
      <c r="N58" s="27">
        <v>45351.495138888888</v>
      </c>
      <c r="O58" s="27">
        <v>45352.09375</v>
      </c>
      <c r="P58" s="20"/>
      <c r="Q58" s="16" t="b">
        <f>FALSE()</f>
        <v>0</v>
      </c>
      <c r="R58" s="16" t="b">
        <f>FALSE()</f>
        <v>0</v>
      </c>
      <c r="S58" s="17">
        <f t="shared" si="0"/>
        <v>14.4</v>
      </c>
      <c r="T58">
        <f>COUNTIF('👤 Customers'!$A:$A, B58)</f>
        <v>1</v>
      </c>
      <c r="U58">
        <f>COUNTIF('🚴 Riders'!A57:A117, C58)</f>
        <v>0</v>
      </c>
      <c r="V58">
        <f>COUNTIF('🏭 Facilities'!A57:A65, D58)</f>
        <v>0</v>
      </c>
    </row>
    <row r="59" spans="1:22">
      <c r="A59" s="18" t="s">
        <v>345</v>
      </c>
      <c r="B59" s="18" t="s">
        <v>346</v>
      </c>
      <c r="C59" s="18" t="s">
        <v>157</v>
      </c>
      <c r="D59" s="18" t="s">
        <v>137</v>
      </c>
      <c r="E59" s="26">
        <v>45529</v>
      </c>
      <c r="F59" s="18" t="s">
        <v>347</v>
      </c>
      <c r="G59" s="18" t="s">
        <v>132</v>
      </c>
      <c r="H59" s="18">
        <v>2.5</v>
      </c>
      <c r="I59" s="18">
        <v>399</v>
      </c>
      <c r="J59" s="18">
        <v>10</v>
      </c>
      <c r="K59" s="18">
        <v>897.75</v>
      </c>
      <c r="L59" s="18" t="s">
        <v>207</v>
      </c>
      <c r="M59" s="18" t="s">
        <v>140</v>
      </c>
      <c r="N59" s="28">
        <v>45529.522222222222</v>
      </c>
      <c r="O59" s="28">
        <v>45530.400000000001</v>
      </c>
      <c r="P59" s="20"/>
      <c r="Q59" s="18" t="b">
        <f>FALSE()</f>
        <v>0</v>
      </c>
      <c r="R59" s="18" t="b">
        <f>FALSE()</f>
        <v>0</v>
      </c>
      <c r="S59" s="19">
        <f t="shared" si="0"/>
        <v>21.1</v>
      </c>
      <c r="T59">
        <f>COUNTIF('👤 Customers'!$A:$A, B59)</f>
        <v>1</v>
      </c>
      <c r="U59">
        <f>COUNTIF('🚴 Riders'!A58:A118, C59)</f>
        <v>0</v>
      </c>
      <c r="V59">
        <f>COUNTIF('🏭 Facilities'!A58:A66, D59)</f>
        <v>0</v>
      </c>
    </row>
    <row r="60" spans="1:22">
      <c r="A60" s="16" t="s">
        <v>348</v>
      </c>
      <c r="B60" s="16" t="s">
        <v>349</v>
      </c>
      <c r="C60" s="16" t="s">
        <v>350</v>
      </c>
      <c r="D60" s="16" t="s">
        <v>197</v>
      </c>
      <c r="E60" s="25">
        <v>45369</v>
      </c>
      <c r="F60" s="16" t="s">
        <v>351</v>
      </c>
      <c r="G60" s="16" t="s">
        <v>117</v>
      </c>
      <c r="H60" s="16">
        <v>4.7</v>
      </c>
      <c r="I60" s="16">
        <v>149</v>
      </c>
      <c r="J60" s="16">
        <v>0</v>
      </c>
      <c r="K60" s="16">
        <v>700.3</v>
      </c>
      <c r="L60" s="16" t="s">
        <v>207</v>
      </c>
      <c r="M60" s="16" t="s">
        <v>119</v>
      </c>
      <c r="N60" s="27">
        <v>45369.857638888891</v>
      </c>
      <c r="O60" s="27">
        <v>45370.701388888891</v>
      </c>
      <c r="P60" s="16">
        <v>4.9000000000000004</v>
      </c>
      <c r="Q60" s="16" t="b">
        <f>FALSE()</f>
        <v>0</v>
      </c>
      <c r="R60" s="16" t="b">
        <f>FALSE()</f>
        <v>0</v>
      </c>
      <c r="S60" s="17">
        <f t="shared" si="0"/>
        <v>20.3</v>
      </c>
      <c r="T60">
        <f>COUNTIF('👤 Customers'!$A:$A, B60)</f>
        <v>1</v>
      </c>
      <c r="U60">
        <f>COUNTIF('🚴 Riders'!A59:A119, C60)</f>
        <v>0</v>
      </c>
      <c r="V60">
        <f>COUNTIF('🏭 Facilities'!A59:A67, D60)</f>
        <v>0</v>
      </c>
    </row>
    <row r="61" spans="1:22">
      <c r="A61" s="18" t="s">
        <v>352</v>
      </c>
      <c r="B61" s="18" t="s">
        <v>353</v>
      </c>
      <c r="C61" s="18" t="s">
        <v>354</v>
      </c>
      <c r="D61" s="18" t="s">
        <v>115</v>
      </c>
      <c r="E61" s="26">
        <v>45142</v>
      </c>
      <c r="F61" s="18" t="s">
        <v>355</v>
      </c>
      <c r="G61" s="18" t="s">
        <v>132</v>
      </c>
      <c r="H61" s="18">
        <v>5.9</v>
      </c>
      <c r="I61" s="18">
        <v>399</v>
      </c>
      <c r="J61" s="18">
        <v>0</v>
      </c>
      <c r="K61" s="18">
        <v>2354.1</v>
      </c>
      <c r="L61" s="18" t="s">
        <v>207</v>
      </c>
      <c r="M61" s="18" t="s">
        <v>119</v>
      </c>
      <c r="N61" s="28">
        <v>45142.527777777781</v>
      </c>
      <c r="O61" s="28">
        <v>45143.504166666666</v>
      </c>
      <c r="P61" s="18">
        <v>3.9</v>
      </c>
      <c r="Q61" s="18" t="b">
        <f>FALSE()</f>
        <v>0</v>
      </c>
      <c r="R61" s="18" t="b">
        <f>FALSE()</f>
        <v>0</v>
      </c>
      <c r="S61" s="19">
        <f t="shared" si="0"/>
        <v>23.4</v>
      </c>
      <c r="T61">
        <f>COUNTIF('👤 Customers'!$A:$A, B61)</f>
        <v>1</v>
      </c>
      <c r="U61">
        <f>COUNTIF('🚴 Riders'!A60:A120, C61)</f>
        <v>0</v>
      </c>
      <c r="V61">
        <f>COUNTIF('🏭 Facilities'!A60:A68, D61)</f>
        <v>0</v>
      </c>
    </row>
    <row r="62" spans="1:22">
      <c r="A62" s="16" t="s">
        <v>356</v>
      </c>
      <c r="B62" s="16" t="s">
        <v>357</v>
      </c>
      <c r="C62" s="16" t="s">
        <v>358</v>
      </c>
      <c r="D62" s="16" t="s">
        <v>115</v>
      </c>
      <c r="E62" s="25">
        <v>45278</v>
      </c>
      <c r="F62" s="16" t="s">
        <v>359</v>
      </c>
      <c r="G62" s="16" t="s">
        <v>125</v>
      </c>
      <c r="H62" s="16">
        <v>5.4</v>
      </c>
      <c r="I62" s="16">
        <v>199</v>
      </c>
      <c r="J62" s="16">
        <v>20</v>
      </c>
      <c r="K62" s="16">
        <v>859.68</v>
      </c>
      <c r="L62" s="16" t="s">
        <v>139</v>
      </c>
      <c r="M62" s="16" t="s">
        <v>119</v>
      </c>
      <c r="N62" s="27">
        <v>45278.151388888888</v>
      </c>
      <c r="O62" s="27">
        <v>45279.063194444447</v>
      </c>
      <c r="P62" s="16">
        <v>3.3</v>
      </c>
      <c r="Q62" s="16" t="b">
        <f>TRUE()</f>
        <v>1</v>
      </c>
      <c r="R62" s="16" t="b">
        <f>FALSE()</f>
        <v>0</v>
      </c>
      <c r="S62" s="17">
        <f t="shared" si="0"/>
        <v>21.9</v>
      </c>
      <c r="T62">
        <f>COUNTIF('👤 Customers'!$A:$A, B62)</f>
        <v>1</v>
      </c>
      <c r="U62">
        <f>COUNTIF('🚴 Riders'!A61:A121, C62)</f>
        <v>0</v>
      </c>
      <c r="V62">
        <f>COUNTIF('🏭 Facilities'!A61:A69, D62)</f>
        <v>0</v>
      </c>
    </row>
    <row r="63" spans="1:22">
      <c r="A63" s="18" t="s">
        <v>360</v>
      </c>
      <c r="B63" s="18" t="s">
        <v>361</v>
      </c>
      <c r="C63" s="18" t="s">
        <v>362</v>
      </c>
      <c r="D63" s="18" t="s">
        <v>158</v>
      </c>
      <c r="E63" s="26">
        <v>45496</v>
      </c>
      <c r="F63" s="18" t="s">
        <v>363</v>
      </c>
      <c r="G63" s="18" t="s">
        <v>125</v>
      </c>
      <c r="H63" s="18">
        <v>6.1</v>
      </c>
      <c r="I63" s="18">
        <v>199</v>
      </c>
      <c r="J63" s="18">
        <v>0</v>
      </c>
      <c r="K63" s="18">
        <v>1213.9000000000001</v>
      </c>
      <c r="L63" s="18" t="s">
        <v>207</v>
      </c>
      <c r="M63" s="18" t="s">
        <v>140</v>
      </c>
      <c r="N63" s="28">
        <v>45496.245833333334</v>
      </c>
      <c r="O63" s="28">
        <v>45497.240972222222</v>
      </c>
      <c r="P63" s="20"/>
      <c r="Q63" s="18" t="b">
        <f>FALSE()</f>
        <v>0</v>
      </c>
      <c r="R63" s="18" t="b">
        <f>FALSE()</f>
        <v>0</v>
      </c>
      <c r="S63" s="19">
        <f t="shared" si="0"/>
        <v>23.9</v>
      </c>
      <c r="T63">
        <f>COUNTIF('👤 Customers'!$A:$A, B63)</f>
        <v>1</v>
      </c>
      <c r="U63">
        <f>COUNTIF('🚴 Riders'!A62:A122, C63)</f>
        <v>0</v>
      </c>
      <c r="V63">
        <f>COUNTIF('🏭 Facilities'!A62:A70, D63)</f>
        <v>0</v>
      </c>
    </row>
    <row r="64" spans="1:22">
      <c r="A64" s="16" t="s">
        <v>364</v>
      </c>
      <c r="B64" s="16" t="s">
        <v>365</v>
      </c>
      <c r="C64" s="16" t="s">
        <v>228</v>
      </c>
      <c r="D64" s="16" t="s">
        <v>115</v>
      </c>
      <c r="E64" s="25">
        <v>45147</v>
      </c>
      <c r="F64" s="16" t="s">
        <v>366</v>
      </c>
      <c r="G64" s="16" t="s">
        <v>117</v>
      </c>
      <c r="H64" s="16">
        <v>4.8</v>
      </c>
      <c r="I64" s="16">
        <v>149</v>
      </c>
      <c r="J64" s="16">
        <v>0</v>
      </c>
      <c r="K64" s="16">
        <v>715.2</v>
      </c>
      <c r="L64" s="16" t="s">
        <v>126</v>
      </c>
      <c r="M64" s="16" t="s">
        <v>119</v>
      </c>
      <c r="N64" s="27">
        <v>45147.40902777778</v>
      </c>
      <c r="O64" s="27">
        <v>45148.43472222222</v>
      </c>
      <c r="P64" s="16">
        <v>2.8</v>
      </c>
      <c r="Q64" s="16" t="b">
        <f>FALSE()</f>
        <v>0</v>
      </c>
      <c r="R64" s="16" t="b">
        <f>FALSE()</f>
        <v>0</v>
      </c>
      <c r="S64" s="17">
        <f t="shared" si="0"/>
        <v>24.6</v>
      </c>
      <c r="T64">
        <f>COUNTIF('👤 Customers'!$A:$A, B64)</f>
        <v>1</v>
      </c>
      <c r="U64">
        <f>COUNTIF('🚴 Riders'!A63:A123, C64)</f>
        <v>0</v>
      </c>
      <c r="V64">
        <f>COUNTIF('🏭 Facilities'!A63:A71, D64)</f>
        <v>0</v>
      </c>
    </row>
    <row r="65" spans="1:22">
      <c r="A65" s="18" t="s">
        <v>367</v>
      </c>
      <c r="B65" s="18" t="s">
        <v>368</v>
      </c>
      <c r="C65" s="18" t="s">
        <v>153</v>
      </c>
      <c r="D65" s="18" t="s">
        <v>197</v>
      </c>
      <c r="E65" s="26">
        <v>44927</v>
      </c>
      <c r="F65" s="18" t="s">
        <v>369</v>
      </c>
      <c r="G65" s="18" t="s">
        <v>145</v>
      </c>
      <c r="H65" s="18">
        <v>2.4</v>
      </c>
      <c r="I65" s="18">
        <v>299</v>
      </c>
      <c r="J65" s="18">
        <v>10</v>
      </c>
      <c r="K65" s="18">
        <v>645.84</v>
      </c>
      <c r="L65" s="18" t="s">
        <v>118</v>
      </c>
      <c r="M65" s="18" t="s">
        <v>119</v>
      </c>
      <c r="N65" s="28">
        <v>44927.674305555556</v>
      </c>
      <c r="O65" s="28">
        <v>44928.265277777777</v>
      </c>
      <c r="P65" s="18">
        <v>3.1</v>
      </c>
      <c r="Q65" s="18" t="b">
        <f>FALSE()</f>
        <v>0</v>
      </c>
      <c r="R65" s="18" t="b">
        <f>FALSE()</f>
        <v>0</v>
      </c>
      <c r="S65" s="19">
        <f t="shared" si="0"/>
        <v>14.2</v>
      </c>
      <c r="T65">
        <f>COUNTIF('👤 Customers'!$A:$A, B65)</f>
        <v>1</v>
      </c>
      <c r="U65">
        <f>COUNTIF('🚴 Riders'!A64:A124, C65)</f>
        <v>0</v>
      </c>
      <c r="V65">
        <f>COUNTIF('🏭 Facilities'!A64:A72, D65)</f>
        <v>0</v>
      </c>
    </row>
    <row r="66" spans="1:22">
      <c r="A66" s="16" t="s">
        <v>370</v>
      </c>
      <c r="B66" s="16" t="s">
        <v>371</v>
      </c>
      <c r="C66" s="16" t="s">
        <v>304</v>
      </c>
      <c r="D66" s="16" t="s">
        <v>130</v>
      </c>
      <c r="E66" s="25">
        <v>45055</v>
      </c>
      <c r="F66" s="16" t="s">
        <v>372</v>
      </c>
      <c r="G66" s="16" t="s">
        <v>125</v>
      </c>
      <c r="H66" s="16">
        <v>3.8</v>
      </c>
      <c r="I66" s="16">
        <v>199</v>
      </c>
      <c r="J66" s="16">
        <v>0</v>
      </c>
      <c r="K66" s="16">
        <v>756.2</v>
      </c>
      <c r="L66" s="16" t="s">
        <v>139</v>
      </c>
      <c r="M66" s="16" t="s">
        <v>140</v>
      </c>
      <c r="N66" s="27">
        <v>45055.697916666664</v>
      </c>
      <c r="O66" s="27">
        <v>45056.318749999999</v>
      </c>
      <c r="P66" s="20"/>
      <c r="Q66" s="16" t="b">
        <f>TRUE()</f>
        <v>1</v>
      </c>
      <c r="R66" s="16" t="b">
        <f>FALSE()</f>
        <v>0</v>
      </c>
      <c r="S66" s="17">
        <f t="shared" ref="S66:S129" si="1">IF(OR(N66="",O66=""),"N/A",ROUND(((O66-N66)*24),1))</f>
        <v>14.9</v>
      </c>
      <c r="T66">
        <f>COUNTIF('👤 Customers'!$A:$A, B66)</f>
        <v>1</v>
      </c>
      <c r="U66">
        <f>COUNTIF('🚴 Riders'!A65:A125, C66)</f>
        <v>0</v>
      </c>
      <c r="V66">
        <f>COUNTIF('🏭 Facilities'!A65:A73, D66)</f>
        <v>0</v>
      </c>
    </row>
    <row r="67" spans="1:22">
      <c r="A67" s="18" t="s">
        <v>373</v>
      </c>
      <c r="B67" s="18" t="s">
        <v>374</v>
      </c>
      <c r="C67" s="18" t="s">
        <v>192</v>
      </c>
      <c r="D67" s="18" t="s">
        <v>158</v>
      </c>
      <c r="E67" s="26">
        <v>45330</v>
      </c>
      <c r="F67" s="18" t="s">
        <v>375</v>
      </c>
      <c r="G67" s="18" t="s">
        <v>145</v>
      </c>
      <c r="H67" s="18">
        <v>1.1000000000000001</v>
      </c>
      <c r="I67" s="18">
        <v>299</v>
      </c>
      <c r="J67" s="18">
        <v>10</v>
      </c>
      <c r="K67" s="18">
        <v>296.01</v>
      </c>
      <c r="L67" s="18" t="s">
        <v>126</v>
      </c>
      <c r="M67" s="18" t="s">
        <v>119</v>
      </c>
      <c r="N67" s="28">
        <v>45330.629166666666</v>
      </c>
      <c r="O67" s="28">
        <v>45331.248611111114</v>
      </c>
      <c r="P67" s="18">
        <v>4.3</v>
      </c>
      <c r="Q67" s="18" t="b">
        <f>TRUE()</f>
        <v>1</v>
      </c>
      <c r="R67" s="18" t="b">
        <f>FALSE()</f>
        <v>0</v>
      </c>
      <c r="S67" s="19">
        <f t="shared" si="1"/>
        <v>14.9</v>
      </c>
      <c r="T67">
        <f>COUNTIF('👤 Customers'!$A:$A, B67)</f>
        <v>1</v>
      </c>
      <c r="U67">
        <f>COUNTIF('🚴 Riders'!A66:A126, C67)</f>
        <v>0</v>
      </c>
      <c r="V67">
        <f>COUNTIF('🏭 Facilities'!A66:A74, D67)</f>
        <v>0</v>
      </c>
    </row>
    <row r="68" spans="1:22">
      <c r="A68" s="16" t="s">
        <v>376</v>
      </c>
      <c r="B68" s="16" t="s">
        <v>377</v>
      </c>
      <c r="C68" s="16" t="s">
        <v>304</v>
      </c>
      <c r="D68" s="16" t="s">
        <v>137</v>
      </c>
      <c r="E68" s="25">
        <v>45611</v>
      </c>
      <c r="F68" s="16" t="s">
        <v>378</v>
      </c>
      <c r="G68" s="16" t="s">
        <v>117</v>
      </c>
      <c r="H68" s="16">
        <v>2</v>
      </c>
      <c r="I68" s="16">
        <v>149</v>
      </c>
      <c r="J68" s="16">
        <v>10</v>
      </c>
      <c r="K68" s="16">
        <v>268.2</v>
      </c>
      <c r="L68" s="16" t="s">
        <v>139</v>
      </c>
      <c r="M68" s="16" t="s">
        <v>119</v>
      </c>
      <c r="N68" s="27">
        <v>45611.398611111108</v>
      </c>
      <c r="O68" s="27">
        <v>45612.203472222223</v>
      </c>
      <c r="P68" s="16">
        <v>3.4</v>
      </c>
      <c r="Q68" s="16" t="b">
        <f>FALSE()</f>
        <v>0</v>
      </c>
      <c r="R68" s="16" t="b">
        <f>FALSE()</f>
        <v>0</v>
      </c>
      <c r="S68" s="17">
        <f t="shared" si="1"/>
        <v>19.3</v>
      </c>
      <c r="T68">
        <f>COUNTIF('👤 Customers'!$A:$A, B68)</f>
        <v>1</v>
      </c>
      <c r="U68">
        <f>COUNTIF('🚴 Riders'!A67:A127, C68)</f>
        <v>0</v>
      </c>
      <c r="V68">
        <f>COUNTIF('🏭 Facilities'!A67:A75, D68)</f>
        <v>0</v>
      </c>
    </row>
    <row r="69" spans="1:22">
      <c r="A69" s="18" t="s">
        <v>379</v>
      </c>
      <c r="B69" s="18" t="s">
        <v>380</v>
      </c>
      <c r="C69" s="18" t="s">
        <v>283</v>
      </c>
      <c r="D69" s="18" t="s">
        <v>158</v>
      </c>
      <c r="E69" s="26">
        <v>45641</v>
      </c>
      <c r="F69" s="18" t="s">
        <v>381</v>
      </c>
      <c r="G69" s="18" t="s">
        <v>145</v>
      </c>
      <c r="H69" s="18">
        <v>5.3</v>
      </c>
      <c r="I69" s="18">
        <v>299</v>
      </c>
      <c r="J69" s="18">
        <v>0</v>
      </c>
      <c r="K69" s="18">
        <v>1584.7</v>
      </c>
      <c r="L69" s="18" t="s">
        <v>118</v>
      </c>
      <c r="M69" s="18" t="s">
        <v>119</v>
      </c>
      <c r="N69" s="28">
        <v>45641.536111111112</v>
      </c>
      <c r="O69" s="28">
        <v>45641.96597222222</v>
      </c>
      <c r="P69" s="18">
        <v>4.9000000000000004</v>
      </c>
      <c r="Q69" s="18" t="b">
        <f>FALSE()</f>
        <v>0</v>
      </c>
      <c r="R69" s="18" t="b">
        <f>TRUE()</f>
        <v>1</v>
      </c>
      <c r="S69" s="19">
        <f t="shared" si="1"/>
        <v>10.3</v>
      </c>
      <c r="T69">
        <f>COUNTIF('👤 Customers'!$A:$A, B69)</f>
        <v>1</v>
      </c>
      <c r="U69">
        <f>COUNTIF('🚴 Riders'!A68:A128, C69)</f>
        <v>0</v>
      </c>
      <c r="V69">
        <f>COUNTIF('🏭 Facilities'!A68:A76, D69)</f>
        <v>0</v>
      </c>
    </row>
    <row r="70" spans="1:22">
      <c r="A70" s="16" t="s">
        <v>382</v>
      </c>
      <c r="B70" s="16" t="s">
        <v>383</v>
      </c>
      <c r="C70" s="16" t="s">
        <v>350</v>
      </c>
      <c r="D70" s="16" t="s">
        <v>123</v>
      </c>
      <c r="E70" s="25">
        <v>45142</v>
      </c>
      <c r="F70" s="16" t="s">
        <v>384</v>
      </c>
      <c r="G70" s="16" t="s">
        <v>125</v>
      </c>
      <c r="H70" s="16">
        <v>2.7</v>
      </c>
      <c r="I70" s="16">
        <v>199</v>
      </c>
      <c r="J70" s="16">
        <v>10</v>
      </c>
      <c r="K70" s="16">
        <v>483.57</v>
      </c>
      <c r="L70" s="16" t="s">
        <v>207</v>
      </c>
      <c r="M70" s="16" t="s">
        <v>140</v>
      </c>
      <c r="N70" s="27">
        <v>45142.236111111109</v>
      </c>
      <c r="O70" s="27">
        <v>45143.169444444444</v>
      </c>
      <c r="P70" s="20"/>
      <c r="Q70" s="16" t="b">
        <f>FALSE()</f>
        <v>0</v>
      </c>
      <c r="R70" s="16" t="b">
        <f>FALSE()</f>
        <v>0</v>
      </c>
      <c r="S70" s="17">
        <f t="shared" si="1"/>
        <v>22.4</v>
      </c>
      <c r="T70">
        <f>COUNTIF('👤 Customers'!$A:$A, B70)</f>
        <v>1</v>
      </c>
      <c r="U70">
        <f>COUNTIF('🚴 Riders'!A69:A129, C70)</f>
        <v>0</v>
      </c>
      <c r="V70">
        <f>COUNTIF('🏭 Facilities'!A69:A77, D70)</f>
        <v>0</v>
      </c>
    </row>
    <row r="71" spans="1:22">
      <c r="A71" s="18" t="s">
        <v>385</v>
      </c>
      <c r="B71" s="18" t="s">
        <v>386</v>
      </c>
      <c r="C71" s="18" t="s">
        <v>183</v>
      </c>
      <c r="D71" s="18" t="s">
        <v>184</v>
      </c>
      <c r="E71" s="26">
        <v>45507</v>
      </c>
      <c r="F71" s="18" t="s">
        <v>387</v>
      </c>
      <c r="G71" s="18" t="s">
        <v>145</v>
      </c>
      <c r="H71" s="18">
        <v>3.1</v>
      </c>
      <c r="I71" s="18">
        <v>299</v>
      </c>
      <c r="J71" s="18">
        <v>0</v>
      </c>
      <c r="K71" s="18">
        <v>926.9</v>
      </c>
      <c r="L71" s="18" t="s">
        <v>118</v>
      </c>
      <c r="M71" s="18" t="s">
        <v>119</v>
      </c>
      <c r="N71" s="28">
        <v>45507.959722222222</v>
      </c>
      <c r="O71" s="28">
        <v>45508.37777777778</v>
      </c>
      <c r="P71" s="18">
        <v>4.8</v>
      </c>
      <c r="Q71" s="18" t="b">
        <f>TRUE()</f>
        <v>1</v>
      </c>
      <c r="R71" s="18" t="b">
        <f>FALSE()</f>
        <v>0</v>
      </c>
      <c r="S71" s="19">
        <f t="shared" si="1"/>
        <v>10</v>
      </c>
      <c r="T71">
        <f>COUNTIF('👤 Customers'!$A:$A, B71)</f>
        <v>1</v>
      </c>
      <c r="U71">
        <f>COUNTIF('🚴 Riders'!A70:A130, C71)</f>
        <v>0</v>
      </c>
      <c r="V71">
        <f>COUNTIF('🏭 Facilities'!A70:A78, D71)</f>
        <v>0</v>
      </c>
    </row>
    <row r="72" spans="1:22">
      <c r="A72" s="16" t="s">
        <v>388</v>
      </c>
      <c r="B72" s="16" t="s">
        <v>389</v>
      </c>
      <c r="C72" s="16" t="s">
        <v>304</v>
      </c>
      <c r="D72" s="16" t="s">
        <v>123</v>
      </c>
      <c r="E72" s="25">
        <v>45368</v>
      </c>
      <c r="F72" s="16" t="s">
        <v>390</v>
      </c>
      <c r="G72" s="16" t="s">
        <v>145</v>
      </c>
      <c r="H72" s="16">
        <v>3.6</v>
      </c>
      <c r="I72" s="16">
        <v>299</v>
      </c>
      <c r="J72" s="16">
        <v>10</v>
      </c>
      <c r="K72" s="16">
        <v>968.76</v>
      </c>
      <c r="L72" s="16" t="s">
        <v>207</v>
      </c>
      <c r="M72" s="16" t="s">
        <v>119</v>
      </c>
      <c r="N72" s="27">
        <v>45368.634027777778</v>
      </c>
      <c r="O72" s="27">
        <v>45369.504861111112</v>
      </c>
      <c r="P72" s="16">
        <v>2.6</v>
      </c>
      <c r="Q72" s="16" t="b">
        <f>TRUE()</f>
        <v>1</v>
      </c>
      <c r="R72" s="16" t="b">
        <f>FALSE()</f>
        <v>0</v>
      </c>
      <c r="S72" s="17">
        <f t="shared" si="1"/>
        <v>20.9</v>
      </c>
      <c r="T72">
        <f>COUNTIF('👤 Customers'!$A:$A, B72)</f>
        <v>1</v>
      </c>
      <c r="U72">
        <f>COUNTIF('🚴 Riders'!A71:A131, C72)</f>
        <v>0</v>
      </c>
      <c r="V72">
        <f>COUNTIF('🏭 Facilities'!A71:A79, D72)</f>
        <v>0</v>
      </c>
    </row>
    <row r="73" spans="1:22">
      <c r="A73" s="18" t="s">
        <v>391</v>
      </c>
      <c r="B73" s="18" t="s">
        <v>212</v>
      </c>
      <c r="C73" s="18" t="s">
        <v>157</v>
      </c>
      <c r="D73" s="18" t="s">
        <v>137</v>
      </c>
      <c r="E73" s="26">
        <v>45320</v>
      </c>
      <c r="F73" s="18" t="s">
        <v>392</v>
      </c>
      <c r="G73" s="18" t="s">
        <v>117</v>
      </c>
      <c r="H73" s="18">
        <v>5.4</v>
      </c>
      <c r="I73" s="18">
        <v>149</v>
      </c>
      <c r="J73" s="18">
        <v>0</v>
      </c>
      <c r="K73" s="18">
        <v>804.6</v>
      </c>
      <c r="L73" s="18" t="s">
        <v>118</v>
      </c>
      <c r="M73" s="18" t="s">
        <v>119</v>
      </c>
      <c r="N73" s="28">
        <v>45320.578472222223</v>
      </c>
      <c r="O73" s="28">
        <v>45321.224999999999</v>
      </c>
      <c r="P73" s="18">
        <v>2.7</v>
      </c>
      <c r="Q73" s="18" t="b">
        <f>TRUE()</f>
        <v>1</v>
      </c>
      <c r="R73" s="18" t="b">
        <f>FALSE()</f>
        <v>0</v>
      </c>
      <c r="S73" s="19">
        <f t="shared" si="1"/>
        <v>15.5</v>
      </c>
      <c r="T73">
        <f>COUNTIF('👤 Customers'!$A:$A, B73)</f>
        <v>1</v>
      </c>
      <c r="U73">
        <f>COUNTIF('🚴 Riders'!A72:A132, C73)</f>
        <v>0</v>
      </c>
      <c r="V73">
        <f>COUNTIF('🏭 Facilities'!A72:A80, D73)</f>
        <v>0</v>
      </c>
    </row>
    <row r="74" spans="1:22">
      <c r="A74" s="16" t="s">
        <v>393</v>
      </c>
      <c r="B74" s="16" t="s">
        <v>394</v>
      </c>
      <c r="C74" s="16" t="s">
        <v>224</v>
      </c>
      <c r="D74" s="16" t="s">
        <v>158</v>
      </c>
      <c r="E74" s="25">
        <v>45554</v>
      </c>
      <c r="F74" s="16" t="s">
        <v>395</v>
      </c>
      <c r="G74" s="16" t="s">
        <v>132</v>
      </c>
      <c r="H74" s="16">
        <v>4.8</v>
      </c>
      <c r="I74" s="16">
        <v>399</v>
      </c>
      <c r="J74" s="16">
        <v>0</v>
      </c>
      <c r="K74" s="16">
        <v>1915.2</v>
      </c>
      <c r="L74" s="16" t="s">
        <v>207</v>
      </c>
      <c r="M74" s="16" t="s">
        <v>140</v>
      </c>
      <c r="N74" s="27">
        <v>45554.770833333336</v>
      </c>
      <c r="O74" s="27">
        <v>45555.603472222225</v>
      </c>
      <c r="P74" s="20"/>
      <c r="Q74" s="16" t="b">
        <f>TRUE()</f>
        <v>1</v>
      </c>
      <c r="R74" s="16" t="b">
        <f>TRUE()</f>
        <v>1</v>
      </c>
      <c r="S74" s="17">
        <f t="shared" si="1"/>
        <v>20</v>
      </c>
      <c r="T74">
        <f>COUNTIF('👤 Customers'!$A:$A, B74)</f>
        <v>1</v>
      </c>
      <c r="U74">
        <f>COUNTIF('🚴 Riders'!A73:A133, C74)</f>
        <v>0</v>
      </c>
      <c r="V74">
        <f>COUNTIF('🏭 Facilities'!A73:A81, D74)</f>
        <v>0</v>
      </c>
    </row>
    <row r="75" spans="1:22">
      <c r="A75" s="18" t="s">
        <v>396</v>
      </c>
      <c r="B75" s="18" t="s">
        <v>397</v>
      </c>
      <c r="C75" s="18" t="s">
        <v>166</v>
      </c>
      <c r="D75" s="18" t="s">
        <v>137</v>
      </c>
      <c r="E75" s="26">
        <v>45264</v>
      </c>
      <c r="F75" s="18" t="s">
        <v>398</v>
      </c>
      <c r="G75" s="18" t="s">
        <v>125</v>
      </c>
      <c r="H75" s="18">
        <v>4.2</v>
      </c>
      <c r="I75" s="18">
        <v>199</v>
      </c>
      <c r="J75" s="18">
        <v>10</v>
      </c>
      <c r="K75" s="18">
        <v>752.22</v>
      </c>
      <c r="L75" s="18" t="s">
        <v>126</v>
      </c>
      <c r="M75" s="18" t="s">
        <v>119</v>
      </c>
      <c r="N75" s="28">
        <v>45264.59097222222</v>
      </c>
      <c r="O75" s="28">
        <v>45265.390972222223</v>
      </c>
      <c r="P75" s="18">
        <v>2.9</v>
      </c>
      <c r="Q75" s="18" t="b">
        <f>FALSE()</f>
        <v>0</v>
      </c>
      <c r="R75" s="18" t="b">
        <f>FALSE()</f>
        <v>0</v>
      </c>
      <c r="S75" s="19">
        <f t="shared" si="1"/>
        <v>19.2</v>
      </c>
      <c r="T75">
        <f>COUNTIF('👤 Customers'!$A:$A, B75)</f>
        <v>1</v>
      </c>
      <c r="U75">
        <f>COUNTIF('🚴 Riders'!A74:A134, C75)</f>
        <v>0</v>
      </c>
      <c r="V75">
        <f>COUNTIF('🏭 Facilities'!A74:A82, D75)</f>
        <v>0</v>
      </c>
    </row>
    <row r="76" spans="1:22">
      <c r="A76" s="16" t="s">
        <v>399</v>
      </c>
      <c r="B76" s="16" t="s">
        <v>400</v>
      </c>
      <c r="C76" s="16" t="s">
        <v>326</v>
      </c>
      <c r="D76" s="16" t="s">
        <v>158</v>
      </c>
      <c r="E76" s="25">
        <v>45535</v>
      </c>
      <c r="F76" s="16" t="s">
        <v>401</v>
      </c>
      <c r="G76" s="16" t="s">
        <v>117</v>
      </c>
      <c r="H76" s="16">
        <v>2.2000000000000002</v>
      </c>
      <c r="I76" s="16">
        <v>149</v>
      </c>
      <c r="J76" s="16">
        <v>0</v>
      </c>
      <c r="K76" s="16">
        <v>327.8</v>
      </c>
      <c r="L76" s="16" t="s">
        <v>118</v>
      </c>
      <c r="M76" s="16" t="s">
        <v>119</v>
      </c>
      <c r="N76" s="27">
        <v>45535.291666666664</v>
      </c>
      <c r="O76" s="27">
        <v>45535.746527777781</v>
      </c>
      <c r="P76" s="16">
        <v>3.8</v>
      </c>
      <c r="Q76" s="16" t="b">
        <f>FALSE()</f>
        <v>0</v>
      </c>
      <c r="R76" s="16" t="b">
        <f>FALSE()</f>
        <v>0</v>
      </c>
      <c r="S76" s="17">
        <f t="shared" si="1"/>
        <v>10.9</v>
      </c>
      <c r="T76">
        <f>COUNTIF('👤 Customers'!$A:$A, B76)</f>
        <v>1</v>
      </c>
      <c r="U76">
        <f>COUNTIF('🚴 Riders'!A75:A135, C76)</f>
        <v>0</v>
      </c>
      <c r="V76">
        <f>COUNTIF('🏭 Facilities'!A75:A83, D76)</f>
        <v>0</v>
      </c>
    </row>
    <row r="77" spans="1:22">
      <c r="A77" s="18" t="s">
        <v>402</v>
      </c>
      <c r="B77" s="18" t="s">
        <v>403</v>
      </c>
      <c r="C77" s="18" t="s">
        <v>204</v>
      </c>
      <c r="D77" s="18" t="s">
        <v>197</v>
      </c>
      <c r="E77" s="26">
        <v>45414</v>
      </c>
      <c r="F77" s="18" t="s">
        <v>404</v>
      </c>
      <c r="G77" s="18" t="s">
        <v>125</v>
      </c>
      <c r="H77" s="18">
        <v>4.5</v>
      </c>
      <c r="I77" s="18">
        <v>199</v>
      </c>
      <c r="J77" s="18">
        <v>0</v>
      </c>
      <c r="K77" s="18">
        <v>895.5</v>
      </c>
      <c r="L77" s="18" t="s">
        <v>146</v>
      </c>
      <c r="M77" s="18" t="s">
        <v>119</v>
      </c>
      <c r="N77" s="28">
        <v>45414.512499999997</v>
      </c>
      <c r="O77" s="28">
        <v>45415.259722222225</v>
      </c>
      <c r="P77" s="18">
        <v>4.2</v>
      </c>
      <c r="Q77" s="18" t="b">
        <f>TRUE()</f>
        <v>1</v>
      </c>
      <c r="R77" s="18" t="b">
        <f>FALSE()</f>
        <v>0</v>
      </c>
      <c r="S77" s="19">
        <f t="shared" si="1"/>
        <v>17.899999999999999</v>
      </c>
      <c r="T77">
        <f>COUNTIF('👤 Customers'!$A:$A, B77)</f>
        <v>1</v>
      </c>
      <c r="U77">
        <f>COUNTIF('🚴 Riders'!A76:A136, C77)</f>
        <v>0</v>
      </c>
      <c r="V77">
        <f>COUNTIF('🏭 Facilities'!A76:A84, D77)</f>
        <v>0</v>
      </c>
    </row>
    <row r="78" spans="1:22">
      <c r="A78" s="16" t="s">
        <v>405</v>
      </c>
      <c r="B78" s="16" t="s">
        <v>406</v>
      </c>
      <c r="C78" s="16" t="s">
        <v>350</v>
      </c>
      <c r="D78" s="16" t="s">
        <v>184</v>
      </c>
      <c r="E78" s="25">
        <v>44928</v>
      </c>
      <c r="F78" s="16" t="s">
        <v>407</v>
      </c>
      <c r="G78" s="16" t="s">
        <v>125</v>
      </c>
      <c r="H78" s="16">
        <v>7</v>
      </c>
      <c r="I78" s="16">
        <v>199</v>
      </c>
      <c r="J78" s="16">
        <v>0</v>
      </c>
      <c r="K78" s="16">
        <v>1393</v>
      </c>
      <c r="L78" s="16" t="s">
        <v>146</v>
      </c>
      <c r="M78" s="16" t="s">
        <v>119</v>
      </c>
      <c r="N78" s="27">
        <v>44929.084027777775</v>
      </c>
      <c r="O78" s="27">
        <v>44929.675694444442</v>
      </c>
      <c r="P78" s="16">
        <v>4.5</v>
      </c>
      <c r="Q78" s="16" t="b">
        <f>FALSE()</f>
        <v>0</v>
      </c>
      <c r="R78" s="16" t="b">
        <f>FALSE()</f>
        <v>0</v>
      </c>
      <c r="S78" s="17">
        <f t="shared" si="1"/>
        <v>14.2</v>
      </c>
      <c r="T78">
        <f>COUNTIF('👤 Customers'!$A:$A, B78)</f>
        <v>1</v>
      </c>
      <c r="U78">
        <f>COUNTIF('🚴 Riders'!A77:A137, C78)</f>
        <v>0</v>
      </c>
      <c r="V78">
        <f>COUNTIF('🏭 Facilities'!A77:A85, D78)</f>
        <v>0</v>
      </c>
    </row>
    <row r="79" spans="1:22">
      <c r="A79" s="18" t="s">
        <v>408</v>
      </c>
      <c r="B79" s="18" t="s">
        <v>409</v>
      </c>
      <c r="C79" s="18" t="s">
        <v>257</v>
      </c>
      <c r="D79" s="18" t="s">
        <v>184</v>
      </c>
      <c r="E79" s="26">
        <v>45101</v>
      </c>
      <c r="F79" s="18" t="s">
        <v>410</v>
      </c>
      <c r="G79" s="18" t="s">
        <v>117</v>
      </c>
      <c r="H79" s="18">
        <v>2.7</v>
      </c>
      <c r="I79" s="18">
        <v>149</v>
      </c>
      <c r="J79" s="18">
        <v>20</v>
      </c>
      <c r="K79" s="18">
        <v>321.83999999999997</v>
      </c>
      <c r="L79" s="18" t="s">
        <v>207</v>
      </c>
      <c r="M79" s="18" t="s">
        <v>119</v>
      </c>
      <c r="N79" s="28">
        <v>45101.446527777778</v>
      </c>
      <c r="O79" s="28">
        <v>45101.82708333333</v>
      </c>
      <c r="P79" s="18">
        <v>3.1</v>
      </c>
      <c r="Q79" s="18" t="b">
        <f>FALSE()</f>
        <v>0</v>
      </c>
      <c r="R79" s="18" t="b">
        <f>TRUE()</f>
        <v>1</v>
      </c>
      <c r="S79" s="19">
        <f t="shared" si="1"/>
        <v>9.1</v>
      </c>
      <c r="T79">
        <f>COUNTIF('👤 Customers'!$A:$A, B79)</f>
        <v>1</v>
      </c>
      <c r="U79">
        <f>COUNTIF('🚴 Riders'!A78:A138, C79)</f>
        <v>0</v>
      </c>
      <c r="V79">
        <f>COUNTIF('🏭 Facilities'!A78:A86, D79)</f>
        <v>0</v>
      </c>
    </row>
    <row r="80" spans="1:22">
      <c r="A80" s="16" t="s">
        <v>411</v>
      </c>
      <c r="B80" s="16" t="s">
        <v>412</v>
      </c>
      <c r="C80" s="16" t="s">
        <v>413</v>
      </c>
      <c r="D80" s="16" t="s">
        <v>123</v>
      </c>
      <c r="E80" s="25">
        <v>45238</v>
      </c>
      <c r="F80" s="16" t="s">
        <v>414</v>
      </c>
      <c r="G80" s="16" t="s">
        <v>125</v>
      </c>
      <c r="H80" s="16">
        <v>7.1</v>
      </c>
      <c r="I80" s="16">
        <v>199</v>
      </c>
      <c r="J80" s="16">
        <v>20</v>
      </c>
      <c r="K80" s="16">
        <v>1130.32</v>
      </c>
      <c r="L80" s="16" t="s">
        <v>146</v>
      </c>
      <c r="M80" s="16" t="s">
        <v>119</v>
      </c>
      <c r="N80" s="27">
        <v>45238.475694444445</v>
      </c>
      <c r="O80" s="27">
        <v>45239.182638888888</v>
      </c>
      <c r="P80" s="16">
        <v>3.1</v>
      </c>
      <c r="Q80" s="16" t="b">
        <f>FALSE()</f>
        <v>0</v>
      </c>
      <c r="R80" s="16" t="b">
        <f>FALSE()</f>
        <v>0</v>
      </c>
      <c r="S80" s="17">
        <f t="shared" si="1"/>
        <v>17</v>
      </c>
      <c r="T80">
        <f>COUNTIF('👤 Customers'!$A:$A, B80)</f>
        <v>1</v>
      </c>
      <c r="U80">
        <f>COUNTIF('🚴 Riders'!A79:A139, C80)</f>
        <v>0</v>
      </c>
      <c r="V80">
        <f>COUNTIF('🏭 Facilities'!A79:A87, D80)</f>
        <v>0</v>
      </c>
    </row>
    <row r="81" spans="1:22">
      <c r="A81" s="18" t="s">
        <v>415</v>
      </c>
      <c r="B81" s="18" t="s">
        <v>416</v>
      </c>
      <c r="C81" s="18" t="s">
        <v>265</v>
      </c>
      <c r="D81" s="18" t="s">
        <v>184</v>
      </c>
      <c r="E81" s="26">
        <v>45527</v>
      </c>
      <c r="F81" s="18" t="s">
        <v>417</v>
      </c>
      <c r="G81" s="18" t="s">
        <v>132</v>
      </c>
      <c r="H81" s="18">
        <v>6.1</v>
      </c>
      <c r="I81" s="18">
        <v>399</v>
      </c>
      <c r="J81" s="18">
        <v>0</v>
      </c>
      <c r="K81" s="18">
        <v>2433.9</v>
      </c>
      <c r="L81" s="18" t="s">
        <v>118</v>
      </c>
      <c r="M81" s="18" t="s">
        <v>119</v>
      </c>
      <c r="N81" s="28">
        <v>45527.148611111108</v>
      </c>
      <c r="O81" s="28">
        <v>45528.14166666667</v>
      </c>
      <c r="P81" s="18">
        <v>2.5</v>
      </c>
      <c r="Q81" s="18" t="b">
        <f>FALSE()</f>
        <v>0</v>
      </c>
      <c r="R81" s="18" t="b">
        <f>FALSE()</f>
        <v>0</v>
      </c>
      <c r="S81" s="19">
        <f t="shared" si="1"/>
        <v>23.8</v>
      </c>
      <c r="T81">
        <f>COUNTIF('👤 Customers'!$A:$A, B81)</f>
        <v>1</v>
      </c>
      <c r="U81">
        <f>COUNTIF('🚴 Riders'!A80:A140, C81)</f>
        <v>0</v>
      </c>
      <c r="V81">
        <f>COUNTIF('🏭 Facilities'!A80:A88, D81)</f>
        <v>0</v>
      </c>
    </row>
    <row r="82" spans="1:22">
      <c r="A82" s="16" t="s">
        <v>418</v>
      </c>
      <c r="B82" s="16" t="s">
        <v>419</v>
      </c>
      <c r="C82" s="16" t="s">
        <v>166</v>
      </c>
      <c r="D82" s="16" t="s">
        <v>123</v>
      </c>
      <c r="E82" s="25">
        <v>45491</v>
      </c>
      <c r="F82" s="16" t="s">
        <v>420</v>
      </c>
      <c r="G82" s="16" t="s">
        <v>117</v>
      </c>
      <c r="H82" s="16">
        <v>1.7</v>
      </c>
      <c r="I82" s="16">
        <v>149</v>
      </c>
      <c r="J82" s="16">
        <v>0</v>
      </c>
      <c r="K82" s="16">
        <v>253.3</v>
      </c>
      <c r="L82" s="16" t="s">
        <v>126</v>
      </c>
      <c r="M82" s="16" t="s">
        <v>119</v>
      </c>
      <c r="N82" s="27">
        <v>45491.926388888889</v>
      </c>
      <c r="O82" s="27">
        <v>45493.020138888889</v>
      </c>
      <c r="P82" s="16">
        <v>2.6</v>
      </c>
      <c r="Q82" s="16" t="b">
        <f>FALSE()</f>
        <v>0</v>
      </c>
      <c r="R82" s="16" t="b">
        <f>FALSE()</f>
        <v>0</v>
      </c>
      <c r="S82" s="17">
        <f t="shared" si="1"/>
        <v>26.3</v>
      </c>
      <c r="T82">
        <f>COUNTIF('👤 Customers'!$A:$A, B82)</f>
        <v>1</v>
      </c>
      <c r="U82">
        <f>COUNTIF('🚴 Riders'!A81:A141, C82)</f>
        <v>0</v>
      </c>
      <c r="V82">
        <f>COUNTIF('🏭 Facilities'!A81:A89, D82)</f>
        <v>0</v>
      </c>
    </row>
    <row r="83" spans="1:22">
      <c r="A83" s="18" t="s">
        <v>421</v>
      </c>
      <c r="B83" s="18" t="s">
        <v>239</v>
      </c>
      <c r="C83" s="18" t="s">
        <v>220</v>
      </c>
      <c r="D83" s="18" t="s">
        <v>184</v>
      </c>
      <c r="E83" s="26">
        <v>45247</v>
      </c>
      <c r="F83" s="18" t="s">
        <v>422</v>
      </c>
      <c r="G83" s="18" t="s">
        <v>117</v>
      </c>
      <c r="H83" s="18">
        <v>4.2</v>
      </c>
      <c r="I83" s="18">
        <v>149</v>
      </c>
      <c r="J83" s="18">
        <v>10</v>
      </c>
      <c r="K83" s="18">
        <v>563.22</v>
      </c>
      <c r="L83" s="18" t="s">
        <v>139</v>
      </c>
      <c r="M83" s="18" t="s">
        <v>133</v>
      </c>
      <c r="N83" s="20"/>
      <c r="O83" s="20"/>
      <c r="P83" s="20"/>
      <c r="Q83" s="18" t="b">
        <f>FALSE()</f>
        <v>0</v>
      </c>
      <c r="R83" s="18" t="b">
        <f>TRUE()</f>
        <v>1</v>
      </c>
      <c r="S83" s="19" t="str">
        <f t="shared" si="1"/>
        <v>N/A</v>
      </c>
      <c r="T83">
        <f>COUNTIF('👤 Customers'!$A:$A, B83)</f>
        <v>1</v>
      </c>
      <c r="U83">
        <f>COUNTIF('🚴 Riders'!A82:A142, C83)</f>
        <v>0</v>
      </c>
      <c r="V83">
        <f>COUNTIF('🏭 Facilities'!A82:A90, D83)</f>
        <v>0</v>
      </c>
    </row>
    <row r="84" spans="1:22">
      <c r="A84" s="16" t="s">
        <v>423</v>
      </c>
      <c r="B84" s="16" t="s">
        <v>424</v>
      </c>
      <c r="C84" s="16" t="s">
        <v>192</v>
      </c>
      <c r="D84" s="16" t="s">
        <v>197</v>
      </c>
      <c r="E84" s="25">
        <v>45153</v>
      </c>
      <c r="F84" s="16" t="s">
        <v>425</v>
      </c>
      <c r="G84" s="16" t="s">
        <v>117</v>
      </c>
      <c r="H84" s="16">
        <v>7</v>
      </c>
      <c r="I84" s="16">
        <v>149</v>
      </c>
      <c r="J84" s="16">
        <v>20</v>
      </c>
      <c r="K84" s="16">
        <v>834.4</v>
      </c>
      <c r="L84" s="16" t="s">
        <v>207</v>
      </c>
      <c r="M84" s="16" t="s">
        <v>119</v>
      </c>
      <c r="N84" s="27">
        <v>45153.674305555556</v>
      </c>
      <c r="O84" s="27">
        <v>45154.543749999997</v>
      </c>
      <c r="P84" s="16">
        <v>2.8</v>
      </c>
      <c r="Q84" s="16" t="b">
        <f>FALSE()</f>
        <v>0</v>
      </c>
      <c r="R84" s="16" t="b">
        <f>TRUE()</f>
        <v>1</v>
      </c>
      <c r="S84" s="17">
        <f t="shared" si="1"/>
        <v>20.9</v>
      </c>
      <c r="T84">
        <f>COUNTIF('👤 Customers'!$A:$A, B84)</f>
        <v>1</v>
      </c>
      <c r="U84">
        <f>COUNTIF('🚴 Riders'!A83:A143, C84)</f>
        <v>0</v>
      </c>
      <c r="V84">
        <f>COUNTIF('🏭 Facilities'!A83:A91, D84)</f>
        <v>0</v>
      </c>
    </row>
    <row r="85" spans="1:22">
      <c r="A85" s="18" t="s">
        <v>426</v>
      </c>
      <c r="B85" s="18" t="s">
        <v>427</v>
      </c>
      <c r="C85" s="18" t="s">
        <v>251</v>
      </c>
      <c r="D85" s="18" t="s">
        <v>123</v>
      </c>
      <c r="E85" s="26">
        <v>45009</v>
      </c>
      <c r="F85" s="18" t="s">
        <v>428</v>
      </c>
      <c r="G85" s="18" t="s">
        <v>132</v>
      </c>
      <c r="H85" s="18">
        <v>4.0999999999999996</v>
      </c>
      <c r="I85" s="18">
        <v>399</v>
      </c>
      <c r="J85" s="18">
        <v>0</v>
      </c>
      <c r="K85" s="18">
        <v>1635.9</v>
      </c>
      <c r="L85" s="18" t="s">
        <v>126</v>
      </c>
      <c r="M85" s="18" t="s">
        <v>119</v>
      </c>
      <c r="N85" s="28">
        <v>45009.165277777778</v>
      </c>
      <c r="O85" s="28">
        <v>45010.197916666664</v>
      </c>
      <c r="P85" s="18">
        <v>2.7</v>
      </c>
      <c r="Q85" s="18" t="b">
        <f>FALSE()</f>
        <v>0</v>
      </c>
      <c r="R85" s="18" t="b">
        <f>FALSE()</f>
        <v>0</v>
      </c>
      <c r="S85" s="19">
        <f t="shared" si="1"/>
        <v>24.8</v>
      </c>
      <c r="T85">
        <f>COUNTIF('👤 Customers'!$A:$A, B85)</f>
        <v>1</v>
      </c>
      <c r="U85">
        <f>COUNTIF('🚴 Riders'!A84:A144, C85)</f>
        <v>0</v>
      </c>
      <c r="V85">
        <f>COUNTIF('🏭 Facilities'!A84:A92, D85)</f>
        <v>0</v>
      </c>
    </row>
    <row r="86" spans="1:22">
      <c r="A86" s="16" t="s">
        <v>429</v>
      </c>
      <c r="B86" s="16" t="s">
        <v>430</v>
      </c>
      <c r="C86" s="16" t="s">
        <v>431</v>
      </c>
      <c r="D86" s="16" t="s">
        <v>184</v>
      </c>
      <c r="E86" s="25">
        <v>45474</v>
      </c>
      <c r="F86" s="16" t="s">
        <v>432</v>
      </c>
      <c r="G86" s="16" t="s">
        <v>176</v>
      </c>
      <c r="H86" s="16">
        <v>1.3</v>
      </c>
      <c r="I86" s="16">
        <v>599</v>
      </c>
      <c r="J86" s="16">
        <v>20</v>
      </c>
      <c r="K86" s="16">
        <v>622.96</v>
      </c>
      <c r="L86" s="16" t="s">
        <v>118</v>
      </c>
      <c r="M86" s="16" t="s">
        <v>119</v>
      </c>
      <c r="N86" s="27">
        <v>45474.402777777781</v>
      </c>
      <c r="O86" s="27">
        <v>45475.308333333334</v>
      </c>
      <c r="P86" s="16">
        <v>3.2</v>
      </c>
      <c r="Q86" s="16" t="b">
        <f>FALSE()</f>
        <v>0</v>
      </c>
      <c r="R86" s="16" t="b">
        <f>TRUE()</f>
        <v>1</v>
      </c>
      <c r="S86" s="17">
        <f t="shared" si="1"/>
        <v>21.7</v>
      </c>
      <c r="T86">
        <f>COUNTIF('👤 Customers'!$A:$A, B86)</f>
        <v>1</v>
      </c>
      <c r="U86">
        <f>COUNTIF('🚴 Riders'!A85:A145, C86)</f>
        <v>0</v>
      </c>
      <c r="V86">
        <f>COUNTIF('🏭 Facilities'!A85:A93, D86)</f>
        <v>0</v>
      </c>
    </row>
    <row r="87" spans="1:22">
      <c r="A87" s="18" t="s">
        <v>433</v>
      </c>
      <c r="B87" s="18" t="s">
        <v>397</v>
      </c>
      <c r="C87" s="18" t="s">
        <v>174</v>
      </c>
      <c r="D87" s="18" t="s">
        <v>130</v>
      </c>
      <c r="E87" s="26">
        <v>45241</v>
      </c>
      <c r="F87" s="18" t="s">
        <v>434</v>
      </c>
      <c r="G87" s="18" t="s">
        <v>145</v>
      </c>
      <c r="H87" s="18">
        <v>4.9000000000000004</v>
      </c>
      <c r="I87" s="18">
        <v>299</v>
      </c>
      <c r="J87" s="18">
        <v>0</v>
      </c>
      <c r="K87" s="18">
        <v>1465.1</v>
      </c>
      <c r="L87" s="18" t="s">
        <v>207</v>
      </c>
      <c r="M87" s="18" t="s">
        <v>119</v>
      </c>
      <c r="N87" s="28">
        <v>45241.188888888886</v>
      </c>
      <c r="O87" s="28">
        <v>45242.095138888886</v>
      </c>
      <c r="P87" s="18">
        <v>3</v>
      </c>
      <c r="Q87" s="18" t="b">
        <f>FALSE()</f>
        <v>0</v>
      </c>
      <c r="R87" s="18" t="b">
        <f>FALSE()</f>
        <v>0</v>
      </c>
      <c r="S87" s="19">
        <f t="shared" si="1"/>
        <v>21.8</v>
      </c>
      <c r="T87">
        <f>COUNTIF('👤 Customers'!$A:$A, B87)</f>
        <v>1</v>
      </c>
      <c r="U87">
        <f>COUNTIF('🚴 Riders'!A86:A146, C87)</f>
        <v>0</v>
      </c>
      <c r="V87">
        <f>COUNTIF('🏭 Facilities'!A86:A94, D87)</f>
        <v>0</v>
      </c>
    </row>
    <row r="88" spans="1:22">
      <c r="A88" s="16" t="s">
        <v>435</v>
      </c>
      <c r="B88" s="16" t="s">
        <v>436</v>
      </c>
      <c r="C88" s="16" t="s">
        <v>326</v>
      </c>
      <c r="D88" s="16" t="s">
        <v>137</v>
      </c>
      <c r="E88" s="25">
        <v>45655</v>
      </c>
      <c r="F88" s="16" t="s">
        <v>437</v>
      </c>
      <c r="G88" s="16" t="s">
        <v>125</v>
      </c>
      <c r="H88" s="16">
        <v>5.0999999999999996</v>
      </c>
      <c r="I88" s="16">
        <v>199</v>
      </c>
      <c r="J88" s="16">
        <v>0</v>
      </c>
      <c r="K88" s="16">
        <v>1014.9</v>
      </c>
      <c r="L88" s="16" t="s">
        <v>126</v>
      </c>
      <c r="M88" s="16" t="s">
        <v>119</v>
      </c>
      <c r="N88" s="27">
        <v>45655.259722222225</v>
      </c>
      <c r="O88" s="27">
        <v>45655.675000000003</v>
      </c>
      <c r="P88" s="16">
        <v>4.8</v>
      </c>
      <c r="Q88" s="16" t="b">
        <f>FALSE()</f>
        <v>0</v>
      </c>
      <c r="R88" s="16" t="b">
        <f>FALSE()</f>
        <v>0</v>
      </c>
      <c r="S88" s="17">
        <f t="shared" si="1"/>
        <v>10</v>
      </c>
      <c r="T88">
        <f>COUNTIF('👤 Customers'!$A:$A, B88)</f>
        <v>1</v>
      </c>
      <c r="U88">
        <f>COUNTIF('🚴 Riders'!A87:A147, C88)</f>
        <v>0</v>
      </c>
      <c r="V88">
        <f>COUNTIF('🏭 Facilities'!A87:A95, D88)</f>
        <v>0</v>
      </c>
    </row>
    <row r="89" spans="1:22">
      <c r="A89" s="18" t="s">
        <v>438</v>
      </c>
      <c r="B89" s="18" t="s">
        <v>439</v>
      </c>
      <c r="C89" s="18" t="s">
        <v>247</v>
      </c>
      <c r="D89" s="18" t="s">
        <v>137</v>
      </c>
      <c r="E89" s="26">
        <v>44960</v>
      </c>
      <c r="F89" s="18" t="s">
        <v>440</v>
      </c>
      <c r="G89" s="18" t="s">
        <v>145</v>
      </c>
      <c r="H89" s="18">
        <v>1.4</v>
      </c>
      <c r="I89" s="18">
        <v>299</v>
      </c>
      <c r="J89" s="18">
        <v>20</v>
      </c>
      <c r="K89" s="18">
        <v>334.88</v>
      </c>
      <c r="L89" s="18" t="s">
        <v>118</v>
      </c>
      <c r="M89" s="18" t="s">
        <v>119</v>
      </c>
      <c r="N89" s="28">
        <v>44960.303472222222</v>
      </c>
      <c r="O89" s="28">
        <v>44960.893750000003</v>
      </c>
      <c r="P89" s="18">
        <v>3</v>
      </c>
      <c r="Q89" s="18" t="b">
        <f>FALSE()</f>
        <v>0</v>
      </c>
      <c r="R89" s="18" t="b">
        <f>FALSE()</f>
        <v>0</v>
      </c>
      <c r="S89" s="19">
        <f t="shared" si="1"/>
        <v>14.2</v>
      </c>
      <c r="T89">
        <f>COUNTIF('👤 Customers'!$A:$A, B89)</f>
        <v>1</v>
      </c>
      <c r="U89">
        <f>COUNTIF('🚴 Riders'!A88:A148, C89)</f>
        <v>0</v>
      </c>
      <c r="V89">
        <f>COUNTIF('🏭 Facilities'!A88:A96, D89)</f>
        <v>0</v>
      </c>
    </row>
    <row r="90" spans="1:22">
      <c r="A90" s="16" t="s">
        <v>441</v>
      </c>
      <c r="B90" s="16" t="s">
        <v>442</v>
      </c>
      <c r="C90" s="16" t="s">
        <v>174</v>
      </c>
      <c r="D90" s="16" t="s">
        <v>197</v>
      </c>
      <c r="E90" s="25">
        <v>45613</v>
      </c>
      <c r="F90" s="16" t="s">
        <v>443</v>
      </c>
      <c r="G90" s="16" t="s">
        <v>132</v>
      </c>
      <c r="H90" s="16">
        <v>1.2</v>
      </c>
      <c r="I90" s="16">
        <v>399</v>
      </c>
      <c r="J90" s="16">
        <v>10</v>
      </c>
      <c r="K90" s="16">
        <v>430.92</v>
      </c>
      <c r="L90" s="16" t="s">
        <v>118</v>
      </c>
      <c r="M90" s="16" t="s">
        <v>119</v>
      </c>
      <c r="N90" s="27">
        <v>45613.290277777778</v>
      </c>
      <c r="O90" s="27">
        <v>45614.029861111114</v>
      </c>
      <c r="P90" s="16">
        <v>3.5</v>
      </c>
      <c r="Q90" s="16" t="b">
        <f>FALSE()</f>
        <v>0</v>
      </c>
      <c r="R90" s="16" t="b">
        <f>FALSE()</f>
        <v>0</v>
      </c>
      <c r="S90" s="17">
        <f t="shared" si="1"/>
        <v>17.8</v>
      </c>
      <c r="T90">
        <f>COUNTIF('👤 Customers'!$A:$A, B90)</f>
        <v>1</v>
      </c>
      <c r="U90">
        <f>COUNTIF('🚴 Riders'!A89:A149, C90)</f>
        <v>0</v>
      </c>
      <c r="V90">
        <f>COUNTIF('🏭 Facilities'!A89:A97, D90)</f>
        <v>0</v>
      </c>
    </row>
    <row r="91" spans="1:22">
      <c r="A91" s="18" t="s">
        <v>444</v>
      </c>
      <c r="B91" s="18" t="s">
        <v>332</v>
      </c>
      <c r="C91" s="18" t="s">
        <v>213</v>
      </c>
      <c r="D91" s="18" t="s">
        <v>115</v>
      </c>
      <c r="E91" s="26">
        <v>45546</v>
      </c>
      <c r="F91" s="18" t="s">
        <v>445</v>
      </c>
      <c r="G91" s="18" t="s">
        <v>176</v>
      </c>
      <c r="H91" s="18">
        <v>2.7</v>
      </c>
      <c r="I91" s="18">
        <v>599</v>
      </c>
      <c r="J91" s="18">
        <v>30</v>
      </c>
      <c r="K91" s="18">
        <v>1132.1099999999999</v>
      </c>
      <c r="L91" s="18" t="s">
        <v>118</v>
      </c>
      <c r="M91" s="18" t="s">
        <v>133</v>
      </c>
      <c r="N91" s="20"/>
      <c r="O91" s="20"/>
      <c r="P91" s="20"/>
      <c r="Q91" s="18" t="b">
        <f>FALSE()</f>
        <v>0</v>
      </c>
      <c r="R91" s="18" t="b">
        <f>FALSE()</f>
        <v>0</v>
      </c>
      <c r="S91" s="19" t="str">
        <f t="shared" si="1"/>
        <v>N/A</v>
      </c>
      <c r="T91">
        <f>COUNTIF('👤 Customers'!$A:$A, B91)</f>
        <v>1</v>
      </c>
      <c r="U91">
        <f>COUNTIF('🚴 Riders'!A90:A150, C91)</f>
        <v>0</v>
      </c>
      <c r="V91">
        <f>COUNTIF('🏭 Facilities'!A90:A98, D91)</f>
        <v>0</v>
      </c>
    </row>
    <row r="92" spans="1:22">
      <c r="A92" s="16" t="s">
        <v>446</v>
      </c>
      <c r="B92" s="16" t="s">
        <v>447</v>
      </c>
      <c r="C92" s="16" t="s">
        <v>213</v>
      </c>
      <c r="D92" s="16" t="s">
        <v>205</v>
      </c>
      <c r="E92" s="25">
        <v>45228</v>
      </c>
      <c r="F92" s="16" t="s">
        <v>448</v>
      </c>
      <c r="G92" s="16" t="s">
        <v>117</v>
      </c>
      <c r="H92" s="16">
        <v>2.2999999999999998</v>
      </c>
      <c r="I92" s="16">
        <v>149</v>
      </c>
      <c r="J92" s="16">
        <v>0</v>
      </c>
      <c r="K92" s="16">
        <v>342.7</v>
      </c>
      <c r="L92" s="16" t="s">
        <v>146</v>
      </c>
      <c r="M92" s="16" t="s">
        <v>119</v>
      </c>
      <c r="N92" s="27">
        <v>45228.689583333333</v>
      </c>
      <c r="O92" s="27">
        <v>45229.612500000003</v>
      </c>
      <c r="P92" s="16">
        <v>5</v>
      </c>
      <c r="Q92" s="16" t="b">
        <f>FALSE()</f>
        <v>0</v>
      </c>
      <c r="R92" s="16" t="b">
        <f>TRUE()</f>
        <v>1</v>
      </c>
      <c r="S92" s="17">
        <f t="shared" si="1"/>
        <v>22.2</v>
      </c>
      <c r="T92">
        <f>COUNTIF('👤 Customers'!$A:$A, B92)</f>
        <v>1</v>
      </c>
      <c r="U92">
        <f>COUNTIF('🚴 Riders'!A91:A151, C92)</f>
        <v>0</v>
      </c>
      <c r="V92">
        <f>COUNTIF('🏭 Facilities'!A91:A99, D92)</f>
        <v>0</v>
      </c>
    </row>
    <row r="93" spans="1:22">
      <c r="A93" s="18" t="s">
        <v>449</v>
      </c>
      <c r="B93" s="18" t="s">
        <v>450</v>
      </c>
      <c r="C93" s="18" t="s">
        <v>326</v>
      </c>
      <c r="D93" s="18" t="s">
        <v>158</v>
      </c>
      <c r="E93" s="26">
        <v>45437</v>
      </c>
      <c r="F93" s="18" t="s">
        <v>451</v>
      </c>
      <c r="G93" s="18" t="s">
        <v>132</v>
      </c>
      <c r="H93" s="18">
        <v>2.9</v>
      </c>
      <c r="I93" s="18">
        <v>399</v>
      </c>
      <c r="J93" s="18">
        <v>20</v>
      </c>
      <c r="K93" s="18">
        <v>925.68</v>
      </c>
      <c r="L93" s="18" t="s">
        <v>118</v>
      </c>
      <c r="M93" s="18" t="s">
        <v>140</v>
      </c>
      <c r="N93" s="28">
        <v>45437.230555555558</v>
      </c>
      <c r="O93" s="28">
        <v>45438.287499999999</v>
      </c>
      <c r="P93" s="20"/>
      <c r="Q93" s="18" t="b">
        <f>FALSE()</f>
        <v>0</v>
      </c>
      <c r="R93" s="18" t="b">
        <f>FALSE()</f>
        <v>0</v>
      </c>
      <c r="S93" s="19">
        <f t="shared" si="1"/>
        <v>25.4</v>
      </c>
      <c r="T93">
        <f>COUNTIF('👤 Customers'!$A:$A, B93)</f>
        <v>1</v>
      </c>
      <c r="U93">
        <f>COUNTIF('🚴 Riders'!A92:A152, C93)</f>
        <v>0</v>
      </c>
      <c r="V93">
        <f>COUNTIF('🏭 Facilities'!A92:A100, D93)</f>
        <v>0</v>
      </c>
    </row>
    <row r="94" spans="1:22">
      <c r="A94" s="16" t="s">
        <v>452</v>
      </c>
      <c r="B94" s="16" t="s">
        <v>182</v>
      </c>
      <c r="C94" s="16" t="s">
        <v>265</v>
      </c>
      <c r="D94" s="16" t="s">
        <v>137</v>
      </c>
      <c r="E94" s="25">
        <v>45061</v>
      </c>
      <c r="F94" s="16" t="s">
        <v>453</v>
      </c>
      <c r="G94" s="16" t="s">
        <v>132</v>
      </c>
      <c r="H94" s="16">
        <v>2.7</v>
      </c>
      <c r="I94" s="16">
        <v>399</v>
      </c>
      <c r="J94" s="16">
        <v>0</v>
      </c>
      <c r="K94" s="16">
        <v>1077.3</v>
      </c>
      <c r="L94" s="16" t="s">
        <v>146</v>
      </c>
      <c r="M94" s="16" t="s">
        <v>140</v>
      </c>
      <c r="N94" s="27">
        <v>45062.048611111109</v>
      </c>
      <c r="O94" s="27">
        <v>45063.027777777781</v>
      </c>
      <c r="P94" s="20"/>
      <c r="Q94" s="16" t="b">
        <f>FALSE()</f>
        <v>0</v>
      </c>
      <c r="R94" s="16" t="b">
        <f>FALSE()</f>
        <v>0</v>
      </c>
      <c r="S94" s="17">
        <f t="shared" si="1"/>
        <v>23.5</v>
      </c>
      <c r="T94">
        <f>COUNTIF('👤 Customers'!$A:$A, B94)</f>
        <v>1</v>
      </c>
      <c r="U94">
        <f>COUNTIF('🚴 Riders'!A93:A153, C94)</f>
        <v>0</v>
      </c>
      <c r="V94">
        <f>COUNTIF('🏭 Facilities'!A93:A101, D94)</f>
        <v>0</v>
      </c>
    </row>
    <row r="95" spans="1:22">
      <c r="A95" s="18" t="s">
        <v>454</v>
      </c>
      <c r="B95" s="18" t="s">
        <v>455</v>
      </c>
      <c r="C95" s="18" t="s">
        <v>213</v>
      </c>
      <c r="D95" s="18" t="s">
        <v>184</v>
      </c>
      <c r="E95" s="26">
        <v>45556</v>
      </c>
      <c r="F95" s="18" t="s">
        <v>456</v>
      </c>
      <c r="G95" s="18" t="s">
        <v>145</v>
      </c>
      <c r="H95" s="18">
        <v>4.8</v>
      </c>
      <c r="I95" s="18">
        <v>299</v>
      </c>
      <c r="J95" s="18">
        <v>0</v>
      </c>
      <c r="K95" s="18">
        <v>1435.2</v>
      </c>
      <c r="L95" s="18" t="s">
        <v>118</v>
      </c>
      <c r="M95" s="18" t="s">
        <v>119</v>
      </c>
      <c r="N95" s="28">
        <v>45556.490972222222</v>
      </c>
      <c r="O95" s="28">
        <v>45556.974999999999</v>
      </c>
      <c r="P95" s="18">
        <v>4.8</v>
      </c>
      <c r="Q95" s="18" t="b">
        <f>FALSE()</f>
        <v>0</v>
      </c>
      <c r="R95" s="18" t="b">
        <f>TRUE()</f>
        <v>1</v>
      </c>
      <c r="S95" s="19">
        <f t="shared" si="1"/>
        <v>11.6</v>
      </c>
      <c r="T95">
        <f>COUNTIF('👤 Customers'!$A:$A, B95)</f>
        <v>1</v>
      </c>
      <c r="U95">
        <f>COUNTIF('🚴 Riders'!A94:A154, C95)</f>
        <v>0</v>
      </c>
      <c r="V95">
        <f>COUNTIF('🏭 Facilities'!A94:A102, D95)</f>
        <v>0</v>
      </c>
    </row>
    <row r="96" spans="1:22">
      <c r="A96" s="16" t="s">
        <v>457</v>
      </c>
      <c r="B96" s="16" t="s">
        <v>419</v>
      </c>
      <c r="C96" s="16" t="s">
        <v>204</v>
      </c>
      <c r="D96" s="16" t="s">
        <v>197</v>
      </c>
      <c r="E96" s="25">
        <v>45483</v>
      </c>
      <c r="F96" s="16" t="s">
        <v>458</v>
      </c>
      <c r="G96" s="16" t="s">
        <v>132</v>
      </c>
      <c r="H96" s="16">
        <v>7.4</v>
      </c>
      <c r="I96" s="16">
        <v>399</v>
      </c>
      <c r="J96" s="16">
        <v>20</v>
      </c>
      <c r="K96" s="16">
        <v>2362.08</v>
      </c>
      <c r="L96" s="16" t="s">
        <v>146</v>
      </c>
      <c r="M96" s="16" t="s">
        <v>119</v>
      </c>
      <c r="N96" s="27">
        <v>45483.890972222223</v>
      </c>
      <c r="O96" s="27">
        <v>45484.352083333331</v>
      </c>
      <c r="P96" s="16">
        <v>4.7</v>
      </c>
      <c r="Q96" s="16" t="b">
        <f>FALSE()</f>
        <v>0</v>
      </c>
      <c r="R96" s="16" t="b">
        <f>FALSE()</f>
        <v>0</v>
      </c>
      <c r="S96" s="17">
        <f t="shared" si="1"/>
        <v>11.1</v>
      </c>
      <c r="T96">
        <f>COUNTIF('👤 Customers'!$A:$A, B96)</f>
        <v>1</v>
      </c>
      <c r="U96">
        <f>COUNTIF('🚴 Riders'!A95:A155, C96)</f>
        <v>0</v>
      </c>
      <c r="V96">
        <f>COUNTIF('🏭 Facilities'!A95:A103, D96)</f>
        <v>0</v>
      </c>
    </row>
    <row r="97" spans="1:22">
      <c r="A97" s="18" t="s">
        <v>459</v>
      </c>
      <c r="B97" s="18" t="s">
        <v>460</v>
      </c>
      <c r="C97" s="18" t="s">
        <v>461</v>
      </c>
      <c r="D97" s="18" t="s">
        <v>115</v>
      </c>
      <c r="E97" s="26">
        <v>45441</v>
      </c>
      <c r="F97" s="18" t="s">
        <v>462</v>
      </c>
      <c r="G97" s="18" t="s">
        <v>145</v>
      </c>
      <c r="H97" s="18">
        <v>5.0999999999999996</v>
      </c>
      <c r="I97" s="18">
        <v>299</v>
      </c>
      <c r="J97" s="18">
        <v>0</v>
      </c>
      <c r="K97" s="18">
        <v>1524.9</v>
      </c>
      <c r="L97" s="18" t="s">
        <v>118</v>
      </c>
      <c r="M97" s="18" t="s">
        <v>119</v>
      </c>
      <c r="N97" s="28">
        <v>45441.339583333334</v>
      </c>
      <c r="O97" s="28">
        <v>45441.828472222223</v>
      </c>
      <c r="P97" s="18">
        <v>2.9</v>
      </c>
      <c r="Q97" s="18" t="b">
        <f>FALSE()</f>
        <v>0</v>
      </c>
      <c r="R97" s="18" t="b">
        <f>FALSE()</f>
        <v>0</v>
      </c>
      <c r="S97" s="19">
        <f t="shared" si="1"/>
        <v>11.7</v>
      </c>
      <c r="T97">
        <f>COUNTIF('👤 Customers'!$A:$A, B97)</f>
        <v>1</v>
      </c>
      <c r="U97">
        <f>COUNTIF('🚴 Riders'!A96:A156, C97)</f>
        <v>0</v>
      </c>
      <c r="V97">
        <f>COUNTIF('🏭 Facilities'!A96:A104, D97)</f>
        <v>0</v>
      </c>
    </row>
    <row r="98" spans="1:22">
      <c r="A98" s="16" t="s">
        <v>463</v>
      </c>
      <c r="B98" s="16" t="s">
        <v>464</v>
      </c>
      <c r="C98" s="16" t="s">
        <v>179</v>
      </c>
      <c r="D98" s="16" t="s">
        <v>137</v>
      </c>
      <c r="E98" s="25">
        <v>45648</v>
      </c>
      <c r="F98" s="16" t="s">
        <v>465</v>
      </c>
      <c r="G98" s="16" t="s">
        <v>176</v>
      </c>
      <c r="H98" s="16">
        <v>6.5</v>
      </c>
      <c r="I98" s="16">
        <v>599</v>
      </c>
      <c r="J98" s="16">
        <v>0</v>
      </c>
      <c r="K98" s="16">
        <v>3893.5</v>
      </c>
      <c r="L98" s="16" t="s">
        <v>126</v>
      </c>
      <c r="M98" s="16" t="s">
        <v>133</v>
      </c>
      <c r="N98" s="20"/>
      <c r="O98" s="20"/>
      <c r="P98" s="20"/>
      <c r="Q98" s="16" t="b">
        <f>FALSE()</f>
        <v>0</v>
      </c>
      <c r="R98" s="16" t="b">
        <f>FALSE()</f>
        <v>0</v>
      </c>
      <c r="S98" s="17" t="str">
        <f t="shared" si="1"/>
        <v>N/A</v>
      </c>
      <c r="T98">
        <f>COUNTIF('👤 Customers'!$A:$A, B98)</f>
        <v>1</v>
      </c>
      <c r="U98">
        <f>COUNTIF('🚴 Riders'!A97:A157, C98)</f>
        <v>0</v>
      </c>
      <c r="V98">
        <f>COUNTIF('🏭 Facilities'!A97:A105, D98)</f>
        <v>0</v>
      </c>
    </row>
    <row r="99" spans="1:22">
      <c r="A99" s="18" t="s">
        <v>466</v>
      </c>
      <c r="B99" s="18" t="s">
        <v>419</v>
      </c>
      <c r="C99" s="18" t="s">
        <v>162</v>
      </c>
      <c r="D99" s="18" t="s">
        <v>197</v>
      </c>
      <c r="E99" s="26">
        <v>45231</v>
      </c>
      <c r="F99" s="18" t="s">
        <v>467</v>
      </c>
      <c r="G99" s="18" t="s">
        <v>176</v>
      </c>
      <c r="H99" s="18">
        <v>1.2</v>
      </c>
      <c r="I99" s="18">
        <v>599</v>
      </c>
      <c r="J99" s="18">
        <v>10</v>
      </c>
      <c r="K99" s="18">
        <v>646.91999999999996</v>
      </c>
      <c r="L99" s="18" t="s">
        <v>207</v>
      </c>
      <c r="M99" s="18" t="s">
        <v>133</v>
      </c>
      <c r="N99" s="20"/>
      <c r="O99" s="20"/>
      <c r="P99" s="20"/>
      <c r="Q99" s="18" t="b">
        <f>FALSE()</f>
        <v>0</v>
      </c>
      <c r="R99" s="18" t="b">
        <f>FALSE()</f>
        <v>0</v>
      </c>
      <c r="S99" s="19" t="str">
        <f t="shared" si="1"/>
        <v>N/A</v>
      </c>
      <c r="T99">
        <f>COUNTIF('👤 Customers'!$A:$A, B99)</f>
        <v>1</v>
      </c>
      <c r="U99">
        <f>COUNTIF('🚴 Riders'!A98:A158, C99)</f>
        <v>0</v>
      </c>
      <c r="V99">
        <f>COUNTIF('🏭 Facilities'!A98:A106, D99)</f>
        <v>0</v>
      </c>
    </row>
    <row r="100" spans="1:22">
      <c r="A100" s="16" t="s">
        <v>468</v>
      </c>
      <c r="B100" s="16" t="s">
        <v>469</v>
      </c>
      <c r="C100" s="16" t="s">
        <v>224</v>
      </c>
      <c r="D100" s="16" t="s">
        <v>197</v>
      </c>
      <c r="E100" s="25">
        <v>45421</v>
      </c>
      <c r="F100" s="16" t="s">
        <v>470</v>
      </c>
      <c r="G100" s="16" t="s">
        <v>125</v>
      </c>
      <c r="H100" s="16">
        <v>6.8</v>
      </c>
      <c r="I100" s="16">
        <v>199</v>
      </c>
      <c r="J100" s="16">
        <v>10</v>
      </c>
      <c r="K100" s="16">
        <v>1217.8800000000001</v>
      </c>
      <c r="L100" s="16" t="s">
        <v>118</v>
      </c>
      <c r="M100" s="16" t="s">
        <v>140</v>
      </c>
      <c r="N100" s="27">
        <v>45421.290972222225</v>
      </c>
      <c r="O100" s="27">
        <v>45421.939583333333</v>
      </c>
      <c r="P100" s="20"/>
      <c r="Q100" s="16" t="b">
        <f>FALSE()</f>
        <v>0</v>
      </c>
      <c r="R100" s="16" t="b">
        <f>TRUE()</f>
        <v>1</v>
      </c>
      <c r="S100" s="17">
        <f t="shared" si="1"/>
        <v>15.6</v>
      </c>
      <c r="T100">
        <f>COUNTIF('👤 Customers'!$A:$A, B100)</f>
        <v>1</v>
      </c>
      <c r="U100">
        <f>COUNTIF('🚴 Riders'!A99:A159, C100)</f>
        <v>0</v>
      </c>
      <c r="V100">
        <f>COUNTIF('🏭 Facilities'!A99:A107, D100)</f>
        <v>0</v>
      </c>
    </row>
    <row r="101" spans="1:22">
      <c r="A101" s="18" t="s">
        <v>471</v>
      </c>
      <c r="B101" s="18" t="s">
        <v>472</v>
      </c>
      <c r="C101" s="18" t="s">
        <v>188</v>
      </c>
      <c r="D101" s="18" t="s">
        <v>197</v>
      </c>
      <c r="E101" s="26">
        <v>44927</v>
      </c>
      <c r="F101" s="18" t="s">
        <v>473</v>
      </c>
      <c r="G101" s="18" t="s">
        <v>125</v>
      </c>
      <c r="H101" s="18">
        <v>3.7</v>
      </c>
      <c r="I101" s="18">
        <v>199</v>
      </c>
      <c r="J101" s="18">
        <v>10</v>
      </c>
      <c r="K101" s="18">
        <v>662.67</v>
      </c>
      <c r="L101" s="18" t="s">
        <v>139</v>
      </c>
      <c r="M101" s="18" t="s">
        <v>119</v>
      </c>
      <c r="N101" s="28">
        <v>44928.144444444442</v>
      </c>
      <c r="O101" s="28">
        <v>44928.837500000001</v>
      </c>
      <c r="P101" s="18">
        <v>4.5</v>
      </c>
      <c r="Q101" s="18" t="b">
        <f>FALSE()</f>
        <v>0</v>
      </c>
      <c r="R101" s="18" t="b">
        <f>FALSE()</f>
        <v>0</v>
      </c>
      <c r="S101" s="19">
        <f t="shared" si="1"/>
        <v>16.600000000000001</v>
      </c>
      <c r="T101">
        <f>COUNTIF('👤 Customers'!$A:$A, B101)</f>
        <v>1</v>
      </c>
      <c r="U101">
        <f>COUNTIF('🚴 Riders'!A100:A160, C101)</f>
        <v>0</v>
      </c>
      <c r="V101">
        <f>COUNTIF('🏭 Facilities'!A100:A108, D101)</f>
        <v>0</v>
      </c>
    </row>
    <row r="102" spans="1:22">
      <c r="A102" s="16" t="s">
        <v>474</v>
      </c>
      <c r="B102" s="16" t="s">
        <v>475</v>
      </c>
      <c r="C102" s="16" t="s">
        <v>162</v>
      </c>
      <c r="D102" s="16" t="s">
        <v>137</v>
      </c>
      <c r="E102" s="25">
        <v>45102</v>
      </c>
      <c r="F102" s="16" t="s">
        <v>476</v>
      </c>
      <c r="G102" s="16" t="s">
        <v>132</v>
      </c>
      <c r="H102" s="16">
        <v>4.2</v>
      </c>
      <c r="I102" s="16">
        <v>399</v>
      </c>
      <c r="J102" s="16">
        <v>10</v>
      </c>
      <c r="K102" s="16">
        <v>1508.22</v>
      </c>
      <c r="L102" s="16" t="s">
        <v>139</v>
      </c>
      <c r="M102" s="16" t="s">
        <v>119</v>
      </c>
      <c r="N102" s="27">
        <v>45102.27847222222</v>
      </c>
      <c r="O102" s="27">
        <v>45102.888888888891</v>
      </c>
      <c r="P102" s="16">
        <v>2.9</v>
      </c>
      <c r="Q102" s="16" t="b">
        <f>TRUE()</f>
        <v>1</v>
      </c>
      <c r="R102" s="16" t="b">
        <f>FALSE()</f>
        <v>0</v>
      </c>
      <c r="S102" s="17">
        <f t="shared" si="1"/>
        <v>14.7</v>
      </c>
      <c r="T102">
        <f>COUNTIF('👤 Customers'!$A:$A, B102)</f>
        <v>1</v>
      </c>
      <c r="U102">
        <f>COUNTIF('🚴 Riders'!A101:A161, C102)</f>
        <v>0</v>
      </c>
      <c r="V102">
        <f>COUNTIF('🏭 Facilities'!A101:A109, D102)</f>
        <v>0</v>
      </c>
    </row>
    <row r="103" spans="1:22">
      <c r="A103" s="18" t="s">
        <v>477</v>
      </c>
      <c r="B103" s="18" t="s">
        <v>478</v>
      </c>
      <c r="C103" s="18" t="s">
        <v>479</v>
      </c>
      <c r="D103" s="18" t="s">
        <v>158</v>
      </c>
      <c r="E103" s="26">
        <v>44999</v>
      </c>
      <c r="F103" s="18" t="s">
        <v>480</v>
      </c>
      <c r="G103" s="18" t="s">
        <v>117</v>
      </c>
      <c r="H103" s="18">
        <v>5.2</v>
      </c>
      <c r="I103" s="18">
        <v>149</v>
      </c>
      <c r="J103" s="18">
        <v>10</v>
      </c>
      <c r="K103" s="18">
        <v>697.32</v>
      </c>
      <c r="L103" s="18" t="s">
        <v>207</v>
      </c>
      <c r="M103" s="18" t="s">
        <v>119</v>
      </c>
      <c r="N103" s="28">
        <v>44999.439583333333</v>
      </c>
      <c r="O103" s="28">
        <v>45000.109722222223</v>
      </c>
      <c r="P103" s="18">
        <v>2.6</v>
      </c>
      <c r="Q103" s="18" t="b">
        <f>FALSE()</f>
        <v>0</v>
      </c>
      <c r="R103" s="18" t="b">
        <f>FALSE()</f>
        <v>0</v>
      </c>
      <c r="S103" s="19">
        <f t="shared" si="1"/>
        <v>16.100000000000001</v>
      </c>
      <c r="T103">
        <f>COUNTIF('👤 Customers'!$A:$A, B103)</f>
        <v>1</v>
      </c>
      <c r="U103">
        <f>COUNTIF('🚴 Riders'!A102:A162, C103)</f>
        <v>0</v>
      </c>
      <c r="V103">
        <f>COUNTIF('🏭 Facilities'!A102:A110, D103)</f>
        <v>0</v>
      </c>
    </row>
    <row r="104" spans="1:22">
      <c r="A104" s="16" t="s">
        <v>481</v>
      </c>
      <c r="B104" s="16" t="s">
        <v>482</v>
      </c>
      <c r="C104" s="16" t="s">
        <v>483</v>
      </c>
      <c r="D104" s="16" t="s">
        <v>115</v>
      </c>
      <c r="E104" s="25">
        <v>45244</v>
      </c>
      <c r="F104" s="16" t="s">
        <v>484</v>
      </c>
      <c r="G104" s="16" t="s">
        <v>176</v>
      </c>
      <c r="H104" s="16">
        <v>6.1</v>
      </c>
      <c r="I104" s="16">
        <v>599</v>
      </c>
      <c r="J104" s="16">
        <v>10</v>
      </c>
      <c r="K104" s="16">
        <v>3288.51</v>
      </c>
      <c r="L104" s="16" t="s">
        <v>207</v>
      </c>
      <c r="M104" s="16" t="s">
        <v>119</v>
      </c>
      <c r="N104" s="27">
        <v>45245.013888888891</v>
      </c>
      <c r="O104" s="27">
        <v>45245.536805555559</v>
      </c>
      <c r="P104" s="16">
        <v>2.6</v>
      </c>
      <c r="Q104" s="16" t="b">
        <f>TRUE()</f>
        <v>1</v>
      </c>
      <c r="R104" s="16" t="b">
        <f>TRUE()</f>
        <v>1</v>
      </c>
      <c r="S104" s="17">
        <f t="shared" si="1"/>
        <v>12.6</v>
      </c>
      <c r="T104">
        <f>COUNTIF('👤 Customers'!$A:$A, B104)</f>
        <v>1</v>
      </c>
      <c r="U104">
        <f>COUNTIF('🚴 Riders'!A103:A163, C104)</f>
        <v>0</v>
      </c>
      <c r="V104">
        <f>COUNTIF('🏭 Facilities'!A103:A111, D104)</f>
        <v>0</v>
      </c>
    </row>
    <row r="105" spans="1:22">
      <c r="A105" s="18" t="s">
        <v>485</v>
      </c>
      <c r="B105" s="18" t="s">
        <v>486</v>
      </c>
      <c r="C105" s="18" t="s">
        <v>487</v>
      </c>
      <c r="D105" s="18" t="s">
        <v>123</v>
      </c>
      <c r="E105" s="26">
        <v>45566</v>
      </c>
      <c r="F105" s="18" t="s">
        <v>488</v>
      </c>
      <c r="G105" s="18" t="s">
        <v>176</v>
      </c>
      <c r="H105" s="18">
        <v>4.4000000000000004</v>
      </c>
      <c r="I105" s="18">
        <v>599</v>
      </c>
      <c r="J105" s="18">
        <v>0</v>
      </c>
      <c r="K105" s="18">
        <v>2635.6</v>
      </c>
      <c r="L105" s="18" t="s">
        <v>139</v>
      </c>
      <c r="M105" s="18" t="s">
        <v>119</v>
      </c>
      <c r="N105" s="28">
        <v>45566.98541666667</v>
      </c>
      <c r="O105" s="28">
        <v>45567.50277777778</v>
      </c>
      <c r="P105" s="18">
        <v>3.7</v>
      </c>
      <c r="Q105" s="18" t="b">
        <f>FALSE()</f>
        <v>0</v>
      </c>
      <c r="R105" s="18" t="b">
        <f>FALSE()</f>
        <v>0</v>
      </c>
      <c r="S105" s="19">
        <f t="shared" si="1"/>
        <v>12.4</v>
      </c>
      <c r="T105">
        <f>COUNTIF('👤 Customers'!$A:$A, B105)</f>
        <v>1</v>
      </c>
      <c r="U105">
        <f>COUNTIF('🚴 Riders'!A104:A164, C105)</f>
        <v>0</v>
      </c>
      <c r="V105">
        <f>COUNTIF('🏭 Facilities'!A104:A112, D105)</f>
        <v>0</v>
      </c>
    </row>
    <row r="106" spans="1:22">
      <c r="A106" s="16" t="s">
        <v>489</v>
      </c>
      <c r="B106" s="16" t="s">
        <v>227</v>
      </c>
      <c r="C106" s="16" t="s">
        <v>343</v>
      </c>
      <c r="D106" s="16" t="s">
        <v>130</v>
      </c>
      <c r="E106" s="25">
        <v>45425</v>
      </c>
      <c r="F106" s="16" t="s">
        <v>490</v>
      </c>
      <c r="G106" s="16" t="s">
        <v>176</v>
      </c>
      <c r="H106" s="16">
        <v>3.7</v>
      </c>
      <c r="I106" s="16">
        <v>599</v>
      </c>
      <c r="J106" s="16">
        <v>0</v>
      </c>
      <c r="K106" s="16">
        <v>2216.3000000000002</v>
      </c>
      <c r="L106" s="16" t="s">
        <v>118</v>
      </c>
      <c r="M106" s="16" t="s">
        <v>119</v>
      </c>
      <c r="N106" s="27">
        <v>45425.626388888886</v>
      </c>
      <c r="O106" s="27">
        <v>45426.274305555555</v>
      </c>
      <c r="P106" s="16">
        <v>3.9</v>
      </c>
      <c r="Q106" s="16" t="b">
        <f>FALSE()</f>
        <v>0</v>
      </c>
      <c r="R106" s="16" t="b">
        <f>FALSE()</f>
        <v>0</v>
      </c>
      <c r="S106" s="17">
        <f t="shared" si="1"/>
        <v>15.6</v>
      </c>
      <c r="T106">
        <f>COUNTIF('👤 Customers'!$A:$A, B106)</f>
        <v>1</v>
      </c>
      <c r="U106">
        <f>COUNTIF('🚴 Riders'!A105:A165, C106)</f>
        <v>0</v>
      </c>
      <c r="V106">
        <f>COUNTIF('🏭 Facilities'!A105:A113, D106)</f>
        <v>0</v>
      </c>
    </row>
    <row r="107" spans="1:22">
      <c r="A107" s="18" t="s">
        <v>491</v>
      </c>
      <c r="B107" s="18" t="s">
        <v>492</v>
      </c>
      <c r="C107" s="18" t="s">
        <v>188</v>
      </c>
      <c r="D107" s="18" t="s">
        <v>158</v>
      </c>
      <c r="E107" s="26">
        <v>45002</v>
      </c>
      <c r="F107" s="18" t="s">
        <v>493</v>
      </c>
      <c r="G107" s="18" t="s">
        <v>125</v>
      </c>
      <c r="H107" s="18">
        <v>5.7</v>
      </c>
      <c r="I107" s="18">
        <v>199</v>
      </c>
      <c r="J107" s="18">
        <v>20</v>
      </c>
      <c r="K107" s="18">
        <v>907.44</v>
      </c>
      <c r="L107" s="18" t="s">
        <v>146</v>
      </c>
      <c r="M107" s="18" t="s">
        <v>119</v>
      </c>
      <c r="N107" s="28">
        <v>45002.272916666669</v>
      </c>
      <c r="O107" s="28">
        <v>45003.053472222222</v>
      </c>
      <c r="P107" s="18">
        <v>4.2</v>
      </c>
      <c r="Q107" s="18" t="b">
        <f>FALSE()</f>
        <v>0</v>
      </c>
      <c r="R107" s="18" t="b">
        <f>FALSE()</f>
        <v>0</v>
      </c>
      <c r="S107" s="19">
        <f t="shared" si="1"/>
        <v>18.7</v>
      </c>
      <c r="T107">
        <f>COUNTIF('👤 Customers'!$A:$A, B107)</f>
        <v>1</v>
      </c>
      <c r="U107">
        <f>COUNTIF('🚴 Riders'!A106:A166, C107)</f>
        <v>0</v>
      </c>
      <c r="V107">
        <f>COUNTIF('🏭 Facilities'!A106:A114, D107)</f>
        <v>0</v>
      </c>
    </row>
    <row r="108" spans="1:22">
      <c r="A108" s="16" t="s">
        <v>494</v>
      </c>
      <c r="B108" s="16" t="s">
        <v>495</v>
      </c>
      <c r="C108" s="16" t="s">
        <v>257</v>
      </c>
      <c r="D108" s="16" t="s">
        <v>137</v>
      </c>
      <c r="E108" s="25">
        <v>45110</v>
      </c>
      <c r="F108" s="16" t="s">
        <v>496</v>
      </c>
      <c r="G108" s="16" t="s">
        <v>145</v>
      </c>
      <c r="H108" s="16">
        <v>3.1</v>
      </c>
      <c r="I108" s="16">
        <v>299</v>
      </c>
      <c r="J108" s="16">
        <v>0</v>
      </c>
      <c r="K108" s="16">
        <v>926.9</v>
      </c>
      <c r="L108" s="16" t="s">
        <v>126</v>
      </c>
      <c r="M108" s="16" t="s">
        <v>140</v>
      </c>
      <c r="N108" s="27">
        <v>45110.054166666669</v>
      </c>
      <c r="O108" s="27">
        <v>45110.817361111112</v>
      </c>
      <c r="P108" s="20"/>
      <c r="Q108" s="16" t="b">
        <f>FALSE()</f>
        <v>0</v>
      </c>
      <c r="R108" s="16" t="b">
        <f>FALSE()</f>
        <v>0</v>
      </c>
      <c r="S108" s="17">
        <f t="shared" si="1"/>
        <v>18.3</v>
      </c>
      <c r="T108">
        <f>COUNTIF('👤 Customers'!$A:$A, B108)</f>
        <v>1</v>
      </c>
      <c r="U108">
        <f>COUNTIF('🚴 Riders'!A107:A167, C108)</f>
        <v>0</v>
      </c>
      <c r="V108">
        <f>COUNTIF('🏭 Facilities'!A107:A115, D108)</f>
        <v>0</v>
      </c>
    </row>
    <row r="109" spans="1:22">
      <c r="A109" s="18" t="s">
        <v>497</v>
      </c>
      <c r="B109" s="18" t="s">
        <v>498</v>
      </c>
      <c r="C109" s="18" t="s">
        <v>461</v>
      </c>
      <c r="D109" s="18" t="s">
        <v>137</v>
      </c>
      <c r="E109" s="26">
        <v>45056</v>
      </c>
      <c r="F109" s="18" t="s">
        <v>499</v>
      </c>
      <c r="G109" s="18" t="s">
        <v>132</v>
      </c>
      <c r="H109" s="18">
        <v>6.7</v>
      </c>
      <c r="I109" s="18">
        <v>399</v>
      </c>
      <c r="J109" s="18">
        <v>0</v>
      </c>
      <c r="K109" s="18">
        <v>2673.3</v>
      </c>
      <c r="L109" s="18" t="s">
        <v>146</v>
      </c>
      <c r="M109" s="18" t="s">
        <v>119</v>
      </c>
      <c r="N109" s="28">
        <v>45056.872916666667</v>
      </c>
      <c r="O109" s="28">
        <v>45057.693749999999</v>
      </c>
      <c r="P109" s="18">
        <v>3.1</v>
      </c>
      <c r="Q109" s="18" t="b">
        <f>FALSE()</f>
        <v>0</v>
      </c>
      <c r="R109" s="18" t="b">
        <f>FALSE()</f>
        <v>0</v>
      </c>
      <c r="S109" s="19">
        <f t="shared" si="1"/>
        <v>19.7</v>
      </c>
      <c r="T109">
        <f>COUNTIF('👤 Customers'!$A:$A, B109)</f>
        <v>1</v>
      </c>
      <c r="U109">
        <f>COUNTIF('🚴 Riders'!A108:A168, C109)</f>
        <v>0</v>
      </c>
      <c r="V109">
        <f>COUNTIF('🏭 Facilities'!A108:A116, D109)</f>
        <v>0</v>
      </c>
    </row>
    <row r="110" spans="1:22">
      <c r="A110" s="16" t="s">
        <v>500</v>
      </c>
      <c r="B110" s="16" t="s">
        <v>397</v>
      </c>
      <c r="C110" s="16" t="s">
        <v>272</v>
      </c>
      <c r="D110" s="16" t="s">
        <v>158</v>
      </c>
      <c r="E110" s="25">
        <v>44979</v>
      </c>
      <c r="F110" s="16" t="s">
        <v>501</v>
      </c>
      <c r="G110" s="16" t="s">
        <v>125</v>
      </c>
      <c r="H110" s="16">
        <v>3.7</v>
      </c>
      <c r="I110" s="16">
        <v>199</v>
      </c>
      <c r="J110" s="16">
        <v>0</v>
      </c>
      <c r="K110" s="16">
        <v>736.3</v>
      </c>
      <c r="L110" s="16" t="s">
        <v>126</v>
      </c>
      <c r="M110" s="16" t="s">
        <v>119</v>
      </c>
      <c r="N110" s="27">
        <v>44979.195138888892</v>
      </c>
      <c r="O110" s="27">
        <v>44979.952777777777</v>
      </c>
      <c r="P110" s="16">
        <v>3.5</v>
      </c>
      <c r="Q110" s="16" t="b">
        <f>TRUE()</f>
        <v>1</v>
      </c>
      <c r="R110" s="16" t="b">
        <f>FALSE()</f>
        <v>0</v>
      </c>
      <c r="S110" s="17">
        <f t="shared" si="1"/>
        <v>18.2</v>
      </c>
      <c r="T110">
        <f>COUNTIF('👤 Customers'!$A:$A, B110)</f>
        <v>1</v>
      </c>
      <c r="U110">
        <f>COUNTIF('🚴 Riders'!A109:A169, C110)</f>
        <v>0</v>
      </c>
      <c r="V110">
        <f>COUNTIF('🏭 Facilities'!A109:A117, D110)</f>
        <v>0</v>
      </c>
    </row>
    <row r="111" spans="1:22">
      <c r="A111" s="18" t="s">
        <v>502</v>
      </c>
      <c r="B111" s="18" t="s">
        <v>357</v>
      </c>
      <c r="C111" s="18" t="s">
        <v>276</v>
      </c>
      <c r="D111" s="18" t="s">
        <v>123</v>
      </c>
      <c r="E111" s="26">
        <v>45516</v>
      </c>
      <c r="F111" s="18" t="s">
        <v>503</v>
      </c>
      <c r="G111" s="18" t="s">
        <v>125</v>
      </c>
      <c r="H111" s="18">
        <v>7.5</v>
      </c>
      <c r="I111" s="18">
        <v>199</v>
      </c>
      <c r="J111" s="18">
        <v>0</v>
      </c>
      <c r="K111" s="18">
        <v>1492.5</v>
      </c>
      <c r="L111" s="18" t="s">
        <v>139</v>
      </c>
      <c r="M111" s="18" t="s">
        <v>119</v>
      </c>
      <c r="N111" s="28">
        <v>45516.184027777781</v>
      </c>
      <c r="O111" s="28">
        <v>45517.2</v>
      </c>
      <c r="P111" s="18">
        <v>4.0999999999999996</v>
      </c>
      <c r="Q111" s="18" t="b">
        <f>FALSE()</f>
        <v>0</v>
      </c>
      <c r="R111" s="18" t="b">
        <f>FALSE()</f>
        <v>0</v>
      </c>
      <c r="S111" s="19">
        <f t="shared" si="1"/>
        <v>24.4</v>
      </c>
      <c r="T111">
        <f>COUNTIF('👤 Customers'!$A:$A, B111)</f>
        <v>1</v>
      </c>
      <c r="U111">
        <f>COUNTIF('🚴 Riders'!A110:A170, C111)</f>
        <v>0</v>
      </c>
      <c r="V111">
        <f>COUNTIF('🏭 Facilities'!A110:A118, D111)</f>
        <v>0</v>
      </c>
    </row>
    <row r="112" spans="1:22">
      <c r="A112" s="16" t="s">
        <v>504</v>
      </c>
      <c r="B112" s="16" t="s">
        <v>216</v>
      </c>
      <c r="C112" s="16" t="s">
        <v>224</v>
      </c>
      <c r="D112" s="16" t="s">
        <v>130</v>
      </c>
      <c r="E112" s="25">
        <v>45060</v>
      </c>
      <c r="F112" s="16" t="s">
        <v>505</v>
      </c>
      <c r="G112" s="16" t="s">
        <v>117</v>
      </c>
      <c r="H112" s="16">
        <v>3.8</v>
      </c>
      <c r="I112" s="16">
        <v>149</v>
      </c>
      <c r="J112" s="16">
        <v>10</v>
      </c>
      <c r="K112" s="16">
        <v>509.58</v>
      </c>
      <c r="L112" s="16" t="s">
        <v>126</v>
      </c>
      <c r="M112" s="16" t="s">
        <v>140</v>
      </c>
      <c r="N112" s="27">
        <v>45060.872916666667</v>
      </c>
      <c r="O112" s="27">
        <v>45061.268055555556</v>
      </c>
      <c r="P112" s="20"/>
      <c r="Q112" s="16" t="b">
        <f>FALSE()</f>
        <v>0</v>
      </c>
      <c r="R112" s="16" t="b">
        <f>FALSE()</f>
        <v>0</v>
      </c>
      <c r="S112" s="17">
        <f t="shared" si="1"/>
        <v>9.5</v>
      </c>
      <c r="T112">
        <f>COUNTIF('👤 Customers'!$A:$A, B112)</f>
        <v>1</v>
      </c>
      <c r="U112">
        <f>COUNTIF('🚴 Riders'!A111:A171, C112)</f>
        <v>0</v>
      </c>
      <c r="V112">
        <f>COUNTIF('🏭 Facilities'!A111:A119, D112)</f>
        <v>0</v>
      </c>
    </row>
    <row r="113" spans="1:22">
      <c r="A113" s="18" t="s">
        <v>506</v>
      </c>
      <c r="B113" s="18" t="s">
        <v>507</v>
      </c>
      <c r="C113" s="18" t="s">
        <v>228</v>
      </c>
      <c r="D113" s="18" t="s">
        <v>130</v>
      </c>
      <c r="E113" s="26">
        <v>45623</v>
      </c>
      <c r="F113" s="18" t="s">
        <v>508</v>
      </c>
      <c r="G113" s="18" t="s">
        <v>117</v>
      </c>
      <c r="H113" s="18">
        <v>1.1000000000000001</v>
      </c>
      <c r="I113" s="18">
        <v>149</v>
      </c>
      <c r="J113" s="18">
        <v>20</v>
      </c>
      <c r="K113" s="18">
        <v>131.12</v>
      </c>
      <c r="L113" s="18" t="s">
        <v>207</v>
      </c>
      <c r="M113" s="18" t="s">
        <v>119</v>
      </c>
      <c r="N113" s="28">
        <v>45623.810416666667</v>
      </c>
      <c r="O113" s="28">
        <v>45624.806250000001</v>
      </c>
      <c r="P113" s="18">
        <v>3.3</v>
      </c>
      <c r="Q113" s="18" t="b">
        <f>FALSE()</f>
        <v>0</v>
      </c>
      <c r="R113" s="18" t="b">
        <f>FALSE()</f>
        <v>0</v>
      </c>
      <c r="S113" s="19">
        <f t="shared" si="1"/>
        <v>23.9</v>
      </c>
      <c r="T113">
        <f>COUNTIF('👤 Customers'!$A:$A, B113)</f>
        <v>1</v>
      </c>
      <c r="U113">
        <f>COUNTIF('🚴 Riders'!A112:A172, C113)</f>
        <v>0</v>
      </c>
      <c r="V113">
        <f>COUNTIF('🏭 Facilities'!A112:A120, D113)</f>
        <v>0</v>
      </c>
    </row>
    <row r="114" spans="1:22">
      <c r="A114" s="16" t="s">
        <v>509</v>
      </c>
      <c r="B114" s="16" t="s">
        <v>510</v>
      </c>
      <c r="C114" s="16" t="s">
        <v>236</v>
      </c>
      <c r="D114" s="16" t="s">
        <v>205</v>
      </c>
      <c r="E114" s="25">
        <v>45176</v>
      </c>
      <c r="F114" s="16" t="s">
        <v>511</v>
      </c>
      <c r="G114" s="16" t="s">
        <v>117</v>
      </c>
      <c r="H114" s="16">
        <v>6.1</v>
      </c>
      <c r="I114" s="16">
        <v>149</v>
      </c>
      <c r="J114" s="16">
        <v>10</v>
      </c>
      <c r="K114" s="16">
        <v>818.01</v>
      </c>
      <c r="L114" s="16" t="s">
        <v>126</v>
      </c>
      <c r="M114" s="16" t="s">
        <v>119</v>
      </c>
      <c r="N114" s="27">
        <v>45176.273611111108</v>
      </c>
      <c r="O114" s="27">
        <v>45176.792361111111</v>
      </c>
      <c r="P114" s="16">
        <v>3.8</v>
      </c>
      <c r="Q114" s="16" t="b">
        <f>FALSE()</f>
        <v>0</v>
      </c>
      <c r="R114" s="16" t="b">
        <f>FALSE()</f>
        <v>0</v>
      </c>
      <c r="S114" s="17">
        <f t="shared" si="1"/>
        <v>12.5</v>
      </c>
      <c r="T114">
        <f>COUNTIF('👤 Customers'!$A:$A, B114)</f>
        <v>1</v>
      </c>
      <c r="U114">
        <f>COUNTIF('🚴 Riders'!A113:A173, C114)</f>
        <v>0</v>
      </c>
      <c r="V114">
        <f>COUNTIF('🏭 Facilities'!A113:A121, D114)</f>
        <v>0</v>
      </c>
    </row>
    <row r="115" spans="1:22">
      <c r="A115" s="18" t="s">
        <v>512</v>
      </c>
      <c r="B115" s="18" t="s">
        <v>513</v>
      </c>
      <c r="C115" s="18" t="s">
        <v>174</v>
      </c>
      <c r="D115" s="18" t="s">
        <v>130</v>
      </c>
      <c r="E115" s="26">
        <v>45320</v>
      </c>
      <c r="F115" s="18" t="s">
        <v>514</v>
      </c>
      <c r="G115" s="18" t="s">
        <v>145</v>
      </c>
      <c r="H115" s="18">
        <v>1.9</v>
      </c>
      <c r="I115" s="18">
        <v>299</v>
      </c>
      <c r="J115" s="18">
        <v>20</v>
      </c>
      <c r="K115" s="18">
        <v>454.48</v>
      </c>
      <c r="L115" s="18" t="s">
        <v>126</v>
      </c>
      <c r="M115" s="18" t="s">
        <v>133</v>
      </c>
      <c r="N115" s="20"/>
      <c r="O115" s="20"/>
      <c r="P115" s="20"/>
      <c r="Q115" s="18" t="b">
        <f>FALSE()</f>
        <v>0</v>
      </c>
      <c r="R115" s="18" t="b">
        <f>FALSE()</f>
        <v>0</v>
      </c>
      <c r="S115" s="19" t="str">
        <f t="shared" si="1"/>
        <v>N/A</v>
      </c>
      <c r="T115">
        <f>COUNTIF('👤 Customers'!$A:$A, B115)</f>
        <v>1</v>
      </c>
      <c r="U115">
        <f>COUNTIF('🚴 Riders'!A114:A174, C115)</f>
        <v>0</v>
      </c>
      <c r="V115">
        <f>COUNTIF('🏭 Facilities'!A114:A122, D115)</f>
        <v>0</v>
      </c>
    </row>
    <row r="116" spans="1:22">
      <c r="A116" s="16" t="s">
        <v>515</v>
      </c>
      <c r="B116" s="16" t="s">
        <v>516</v>
      </c>
      <c r="C116" s="16" t="s">
        <v>358</v>
      </c>
      <c r="D116" s="16" t="s">
        <v>115</v>
      </c>
      <c r="E116" s="25">
        <v>45474</v>
      </c>
      <c r="F116" s="16" t="s">
        <v>517</v>
      </c>
      <c r="G116" s="16" t="s">
        <v>132</v>
      </c>
      <c r="H116" s="16">
        <v>2.9</v>
      </c>
      <c r="I116" s="16">
        <v>399</v>
      </c>
      <c r="J116" s="16">
        <v>20</v>
      </c>
      <c r="K116" s="16">
        <v>925.68</v>
      </c>
      <c r="L116" s="16" t="s">
        <v>146</v>
      </c>
      <c r="M116" s="16" t="s">
        <v>133</v>
      </c>
      <c r="N116" s="20"/>
      <c r="O116" s="20"/>
      <c r="P116" s="20"/>
      <c r="Q116" s="16" t="b">
        <f>FALSE()</f>
        <v>0</v>
      </c>
      <c r="R116" s="16" t="b">
        <f>FALSE()</f>
        <v>0</v>
      </c>
      <c r="S116" s="17" t="str">
        <f t="shared" si="1"/>
        <v>N/A</v>
      </c>
      <c r="T116">
        <f>COUNTIF('👤 Customers'!$A:$A, B116)</f>
        <v>1</v>
      </c>
      <c r="U116">
        <f>COUNTIF('🚴 Riders'!A115:A175, C116)</f>
        <v>0</v>
      </c>
      <c r="V116">
        <f>COUNTIF('🏭 Facilities'!A115:A123, D116)</f>
        <v>0</v>
      </c>
    </row>
    <row r="117" spans="1:22">
      <c r="A117" s="18" t="s">
        <v>518</v>
      </c>
      <c r="B117" s="18" t="s">
        <v>519</v>
      </c>
      <c r="C117" s="18" t="s">
        <v>174</v>
      </c>
      <c r="D117" s="18" t="s">
        <v>137</v>
      </c>
      <c r="E117" s="26">
        <v>45295</v>
      </c>
      <c r="F117" s="18" t="s">
        <v>520</v>
      </c>
      <c r="G117" s="18" t="s">
        <v>176</v>
      </c>
      <c r="H117" s="18">
        <v>4.9000000000000004</v>
      </c>
      <c r="I117" s="18">
        <v>599</v>
      </c>
      <c r="J117" s="18">
        <v>0</v>
      </c>
      <c r="K117" s="18">
        <v>2935.1</v>
      </c>
      <c r="L117" s="18" t="s">
        <v>146</v>
      </c>
      <c r="M117" s="18" t="s">
        <v>119</v>
      </c>
      <c r="N117" s="28">
        <v>45295.748611111114</v>
      </c>
      <c r="O117" s="28">
        <v>45296.580555555556</v>
      </c>
      <c r="P117" s="18">
        <v>4.4000000000000004</v>
      </c>
      <c r="Q117" s="18" t="b">
        <f>FALSE()</f>
        <v>0</v>
      </c>
      <c r="R117" s="18" t="b">
        <f>FALSE()</f>
        <v>0</v>
      </c>
      <c r="S117" s="19">
        <f t="shared" si="1"/>
        <v>20</v>
      </c>
      <c r="T117">
        <f>COUNTIF('👤 Customers'!$A:$A, B117)</f>
        <v>1</v>
      </c>
      <c r="U117">
        <f>COUNTIF('🚴 Riders'!A116:A176, C117)</f>
        <v>0</v>
      </c>
      <c r="V117">
        <f>COUNTIF('🏭 Facilities'!A116:A124, D117)</f>
        <v>0</v>
      </c>
    </row>
    <row r="118" spans="1:22">
      <c r="A118" s="16" t="s">
        <v>521</v>
      </c>
      <c r="B118" s="16" t="s">
        <v>522</v>
      </c>
      <c r="C118" s="16" t="s">
        <v>170</v>
      </c>
      <c r="D118" s="16" t="s">
        <v>137</v>
      </c>
      <c r="E118" s="25">
        <v>45101</v>
      </c>
      <c r="F118" s="16" t="s">
        <v>523</v>
      </c>
      <c r="G118" s="16" t="s">
        <v>132</v>
      </c>
      <c r="H118" s="16">
        <v>2.9</v>
      </c>
      <c r="I118" s="16">
        <v>399</v>
      </c>
      <c r="J118" s="16">
        <v>0</v>
      </c>
      <c r="K118" s="16">
        <v>1157.0999999999999</v>
      </c>
      <c r="L118" s="16" t="s">
        <v>207</v>
      </c>
      <c r="M118" s="16" t="s">
        <v>119</v>
      </c>
      <c r="N118" s="27">
        <v>45101.996527777781</v>
      </c>
      <c r="O118" s="27">
        <v>45103.070138888892</v>
      </c>
      <c r="P118" s="16">
        <v>4</v>
      </c>
      <c r="Q118" s="16" t="b">
        <f>TRUE()</f>
        <v>1</v>
      </c>
      <c r="R118" s="16" t="b">
        <f>FALSE()</f>
        <v>0</v>
      </c>
      <c r="S118" s="17">
        <f t="shared" si="1"/>
        <v>25.8</v>
      </c>
      <c r="T118">
        <f>COUNTIF('👤 Customers'!$A:$A, B118)</f>
        <v>1</v>
      </c>
      <c r="U118">
        <f>COUNTIF('🚴 Riders'!A117:A177, C118)</f>
        <v>0</v>
      </c>
      <c r="V118">
        <f>COUNTIF('🏭 Facilities'!A117:A125, D118)</f>
        <v>0</v>
      </c>
    </row>
    <row r="119" spans="1:22">
      <c r="A119" s="18" t="s">
        <v>524</v>
      </c>
      <c r="B119" s="18" t="s">
        <v>525</v>
      </c>
      <c r="C119" s="18" t="s">
        <v>362</v>
      </c>
      <c r="D119" s="18" t="s">
        <v>115</v>
      </c>
      <c r="E119" s="26">
        <v>45552</v>
      </c>
      <c r="F119" s="18" t="s">
        <v>526</v>
      </c>
      <c r="G119" s="18" t="s">
        <v>117</v>
      </c>
      <c r="H119" s="18">
        <v>6</v>
      </c>
      <c r="I119" s="18">
        <v>149</v>
      </c>
      <c r="J119" s="18">
        <v>10</v>
      </c>
      <c r="K119" s="18">
        <v>804.6</v>
      </c>
      <c r="L119" s="18" t="s">
        <v>118</v>
      </c>
      <c r="M119" s="18" t="s">
        <v>119</v>
      </c>
      <c r="N119" s="28">
        <v>45552.410416666666</v>
      </c>
      <c r="O119" s="28">
        <v>45553.013888888891</v>
      </c>
      <c r="P119" s="18">
        <v>4.2</v>
      </c>
      <c r="Q119" s="18" t="b">
        <f>FALSE()</f>
        <v>0</v>
      </c>
      <c r="R119" s="18" t="b">
        <f>FALSE()</f>
        <v>0</v>
      </c>
      <c r="S119" s="19">
        <f t="shared" si="1"/>
        <v>14.5</v>
      </c>
      <c r="T119">
        <f>COUNTIF('👤 Customers'!$A:$A, B119)</f>
        <v>1</v>
      </c>
      <c r="U119">
        <f>COUNTIF('🚴 Riders'!A118:A178, C119)</f>
        <v>0</v>
      </c>
      <c r="V119">
        <f>COUNTIF('🏭 Facilities'!A118:A126, D119)</f>
        <v>0</v>
      </c>
    </row>
    <row r="120" spans="1:22">
      <c r="A120" s="16" t="s">
        <v>527</v>
      </c>
      <c r="B120" s="16" t="s">
        <v>507</v>
      </c>
      <c r="C120" s="16" t="s">
        <v>228</v>
      </c>
      <c r="D120" s="16" t="s">
        <v>115</v>
      </c>
      <c r="E120" s="25">
        <v>45006</v>
      </c>
      <c r="F120" s="16" t="s">
        <v>528</v>
      </c>
      <c r="G120" s="16" t="s">
        <v>125</v>
      </c>
      <c r="H120" s="16">
        <v>4.5999999999999996</v>
      </c>
      <c r="I120" s="16">
        <v>199</v>
      </c>
      <c r="J120" s="16">
        <v>10</v>
      </c>
      <c r="K120" s="16">
        <v>823.86</v>
      </c>
      <c r="L120" s="16" t="s">
        <v>126</v>
      </c>
      <c r="M120" s="16" t="s">
        <v>119</v>
      </c>
      <c r="N120" s="27">
        <v>45006.570833333331</v>
      </c>
      <c r="O120" s="27">
        <v>45007.331250000003</v>
      </c>
      <c r="P120" s="16">
        <v>3.3</v>
      </c>
      <c r="Q120" s="16" t="b">
        <f>FALSE()</f>
        <v>0</v>
      </c>
      <c r="R120" s="16" t="b">
        <f>FALSE()</f>
        <v>0</v>
      </c>
      <c r="S120" s="17">
        <f t="shared" si="1"/>
        <v>18.3</v>
      </c>
      <c r="T120">
        <f>COUNTIF('👤 Customers'!$A:$A, B120)</f>
        <v>1</v>
      </c>
      <c r="U120">
        <f>COUNTIF('🚴 Riders'!A119:A179, C120)</f>
        <v>0</v>
      </c>
      <c r="V120">
        <f>COUNTIF('🏭 Facilities'!A119:A127, D120)</f>
        <v>0</v>
      </c>
    </row>
    <row r="121" spans="1:22">
      <c r="A121" s="18" t="s">
        <v>529</v>
      </c>
      <c r="B121" s="18" t="s">
        <v>530</v>
      </c>
      <c r="C121" s="18" t="s">
        <v>174</v>
      </c>
      <c r="D121" s="18" t="s">
        <v>158</v>
      </c>
      <c r="E121" s="26">
        <v>45142</v>
      </c>
      <c r="F121" s="18" t="s">
        <v>531</v>
      </c>
      <c r="G121" s="18" t="s">
        <v>117</v>
      </c>
      <c r="H121" s="18">
        <v>5.6</v>
      </c>
      <c r="I121" s="18">
        <v>149</v>
      </c>
      <c r="J121" s="18">
        <v>30</v>
      </c>
      <c r="K121" s="18">
        <v>584.08000000000004</v>
      </c>
      <c r="L121" s="18" t="s">
        <v>118</v>
      </c>
      <c r="M121" s="18" t="s">
        <v>140</v>
      </c>
      <c r="N121" s="28">
        <v>45142.127083333333</v>
      </c>
      <c r="O121" s="28">
        <v>45142.595138888886</v>
      </c>
      <c r="P121" s="20"/>
      <c r="Q121" s="18" t="b">
        <f>FALSE()</f>
        <v>0</v>
      </c>
      <c r="R121" s="18" t="b">
        <f>FALSE()</f>
        <v>0</v>
      </c>
      <c r="S121" s="19">
        <f t="shared" si="1"/>
        <v>11.2</v>
      </c>
      <c r="T121">
        <f>COUNTIF('👤 Customers'!$A:$A, B121)</f>
        <v>1</v>
      </c>
      <c r="U121">
        <f>COUNTIF('🚴 Riders'!A120:A180, C121)</f>
        <v>0</v>
      </c>
      <c r="V121">
        <f>COUNTIF('🏭 Facilities'!A120:A128, D121)</f>
        <v>0</v>
      </c>
    </row>
    <row r="122" spans="1:22">
      <c r="A122" s="16" t="s">
        <v>532</v>
      </c>
      <c r="B122" s="16" t="s">
        <v>495</v>
      </c>
      <c r="C122" s="16" t="s">
        <v>240</v>
      </c>
      <c r="D122" s="16" t="s">
        <v>130</v>
      </c>
      <c r="E122" s="25">
        <v>45436</v>
      </c>
      <c r="F122" s="16" t="s">
        <v>533</v>
      </c>
      <c r="G122" s="16" t="s">
        <v>145</v>
      </c>
      <c r="H122" s="16">
        <v>8</v>
      </c>
      <c r="I122" s="16">
        <v>299</v>
      </c>
      <c r="J122" s="16">
        <v>0</v>
      </c>
      <c r="K122" s="16">
        <v>2392</v>
      </c>
      <c r="L122" s="16" t="s">
        <v>118</v>
      </c>
      <c r="M122" s="16" t="s">
        <v>119</v>
      </c>
      <c r="N122" s="27">
        <v>45436.144444444442</v>
      </c>
      <c r="O122" s="27">
        <v>45437.036805555559</v>
      </c>
      <c r="P122" s="16">
        <v>4.3</v>
      </c>
      <c r="Q122" s="16" t="b">
        <f>FALSE()</f>
        <v>0</v>
      </c>
      <c r="R122" s="16" t="b">
        <f>FALSE()</f>
        <v>0</v>
      </c>
      <c r="S122" s="17">
        <f t="shared" si="1"/>
        <v>21.4</v>
      </c>
      <c r="T122">
        <f>COUNTIF('👤 Customers'!$A:$A, B122)</f>
        <v>1</v>
      </c>
      <c r="U122">
        <f>COUNTIF('🚴 Riders'!A121:A181, C122)</f>
        <v>0</v>
      </c>
      <c r="V122">
        <f>COUNTIF('🏭 Facilities'!A121:A129, D122)</f>
        <v>0</v>
      </c>
    </row>
    <row r="123" spans="1:22">
      <c r="A123" s="18" t="s">
        <v>534</v>
      </c>
      <c r="B123" s="18" t="s">
        <v>535</v>
      </c>
      <c r="C123" s="18" t="s">
        <v>536</v>
      </c>
      <c r="D123" s="18" t="s">
        <v>123</v>
      </c>
      <c r="E123" s="26">
        <v>45536</v>
      </c>
      <c r="F123" s="18" t="s">
        <v>537</v>
      </c>
      <c r="G123" s="18" t="s">
        <v>145</v>
      </c>
      <c r="H123" s="18">
        <v>7.3</v>
      </c>
      <c r="I123" s="18">
        <v>299</v>
      </c>
      <c r="J123" s="18">
        <v>10</v>
      </c>
      <c r="K123" s="18">
        <v>1964.43</v>
      </c>
      <c r="L123" s="18" t="s">
        <v>126</v>
      </c>
      <c r="M123" s="18" t="s">
        <v>133</v>
      </c>
      <c r="N123" s="20"/>
      <c r="O123" s="20"/>
      <c r="P123" s="20"/>
      <c r="Q123" s="18" t="b">
        <f>FALSE()</f>
        <v>0</v>
      </c>
      <c r="R123" s="18" t="b">
        <f>FALSE()</f>
        <v>0</v>
      </c>
      <c r="S123" s="19" t="str">
        <f t="shared" si="1"/>
        <v>N/A</v>
      </c>
      <c r="T123">
        <f>COUNTIF('👤 Customers'!$A:$A, B123)</f>
        <v>1</v>
      </c>
      <c r="U123">
        <f>COUNTIF('🚴 Riders'!A122:A182, C123)</f>
        <v>0</v>
      </c>
      <c r="V123">
        <f>COUNTIF('🏭 Facilities'!A122:A130, D123)</f>
        <v>0</v>
      </c>
    </row>
    <row r="124" spans="1:22">
      <c r="A124" s="16" t="s">
        <v>538</v>
      </c>
      <c r="B124" s="16" t="s">
        <v>539</v>
      </c>
      <c r="C124" s="16" t="s">
        <v>149</v>
      </c>
      <c r="D124" s="16" t="s">
        <v>123</v>
      </c>
      <c r="E124" s="25">
        <v>45490</v>
      </c>
      <c r="F124" s="16" t="s">
        <v>540</v>
      </c>
      <c r="G124" s="16" t="s">
        <v>176</v>
      </c>
      <c r="H124" s="16">
        <v>6.3</v>
      </c>
      <c r="I124" s="16">
        <v>599</v>
      </c>
      <c r="J124" s="16">
        <v>0</v>
      </c>
      <c r="K124" s="16">
        <v>3773.7</v>
      </c>
      <c r="L124" s="16" t="s">
        <v>139</v>
      </c>
      <c r="M124" s="16" t="s">
        <v>140</v>
      </c>
      <c r="N124" s="27">
        <v>45490.42083333333</v>
      </c>
      <c r="O124" s="27">
        <v>45491.22152777778</v>
      </c>
      <c r="P124" s="20"/>
      <c r="Q124" s="16" t="b">
        <f>FALSE()</f>
        <v>0</v>
      </c>
      <c r="R124" s="16" t="b">
        <f>FALSE()</f>
        <v>0</v>
      </c>
      <c r="S124" s="17">
        <f t="shared" si="1"/>
        <v>19.2</v>
      </c>
      <c r="T124">
        <f>COUNTIF('👤 Customers'!$A:$A, B124)</f>
        <v>1</v>
      </c>
      <c r="U124">
        <f>COUNTIF('🚴 Riders'!A123:A183, C124)</f>
        <v>0</v>
      </c>
      <c r="V124">
        <f>COUNTIF('🏭 Facilities'!A123:A131, D124)</f>
        <v>0</v>
      </c>
    </row>
    <row r="125" spans="1:22">
      <c r="A125" s="18" t="s">
        <v>541</v>
      </c>
      <c r="B125" s="18" t="s">
        <v>542</v>
      </c>
      <c r="C125" s="18" t="s">
        <v>183</v>
      </c>
      <c r="D125" s="18" t="s">
        <v>115</v>
      </c>
      <c r="E125" s="26">
        <v>45129</v>
      </c>
      <c r="F125" s="18" t="s">
        <v>543</v>
      </c>
      <c r="G125" s="18" t="s">
        <v>176</v>
      </c>
      <c r="H125" s="18">
        <v>3.1</v>
      </c>
      <c r="I125" s="18">
        <v>599</v>
      </c>
      <c r="J125" s="18">
        <v>20</v>
      </c>
      <c r="K125" s="18">
        <v>1485.52</v>
      </c>
      <c r="L125" s="18" t="s">
        <v>207</v>
      </c>
      <c r="M125" s="18" t="s">
        <v>119</v>
      </c>
      <c r="N125" s="28">
        <v>45129.410416666666</v>
      </c>
      <c r="O125" s="28">
        <v>45130.226388888892</v>
      </c>
      <c r="P125" s="18">
        <v>3.8</v>
      </c>
      <c r="Q125" s="18" t="b">
        <f>FALSE()</f>
        <v>0</v>
      </c>
      <c r="R125" s="18" t="b">
        <f>FALSE()</f>
        <v>0</v>
      </c>
      <c r="S125" s="19">
        <f t="shared" si="1"/>
        <v>19.600000000000001</v>
      </c>
      <c r="T125">
        <f>COUNTIF('👤 Customers'!$A:$A, B125)</f>
        <v>1</v>
      </c>
      <c r="U125">
        <f>COUNTIF('🚴 Riders'!A124:A184, C125)</f>
        <v>0</v>
      </c>
      <c r="V125">
        <f>COUNTIF('🏭 Facilities'!A124:A132, D125)</f>
        <v>0</v>
      </c>
    </row>
    <row r="126" spans="1:22">
      <c r="A126" s="16" t="s">
        <v>544</v>
      </c>
      <c r="B126" s="16" t="s">
        <v>545</v>
      </c>
      <c r="C126" s="16" t="s">
        <v>170</v>
      </c>
      <c r="D126" s="16" t="s">
        <v>115</v>
      </c>
      <c r="E126" s="25">
        <v>45158</v>
      </c>
      <c r="F126" s="16" t="s">
        <v>546</v>
      </c>
      <c r="G126" s="16" t="s">
        <v>145</v>
      </c>
      <c r="H126" s="16">
        <v>1.4</v>
      </c>
      <c r="I126" s="16">
        <v>299</v>
      </c>
      <c r="J126" s="16">
        <v>20</v>
      </c>
      <c r="K126" s="16">
        <v>334.88</v>
      </c>
      <c r="L126" s="16" t="s">
        <v>207</v>
      </c>
      <c r="M126" s="16" t="s">
        <v>119</v>
      </c>
      <c r="N126" s="27">
        <v>45158.904861111114</v>
      </c>
      <c r="O126" s="27">
        <v>45159.536111111112</v>
      </c>
      <c r="P126" s="16">
        <v>3.3</v>
      </c>
      <c r="Q126" s="16" t="b">
        <f>FALSE()</f>
        <v>0</v>
      </c>
      <c r="R126" s="16" t="b">
        <f>FALSE()</f>
        <v>0</v>
      </c>
      <c r="S126" s="17">
        <f t="shared" si="1"/>
        <v>15.1</v>
      </c>
      <c r="T126">
        <f>COUNTIF('👤 Customers'!$A:$A, B126)</f>
        <v>1</v>
      </c>
      <c r="U126">
        <f>COUNTIF('🚴 Riders'!A125:A185, C126)</f>
        <v>0</v>
      </c>
      <c r="V126">
        <f>COUNTIF('🏭 Facilities'!A125:A133, D126)</f>
        <v>0</v>
      </c>
    </row>
    <row r="127" spans="1:22">
      <c r="A127" s="18" t="s">
        <v>547</v>
      </c>
      <c r="B127" s="18" t="s">
        <v>338</v>
      </c>
      <c r="C127" s="18" t="s">
        <v>315</v>
      </c>
      <c r="D127" s="18" t="s">
        <v>137</v>
      </c>
      <c r="E127" s="26">
        <v>45305</v>
      </c>
      <c r="F127" s="18" t="s">
        <v>548</v>
      </c>
      <c r="G127" s="18" t="s">
        <v>117</v>
      </c>
      <c r="H127" s="18">
        <v>5.4</v>
      </c>
      <c r="I127" s="18">
        <v>149</v>
      </c>
      <c r="J127" s="18">
        <v>0</v>
      </c>
      <c r="K127" s="18">
        <v>804.6</v>
      </c>
      <c r="L127" s="18" t="s">
        <v>139</v>
      </c>
      <c r="M127" s="18" t="s">
        <v>140</v>
      </c>
      <c r="N127" s="28">
        <v>45305.744444444441</v>
      </c>
      <c r="O127" s="28">
        <v>45306.392361111109</v>
      </c>
      <c r="P127" s="20"/>
      <c r="Q127" s="18" t="b">
        <f>FALSE()</f>
        <v>0</v>
      </c>
      <c r="R127" s="18" t="b">
        <f>FALSE()</f>
        <v>0</v>
      </c>
      <c r="S127" s="19">
        <f t="shared" si="1"/>
        <v>15.6</v>
      </c>
      <c r="T127">
        <f>COUNTIF('👤 Customers'!$A:$A, B127)</f>
        <v>1</v>
      </c>
      <c r="U127">
        <f>COUNTIF('🚴 Riders'!A126:A186, C127)</f>
        <v>0</v>
      </c>
      <c r="V127">
        <f>COUNTIF('🏭 Facilities'!A126:A134, D127)</f>
        <v>0</v>
      </c>
    </row>
    <row r="128" spans="1:22">
      <c r="A128" s="16" t="s">
        <v>549</v>
      </c>
      <c r="B128" s="16" t="s">
        <v>412</v>
      </c>
      <c r="C128" s="16" t="s">
        <v>283</v>
      </c>
      <c r="D128" s="16" t="s">
        <v>205</v>
      </c>
      <c r="E128" s="25">
        <v>45027</v>
      </c>
      <c r="F128" s="16" t="s">
        <v>550</v>
      </c>
      <c r="G128" s="16" t="s">
        <v>176</v>
      </c>
      <c r="H128" s="16">
        <v>4</v>
      </c>
      <c r="I128" s="16">
        <v>599</v>
      </c>
      <c r="J128" s="16">
        <v>0</v>
      </c>
      <c r="K128" s="16">
        <v>2396</v>
      </c>
      <c r="L128" s="16" t="s">
        <v>126</v>
      </c>
      <c r="M128" s="16" t="s">
        <v>119</v>
      </c>
      <c r="N128" s="27">
        <v>45027.673611111109</v>
      </c>
      <c r="O128" s="27">
        <v>45028.256249999999</v>
      </c>
      <c r="P128" s="16">
        <v>4.7</v>
      </c>
      <c r="Q128" s="16" t="b">
        <f>FALSE()</f>
        <v>0</v>
      </c>
      <c r="R128" s="16" t="b">
        <f>FALSE()</f>
        <v>0</v>
      </c>
      <c r="S128" s="17">
        <f t="shared" si="1"/>
        <v>14</v>
      </c>
      <c r="T128">
        <f>COUNTIF('👤 Customers'!$A:$A, B128)</f>
        <v>1</v>
      </c>
      <c r="U128">
        <f>COUNTIF('🚴 Riders'!A127:A187, C128)</f>
        <v>0</v>
      </c>
      <c r="V128">
        <f>COUNTIF('🏭 Facilities'!A127:A135, D128)</f>
        <v>0</v>
      </c>
    </row>
    <row r="129" spans="1:22">
      <c r="A129" s="18" t="s">
        <v>551</v>
      </c>
      <c r="B129" s="18" t="s">
        <v>409</v>
      </c>
      <c r="C129" s="18" t="s">
        <v>220</v>
      </c>
      <c r="D129" s="18" t="s">
        <v>123</v>
      </c>
      <c r="E129" s="26">
        <v>44940</v>
      </c>
      <c r="F129" s="18" t="s">
        <v>552</v>
      </c>
      <c r="G129" s="18" t="s">
        <v>125</v>
      </c>
      <c r="H129" s="18">
        <v>5.4</v>
      </c>
      <c r="I129" s="18">
        <v>199</v>
      </c>
      <c r="J129" s="18">
        <v>0</v>
      </c>
      <c r="K129" s="18">
        <v>1074.5999999999999</v>
      </c>
      <c r="L129" s="18" t="s">
        <v>207</v>
      </c>
      <c r="M129" s="18" t="s">
        <v>140</v>
      </c>
      <c r="N129" s="28">
        <v>44941.064583333333</v>
      </c>
      <c r="O129" s="28">
        <v>44941.598611111112</v>
      </c>
      <c r="P129" s="20"/>
      <c r="Q129" s="18" t="b">
        <f>TRUE()</f>
        <v>1</v>
      </c>
      <c r="R129" s="18" t="b">
        <f>TRUE()</f>
        <v>1</v>
      </c>
      <c r="S129" s="19">
        <f t="shared" si="1"/>
        <v>12.8</v>
      </c>
      <c r="T129">
        <f>COUNTIF('👤 Customers'!$A:$A, B129)</f>
        <v>1</v>
      </c>
      <c r="U129">
        <f>COUNTIF('🚴 Riders'!A128:A188, C129)</f>
        <v>0</v>
      </c>
      <c r="V129">
        <f>COUNTIF('🏭 Facilities'!A128:A136, D129)</f>
        <v>0</v>
      </c>
    </row>
    <row r="130" spans="1:22">
      <c r="A130" s="16" t="s">
        <v>553</v>
      </c>
      <c r="B130" s="16" t="s">
        <v>554</v>
      </c>
      <c r="C130" s="16" t="s">
        <v>236</v>
      </c>
      <c r="D130" s="16" t="s">
        <v>205</v>
      </c>
      <c r="E130" s="25">
        <v>45152</v>
      </c>
      <c r="F130" s="16" t="s">
        <v>555</v>
      </c>
      <c r="G130" s="16" t="s">
        <v>145</v>
      </c>
      <c r="H130" s="16">
        <v>6.1</v>
      </c>
      <c r="I130" s="16">
        <v>299</v>
      </c>
      <c r="J130" s="16">
        <v>0</v>
      </c>
      <c r="K130" s="16">
        <v>1823.9</v>
      </c>
      <c r="L130" s="16" t="s">
        <v>207</v>
      </c>
      <c r="M130" s="16" t="s">
        <v>119</v>
      </c>
      <c r="N130" s="27">
        <v>45152.976388888892</v>
      </c>
      <c r="O130" s="27">
        <v>45153.794444444444</v>
      </c>
      <c r="P130" s="16">
        <v>2.9</v>
      </c>
      <c r="Q130" s="16" t="b">
        <f>FALSE()</f>
        <v>0</v>
      </c>
      <c r="R130" s="16" t="b">
        <f>FALSE()</f>
        <v>0</v>
      </c>
      <c r="S130" s="17">
        <f t="shared" ref="S130:S193" si="2">IF(OR(N130="",O130=""),"N/A",ROUND(((O130-N130)*24),1))</f>
        <v>19.600000000000001</v>
      </c>
      <c r="T130">
        <f>COUNTIF('👤 Customers'!$A:$A, B130)</f>
        <v>1</v>
      </c>
      <c r="U130">
        <f>COUNTIF('🚴 Riders'!A129:A189, C130)</f>
        <v>0</v>
      </c>
      <c r="V130">
        <f>COUNTIF('🏭 Facilities'!A129:A137, D130)</f>
        <v>0</v>
      </c>
    </row>
    <row r="131" spans="1:22">
      <c r="A131" s="18" t="s">
        <v>556</v>
      </c>
      <c r="B131" s="18" t="s">
        <v>557</v>
      </c>
      <c r="C131" s="18" t="s">
        <v>166</v>
      </c>
      <c r="D131" s="18" t="s">
        <v>184</v>
      </c>
      <c r="E131" s="26">
        <v>44941</v>
      </c>
      <c r="F131" s="18" t="s">
        <v>558</v>
      </c>
      <c r="G131" s="18" t="s">
        <v>132</v>
      </c>
      <c r="H131" s="18">
        <v>2.6</v>
      </c>
      <c r="I131" s="18">
        <v>399</v>
      </c>
      <c r="J131" s="18">
        <v>30</v>
      </c>
      <c r="K131" s="18">
        <v>726.18</v>
      </c>
      <c r="L131" s="18" t="s">
        <v>139</v>
      </c>
      <c r="M131" s="18" t="s">
        <v>119</v>
      </c>
      <c r="N131" s="28">
        <v>44941.981944444444</v>
      </c>
      <c r="O131" s="28">
        <v>44942.729861111111</v>
      </c>
      <c r="P131" s="18">
        <v>4.7</v>
      </c>
      <c r="Q131" s="18" t="b">
        <f>FALSE()</f>
        <v>0</v>
      </c>
      <c r="R131" s="18" t="b">
        <f>FALSE()</f>
        <v>0</v>
      </c>
      <c r="S131" s="19">
        <f t="shared" si="2"/>
        <v>18</v>
      </c>
      <c r="T131">
        <f>COUNTIF('👤 Customers'!$A:$A, B131)</f>
        <v>1</v>
      </c>
      <c r="U131">
        <f>COUNTIF('🚴 Riders'!A130:A190, C131)</f>
        <v>0</v>
      </c>
      <c r="V131">
        <f>COUNTIF('🏭 Facilities'!A130:A138, D131)</f>
        <v>0</v>
      </c>
    </row>
    <row r="132" spans="1:22">
      <c r="A132" s="16" t="s">
        <v>559</v>
      </c>
      <c r="B132" s="16" t="s">
        <v>436</v>
      </c>
      <c r="C132" s="16" t="s">
        <v>188</v>
      </c>
      <c r="D132" s="16" t="s">
        <v>197</v>
      </c>
      <c r="E132" s="25">
        <v>44964</v>
      </c>
      <c r="F132" s="16" t="s">
        <v>560</v>
      </c>
      <c r="G132" s="16" t="s">
        <v>176</v>
      </c>
      <c r="H132" s="16">
        <v>8</v>
      </c>
      <c r="I132" s="16">
        <v>599</v>
      </c>
      <c r="J132" s="16">
        <v>10</v>
      </c>
      <c r="K132" s="16">
        <v>4312.8</v>
      </c>
      <c r="L132" s="16" t="s">
        <v>146</v>
      </c>
      <c r="M132" s="16" t="s">
        <v>140</v>
      </c>
      <c r="N132" s="27">
        <v>44964.881249999999</v>
      </c>
      <c r="O132" s="27">
        <v>44965.21875</v>
      </c>
      <c r="P132" s="20"/>
      <c r="Q132" s="16" t="b">
        <f>FALSE()</f>
        <v>0</v>
      </c>
      <c r="R132" s="16" t="b">
        <f>FALSE()</f>
        <v>0</v>
      </c>
      <c r="S132" s="17">
        <f t="shared" si="2"/>
        <v>8.1</v>
      </c>
      <c r="T132">
        <f>COUNTIF('👤 Customers'!$A:$A, B132)</f>
        <v>1</v>
      </c>
      <c r="U132">
        <f>COUNTIF('🚴 Riders'!A131:A191, C132)</f>
        <v>0</v>
      </c>
      <c r="V132">
        <f>COUNTIF('🏭 Facilities'!A131:A139, D132)</f>
        <v>0</v>
      </c>
    </row>
    <row r="133" spans="1:22">
      <c r="A133" s="18" t="s">
        <v>561</v>
      </c>
      <c r="B133" s="18" t="s">
        <v>562</v>
      </c>
      <c r="C133" s="18" t="s">
        <v>563</v>
      </c>
      <c r="D133" s="18" t="s">
        <v>197</v>
      </c>
      <c r="E133" s="26">
        <v>45086</v>
      </c>
      <c r="F133" s="18" t="s">
        <v>564</v>
      </c>
      <c r="G133" s="18" t="s">
        <v>125</v>
      </c>
      <c r="H133" s="18">
        <v>3.1</v>
      </c>
      <c r="I133" s="18">
        <v>199</v>
      </c>
      <c r="J133" s="18">
        <v>10</v>
      </c>
      <c r="K133" s="18">
        <v>555.21</v>
      </c>
      <c r="L133" s="18" t="s">
        <v>146</v>
      </c>
      <c r="M133" s="18" t="s">
        <v>140</v>
      </c>
      <c r="N133" s="28">
        <v>45086.709027777775</v>
      </c>
      <c r="O133" s="28">
        <v>45087.526388888888</v>
      </c>
      <c r="P133" s="20"/>
      <c r="Q133" s="18" t="b">
        <f>FALSE()</f>
        <v>0</v>
      </c>
      <c r="R133" s="18" t="b">
        <f>TRUE()</f>
        <v>1</v>
      </c>
      <c r="S133" s="19">
        <f t="shared" si="2"/>
        <v>19.600000000000001</v>
      </c>
      <c r="T133">
        <f>COUNTIF('👤 Customers'!$A:$A, B133)</f>
        <v>1</v>
      </c>
      <c r="U133">
        <f>COUNTIF('🚴 Riders'!A132:A192, C133)</f>
        <v>0</v>
      </c>
      <c r="V133">
        <f>COUNTIF('🏭 Facilities'!A132:A140, D133)</f>
        <v>0</v>
      </c>
    </row>
    <row r="134" spans="1:22">
      <c r="A134" s="16" t="s">
        <v>565</v>
      </c>
      <c r="B134" s="16" t="s">
        <v>566</v>
      </c>
      <c r="C134" s="16" t="s">
        <v>413</v>
      </c>
      <c r="D134" s="16" t="s">
        <v>137</v>
      </c>
      <c r="E134" s="25">
        <v>45015</v>
      </c>
      <c r="F134" s="16" t="s">
        <v>567</v>
      </c>
      <c r="G134" s="16" t="s">
        <v>125</v>
      </c>
      <c r="H134" s="16">
        <v>4.5</v>
      </c>
      <c r="I134" s="16">
        <v>199</v>
      </c>
      <c r="J134" s="16">
        <v>10</v>
      </c>
      <c r="K134" s="16">
        <v>805.95</v>
      </c>
      <c r="L134" s="16" t="s">
        <v>126</v>
      </c>
      <c r="M134" s="16" t="s">
        <v>119</v>
      </c>
      <c r="N134" s="27">
        <v>45015.697916666664</v>
      </c>
      <c r="O134" s="27">
        <v>45016.749305555553</v>
      </c>
      <c r="P134" s="16">
        <v>3.9</v>
      </c>
      <c r="Q134" s="16" t="b">
        <f>FALSE()</f>
        <v>0</v>
      </c>
      <c r="R134" s="16" t="b">
        <f>FALSE()</f>
        <v>0</v>
      </c>
      <c r="S134" s="17">
        <f t="shared" si="2"/>
        <v>25.2</v>
      </c>
      <c r="T134">
        <f>COUNTIF('👤 Customers'!$A:$A, B134)</f>
        <v>1</v>
      </c>
      <c r="U134">
        <f>COUNTIF('🚴 Riders'!A133:A193, C134)</f>
        <v>0</v>
      </c>
      <c r="V134">
        <f>COUNTIF('🏭 Facilities'!A133:A141, D134)</f>
        <v>0</v>
      </c>
    </row>
    <row r="135" spans="1:22">
      <c r="A135" s="18" t="s">
        <v>568</v>
      </c>
      <c r="B135" s="18" t="s">
        <v>569</v>
      </c>
      <c r="C135" s="18" t="s">
        <v>300</v>
      </c>
      <c r="D135" s="18" t="s">
        <v>197</v>
      </c>
      <c r="E135" s="26">
        <v>45300</v>
      </c>
      <c r="F135" s="18" t="s">
        <v>570</v>
      </c>
      <c r="G135" s="18" t="s">
        <v>117</v>
      </c>
      <c r="H135" s="18">
        <v>2.6</v>
      </c>
      <c r="I135" s="18">
        <v>149</v>
      </c>
      <c r="J135" s="18">
        <v>0</v>
      </c>
      <c r="K135" s="18">
        <v>387.4</v>
      </c>
      <c r="L135" s="18" t="s">
        <v>126</v>
      </c>
      <c r="M135" s="18" t="s">
        <v>119</v>
      </c>
      <c r="N135" s="28">
        <v>45300.495138888888</v>
      </c>
      <c r="O135" s="28">
        <v>45301.469444444447</v>
      </c>
      <c r="P135" s="18">
        <v>4.8</v>
      </c>
      <c r="Q135" s="18" t="b">
        <f>FALSE()</f>
        <v>0</v>
      </c>
      <c r="R135" s="18" t="b">
        <f>FALSE()</f>
        <v>0</v>
      </c>
      <c r="S135" s="19">
        <f t="shared" si="2"/>
        <v>23.4</v>
      </c>
      <c r="T135">
        <f>COUNTIF('👤 Customers'!$A:$A, B135)</f>
        <v>1</v>
      </c>
      <c r="U135">
        <f>COUNTIF('🚴 Riders'!A134:A194, C135)</f>
        <v>0</v>
      </c>
      <c r="V135">
        <f>COUNTIF('🏭 Facilities'!A134:A142, D135)</f>
        <v>0</v>
      </c>
    </row>
    <row r="136" spans="1:22">
      <c r="A136" s="16" t="s">
        <v>571</v>
      </c>
      <c r="B136" s="16" t="s">
        <v>353</v>
      </c>
      <c r="C136" s="16" t="s">
        <v>114</v>
      </c>
      <c r="D136" s="16" t="s">
        <v>158</v>
      </c>
      <c r="E136" s="25">
        <v>45156</v>
      </c>
      <c r="F136" s="16" t="s">
        <v>572</v>
      </c>
      <c r="G136" s="16" t="s">
        <v>117</v>
      </c>
      <c r="H136" s="16">
        <v>4.2</v>
      </c>
      <c r="I136" s="16">
        <v>149</v>
      </c>
      <c r="J136" s="16">
        <v>0</v>
      </c>
      <c r="K136" s="16">
        <v>625.79999999999995</v>
      </c>
      <c r="L136" s="16" t="s">
        <v>126</v>
      </c>
      <c r="M136" s="16" t="s">
        <v>119</v>
      </c>
      <c r="N136" s="27">
        <v>45157.074999999997</v>
      </c>
      <c r="O136" s="27">
        <v>45158.036111111112</v>
      </c>
      <c r="P136" s="16">
        <v>2.7</v>
      </c>
      <c r="Q136" s="16" t="b">
        <f>FALSE()</f>
        <v>0</v>
      </c>
      <c r="R136" s="16" t="b">
        <f>TRUE()</f>
        <v>1</v>
      </c>
      <c r="S136" s="17">
        <f t="shared" si="2"/>
        <v>23.1</v>
      </c>
      <c r="T136">
        <f>COUNTIF('👤 Customers'!$A:$A, B136)</f>
        <v>1</v>
      </c>
      <c r="U136">
        <f>COUNTIF('🚴 Riders'!A135:A195, C136)</f>
        <v>0</v>
      </c>
      <c r="V136">
        <f>COUNTIF('🏭 Facilities'!A135:A143, D136)</f>
        <v>0</v>
      </c>
    </row>
    <row r="137" spans="1:22">
      <c r="A137" s="18" t="s">
        <v>573</v>
      </c>
      <c r="B137" s="18" t="s">
        <v>574</v>
      </c>
      <c r="C137" s="18" t="s">
        <v>300</v>
      </c>
      <c r="D137" s="18" t="s">
        <v>205</v>
      </c>
      <c r="E137" s="26">
        <v>45588</v>
      </c>
      <c r="F137" s="18" t="s">
        <v>575</v>
      </c>
      <c r="G137" s="18" t="s">
        <v>132</v>
      </c>
      <c r="H137" s="18">
        <v>5.6</v>
      </c>
      <c r="I137" s="18">
        <v>399</v>
      </c>
      <c r="J137" s="18">
        <v>0</v>
      </c>
      <c r="K137" s="18">
        <v>2234.4</v>
      </c>
      <c r="L137" s="18" t="s">
        <v>118</v>
      </c>
      <c r="M137" s="18" t="s">
        <v>119</v>
      </c>
      <c r="N137" s="28">
        <v>45588.918055555558</v>
      </c>
      <c r="O137" s="28">
        <v>45589.947916666664</v>
      </c>
      <c r="P137" s="18">
        <v>3</v>
      </c>
      <c r="Q137" s="18" t="b">
        <f>FALSE()</f>
        <v>0</v>
      </c>
      <c r="R137" s="18" t="b">
        <f>FALSE()</f>
        <v>0</v>
      </c>
      <c r="S137" s="19">
        <f t="shared" si="2"/>
        <v>24.7</v>
      </c>
      <c r="T137">
        <f>COUNTIF('👤 Customers'!$A:$A, B137)</f>
        <v>1</v>
      </c>
      <c r="U137">
        <f>COUNTIF('🚴 Riders'!A136:A196, C137)</f>
        <v>0</v>
      </c>
      <c r="V137">
        <f>COUNTIF('🏭 Facilities'!A136:A144, D137)</f>
        <v>0</v>
      </c>
    </row>
    <row r="138" spans="1:22">
      <c r="A138" s="16" t="s">
        <v>576</v>
      </c>
      <c r="B138" s="16" t="s">
        <v>577</v>
      </c>
      <c r="C138" s="16" t="s">
        <v>283</v>
      </c>
      <c r="D138" s="16" t="s">
        <v>184</v>
      </c>
      <c r="E138" s="25">
        <v>45138</v>
      </c>
      <c r="F138" s="16" t="s">
        <v>578</v>
      </c>
      <c r="G138" s="16" t="s">
        <v>145</v>
      </c>
      <c r="H138" s="16">
        <v>5.8</v>
      </c>
      <c r="I138" s="16">
        <v>299</v>
      </c>
      <c r="J138" s="16">
        <v>0</v>
      </c>
      <c r="K138" s="16">
        <v>1734.2</v>
      </c>
      <c r="L138" s="16" t="s">
        <v>207</v>
      </c>
      <c r="M138" s="16" t="s">
        <v>119</v>
      </c>
      <c r="N138" s="27">
        <v>45138.254166666666</v>
      </c>
      <c r="O138" s="27">
        <v>45139.152777777781</v>
      </c>
      <c r="P138" s="16">
        <v>2.8</v>
      </c>
      <c r="Q138" s="16" t="b">
        <f>FALSE()</f>
        <v>0</v>
      </c>
      <c r="R138" s="16" t="b">
        <f>FALSE()</f>
        <v>0</v>
      </c>
      <c r="S138" s="17">
        <f t="shared" si="2"/>
        <v>21.6</v>
      </c>
      <c r="T138">
        <f>COUNTIF('👤 Customers'!$A:$A, B138)</f>
        <v>1</v>
      </c>
      <c r="U138">
        <f>COUNTIF('🚴 Riders'!A137:A197, C138)</f>
        <v>0</v>
      </c>
      <c r="V138">
        <f>COUNTIF('🏭 Facilities'!A137:A145, D138)</f>
        <v>0</v>
      </c>
    </row>
    <row r="139" spans="1:22">
      <c r="A139" s="18" t="s">
        <v>579</v>
      </c>
      <c r="B139" s="18" t="s">
        <v>191</v>
      </c>
      <c r="C139" s="18" t="s">
        <v>580</v>
      </c>
      <c r="D139" s="18" t="s">
        <v>137</v>
      </c>
      <c r="E139" s="26">
        <v>45368</v>
      </c>
      <c r="F139" s="18" t="s">
        <v>581</v>
      </c>
      <c r="G139" s="18" t="s">
        <v>145</v>
      </c>
      <c r="H139" s="18">
        <v>2.2999999999999998</v>
      </c>
      <c r="I139" s="18">
        <v>299</v>
      </c>
      <c r="J139" s="18">
        <v>0</v>
      </c>
      <c r="K139" s="18">
        <v>687.7</v>
      </c>
      <c r="L139" s="18" t="s">
        <v>139</v>
      </c>
      <c r="M139" s="18" t="s">
        <v>119</v>
      </c>
      <c r="N139" s="28">
        <v>45369.020833333336</v>
      </c>
      <c r="O139" s="28">
        <v>45370.033333333333</v>
      </c>
      <c r="P139" s="18">
        <v>4.8</v>
      </c>
      <c r="Q139" s="18" t="b">
        <f>TRUE()</f>
        <v>1</v>
      </c>
      <c r="R139" s="18" t="b">
        <f>FALSE()</f>
        <v>0</v>
      </c>
      <c r="S139" s="19">
        <f t="shared" si="2"/>
        <v>24.3</v>
      </c>
      <c r="T139">
        <f>COUNTIF('👤 Customers'!$A:$A, B139)</f>
        <v>1</v>
      </c>
      <c r="U139">
        <f>COUNTIF('🚴 Riders'!A138:A198, C139)</f>
        <v>0</v>
      </c>
      <c r="V139">
        <f>COUNTIF('🏭 Facilities'!A138:A146, D139)</f>
        <v>0</v>
      </c>
    </row>
    <row r="140" spans="1:22">
      <c r="A140" s="16" t="s">
        <v>582</v>
      </c>
      <c r="B140" s="16" t="s">
        <v>583</v>
      </c>
      <c r="C140" s="16" t="s">
        <v>483</v>
      </c>
      <c r="D140" s="16" t="s">
        <v>130</v>
      </c>
      <c r="E140" s="25">
        <v>44962</v>
      </c>
      <c r="F140" s="16" t="s">
        <v>584</v>
      </c>
      <c r="G140" s="16" t="s">
        <v>125</v>
      </c>
      <c r="H140" s="16">
        <v>2.8</v>
      </c>
      <c r="I140" s="16">
        <v>199</v>
      </c>
      <c r="J140" s="16">
        <v>0</v>
      </c>
      <c r="K140" s="16">
        <v>557.20000000000005</v>
      </c>
      <c r="L140" s="16" t="s">
        <v>118</v>
      </c>
      <c r="M140" s="16" t="s">
        <v>140</v>
      </c>
      <c r="N140" s="27">
        <v>44962.854861111111</v>
      </c>
      <c r="O140" s="27">
        <v>44963.602083333331</v>
      </c>
      <c r="P140" s="20"/>
      <c r="Q140" s="16" t="b">
        <f>FALSE()</f>
        <v>0</v>
      </c>
      <c r="R140" s="16" t="b">
        <f>FALSE()</f>
        <v>0</v>
      </c>
      <c r="S140" s="17">
        <f t="shared" si="2"/>
        <v>17.899999999999999</v>
      </c>
      <c r="T140">
        <f>COUNTIF('👤 Customers'!$A:$A, B140)</f>
        <v>1</v>
      </c>
      <c r="U140">
        <f>COUNTIF('🚴 Riders'!A139:A199, C140)</f>
        <v>0</v>
      </c>
      <c r="V140">
        <f>COUNTIF('🏭 Facilities'!A139:A147, D140)</f>
        <v>0</v>
      </c>
    </row>
    <row r="141" spans="1:22">
      <c r="A141" s="18" t="s">
        <v>585</v>
      </c>
      <c r="B141" s="18" t="s">
        <v>586</v>
      </c>
      <c r="C141" s="18" t="s">
        <v>240</v>
      </c>
      <c r="D141" s="18" t="s">
        <v>184</v>
      </c>
      <c r="E141" s="26">
        <v>45407</v>
      </c>
      <c r="F141" s="18" t="s">
        <v>587</v>
      </c>
      <c r="G141" s="18" t="s">
        <v>125</v>
      </c>
      <c r="H141" s="18">
        <v>4</v>
      </c>
      <c r="I141" s="18">
        <v>199</v>
      </c>
      <c r="J141" s="18">
        <v>10</v>
      </c>
      <c r="K141" s="18">
        <v>716.4</v>
      </c>
      <c r="L141" s="18" t="s">
        <v>126</v>
      </c>
      <c r="M141" s="18" t="s">
        <v>119</v>
      </c>
      <c r="N141" s="28">
        <v>45407.271527777775</v>
      </c>
      <c r="O141" s="28">
        <v>45408.102083333331</v>
      </c>
      <c r="P141" s="18">
        <v>4.0999999999999996</v>
      </c>
      <c r="Q141" s="18" t="b">
        <f>FALSE()</f>
        <v>0</v>
      </c>
      <c r="R141" s="18" t="b">
        <f>FALSE()</f>
        <v>0</v>
      </c>
      <c r="S141" s="19">
        <f t="shared" si="2"/>
        <v>19.899999999999999</v>
      </c>
      <c r="T141">
        <f>COUNTIF('👤 Customers'!$A:$A, B141)</f>
        <v>1</v>
      </c>
      <c r="U141">
        <f>COUNTIF('🚴 Riders'!A140:A200, C141)</f>
        <v>0</v>
      </c>
      <c r="V141">
        <f>COUNTIF('🏭 Facilities'!A140:A148, D141)</f>
        <v>0</v>
      </c>
    </row>
    <row r="142" spans="1:22">
      <c r="A142" s="16" t="s">
        <v>588</v>
      </c>
      <c r="B142" s="16" t="s">
        <v>589</v>
      </c>
      <c r="C142" s="16" t="s">
        <v>192</v>
      </c>
      <c r="D142" s="16" t="s">
        <v>158</v>
      </c>
      <c r="E142" s="25">
        <v>45588</v>
      </c>
      <c r="F142" s="16" t="s">
        <v>590</v>
      </c>
      <c r="G142" s="16" t="s">
        <v>145</v>
      </c>
      <c r="H142" s="16">
        <v>7.1</v>
      </c>
      <c r="I142" s="16">
        <v>299</v>
      </c>
      <c r="J142" s="16">
        <v>0</v>
      </c>
      <c r="K142" s="16">
        <v>2122.9</v>
      </c>
      <c r="L142" s="16" t="s">
        <v>139</v>
      </c>
      <c r="M142" s="16" t="s">
        <v>119</v>
      </c>
      <c r="N142" s="27">
        <v>45588.73541666667</v>
      </c>
      <c r="O142" s="27">
        <v>45589.29791666667</v>
      </c>
      <c r="P142" s="16">
        <v>4.5</v>
      </c>
      <c r="Q142" s="16" t="b">
        <f>TRUE()</f>
        <v>1</v>
      </c>
      <c r="R142" s="16" t="b">
        <f>FALSE()</f>
        <v>0</v>
      </c>
      <c r="S142" s="17">
        <f t="shared" si="2"/>
        <v>13.5</v>
      </c>
      <c r="T142">
        <f>COUNTIF('👤 Customers'!$A:$A, B142)</f>
        <v>1</v>
      </c>
      <c r="U142">
        <f>COUNTIF('🚴 Riders'!A141:A201, C142)</f>
        <v>0</v>
      </c>
      <c r="V142">
        <f>COUNTIF('🏭 Facilities'!A141:A149, D142)</f>
        <v>0</v>
      </c>
    </row>
    <row r="143" spans="1:22">
      <c r="A143" s="18" t="s">
        <v>591</v>
      </c>
      <c r="B143" s="18" t="s">
        <v>592</v>
      </c>
      <c r="C143" s="18" t="s">
        <v>354</v>
      </c>
      <c r="D143" s="18" t="s">
        <v>158</v>
      </c>
      <c r="E143" s="26">
        <v>45372</v>
      </c>
      <c r="F143" s="18" t="s">
        <v>593</v>
      </c>
      <c r="G143" s="18" t="s">
        <v>145</v>
      </c>
      <c r="H143" s="18">
        <v>1.6</v>
      </c>
      <c r="I143" s="18">
        <v>299</v>
      </c>
      <c r="J143" s="18">
        <v>0</v>
      </c>
      <c r="K143" s="18">
        <v>478.4</v>
      </c>
      <c r="L143" s="18" t="s">
        <v>126</v>
      </c>
      <c r="M143" s="18" t="s">
        <v>119</v>
      </c>
      <c r="N143" s="28">
        <v>45372.127083333333</v>
      </c>
      <c r="O143" s="28">
        <v>45372.84652777778</v>
      </c>
      <c r="P143" s="18">
        <v>3.9</v>
      </c>
      <c r="Q143" s="18" t="b">
        <f>TRUE()</f>
        <v>1</v>
      </c>
      <c r="R143" s="18" t="b">
        <f>TRUE()</f>
        <v>1</v>
      </c>
      <c r="S143" s="19">
        <f t="shared" si="2"/>
        <v>17.3</v>
      </c>
      <c r="T143">
        <f>COUNTIF('👤 Customers'!$A:$A, B143)</f>
        <v>1</v>
      </c>
      <c r="U143">
        <f>COUNTIF('🚴 Riders'!A142:A202, C143)</f>
        <v>0</v>
      </c>
      <c r="V143">
        <f>COUNTIF('🏭 Facilities'!A142:A150, D143)</f>
        <v>0</v>
      </c>
    </row>
    <row r="144" spans="1:22">
      <c r="A144" s="16" t="s">
        <v>594</v>
      </c>
      <c r="B144" s="16" t="s">
        <v>595</v>
      </c>
      <c r="C144" s="16" t="s">
        <v>240</v>
      </c>
      <c r="D144" s="16" t="s">
        <v>184</v>
      </c>
      <c r="E144" s="25">
        <v>45396</v>
      </c>
      <c r="F144" s="16" t="s">
        <v>596</v>
      </c>
      <c r="G144" s="16" t="s">
        <v>176</v>
      </c>
      <c r="H144" s="16">
        <v>5.5</v>
      </c>
      <c r="I144" s="16">
        <v>599</v>
      </c>
      <c r="J144" s="16">
        <v>20</v>
      </c>
      <c r="K144" s="16">
        <v>2635.6</v>
      </c>
      <c r="L144" s="16" t="s">
        <v>207</v>
      </c>
      <c r="M144" s="16" t="s">
        <v>133</v>
      </c>
      <c r="N144" s="20"/>
      <c r="O144" s="20"/>
      <c r="P144" s="20"/>
      <c r="Q144" s="16" t="b">
        <f>FALSE()</f>
        <v>0</v>
      </c>
      <c r="R144" s="16" t="b">
        <f>FALSE()</f>
        <v>0</v>
      </c>
      <c r="S144" s="17" t="str">
        <f t="shared" si="2"/>
        <v>N/A</v>
      </c>
      <c r="T144">
        <f>COUNTIF('👤 Customers'!$A:$A, B144)</f>
        <v>1</v>
      </c>
      <c r="U144">
        <f>COUNTIF('🚴 Riders'!A143:A203, C144)</f>
        <v>0</v>
      </c>
      <c r="V144">
        <f>COUNTIF('🏭 Facilities'!A143:A151, D144)</f>
        <v>0</v>
      </c>
    </row>
    <row r="145" spans="1:22">
      <c r="A145" s="18" t="s">
        <v>597</v>
      </c>
      <c r="B145" s="18" t="s">
        <v>598</v>
      </c>
      <c r="C145" s="18" t="s">
        <v>304</v>
      </c>
      <c r="D145" s="18" t="s">
        <v>205</v>
      </c>
      <c r="E145" s="26">
        <v>45523</v>
      </c>
      <c r="F145" s="18" t="s">
        <v>599</v>
      </c>
      <c r="G145" s="18" t="s">
        <v>176</v>
      </c>
      <c r="H145" s="18">
        <v>5.2</v>
      </c>
      <c r="I145" s="18">
        <v>599</v>
      </c>
      <c r="J145" s="18">
        <v>10</v>
      </c>
      <c r="K145" s="18">
        <v>2803.32</v>
      </c>
      <c r="L145" s="18" t="s">
        <v>118</v>
      </c>
      <c r="M145" s="18" t="s">
        <v>119</v>
      </c>
      <c r="N145" s="28">
        <v>45523.195138888892</v>
      </c>
      <c r="O145" s="28">
        <v>45523.635416666664</v>
      </c>
      <c r="P145" s="18">
        <v>4.5999999999999996</v>
      </c>
      <c r="Q145" s="18" t="b">
        <f>FALSE()</f>
        <v>0</v>
      </c>
      <c r="R145" s="18" t="b">
        <f>FALSE()</f>
        <v>0</v>
      </c>
      <c r="S145" s="19">
        <f t="shared" si="2"/>
        <v>10.6</v>
      </c>
      <c r="T145">
        <f>COUNTIF('👤 Customers'!$A:$A, B145)</f>
        <v>1</v>
      </c>
      <c r="U145">
        <f>COUNTIF('🚴 Riders'!A144:A204, C145)</f>
        <v>0</v>
      </c>
      <c r="V145">
        <f>COUNTIF('🏭 Facilities'!A144:A152, D145)</f>
        <v>0</v>
      </c>
    </row>
    <row r="146" spans="1:22">
      <c r="A146" s="16" t="s">
        <v>600</v>
      </c>
      <c r="B146" s="16" t="s">
        <v>566</v>
      </c>
      <c r="C146" s="16" t="s">
        <v>228</v>
      </c>
      <c r="D146" s="16" t="s">
        <v>123</v>
      </c>
      <c r="E146" s="25">
        <v>45332</v>
      </c>
      <c r="F146" s="16" t="s">
        <v>601</v>
      </c>
      <c r="G146" s="16" t="s">
        <v>117</v>
      </c>
      <c r="H146" s="16">
        <v>5.9</v>
      </c>
      <c r="I146" s="16">
        <v>149</v>
      </c>
      <c r="J146" s="16">
        <v>0</v>
      </c>
      <c r="K146" s="16">
        <v>879.1</v>
      </c>
      <c r="L146" s="16" t="s">
        <v>146</v>
      </c>
      <c r="M146" s="16" t="s">
        <v>119</v>
      </c>
      <c r="N146" s="27">
        <v>45332.529861111114</v>
      </c>
      <c r="O146" s="27">
        <v>45333.5</v>
      </c>
      <c r="P146" s="16">
        <v>3</v>
      </c>
      <c r="Q146" s="16" t="b">
        <f>TRUE()</f>
        <v>1</v>
      </c>
      <c r="R146" s="16" t="b">
        <f>FALSE()</f>
        <v>0</v>
      </c>
      <c r="S146" s="17">
        <f t="shared" si="2"/>
        <v>23.3</v>
      </c>
      <c r="T146">
        <f>COUNTIF('👤 Customers'!$A:$A, B146)</f>
        <v>1</v>
      </c>
      <c r="U146">
        <f>COUNTIF('🚴 Riders'!A145:A205, C146)</f>
        <v>0</v>
      </c>
      <c r="V146">
        <f>COUNTIF('🏭 Facilities'!A145:A153, D146)</f>
        <v>0</v>
      </c>
    </row>
    <row r="147" spans="1:22">
      <c r="A147" s="18" t="s">
        <v>602</v>
      </c>
      <c r="B147" s="18" t="s">
        <v>513</v>
      </c>
      <c r="C147" s="18" t="s">
        <v>257</v>
      </c>
      <c r="D147" s="18" t="s">
        <v>197</v>
      </c>
      <c r="E147" s="26">
        <v>45094</v>
      </c>
      <c r="F147" s="18" t="s">
        <v>603</v>
      </c>
      <c r="G147" s="18" t="s">
        <v>145</v>
      </c>
      <c r="H147" s="18">
        <v>6.8</v>
      </c>
      <c r="I147" s="18">
        <v>299</v>
      </c>
      <c r="J147" s="18">
        <v>0</v>
      </c>
      <c r="K147" s="18">
        <v>2033.2</v>
      </c>
      <c r="L147" s="18" t="s">
        <v>139</v>
      </c>
      <c r="M147" s="18" t="s">
        <v>119</v>
      </c>
      <c r="N147" s="28">
        <v>45094.489583333336</v>
      </c>
      <c r="O147" s="28">
        <v>45095.169444444444</v>
      </c>
      <c r="P147" s="18">
        <v>3.6</v>
      </c>
      <c r="Q147" s="18" t="b">
        <f>FALSE()</f>
        <v>0</v>
      </c>
      <c r="R147" s="18" t="b">
        <f>FALSE()</f>
        <v>0</v>
      </c>
      <c r="S147" s="19">
        <f t="shared" si="2"/>
        <v>16.3</v>
      </c>
      <c r="T147">
        <f>COUNTIF('👤 Customers'!$A:$A, B147)</f>
        <v>1</v>
      </c>
      <c r="U147">
        <f>COUNTIF('🚴 Riders'!A146:A206, C147)</f>
        <v>0</v>
      </c>
      <c r="V147">
        <f>COUNTIF('🏭 Facilities'!A146:A154, D147)</f>
        <v>0</v>
      </c>
    </row>
    <row r="148" spans="1:22">
      <c r="A148" s="16" t="s">
        <v>604</v>
      </c>
      <c r="B148" s="16" t="s">
        <v>605</v>
      </c>
      <c r="C148" s="16" t="s">
        <v>170</v>
      </c>
      <c r="D148" s="16" t="s">
        <v>137</v>
      </c>
      <c r="E148" s="25">
        <v>45314</v>
      </c>
      <c r="F148" s="16" t="s">
        <v>606</v>
      </c>
      <c r="G148" s="16" t="s">
        <v>125</v>
      </c>
      <c r="H148" s="16">
        <v>4.7</v>
      </c>
      <c r="I148" s="16">
        <v>199</v>
      </c>
      <c r="J148" s="16">
        <v>0</v>
      </c>
      <c r="K148" s="16">
        <v>935.3</v>
      </c>
      <c r="L148" s="16" t="s">
        <v>146</v>
      </c>
      <c r="M148" s="16" t="s">
        <v>119</v>
      </c>
      <c r="N148" s="27">
        <v>45314.594444444447</v>
      </c>
      <c r="O148" s="27">
        <v>45315.290972222225</v>
      </c>
      <c r="P148" s="16">
        <v>2.9</v>
      </c>
      <c r="Q148" s="16" t="b">
        <f>FALSE()</f>
        <v>0</v>
      </c>
      <c r="R148" s="16" t="b">
        <f>TRUE()</f>
        <v>1</v>
      </c>
      <c r="S148" s="17">
        <f t="shared" si="2"/>
        <v>16.7</v>
      </c>
      <c r="T148">
        <f>COUNTIF('👤 Customers'!$A:$A, B148)</f>
        <v>1</v>
      </c>
      <c r="U148">
        <f>COUNTIF('🚴 Riders'!A147:A207, C148)</f>
        <v>0</v>
      </c>
      <c r="V148">
        <f>COUNTIF('🏭 Facilities'!A147:A155, D148)</f>
        <v>0</v>
      </c>
    </row>
    <row r="149" spans="1:22">
      <c r="A149" s="18" t="s">
        <v>607</v>
      </c>
      <c r="B149" s="18" t="s">
        <v>469</v>
      </c>
      <c r="C149" s="18" t="s">
        <v>153</v>
      </c>
      <c r="D149" s="18" t="s">
        <v>158</v>
      </c>
      <c r="E149" s="26">
        <v>45437</v>
      </c>
      <c r="F149" s="18" t="s">
        <v>608</v>
      </c>
      <c r="G149" s="18" t="s">
        <v>176</v>
      </c>
      <c r="H149" s="18">
        <v>5.2</v>
      </c>
      <c r="I149" s="18">
        <v>599</v>
      </c>
      <c r="J149" s="18">
        <v>0</v>
      </c>
      <c r="K149" s="18">
        <v>3114.8</v>
      </c>
      <c r="L149" s="18" t="s">
        <v>118</v>
      </c>
      <c r="M149" s="18" t="s">
        <v>119</v>
      </c>
      <c r="N149" s="28">
        <v>45437.793749999997</v>
      </c>
      <c r="O149" s="28">
        <v>45438.6</v>
      </c>
      <c r="P149" s="18">
        <v>4.9000000000000004</v>
      </c>
      <c r="Q149" s="18" t="b">
        <f>FALSE()</f>
        <v>0</v>
      </c>
      <c r="R149" s="18" t="b">
        <f>TRUE()</f>
        <v>1</v>
      </c>
      <c r="S149" s="19">
        <f t="shared" si="2"/>
        <v>19.399999999999999</v>
      </c>
      <c r="T149">
        <f>COUNTIF('👤 Customers'!$A:$A, B149)</f>
        <v>1</v>
      </c>
      <c r="U149">
        <f>COUNTIF('🚴 Riders'!A148:A208, C149)</f>
        <v>0</v>
      </c>
      <c r="V149">
        <f>COUNTIF('🏭 Facilities'!A148:A156, D149)</f>
        <v>0</v>
      </c>
    </row>
    <row r="150" spans="1:22">
      <c r="A150" s="16" t="s">
        <v>609</v>
      </c>
      <c r="B150" s="16" t="s">
        <v>610</v>
      </c>
      <c r="C150" s="16" t="s">
        <v>611</v>
      </c>
      <c r="D150" s="16" t="s">
        <v>130</v>
      </c>
      <c r="E150" s="25">
        <v>45247</v>
      </c>
      <c r="F150" s="16" t="s">
        <v>612</v>
      </c>
      <c r="G150" s="16" t="s">
        <v>176</v>
      </c>
      <c r="H150" s="16">
        <v>5.9</v>
      </c>
      <c r="I150" s="16">
        <v>599</v>
      </c>
      <c r="J150" s="16">
        <v>10</v>
      </c>
      <c r="K150" s="16">
        <v>3180.69</v>
      </c>
      <c r="L150" s="16" t="s">
        <v>207</v>
      </c>
      <c r="M150" s="16" t="s">
        <v>119</v>
      </c>
      <c r="N150" s="27">
        <v>45247.732638888891</v>
      </c>
      <c r="O150" s="27">
        <v>45248.461111111108</v>
      </c>
      <c r="P150" s="16">
        <v>3</v>
      </c>
      <c r="Q150" s="16" t="b">
        <f>FALSE()</f>
        <v>0</v>
      </c>
      <c r="R150" s="16" t="b">
        <f>FALSE()</f>
        <v>0</v>
      </c>
      <c r="S150" s="17">
        <f t="shared" si="2"/>
        <v>17.5</v>
      </c>
      <c r="T150">
        <f>COUNTIF('👤 Customers'!$A:$A, B150)</f>
        <v>1</v>
      </c>
      <c r="U150">
        <f>COUNTIF('🚴 Riders'!A149:A209, C150)</f>
        <v>0</v>
      </c>
      <c r="V150">
        <f>COUNTIF('🏭 Facilities'!A149:A157, D150)</f>
        <v>0</v>
      </c>
    </row>
    <row r="151" spans="1:22">
      <c r="A151" s="18" t="s">
        <v>613</v>
      </c>
      <c r="B151" s="18" t="s">
        <v>614</v>
      </c>
      <c r="C151" s="18" t="s">
        <v>196</v>
      </c>
      <c r="D151" s="18" t="s">
        <v>205</v>
      </c>
      <c r="E151" s="26">
        <v>45642</v>
      </c>
      <c r="F151" s="18" t="s">
        <v>615</v>
      </c>
      <c r="G151" s="18" t="s">
        <v>132</v>
      </c>
      <c r="H151" s="18">
        <v>7.9</v>
      </c>
      <c r="I151" s="18">
        <v>399</v>
      </c>
      <c r="J151" s="18">
        <v>10</v>
      </c>
      <c r="K151" s="18">
        <v>2836.89</v>
      </c>
      <c r="L151" s="18" t="s">
        <v>146</v>
      </c>
      <c r="M151" s="18" t="s">
        <v>119</v>
      </c>
      <c r="N151" s="28">
        <v>45642.604861111111</v>
      </c>
      <c r="O151" s="28">
        <v>45643.443749999999</v>
      </c>
      <c r="P151" s="18">
        <v>3.7</v>
      </c>
      <c r="Q151" s="18" t="b">
        <f>FALSE()</f>
        <v>0</v>
      </c>
      <c r="R151" s="18" t="b">
        <f>FALSE()</f>
        <v>0</v>
      </c>
      <c r="S151" s="19">
        <f t="shared" si="2"/>
        <v>20.100000000000001</v>
      </c>
      <c r="T151">
        <f>COUNTIF('👤 Customers'!$A:$A, B151)</f>
        <v>1</v>
      </c>
      <c r="U151">
        <f>COUNTIF('🚴 Riders'!A150:A210, C151)</f>
        <v>0</v>
      </c>
      <c r="V151">
        <f>COUNTIF('🏭 Facilities'!A150:A158, D151)</f>
        <v>0</v>
      </c>
    </row>
    <row r="152" spans="1:22">
      <c r="A152" s="16" t="s">
        <v>616</v>
      </c>
      <c r="B152" s="16" t="s">
        <v>617</v>
      </c>
      <c r="C152" s="16" t="s">
        <v>174</v>
      </c>
      <c r="D152" s="16" t="s">
        <v>130</v>
      </c>
      <c r="E152" s="25">
        <v>45251</v>
      </c>
      <c r="F152" s="16" t="s">
        <v>618</v>
      </c>
      <c r="G152" s="16" t="s">
        <v>176</v>
      </c>
      <c r="H152" s="16">
        <v>3</v>
      </c>
      <c r="I152" s="16">
        <v>599</v>
      </c>
      <c r="J152" s="16">
        <v>20</v>
      </c>
      <c r="K152" s="16">
        <v>1437.6</v>
      </c>
      <c r="L152" s="16" t="s">
        <v>118</v>
      </c>
      <c r="M152" s="16" t="s">
        <v>119</v>
      </c>
      <c r="N152" s="27">
        <v>45251.361111111109</v>
      </c>
      <c r="O152" s="27">
        <v>45251.684027777781</v>
      </c>
      <c r="P152" s="16">
        <v>4.4000000000000004</v>
      </c>
      <c r="Q152" s="16" t="b">
        <f>FALSE()</f>
        <v>0</v>
      </c>
      <c r="R152" s="16" t="b">
        <f>FALSE()</f>
        <v>0</v>
      </c>
      <c r="S152" s="17">
        <f t="shared" si="2"/>
        <v>7.8</v>
      </c>
      <c r="T152">
        <f>COUNTIF('👤 Customers'!$A:$A, B152)</f>
        <v>1</v>
      </c>
      <c r="U152">
        <f>COUNTIF('🚴 Riders'!A151:A211, C152)</f>
        <v>0</v>
      </c>
      <c r="V152">
        <f>COUNTIF('🏭 Facilities'!A151:A159, D152)</f>
        <v>0</v>
      </c>
    </row>
    <row r="153" spans="1:22">
      <c r="A153" s="18" t="s">
        <v>619</v>
      </c>
      <c r="B153" s="18" t="s">
        <v>620</v>
      </c>
      <c r="C153" s="18" t="s">
        <v>228</v>
      </c>
      <c r="D153" s="18" t="s">
        <v>130</v>
      </c>
      <c r="E153" s="26">
        <v>45121</v>
      </c>
      <c r="F153" s="18" t="s">
        <v>621</v>
      </c>
      <c r="G153" s="18" t="s">
        <v>132</v>
      </c>
      <c r="H153" s="18">
        <v>6.9</v>
      </c>
      <c r="I153" s="18">
        <v>399</v>
      </c>
      <c r="J153" s="18">
        <v>10</v>
      </c>
      <c r="K153" s="18">
        <v>2477.79</v>
      </c>
      <c r="L153" s="18" t="s">
        <v>146</v>
      </c>
      <c r="M153" s="18" t="s">
        <v>119</v>
      </c>
      <c r="N153" s="28">
        <v>45121.666666666664</v>
      </c>
      <c r="O153" s="28">
        <v>45122.394444444442</v>
      </c>
      <c r="P153" s="18">
        <v>3.5</v>
      </c>
      <c r="Q153" s="18" t="b">
        <f>FALSE()</f>
        <v>0</v>
      </c>
      <c r="R153" s="18" t="b">
        <f>FALSE()</f>
        <v>0</v>
      </c>
      <c r="S153" s="19">
        <f t="shared" si="2"/>
        <v>17.5</v>
      </c>
      <c r="T153">
        <f>COUNTIF('👤 Customers'!$A:$A, B153)</f>
        <v>1</v>
      </c>
      <c r="U153">
        <f>COUNTIF('🚴 Riders'!A152:A212, C153)</f>
        <v>0</v>
      </c>
      <c r="V153">
        <f>COUNTIF('🏭 Facilities'!A152:A160, D153)</f>
        <v>0</v>
      </c>
    </row>
    <row r="154" spans="1:22">
      <c r="A154" s="16" t="s">
        <v>622</v>
      </c>
      <c r="B154" s="16" t="s">
        <v>623</v>
      </c>
      <c r="C154" s="16" t="s">
        <v>136</v>
      </c>
      <c r="D154" s="16" t="s">
        <v>184</v>
      </c>
      <c r="E154" s="25">
        <v>45467</v>
      </c>
      <c r="F154" s="16" t="s">
        <v>624</v>
      </c>
      <c r="G154" s="16" t="s">
        <v>117</v>
      </c>
      <c r="H154" s="16">
        <v>5.9</v>
      </c>
      <c r="I154" s="16">
        <v>149</v>
      </c>
      <c r="J154" s="16">
        <v>0</v>
      </c>
      <c r="K154" s="16">
        <v>879.1</v>
      </c>
      <c r="L154" s="16" t="s">
        <v>126</v>
      </c>
      <c r="M154" s="16" t="s">
        <v>119</v>
      </c>
      <c r="N154" s="27">
        <v>45467.775694444441</v>
      </c>
      <c r="O154" s="27">
        <v>45468.866666666669</v>
      </c>
      <c r="P154" s="16">
        <v>4.4000000000000004</v>
      </c>
      <c r="Q154" s="16" t="b">
        <f>FALSE()</f>
        <v>0</v>
      </c>
      <c r="R154" s="16" t="b">
        <f>FALSE()</f>
        <v>0</v>
      </c>
      <c r="S154" s="17">
        <f t="shared" si="2"/>
        <v>26.2</v>
      </c>
      <c r="T154">
        <f>COUNTIF('👤 Customers'!$A:$A, B154)</f>
        <v>1</v>
      </c>
      <c r="U154">
        <f>COUNTIF('🚴 Riders'!A153:A213, C154)</f>
        <v>0</v>
      </c>
      <c r="V154">
        <f>COUNTIF('🏭 Facilities'!A153:A161, D154)</f>
        <v>0</v>
      </c>
    </row>
    <row r="155" spans="1:22">
      <c r="A155" s="18" t="s">
        <v>625</v>
      </c>
      <c r="B155" s="18" t="s">
        <v>235</v>
      </c>
      <c r="C155" s="18" t="s">
        <v>287</v>
      </c>
      <c r="D155" s="18" t="s">
        <v>130</v>
      </c>
      <c r="E155" s="26">
        <v>45595</v>
      </c>
      <c r="F155" s="18" t="s">
        <v>626</v>
      </c>
      <c r="G155" s="18" t="s">
        <v>145</v>
      </c>
      <c r="H155" s="18">
        <v>6.8</v>
      </c>
      <c r="I155" s="18">
        <v>299</v>
      </c>
      <c r="J155" s="18">
        <v>20</v>
      </c>
      <c r="K155" s="18">
        <v>1626.56</v>
      </c>
      <c r="L155" s="18" t="s">
        <v>207</v>
      </c>
      <c r="M155" s="18" t="s">
        <v>140</v>
      </c>
      <c r="N155" s="28">
        <v>45595.451388888891</v>
      </c>
      <c r="O155" s="28">
        <v>45596.067361111112</v>
      </c>
      <c r="P155" s="20"/>
      <c r="Q155" s="18" t="b">
        <f>FALSE()</f>
        <v>0</v>
      </c>
      <c r="R155" s="18" t="b">
        <f>TRUE()</f>
        <v>1</v>
      </c>
      <c r="S155" s="19">
        <f t="shared" si="2"/>
        <v>14.8</v>
      </c>
      <c r="T155">
        <f>COUNTIF('👤 Customers'!$A:$A, B155)</f>
        <v>1</v>
      </c>
      <c r="U155">
        <f>COUNTIF('🚴 Riders'!A154:A214, C155)</f>
        <v>0</v>
      </c>
      <c r="V155">
        <f>COUNTIF('🏭 Facilities'!A154:A162, D155)</f>
        <v>0</v>
      </c>
    </row>
    <row r="156" spans="1:22">
      <c r="A156" s="16" t="s">
        <v>627</v>
      </c>
      <c r="B156" s="16" t="s">
        <v>628</v>
      </c>
      <c r="C156" s="16" t="s">
        <v>179</v>
      </c>
      <c r="D156" s="16" t="s">
        <v>137</v>
      </c>
      <c r="E156" s="25">
        <v>45457</v>
      </c>
      <c r="F156" s="16" t="s">
        <v>629</v>
      </c>
      <c r="G156" s="16" t="s">
        <v>125</v>
      </c>
      <c r="H156" s="16">
        <v>2.2999999999999998</v>
      </c>
      <c r="I156" s="16">
        <v>199</v>
      </c>
      <c r="J156" s="16">
        <v>0</v>
      </c>
      <c r="K156" s="16">
        <v>457.7</v>
      </c>
      <c r="L156" s="16" t="s">
        <v>146</v>
      </c>
      <c r="M156" s="16" t="s">
        <v>133</v>
      </c>
      <c r="N156" s="20"/>
      <c r="O156" s="20"/>
      <c r="P156" s="20"/>
      <c r="Q156" s="16" t="b">
        <f>FALSE()</f>
        <v>0</v>
      </c>
      <c r="R156" s="16" t="b">
        <f>TRUE()</f>
        <v>1</v>
      </c>
      <c r="S156" s="17" t="str">
        <f t="shared" si="2"/>
        <v>N/A</v>
      </c>
      <c r="T156">
        <f>COUNTIF('👤 Customers'!$A:$A, B156)</f>
        <v>1</v>
      </c>
      <c r="U156">
        <f>COUNTIF('🚴 Riders'!A155:A215, C156)</f>
        <v>0</v>
      </c>
      <c r="V156">
        <f>COUNTIF('🏭 Facilities'!A155:A163, D156)</f>
        <v>0</v>
      </c>
    </row>
    <row r="157" spans="1:22">
      <c r="A157" s="18" t="s">
        <v>630</v>
      </c>
      <c r="B157" s="18" t="s">
        <v>631</v>
      </c>
      <c r="C157" s="18" t="s">
        <v>261</v>
      </c>
      <c r="D157" s="18" t="s">
        <v>115</v>
      </c>
      <c r="E157" s="26">
        <v>45289</v>
      </c>
      <c r="F157" s="18" t="s">
        <v>632</v>
      </c>
      <c r="G157" s="18" t="s">
        <v>132</v>
      </c>
      <c r="H157" s="18">
        <v>1.3</v>
      </c>
      <c r="I157" s="18">
        <v>399</v>
      </c>
      <c r="J157" s="18">
        <v>20</v>
      </c>
      <c r="K157" s="18">
        <v>414.96</v>
      </c>
      <c r="L157" s="18" t="s">
        <v>146</v>
      </c>
      <c r="M157" s="18" t="s">
        <v>133</v>
      </c>
      <c r="N157" s="20"/>
      <c r="O157" s="20"/>
      <c r="P157" s="20"/>
      <c r="Q157" s="18" t="b">
        <f>FALSE()</f>
        <v>0</v>
      </c>
      <c r="R157" s="18" t="b">
        <f>TRUE()</f>
        <v>1</v>
      </c>
      <c r="S157" s="19" t="str">
        <f t="shared" si="2"/>
        <v>N/A</v>
      </c>
      <c r="T157">
        <f>COUNTIF('👤 Customers'!$A:$A, B157)</f>
        <v>1</v>
      </c>
      <c r="U157">
        <f>COUNTIF('🚴 Riders'!A156:A216, C157)</f>
        <v>0</v>
      </c>
      <c r="V157">
        <f>COUNTIF('🏭 Facilities'!A156:A164, D157)</f>
        <v>0</v>
      </c>
    </row>
    <row r="158" spans="1:22">
      <c r="A158" s="16" t="s">
        <v>633</v>
      </c>
      <c r="B158" s="16" t="s">
        <v>634</v>
      </c>
      <c r="C158" s="16" t="s">
        <v>354</v>
      </c>
      <c r="D158" s="16" t="s">
        <v>197</v>
      </c>
      <c r="E158" s="25">
        <v>45476</v>
      </c>
      <c r="F158" s="16" t="s">
        <v>635</v>
      </c>
      <c r="G158" s="16" t="s">
        <v>117</v>
      </c>
      <c r="H158" s="16">
        <v>4.7</v>
      </c>
      <c r="I158" s="16">
        <v>149</v>
      </c>
      <c r="J158" s="16">
        <v>30</v>
      </c>
      <c r="K158" s="16">
        <v>490.21</v>
      </c>
      <c r="L158" s="16" t="s">
        <v>118</v>
      </c>
      <c r="M158" s="16" t="s">
        <v>133</v>
      </c>
      <c r="N158" s="20"/>
      <c r="O158" s="20"/>
      <c r="P158" s="20"/>
      <c r="Q158" s="16" t="b">
        <f>FALSE()</f>
        <v>0</v>
      </c>
      <c r="R158" s="16" t="b">
        <f>FALSE()</f>
        <v>0</v>
      </c>
      <c r="S158" s="17" t="str">
        <f t="shared" si="2"/>
        <v>N/A</v>
      </c>
      <c r="T158">
        <f>COUNTIF('👤 Customers'!$A:$A, B158)</f>
        <v>1</v>
      </c>
      <c r="U158">
        <f>COUNTIF('🚴 Riders'!A157:A217, C158)</f>
        <v>0</v>
      </c>
      <c r="V158">
        <f>COUNTIF('🏭 Facilities'!A157:A165, D158)</f>
        <v>0</v>
      </c>
    </row>
    <row r="159" spans="1:22">
      <c r="A159" s="18" t="s">
        <v>636</v>
      </c>
      <c r="B159" s="18" t="s">
        <v>637</v>
      </c>
      <c r="C159" s="18" t="s">
        <v>304</v>
      </c>
      <c r="D159" s="18" t="s">
        <v>197</v>
      </c>
      <c r="E159" s="26">
        <v>45184</v>
      </c>
      <c r="F159" s="18" t="s">
        <v>638</v>
      </c>
      <c r="G159" s="18" t="s">
        <v>117</v>
      </c>
      <c r="H159" s="18">
        <v>3.5</v>
      </c>
      <c r="I159" s="18">
        <v>149</v>
      </c>
      <c r="J159" s="18">
        <v>0</v>
      </c>
      <c r="K159" s="18">
        <v>521.5</v>
      </c>
      <c r="L159" s="18" t="s">
        <v>118</v>
      </c>
      <c r="M159" s="18" t="s">
        <v>133</v>
      </c>
      <c r="N159" s="20"/>
      <c r="O159" s="20"/>
      <c r="P159" s="20"/>
      <c r="Q159" s="18" t="b">
        <f>FALSE()</f>
        <v>0</v>
      </c>
      <c r="R159" s="18" t="b">
        <f>FALSE()</f>
        <v>0</v>
      </c>
      <c r="S159" s="19" t="str">
        <f t="shared" si="2"/>
        <v>N/A</v>
      </c>
      <c r="T159">
        <f>COUNTIF('👤 Customers'!$A:$A, B159)</f>
        <v>1</v>
      </c>
      <c r="U159">
        <f>COUNTIF('🚴 Riders'!A158:A218, C159)</f>
        <v>0</v>
      </c>
      <c r="V159">
        <f>COUNTIF('🏭 Facilities'!A158:A166, D159)</f>
        <v>0</v>
      </c>
    </row>
    <row r="160" spans="1:22">
      <c r="A160" s="16" t="s">
        <v>639</v>
      </c>
      <c r="B160" s="16" t="s">
        <v>640</v>
      </c>
      <c r="C160" s="16" t="s">
        <v>339</v>
      </c>
      <c r="D160" s="16" t="s">
        <v>123</v>
      </c>
      <c r="E160" s="25">
        <v>45403</v>
      </c>
      <c r="F160" s="16" t="s">
        <v>641</v>
      </c>
      <c r="G160" s="16" t="s">
        <v>176</v>
      </c>
      <c r="H160" s="16">
        <v>2.7</v>
      </c>
      <c r="I160" s="16">
        <v>599</v>
      </c>
      <c r="J160" s="16">
        <v>0</v>
      </c>
      <c r="K160" s="16">
        <v>1617.3</v>
      </c>
      <c r="L160" s="16" t="s">
        <v>126</v>
      </c>
      <c r="M160" s="16" t="s">
        <v>119</v>
      </c>
      <c r="N160" s="27">
        <v>45403.752083333333</v>
      </c>
      <c r="O160" s="27">
        <v>45404.65</v>
      </c>
      <c r="P160" s="16">
        <v>4.8</v>
      </c>
      <c r="Q160" s="16" t="b">
        <f>FALSE()</f>
        <v>0</v>
      </c>
      <c r="R160" s="16" t="b">
        <f>FALSE()</f>
        <v>0</v>
      </c>
      <c r="S160" s="17">
        <f t="shared" si="2"/>
        <v>21.6</v>
      </c>
      <c r="T160">
        <f>COUNTIF('👤 Customers'!$A:$A, B160)</f>
        <v>1</v>
      </c>
      <c r="U160">
        <f>COUNTIF('🚴 Riders'!A159:A219, C160)</f>
        <v>0</v>
      </c>
      <c r="V160">
        <f>COUNTIF('🏭 Facilities'!A159:A167, D160)</f>
        <v>0</v>
      </c>
    </row>
    <row r="161" spans="1:22">
      <c r="A161" s="18" t="s">
        <v>642</v>
      </c>
      <c r="B161" s="18" t="s">
        <v>643</v>
      </c>
      <c r="C161" s="18" t="s">
        <v>204</v>
      </c>
      <c r="D161" s="18" t="s">
        <v>184</v>
      </c>
      <c r="E161" s="26">
        <v>45550</v>
      </c>
      <c r="F161" s="18" t="s">
        <v>644</v>
      </c>
      <c r="G161" s="18" t="s">
        <v>176</v>
      </c>
      <c r="H161" s="18">
        <v>4.0999999999999996</v>
      </c>
      <c r="I161" s="18">
        <v>599</v>
      </c>
      <c r="J161" s="18">
        <v>0</v>
      </c>
      <c r="K161" s="18">
        <v>2455.9</v>
      </c>
      <c r="L161" s="18" t="s">
        <v>126</v>
      </c>
      <c r="M161" s="18" t="s">
        <v>140</v>
      </c>
      <c r="N161" s="28">
        <v>45550.614583333336</v>
      </c>
      <c r="O161" s="28">
        <v>45551.370833333334</v>
      </c>
      <c r="P161" s="20"/>
      <c r="Q161" s="18" t="b">
        <f>FALSE()</f>
        <v>0</v>
      </c>
      <c r="R161" s="18" t="b">
        <f>FALSE()</f>
        <v>0</v>
      </c>
      <c r="S161" s="19">
        <f t="shared" si="2"/>
        <v>18.100000000000001</v>
      </c>
      <c r="T161">
        <f>COUNTIF('👤 Customers'!$A:$A, B161)</f>
        <v>1</v>
      </c>
      <c r="U161">
        <f>COUNTIF('🚴 Riders'!A160:A220, C161)</f>
        <v>0</v>
      </c>
      <c r="V161">
        <f>COUNTIF('🏭 Facilities'!A160:A168, D161)</f>
        <v>0</v>
      </c>
    </row>
    <row r="162" spans="1:22">
      <c r="A162" s="16" t="s">
        <v>645</v>
      </c>
      <c r="B162" s="16" t="s">
        <v>646</v>
      </c>
      <c r="C162" s="16" t="s">
        <v>183</v>
      </c>
      <c r="D162" s="16" t="s">
        <v>137</v>
      </c>
      <c r="E162" s="25">
        <v>45092</v>
      </c>
      <c r="F162" s="16" t="s">
        <v>647</v>
      </c>
      <c r="G162" s="16" t="s">
        <v>145</v>
      </c>
      <c r="H162" s="16">
        <v>6.8</v>
      </c>
      <c r="I162" s="16">
        <v>299</v>
      </c>
      <c r="J162" s="16">
        <v>0</v>
      </c>
      <c r="K162" s="16">
        <v>2033.2</v>
      </c>
      <c r="L162" s="16" t="s">
        <v>126</v>
      </c>
      <c r="M162" s="16" t="s">
        <v>140</v>
      </c>
      <c r="N162" s="27">
        <v>45092.726388888892</v>
      </c>
      <c r="O162" s="27">
        <v>45093.61041666667</v>
      </c>
      <c r="P162" s="20"/>
      <c r="Q162" s="16" t="b">
        <f>FALSE()</f>
        <v>0</v>
      </c>
      <c r="R162" s="16" t="b">
        <f>FALSE()</f>
        <v>0</v>
      </c>
      <c r="S162" s="17">
        <f t="shared" si="2"/>
        <v>21.2</v>
      </c>
      <c r="T162">
        <f>COUNTIF('👤 Customers'!$A:$A, B162)</f>
        <v>1</v>
      </c>
      <c r="U162">
        <f>COUNTIF('🚴 Riders'!A161:A221, C162)</f>
        <v>0</v>
      </c>
      <c r="V162">
        <f>COUNTIF('🏭 Facilities'!A161:A169, D162)</f>
        <v>0</v>
      </c>
    </row>
    <row r="163" spans="1:22">
      <c r="A163" s="18" t="s">
        <v>648</v>
      </c>
      <c r="B163" s="18" t="s">
        <v>649</v>
      </c>
      <c r="C163" s="18" t="s">
        <v>188</v>
      </c>
      <c r="D163" s="18" t="s">
        <v>115</v>
      </c>
      <c r="E163" s="26">
        <v>44994</v>
      </c>
      <c r="F163" s="18" t="s">
        <v>650</v>
      </c>
      <c r="G163" s="18" t="s">
        <v>125</v>
      </c>
      <c r="H163" s="18">
        <v>1.4</v>
      </c>
      <c r="I163" s="18">
        <v>199</v>
      </c>
      <c r="J163" s="18">
        <v>10</v>
      </c>
      <c r="K163" s="18">
        <v>250.74</v>
      </c>
      <c r="L163" s="18" t="s">
        <v>139</v>
      </c>
      <c r="M163" s="18" t="s">
        <v>133</v>
      </c>
      <c r="N163" s="20"/>
      <c r="O163" s="20"/>
      <c r="P163" s="20"/>
      <c r="Q163" s="18" t="b">
        <f>FALSE()</f>
        <v>0</v>
      </c>
      <c r="R163" s="18" t="b">
        <f>TRUE()</f>
        <v>1</v>
      </c>
      <c r="S163" s="19" t="str">
        <f t="shared" si="2"/>
        <v>N/A</v>
      </c>
      <c r="T163">
        <f>COUNTIF('👤 Customers'!$A:$A, B163)</f>
        <v>1</v>
      </c>
      <c r="U163">
        <f>COUNTIF('🚴 Riders'!A162:A222, C163)</f>
        <v>0</v>
      </c>
      <c r="V163">
        <f>COUNTIF('🏭 Facilities'!A162:A170, D163)</f>
        <v>0</v>
      </c>
    </row>
    <row r="164" spans="1:22">
      <c r="A164" s="16" t="s">
        <v>651</v>
      </c>
      <c r="B164" s="16" t="s">
        <v>383</v>
      </c>
      <c r="C164" s="16" t="s">
        <v>183</v>
      </c>
      <c r="D164" s="16" t="s">
        <v>205</v>
      </c>
      <c r="E164" s="25">
        <v>45449</v>
      </c>
      <c r="F164" s="16" t="s">
        <v>652</v>
      </c>
      <c r="G164" s="16" t="s">
        <v>125</v>
      </c>
      <c r="H164" s="16">
        <v>4.7</v>
      </c>
      <c r="I164" s="16">
        <v>199</v>
      </c>
      <c r="J164" s="16">
        <v>10</v>
      </c>
      <c r="K164" s="16">
        <v>841.77</v>
      </c>
      <c r="L164" s="16" t="s">
        <v>146</v>
      </c>
      <c r="M164" s="16" t="s">
        <v>133</v>
      </c>
      <c r="N164" s="20"/>
      <c r="O164" s="20"/>
      <c r="P164" s="20"/>
      <c r="Q164" s="16" t="b">
        <f>TRUE()</f>
        <v>1</v>
      </c>
      <c r="R164" s="16" t="b">
        <f>FALSE()</f>
        <v>0</v>
      </c>
      <c r="S164" s="17" t="str">
        <f t="shared" si="2"/>
        <v>N/A</v>
      </c>
      <c r="T164">
        <f>COUNTIF('👤 Customers'!$A:$A, B164)</f>
        <v>1</v>
      </c>
      <c r="U164">
        <f>COUNTIF('🚴 Riders'!A163:A223, C164)</f>
        <v>0</v>
      </c>
      <c r="V164">
        <f>COUNTIF('🏭 Facilities'!A163:A171, D164)</f>
        <v>0</v>
      </c>
    </row>
    <row r="165" spans="1:22">
      <c r="A165" s="18" t="s">
        <v>653</v>
      </c>
      <c r="B165" s="18" t="s">
        <v>654</v>
      </c>
      <c r="C165" s="18" t="s">
        <v>339</v>
      </c>
      <c r="D165" s="18" t="s">
        <v>130</v>
      </c>
      <c r="E165" s="26">
        <v>45161</v>
      </c>
      <c r="F165" s="18" t="s">
        <v>655</v>
      </c>
      <c r="G165" s="18" t="s">
        <v>176</v>
      </c>
      <c r="H165" s="18">
        <v>1.6</v>
      </c>
      <c r="I165" s="18">
        <v>599</v>
      </c>
      <c r="J165" s="18">
        <v>10</v>
      </c>
      <c r="K165" s="18">
        <v>862.56</v>
      </c>
      <c r="L165" s="18" t="s">
        <v>207</v>
      </c>
      <c r="M165" s="18" t="s">
        <v>119</v>
      </c>
      <c r="N165" s="28">
        <v>45161.142361111109</v>
      </c>
      <c r="O165" s="28">
        <v>45162.052777777775</v>
      </c>
      <c r="P165" s="18">
        <v>4.4000000000000004</v>
      </c>
      <c r="Q165" s="18" t="b">
        <f>FALSE()</f>
        <v>0</v>
      </c>
      <c r="R165" s="18" t="b">
        <f>FALSE()</f>
        <v>0</v>
      </c>
      <c r="S165" s="19">
        <f t="shared" si="2"/>
        <v>21.8</v>
      </c>
      <c r="T165">
        <f>COUNTIF('👤 Customers'!$A:$A, B165)</f>
        <v>1</v>
      </c>
      <c r="U165">
        <f>COUNTIF('🚴 Riders'!A164:A224, C165)</f>
        <v>0</v>
      </c>
      <c r="V165">
        <f>COUNTIF('🏭 Facilities'!A164:A172, D165)</f>
        <v>0</v>
      </c>
    </row>
    <row r="166" spans="1:22">
      <c r="A166" s="16" t="s">
        <v>656</v>
      </c>
      <c r="B166" s="16" t="s">
        <v>657</v>
      </c>
      <c r="C166" s="16" t="s">
        <v>136</v>
      </c>
      <c r="D166" s="16" t="s">
        <v>137</v>
      </c>
      <c r="E166" s="25">
        <v>45156</v>
      </c>
      <c r="F166" s="16" t="s">
        <v>658</v>
      </c>
      <c r="G166" s="16" t="s">
        <v>132</v>
      </c>
      <c r="H166" s="16">
        <v>3.1</v>
      </c>
      <c r="I166" s="16">
        <v>399</v>
      </c>
      <c r="J166" s="16">
        <v>20</v>
      </c>
      <c r="K166" s="16">
        <v>989.52</v>
      </c>
      <c r="L166" s="16" t="s">
        <v>126</v>
      </c>
      <c r="M166" s="16" t="s">
        <v>140</v>
      </c>
      <c r="N166" s="27">
        <v>45156.231249999997</v>
      </c>
      <c r="O166" s="27">
        <v>45157.242361111108</v>
      </c>
      <c r="P166" s="20"/>
      <c r="Q166" s="16" t="b">
        <f>TRUE()</f>
        <v>1</v>
      </c>
      <c r="R166" s="16" t="b">
        <f>FALSE()</f>
        <v>0</v>
      </c>
      <c r="S166" s="17">
        <f t="shared" si="2"/>
        <v>24.3</v>
      </c>
      <c r="T166">
        <f>COUNTIF('👤 Customers'!$A:$A, B166)</f>
        <v>1</v>
      </c>
      <c r="U166">
        <f>COUNTIF('🚴 Riders'!A165:A225, C166)</f>
        <v>0</v>
      </c>
      <c r="V166">
        <f>COUNTIF('🏭 Facilities'!A165:A173, D166)</f>
        <v>0</v>
      </c>
    </row>
    <row r="167" spans="1:22">
      <c r="A167" s="18" t="s">
        <v>659</v>
      </c>
      <c r="B167" s="18" t="s">
        <v>660</v>
      </c>
      <c r="C167" s="18" t="s">
        <v>580</v>
      </c>
      <c r="D167" s="18" t="s">
        <v>137</v>
      </c>
      <c r="E167" s="26">
        <v>45233</v>
      </c>
      <c r="F167" s="18" t="s">
        <v>661</v>
      </c>
      <c r="G167" s="18" t="s">
        <v>176</v>
      </c>
      <c r="H167" s="18">
        <v>4.8</v>
      </c>
      <c r="I167" s="18">
        <v>599</v>
      </c>
      <c r="J167" s="18">
        <v>0</v>
      </c>
      <c r="K167" s="18">
        <v>2875.2</v>
      </c>
      <c r="L167" s="18" t="s">
        <v>207</v>
      </c>
      <c r="M167" s="18" t="s">
        <v>119</v>
      </c>
      <c r="N167" s="28">
        <v>45233.222222222219</v>
      </c>
      <c r="O167" s="28">
        <v>45234.220138888886</v>
      </c>
      <c r="P167" s="18">
        <v>3</v>
      </c>
      <c r="Q167" s="18" t="b">
        <f>FALSE()</f>
        <v>0</v>
      </c>
      <c r="R167" s="18" t="b">
        <f>FALSE()</f>
        <v>0</v>
      </c>
      <c r="S167" s="19">
        <f t="shared" si="2"/>
        <v>24</v>
      </c>
      <c r="T167">
        <f>COUNTIF('👤 Customers'!$A:$A, B167)</f>
        <v>1</v>
      </c>
      <c r="U167">
        <f>COUNTIF('🚴 Riders'!A166:A226, C167)</f>
        <v>0</v>
      </c>
      <c r="V167">
        <f>COUNTIF('🏭 Facilities'!A166:A174, D167)</f>
        <v>0</v>
      </c>
    </row>
    <row r="168" spans="1:22">
      <c r="A168" s="16" t="s">
        <v>662</v>
      </c>
      <c r="B168" s="16" t="s">
        <v>293</v>
      </c>
      <c r="C168" s="16" t="s">
        <v>143</v>
      </c>
      <c r="D168" s="16" t="s">
        <v>197</v>
      </c>
      <c r="E168" s="25">
        <v>45016</v>
      </c>
      <c r="F168" s="16" t="s">
        <v>663</v>
      </c>
      <c r="G168" s="16" t="s">
        <v>132</v>
      </c>
      <c r="H168" s="16">
        <v>5.7</v>
      </c>
      <c r="I168" s="16">
        <v>399</v>
      </c>
      <c r="J168" s="16">
        <v>0</v>
      </c>
      <c r="K168" s="16">
        <v>2274.3000000000002</v>
      </c>
      <c r="L168" s="16" t="s">
        <v>118</v>
      </c>
      <c r="M168" s="16" t="s">
        <v>119</v>
      </c>
      <c r="N168" s="27">
        <v>45016.174305555556</v>
      </c>
      <c r="O168" s="27">
        <v>45017.248611111114</v>
      </c>
      <c r="P168" s="16">
        <v>4.2</v>
      </c>
      <c r="Q168" s="16" t="b">
        <f>FALSE()</f>
        <v>0</v>
      </c>
      <c r="R168" s="16" t="b">
        <f>TRUE()</f>
        <v>1</v>
      </c>
      <c r="S168" s="17">
        <f t="shared" si="2"/>
        <v>25.8</v>
      </c>
      <c r="T168">
        <f>COUNTIF('👤 Customers'!$A:$A, B168)</f>
        <v>1</v>
      </c>
      <c r="U168">
        <f>COUNTIF('🚴 Riders'!A167:A227, C168)</f>
        <v>0</v>
      </c>
      <c r="V168">
        <f>COUNTIF('🏭 Facilities'!A167:A175, D168)</f>
        <v>0</v>
      </c>
    </row>
    <row r="169" spans="1:22">
      <c r="A169" s="18" t="s">
        <v>664</v>
      </c>
      <c r="B169" s="18" t="s">
        <v>530</v>
      </c>
      <c r="C169" s="18" t="s">
        <v>232</v>
      </c>
      <c r="D169" s="18" t="s">
        <v>205</v>
      </c>
      <c r="E169" s="26">
        <v>45377</v>
      </c>
      <c r="F169" s="18" t="s">
        <v>665</v>
      </c>
      <c r="G169" s="18" t="s">
        <v>145</v>
      </c>
      <c r="H169" s="18">
        <v>7.7</v>
      </c>
      <c r="I169" s="18">
        <v>299</v>
      </c>
      <c r="J169" s="18">
        <v>0</v>
      </c>
      <c r="K169" s="18">
        <v>2302.3000000000002</v>
      </c>
      <c r="L169" s="18" t="s">
        <v>139</v>
      </c>
      <c r="M169" s="18" t="s">
        <v>140</v>
      </c>
      <c r="N169" s="28">
        <v>45378.077777777777</v>
      </c>
      <c r="O169" s="28">
        <v>45378.496527777781</v>
      </c>
      <c r="P169" s="20"/>
      <c r="Q169" s="18" t="b">
        <f>FALSE()</f>
        <v>0</v>
      </c>
      <c r="R169" s="18" t="b">
        <f>FALSE()</f>
        <v>0</v>
      </c>
      <c r="S169" s="19">
        <f t="shared" si="2"/>
        <v>10.1</v>
      </c>
      <c r="T169">
        <f>COUNTIF('👤 Customers'!$A:$A, B169)</f>
        <v>1</v>
      </c>
      <c r="U169">
        <f>COUNTIF('🚴 Riders'!A168:A228, C169)</f>
        <v>0</v>
      </c>
      <c r="V169">
        <f>COUNTIF('🏭 Facilities'!A168:A176, D169)</f>
        <v>0</v>
      </c>
    </row>
    <row r="170" spans="1:22">
      <c r="A170" s="16" t="s">
        <v>666</v>
      </c>
      <c r="B170" s="16" t="s">
        <v>667</v>
      </c>
      <c r="C170" s="16" t="s">
        <v>192</v>
      </c>
      <c r="D170" s="16" t="s">
        <v>158</v>
      </c>
      <c r="E170" s="25">
        <v>45164</v>
      </c>
      <c r="F170" s="16" t="s">
        <v>668</v>
      </c>
      <c r="G170" s="16" t="s">
        <v>176</v>
      </c>
      <c r="H170" s="16">
        <v>2.1</v>
      </c>
      <c r="I170" s="16">
        <v>599</v>
      </c>
      <c r="J170" s="16">
        <v>0</v>
      </c>
      <c r="K170" s="16">
        <v>1257.9000000000001</v>
      </c>
      <c r="L170" s="16" t="s">
        <v>118</v>
      </c>
      <c r="M170" s="16" t="s">
        <v>119</v>
      </c>
      <c r="N170" s="27">
        <v>45164.585416666669</v>
      </c>
      <c r="O170" s="27">
        <v>45165.029861111114</v>
      </c>
      <c r="P170" s="16">
        <v>4.5999999999999996</v>
      </c>
      <c r="Q170" s="16" t="b">
        <f>TRUE()</f>
        <v>1</v>
      </c>
      <c r="R170" s="16" t="b">
        <f>FALSE()</f>
        <v>0</v>
      </c>
      <c r="S170" s="17">
        <f t="shared" si="2"/>
        <v>10.7</v>
      </c>
      <c r="T170">
        <f>COUNTIF('👤 Customers'!$A:$A, B170)</f>
        <v>1</v>
      </c>
      <c r="U170">
        <f>COUNTIF('🚴 Riders'!A169:A229, C170)</f>
        <v>0</v>
      </c>
      <c r="V170">
        <f>COUNTIF('🏭 Facilities'!A169:A177, D170)</f>
        <v>0</v>
      </c>
    </row>
    <row r="171" spans="1:22">
      <c r="A171" s="18" t="s">
        <v>669</v>
      </c>
      <c r="B171" s="18" t="s">
        <v>670</v>
      </c>
      <c r="C171" s="18" t="s">
        <v>563</v>
      </c>
      <c r="D171" s="18" t="s">
        <v>123</v>
      </c>
      <c r="E171" s="26">
        <v>45608</v>
      </c>
      <c r="F171" s="18" t="s">
        <v>671</v>
      </c>
      <c r="G171" s="18" t="s">
        <v>145</v>
      </c>
      <c r="H171" s="18">
        <v>4.2</v>
      </c>
      <c r="I171" s="18">
        <v>299</v>
      </c>
      <c r="J171" s="18">
        <v>0</v>
      </c>
      <c r="K171" s="18">
        <v>1255.8</v>
      </c>
      <c r="L171" s="18" t="s">
        <v>207</v>
      </c>
      <c r="M171" s="18" t="s">
        <v>119</v>
      </c>
      <c r="N171" s="28">
        <v>45608.965277777781</v>
      </c>
      <c r="O171" s="28">
        <v>45609.392361111109</v>
      </c>
      <c r="P171" s="18">
        <v>4.7</v>
      </c>
      <c r="Q171" s="18" t="b">
        <f>FALSE()</f>
        <v>0</v>
      </c>
      <c r="R171" s="18" t="b">
        <f>FALSE()</f>
        <v>0</v>
      </c>
      <c r="S171" s="19">
        <f t="shared" si="2"/>
        <v>10.199999999999999</v>
      </c>
      <c r="T171">
        <f>COUNTIF('👤 Customers'!$A:$A, B171)</f>
        <v>1</v>
      </c>
      <c r="U171">
        <f>COUNTIF('🚴 Riders'!A170:A230, C171)</f>
        <v>0</v>
      </c>
      <c r="V171">
        <f>COUNTIF('🏭 Facilities'!A170:A178, D171)</f>
        <v>0</v>
      </c>
    </row>
    <row r="172" spans="1:22">
      <c r="A172" s="16" t="s">
        <v>672</v>
      </c>
      <c r="B172" s="16" t="s">
        <v>673</v>
      </c>
      <c r="C172" s="16" t="s">
        <v>220</v>
      </c>
      <c r="D172" s="16" t="s">
        <v>130</v>
      </c>
      <c r="E172" s="25">
        <v>45413</v>
      </c>
      <c r="F172" s="16" t="s">
        <v>674</v>
      </c>
      <c r="G172" s="16" t="s">
        <v>125</v>
      </c>
      <c r="H172" s="16">
        <v>6.1</v>
      </c>
      <c r="I172" s="16">
        <v>199</v>
      </c>
      <c r="J172" s="16">
        <v>20</v>
      </c>
      <c r="K172" s="16">
        <v>971.12</v>
      </c>
      <c r="L172" s="16" t="s">
        <v>126</v>
      </c>
      <c r="M172" s="16" t="s">
        <v>133</v>
      </c>
      <c r="N172" s="20"/>
      <c r="O172" s="20"/>
      <c r="P172" s="20"/>
      <c r="Q172" s="16" t="b">
        <f>FALSE()</f>
        <v>0</v>
      </c>
      <c r="R172" s="16" t="b">
        <f>FALSE()</f>
        <v>0</v>
      </c>
      <c r="S172" s="17" t="str">
        <f t="shared" si="2"/>
        <v>N/A</v>
      </c>
      <c r="T172">
        <f>COUNTIF('👤 Customers'!$A:$A, B172)</f>
        <v>1</v>
      </c>
      <c r="U172">
        <f>COUNTIF('🚴 Riders'!A171:A231, C172)</f>
        <v>0</v>
      </c>
      <c r="V172">
        <f>COUNTIF('🏭 Facilities'!A171:A179, D172)</f>
        <v>0</v>
      </c>
    </row>
    <row r="173" spans="1:22">
      <c r="A173" s="18" t="s">
        <v>675</v>
      </c>
      <c r="B173" s="18" t="s">
        <v>121</v>
      </c>
      <c r="C173" s="18" t="s">
        <v>179</v>
      </c>
      <c r="D173" s="18" t="s">
        <v>115</v>
      </c>
      <c r="E173" s="26">
        <v>45346</v>
      </c>
      <c r="F173" s="18" t="s">
        <v>676</v>
      </c>
      <c r="G173" s="18" t="s">
        <v>145</v>
      </c>
      <c r="H173" s="18">
        <v>5.6</v>
      </c>
      <c r="I173" s="18">
        <v>299</v>
      </c>
      <c r="J173" s="18">
        <v>0</v>
      </c>
      <c r="K173" s="18">
        <v>1674.4</v>
      </c>
      <c r="L173" s="18" t="s">
        <v>146</v>
      </c>
      <c r="M173" s="18" t="s">
        <v>119</v>
      </c>
      <c r="N173" s="28">
        <v>45346.232638888891</v>
      </c>
      <c r="O173" s="28">
        <v>45347.164583333331</v>
      </c>
      <c r="P173" s="18">
        <v>3.8</v>
      </c>
      <c r="Q173" s="18" t="b">
        <f>FALSE()</f>
        <v>0</v>
      </c>
      <c r="R173" s="18" t="b">
        <f>FALSE()</f>
        <v>0</v>
      </c>
      <c r="S173" s="19">
        <f t="shared" si="2"/>
        <v>22.4</v>
      </c>
      <c r="T173">
        <f>COUNTIF('👤 Customers'!$A:$A, B173)</f>
        <v>1</v>
      </c>
      <c r="U173">
        <f>COUNTIF('🚴 Riders'!A172:A232, C173)</f>
        <v>0</v>
      </c>
      <c r="V173">
        <f>COUNTIF('🏭 Facilities'!A172:A180, D173)</f>
        <v>0</v>
      </c>
    </row>
    <row r="174" spans="1:22">
      <c r="A174" s="16" t="s">
        <v>677</v>
      </c>
      <c r="B174" s="16" t="s">
        <v>678</v>
      </c>
      <c r="C174" s="16" t="s">
        <v>536</v>
      </c>
      <c r="D174" s="16" t="s">
        <v>137</v>
      </c>
      <c r="E174" s="25">
        <v>45441</v>
      </c>
      <c r="F174" s="16" t="s">
        <v>679</v>
      </c>
      <c r="G174" s="16" t="s">
        <v>132</v>
      </c>
      <c r="H174" s="16">
        <v>6.9</v>
      </c>
      <c r="I174" s="16">
        <v>399</v>
      </c>
      <c r="J174" s="16">
        <v>20</v>
      </c>
      <c r="K174" s="16">
        <v>2202.48</v>
      </c>
      <c r="L174" s="16" t="s">
        <v>139</v>
      </c>
      <c r="M174" s="16" t="s">
        <v>133</v>
      </c>
      <c r="N174" s="20"/>
      <c r="O174" s="20"/>
      <c r="P174" s="20"/>
      <c r="Q174" s="16" t="b">
        <f>FALSE()</f>
        <v>0</v>
      </c>
      <c r="R174" s="16" t="b">
        <f>TRUE()</f>
        <v>1</v>
      </c>
      <c r="S174" s="17" t="str">
        <f t="shared" si="2"/>
        <v>N/A</v>
      </c>
      <c r="T174">
        <f>COUNTIF('👤 Customers'!$A:$A, B174)</f>
        <v>1</v>
      </c>
      <c r="U174">
        <f>COUNTIF('🚴 Riders'!A173:A233, C174)</f>
        <v>0</v>
      </c>
      <c r="V174">
        <f>COUNTIF('🏭 Facilities'!A173:A181, D174)</f>
        <v>0</v>
      </c>
    </row>
    <row r="175" spans="1:22">
      <c r="A175" s="18" t="s">
        <v>680</v>
      </c>
      <c r="B175" s="18" t="s">
        <v>681</v>
      </c>
      <c r="C175" s="18" t="s">
        <v>188</v>
      </c>
      <c r="D175" s="18" t="s">
        <v>115</v>
      </c>
      <c r="E175" s="26">
        <v>45518</v>
      </c>
      <c r="F175" s="18" t="s">
        <v>682</v>
      </c>
      <c r="G175" s="18" t="s">
        <v>145</v>
      </c>
      <c r="H175" s="18">
        <v>2.6</v>
      </c>
      <c r="I175" s="18">
        <v>299</v>
      </c>
      <c r="J175" s="18">
        <v>0</v>
      </c>
      <c r="K175" s="18">
        <v>777.4</v>
      </c>
      <c r="L175" s="18" t="s">
        <v>139</v>
      </c>
      <c r="M175" s="18" t="s">
        <v>119</v>
      </c>
      <c r="N175" s="28">
        <v>45518.479861111111</v>
      </c>
      <c r="O175" s="28">
        <v>45519.002083333333</v>
      </c>
      <c r="P175" s="18">
        <v>4.7</v>
      </c>
      <c r="Q175" s="18" t="b">
        <f>TRUE()</f>
        <v>1</v>
      </c>
      <c r="R175" s="18" t="b">
        <f>FALSE()</f>
        <v>0</v>
      </c>
      <c r="S175" s="19">
        <f t="shared" si="2"/>
        <v>12.5</v>
      </c>
      <c r="T175">
        <f>COUNTIF('👤 Customers'!$A:$A, B175)</f>
        <v>1</v>
      </c>
      <c r="U175">
        <f>COUNTIF('🚴 Riders'!A174:A234, C175)</f>
        <v>0</v>
      </c>
      <c r="V175">
        <f>COUNTIF('🏭 Facilities'!A174:A182, D175)</f>
        <v>0</v>
      </c>
    </row>
    <row r="176" spans="1:22">
      <c r="A176" s="16" t="s">
        <v>683</v>
      </c>
      <c r="B176" s="16" t="s">
        <v>684</v>
      </c>
      <c r="C176" s="16" t="s">
        <v>188</v>
      </c>
      <c r="D176" s="16" t="s">
        <v>205</v>
      </c>
      <c r="E176" s="25">
        <v>45007</v>
      </c>
      <c r="F176" s="16" t="s">
        <v>685</v>
      </c>
      <c r="G176" s="16" t="s">
        <v>176</v>
      </c>
      <c r="H176" s="16">
        <v>5.4</v>
      </c>
      <c r="I176" s="16">
        <v>599</v>
      </c>
      <c r="J176" s="16">
        <v>0</v>
      </c>
      <c r="K176" s="16">
        <v>3234.6</v>
      </c>
      <c r="L176" s="16" t="s">
        <v>146</v>
      </c>
      <c r="M176" s="16" t="s">
        <v>140</v>
      </c>
      <c r="N176" s="27">
        <v>45007.236111111109</v>
      </c>
      <c r="O176" s="27">
        <v>45007.950694444444</v>
      </c>
      <c r="P176" s="20"/>
      <c r="Q176" s="16" t="b">
        <f>FALSE()</f>
        <v>0</v>
      </c>
      <c r="R176" s="16" t="b">
        <f>FALSE()</f>
        <v>0</v>
      </c>
      <c r="S176" s="17">
        <f t="shared" si="2"/>
        <v>17.2</v>
      </c>
      <c r="T176">
        <f>COUNTIF('👤 Customers'!$A:$A, B176)</f>
        <v>1</v>
      </c>
      <c r="U176">
        <f>COUNTIF('🚴 Riders'!A175:A235, C176)</f>
        <v>0</v>
      </c>
      <c r="V176">
        <f>COUNTIF('🏭 Facilities'!A175:A183, D176)</f>
        <v>0</v>
      </c>
    </row>
    <row r="177" spans="1:22">
      <c r="A177" s="18" t="s">
        <v>686</v>
      </c>
      <c r="B177" s="18" t="s">
        <v>460</v>
      </c>
      <c r="C177" s="18" t="s">
        <v>213</v>
      </c>
      <c r="D177" s="18" t="s">
        <v>184</v>
      </c>
      <c r="E177" s="26">
        <v>45328</v>
      </c>
      <c r="F177" s="18" t="s">
        <v>687</v>
      </c>
      <c r="G177" s="18" t="s">
        <v>117</v>
      </c>
      <c r="H177" s="18">
        <v>3.6</v>
      </c>
      <c r="I177" s="18">
        <v>149</v>
      </c>
      <c r="J177" s="18">
        <v>20</v>
      </c>
      <c r="K177" s="18">
        <v>429.12</v>
      </c>
      <c r="L177" s="18" t="s">
        <v>146</v>
      </c>
      <c r="M177" s="18" t="s">
        <v>133</v>
      </c>
      <c r="N177" s="20"/>
      <c r="O177" s="20"/>
      <c r="P177" s="20"/>
      <c r="Q177" s="18" t="b">
        <f>FALSE()</f>
        <v>0</v>
      </c>
      <c r="R177" s="18" t="b">
        <f>FALSE()</f>
        <v>0</v>
      </c>
      <c r="S177" s="19" t="str">
        <f t="shared" si="2"/>
        <v>N/A</v>
      </c>
      <c r="T177">
        <f>COUNTIF('👤 Customers'!$A:$A, B177)</f>
        <v>1</v>
      </c>
      <c r="U177">
        <f>COUNTIF('🚴 Riders'!A176:A236, C177)</f>
        <v>0</v>
      </c>
      <c r="V177">
        <f>COUNTIF('🏭 Facilities'!A176:A184, D177)</f>
        <v>0</v>
      </c>
    </row>
    <row r="178" spans="1:22">
      <c r="A178" s="16" t="s">
        <v>688</v>
      </c>
      <c r="B178" s="16" t="s">
        <v>689</v>
      </c>
      <c r="C178" s="16" t="s">
        <v>322</v>
      </c>
      <c r="D178" s="16" t="s">
        <v>130</v>
      </c>
      <c r="E178" s="25">
        <v>45105</v>
      </c>
      <c r="F178" s="16" t="s">
        <v>690</v>
      </c>
      <c r="G178" s="16" t="s">
        <v>125</v>
      </c>
      <c r="H178" s="16">
        <v>4.5999999999999996</v>
      </c>
      <c r="I178" s="16">
        <v>199</v>
      </c>
      <c r="J178" s="16">
        <v>0</v>
      </c>
      <c r="K178" s="16">
        <v>915.4</v>
      </c>
      <c r="L178" s="16" t="s">
        <v>139</v>
      </c>
      <c r="M178" s="16" t="s">
        <v>119</v>
      </c>
      <c r="N178" s="27">
        <v>45105.686805555553</v>
      </c>
      <c r="O178" s="27">
        <v>45106.30972222222</v>
      </c>
      <c r="P178" s="16">
        <v>4.5</v>
      </c>
      <c r="Q178" s="16" t="b">
        <f>FALSE()</f>
        <v>0</v>
      </c>
      <c r="R178" s="16" t="b">
        <f>FALSE()</f>
        <v>0</v>
      </c>
      <c r="S178" s="17">
        <f t="shared" si="2"/>
        <v>15</v>
      </c>
      <c r="T178">
        <f>COUNTIF('👤 Customers'!$A:$A, B178)</f>
        <v>1</v>
      </c>
      <c r="U178">
        <f>COUNTIF('🚴 Riders'!A177:A237, C178)</f>
        <v>0</v>
      </c>
      <c r="V178">
        <f>COUNTIF('🏭 Facilities'!A177:A185, D178)</f>
        <v>0</v>
      </c>
    </row>
    <row r="179" spans="1:22">
      <c r="A179" s="18" t="s">
        <v>691</v>
      </c>
      <c r="B179" s="18" t="s">
        <v>692</v>
      </c>
      <c r="C179" s="18" t="s">
        <v>179</v>
      </c>
      <c r="D179" s="18" t="s">
        <v>184</v>
      </c>
      <c r="E179" s="26">
        <v>45298</v>
      </c>
      <c r="F179" s="18" t="s">
        <v>693</v>
      </c>
      <c r="G179" s="18" t="s">
        <v>145</v>
      </c>
      <c r="H179" s="18">
        <v>2.5</v>
      </c>
      <c r="I179" s="18">
        <v>299</v>
      </c>
      <c r="J179" s="18">
        <v>0</v>
      </c>
      <c r="K179" s="18">
        <v>747.5</v>
      </c>
      <c r="L179" s="18" t="s">
        <v>146</v>
      </c>
      <c r="M179" s="18" t="s">
        <v>119</v>
      </c>
      <c r="N179" s="28">
        <v>45298.929861111108</v>
      </c>
      <c r="O179" s="28">
        <v>45299.302083333336</v>
      </c>
      <c r="P179" s="18">
        <v>2.9</v>
      </c>
      <c r="Q179" s="18" t="b">
        <f>FALSE()</f>
        <v>0</v>
      </c>
      <c r="R179" s="18" t="b">
        <f>FALSE()</f>
        <v>0</v>
      </c>
      <c r="S179" s="19">
        <f t="shared" si="2"/>
        <v>8.9</v>
      </c>
      <c r="T179">
        <f>COUNTIF('👤 Customers'!$A:$A, B179)</f>
        <v>1</v>
      </c>
      <c r="U179">
        <f>COUNTIF('🚴 Riders'!A178:A238, C179)</f>
        <v>0</v>
      </c>
      <c r="V179">
        <f>COUNTIF('🏭 Facilities'!A178:A186, D179)</f>
        <v>0</v>
      </c>
    </row>
    <row r="180" spans="1:22">
      <c r="A180" s="16" t="s">
        <v>694</v>
      </c>
      <c r="B180" s="16" t="s">
        <v>695</v>
      </c>
      <c r="C180" s="16" t="s">
        <v>300</v>
      </c>
      <c r="D180" s="16" t="s">
        <v>130</v>
      </c>
      <c r="E180" s="25">
        <v>45328</v>
      </c>
      <c r="F180" s="16" t="s">
        <v>696</v>
      </c>
      <c r="G180" s="16" t="s">
        <v>145</v>
      </c>
      <c r="H180" s="16">
        <v>5.2</v>
      </c>
      <c r="I180" s="16">
        <v>299</v>
      </c>
      <c r="J180" s="16">
        <v>0</v>
      </c>
      <c r="K180" s="16">
        <v>1554.8</v>
      </c>
      <c r="L180" s="16" t="s">
        <v>139</v>
      </c>
      <c r="M180" s="16" t="s">
        <v>119</v>
      </c>
      <c r="N180" s="27">
        <v>45328.435416666667</v>
      </c>
      <c r="O180" s="27">
        <v>45329.341666666667</v>
      </c>
      <c r="P180" s="16">
        <v>4</v>
      </c>
      <c r="Q180" s="16" t="b">
        <f>FALSE()</f>
        <v>0</v>
      </c>
      <c r="R180" s="16" t="b">
        <f>FALSE()</f>
        <v>0</v>
      </c>
      <c r="S180" s="17">
        <f t="shared" si="2"/>
        <v>21.8</v>
      </c>
      <c r="T180">
        <f>COUNTIF('👤 Customers'!$A:$A, B180)</f>
        <v>1</v>
      </c>
      <c r="U180">
        <f>COUNTIF('🚴 Riders'!A179:A239, C180)</f>
        <v>0</v>
      </c>
      <c r="V180">
        <f>COUNTIF('🏭 Facilities'!A179:A187, D180)</f>
        <v>0</v>
      </c>
    </row>
    <row r="181" spans="1:22">
      <c r="A181" s="18" t="s">
        <v>697</v>
      </c>
      <c r="B181" s="18" t="s">
        <v>698</v>
      </c>
      <c r="C181" s="18" t="s">
        <v>162</v>
      </c>
      <c r="D181" s="18" t="s">
        <v>115</v>
      </c>
      <c r="E181" s="26">
        <v>45097</v>
      </c>
      <c r="F181" s="18" t="s">
        <v>699</v>
      </c>
      <c r="G181" s="18" t="s">
        <v>145</v>
      </c>
      <c r="H181" s="18">
        <v>5.2</v>
      </c>
      <c r="I181" s="18">
        <v>299</v>
      </c>
      <c r="J181" s="18">
        <v>10</v>
      </c>
      <c r="K181" s="18">
        <v>1399.32</v>
      </c>
      <c r="L181" s="18" t="s">
        <v>146</v>
      </c>
      <c r="M181" s="18" t="s">
        <v>119</v>
      </c>
      <c r="N181" s="28">
        <v>45097.496527777781</v>
      </c>
      <c r="O181" s="28">
        <v>45098.18472222222</v>
      </c>
      <c r="P181" s="18">
        <v>4</v>
      </c>
      <c r="Q181" s="18" t="b">
        <f>FALSE()</f>
        <v>0</v>
      </c>
      <c r="R181" s="18" t="b">
        <f>FALSE()</f>
        <v>0</v>
      </c>
      <c r="S181" s="19">
        <f t="shared" si="2"/>
        <v>16.5</v>
      </c>
      <c r="T181">
        <f>COUNTIF('👤 Customers'!$A:$A, B181)</f>
        <v>1</v>
      </c>
      <c r="U181">
        <f>COUNTIF('🚴 Riders'!A180:A240, C181)</f>
        <v>0</v>
      </c>
      <c r="V181">
        <f>COUNTIF('🏭 Facilities'!A180:A188, D181)</f>
        <v>0</v>
      </c>
    </row>
    <row r="182" spans="1:22">
      <c r="A182" s="16" t="s">
        <v>700</v>
      </c>
      <c r="B182" s="16" t="s">
        <v>701</v>
      </c>
      <c r="C182" s="16" t="s">
        <v>213</v>
      </c>
      <c r="D182" s="16" t="s">
        <v>184</v>
      </c>
      <c r="E182" s="25">
        <v>45011</v>
      </c>
      <c r="F182" s="16" t="s">
        <v>702</v>
      </c>
      <c r="G182" s="16" t="s">
        <v>125</v>
      </c>
      <c r="H182" s="16">
        <v>2.4</v>
      </c>
      <c r="I182" s="16">
        <v>199</v>
      </c>
      <c r="J182" s="16">
        <v>20</v>
      </c>
      <c r="K182" s="16">
        <v>382.08</v>
      </c>
      <c r="L182" s="16" t="s">
        <v>146</v>
      </c>
      <c r="M182" s="16" t="s">
        <v>133</v>
      </c>
      <c r="N182" s="20"/>
      <c r="O182" s="20"/>
      <c r="P182" s="20"/>
      <c r="Q182" s="16" t="b">
        <f>FALSE()</f>
        <v>0</v>
      </c>
      <c r="R182" s="16" t="b">
        <f>TRUE()</f>
        <v>1</v>
      </c>
      <c r="S182" s="17" t="str">
        <f t="shared" si="2"/>
        <v>N/A</v>
      </c>
      <c r="T182">
        <f>COUNTIF('👤 Customers'!$A:$A, B182)</f>
        <v>1</v>
      </c>
      <c r="U182">
        <f>COUNTIF('🚴 Riders'!A181:A241, C182)</f>
        <v>0</v>
      </c>
      <c r="V182">
        <f>COUNTIF('🏭 Facilities'!A181:A189, D182)</f>
        <v>0</v>
      </c>
    </row>
    <row r="183" spans="1:22">
      <c r="A183" s="18" t="s">
        <v>703</v>
      </c>
      <c r="B183" s="18" t="s">
        <v>704</v>
      </c>
      <c r="C183" s="18" t="s">
        <v>276</v>
      </c>
      <c r="D183" s="18" t="s">
        <v>205</v>
      </c>
      <c r="E183" s="26">
        <v>45301</v>
      </c>
      <c r="F183" s="18" t="s">
        <v>705</v>
      </c>
      <c r="G183" s="18" t="s">
        <v>132</v>
      </c>
      <c r="H183" s="18">
        <v>7.3</v>
      </c>
      <c r="I183" s="18">
        <v>399</v>
      </c>
      <c r="J183" s="18">
        <v>0</v>
      </c>
      <c r="K183" s="18">
        <v>2912.7</v>
      </c>
      <c r="L183" s="18" t="s">
        <v>126</v>
      </c>
      <c r="M183" s="18" t="s">
        <v>119</v>
      </c>
      <c r="N183" s="28">
        <v>45301.71875</v>
      </c>
      <c r="O183" s="28">
        <v>45302.645833333336</v>
      </c>
      <c r="P183" s="18">
        <v>4.2</v>
      </c>
      <c r="Q183" s="18" t="b">
        <f>FALSE()</f>
        <v>0</v>
      </c>
      <c r="R183" s="18" t="b">
        <f>FALSE()</f>
        <v>0</v>
      </c>
      <c r="S183" s="19">
        <f t="shared" si="2"/>
        <v>22.3</v>
      </c>
      <c r="T183">
        <f>COUNTIF('👤 Customers'!$A:$A, B183)</f>
        <v>1</v>
      </c>
      <c r="U183">
        <f>COUNTIF('🚴 Riders'!A182:A242, C183)</f>
        <v>0</v>
      </c>
      <c r="V183">
        <f>COUNTIF('🏭 Facilities'!A182:A190, D183)</f>
        <v>0</v>
      </c>
    </row>
    <row r="184" spans="1:22">
      <c r="A184" s="16" t="s">
        <v>706</v>
      </c>
      <c r="B184" s="16" t="s">
        <v>707</v>
      </c>
      <c r="C184" s="16" t="s">
        <v>192</v>
      </c>
      <c r="D184" s="16" t="s">
        <v>197</v>
      </c>
      <c r="E184" s="25">
        <v>45301</v>
      </c>
      <c r="F184" s="16" t="s">
        <v>708</v>
      </c>
      <c r="G184" s="16" t="s">
        <v>145</v>
      </c>
      <c r="H184" s="16">
        <v>3.5</v>
      </c>
      <c r="I184" s="16">
        <v>299</v>
      </c>
      <c r="J184" s="16">
        <v>20</v>
      </c>
      <c r="K184" s="16">
        <v>837.2</v>
      </c>
      <c r="L184" s="16" t="s">
        <v>118</v>
      </c>
      <c r="M184" s="16" t="s">
        <v>140</v>
      </c>
      <c r="N184" s="27">
        <v>45301.580555555556</v>
      </c>
      <c r="O184" s="27">
        <v>45302.212500000001</v>
      </c>
      <c r="P184" s="20"/>
      <c r="Q184" s="16" t="b">
        <f>FALSE()</f>
        <v>0</v>
      </c>
      <c r="R184" s="16" t="b">
        <f>FALSE()</f>
        <v>0</v>
      </c>
      <c r="S184" s="17">
        <f t="shared" si="2"/>
        <v>15.2</v>
      </c>
      <c r="T184">
        <f>COUNTIF('👤 Customers'!$A:$A, B184)</f>
        <v>1</v>
      </c>
      <c r="U184">
        <f>COUNTIF('🚴 Riders'!A183:A243, C184)</f>
        <v>0</v>
      </c>
      <c r="V184">
        <f>COUNTIF('🏭 Facilities'!A183:A191, D184)</f>
        <v>0</v>
      </c>
    </row>
    <row r="185" spans="1:22">
      <c r="A185" s="18" t="s">
        <v>709</v>
      </c>
      <c r="B185" s="18" t="s">
        <v>710</v>
      </c>
      <c r="C185" s="18" t="s">
        <v>362</v>
      </c>
      <c r="D185" s="18" t="s">
        <v>205</v>
      </c>
      <c r="E185" s="26">
        <v>45127</v>
      </c>
      <c r="F185" s="18" t="s">
        <v>711</v>
      </c>
      <c r="G185" s="18" t="s">
        <v>132</v>
      </c>
      <c r="H185" s="18">
        <v>1</v>
      </c>
      <c r="I185" s="18">
        <v>399</v>
      </c>
      <c r="J185" s="18">
        <v>10</v>
      </c>
      <c r="K185" s="18">
        <v>359.1</v>
      </c>
      <c r="L185" s="18" t="s">
        <v>139</v>
      </c>
      <c r="M185" s="18" t="s">
        <v>119</v>
      </c>
      <c r="N185" s="28">
        <v>45127.347916666666</v>
      </c>
      <c r="O185" s="28">
        <v>45127.728472222225</v>
      </c>
      <c r="P185" s="18">
        <v>3.4</v>
      </c>
      <c r="Q185" s="18" t="b">
        <f>FALSE()</f>
        <v>0</v>
      </c>
      <c r="R185" s="18" t="b">
        <f>FALSE()</f>
        <v>0</v>
      </c>
      <c r="S185" s="19">
        <f t="shared" si="2"/>
        <v>9.1</v>
      </c>
      <c r="T185">
        <f>COUNTIF('👤 Customers'!$A:$A, B185)</f>
        <v>1</v>
      </c>
      <c r="U185">
        <f>COUNTIF('🚴 Riders'!A184:A244, C185)</f>
        <v>0</v>
      </c>
      <c r="V185">
        <f>COUNTIF('🏭 Facilities'!A184:A192, D185)</f>
        <v>0</v>
      </c>
    </row>
    <row r="186" spans="1:22">
      <c r="A186" s="16" t="s">
        <v>712</v>
      </c>
      <c r="B186" s="16" t="s">
        <v>713</v>
      </c>
      <c r="C186" s="16" t="s">
        <v>276</v>
      </c>
      <c r="D186" s="16" t="s">
        <v>115</v>
      </c>
      <c r="E186" s="25">
        <v>45124</v>
      </c>
      <c r="F186" s="16" t="s">
        <v>714</v>
      </c>
      <c r="G186" s="16" t="s">
        <v>117</v>
      </c>
      <c r="H186" s="16">
        <v>7</v>
      </c>
      <c r="I186" s="16">
        <v>149</v>
      </c>
      <c r="J186" s="16">
        <v>0</v>
      </c>
      <c r="K186" s="16">
        <v>1043</v>
      </c>
      <c r="L186" s="16" t="s">
        <v>207</v>
      </c>
      <c r="M186" s="16" t="s">
        <v>119</v>
      </c>
      <c r="N186" s="27">
        <v>45124.111805555556</v>
      </c>
      <c r="O186" s="27">
        <v>45125.180555555555</v>
      </c>
      <c r="P186" s="16">
        <v>3.4</v>
      </c>
      <c r="Q186" s="16" t="b">
        <f>FALSE()</f>
        <v>0</v>
      </c>
      <c r="R186" s="16" t="b">
        <f>FALSE()</f>
        <v>0</v>
      </c>
      <c r="S186" s="17">
        <f t="shared" si="2"/>
        <v>25.6</v>
      </c>
      <c r="T186">
        <f>COUNTIF('👤 Customers'!$A:$A, B186)</f>
        <v>1</v>
      </c>
      <c r="U186">
        <f>COUNTIF('🚴 Riders'!A185:A245, C186)</f>
        <v>0</v>
      </c>
      <c r="V186">
        <f>COUNTIF('🏭 Facilities'!A185:A193, D186)</f>
        <v>0</v>
      </c>
    </row>
    <row r="187" spans="1:22">
      <c r="A187" s="18" t="s">
        <v>715</v>
      </c>
      <c r="B187" s="18" t="s">
        <v>716</v>
      </c>
      <c r="C187" s="18" t="s">
        <v>717</v>
      </c>
      <c r="D187" s="18" t="s">
        <v>137</v>
      </c>
      <c r="E187" s="26">
        <v>45165</v>
      </c>
      <c r="F187" s="18" t="s">
        <v>718</v>
      </c>
      <c r="G187" s="18" t="s">
        <v>176</v>
      </c>
      <c r="H187" s="18">
        <v>3.4</v>
      </c>
      <c r="I187" s="18">
        <v>599</v>
      </c>
      <c r="J187" s="18">
        <v>10</v>
      </c>
      <c r="K187" s="18">
        <v>1832.94</v>
      </c>
      <c r="L187" s="18" t="s">
        <v>126</v>
      </c>
      <c r="M187" s="18" t="s">
        <v>140</v>
      </c>
      <c r="N187" s="28">
        <v>45165.224999999999</v>
      </c>
      <c r="O187" s="28">
        <v>45166.174305555556</v>
      </c>
      <c r="P187" s="20"/>
      <c r="Q187" s="18" t="b">
        <f>FALSE()</f>
        <v>0</v>
      </c>
      <c r="R187" s="18" t="b">
        <f>FALSE()</f>
        <v>0</v>
      </c>
      <c r="S187" s="19">
        <f t="shared" si="2"/>
        <v>22.8</v>
      </c>
      <c r="T187">
        <f>COUNTIF('👤 Customers'!$A:$A, B187)</f>
        <v>1</v>
      </c>
      <c r="U187">
        <f>COUNTIF('🚴 Riders'!A186:A246, C187)</f>
        <v>0</v>
      </c>
      <c r="V187">
        <f>COUNTIF('🏭 Facilities'!A186:A194, D187)</f>
        <v>0</v>
      </c>
    </row>
    <row r="188" spans="1:22">
      <c r="A188" s="16" t="s">
        <v>719</v>
      </c>
      <c r="B188" s="16" t="s">
        <v>720</v>
      </c>
      <c r="C188" s="16" t="s">
        <v>240</v>
      </c>
      <c r="D188" s="16" t="s">
        <v>137</v>
      </c>
      <c r="E188" s="25">
        <v>45189</v>
      </c>
      <c r="F188" s="16" t="s">
        <v>721</v>
      </c>
      <c r="G188" s="16" t="s">
        <v>176</v>
      </c>
      <c r="H188" s="16">
        <v>5.3</v>
      </c>
      <c r="I188" s="16">
        <v>599</v>
      </c>
      <c r="J188" s="16">
        <v>10</v>
      </c>
      <c r="K188" s="16">
        <v>2857.23</v>
      </c>
      <c r="L188" s="16" t="s">
        <v>139</v>
      </c>
      <c r="M188" s="16" t="s">
        <v>119</v>
      </c>
      <c r="N188" s="27">
        <v>45189.916666666664</v>
      </c>
      <c r="O188" s="27">
        <v>45190.931944444441</v>
      </c>
      <c r="P188" s="16">
        <v>4.8</v>
      </c>
      <c r="Q188" s="16" t="b">
        <f>FALSE()</f>
        <v>0</v>
      </c>
      <c r="R188" s="16" t="b">
        <f>TRUE()</f>
        <v>1</v>
      </c>
      <c r="S188" s="17">
        <f t="shared" si="2"/>
        <v>24.4</v>
      </c>
      <c r="T188">
        <f>COUNTIF('👤 Customers'!$A:$A, B188)</f>
        <v>1</v>
      </c>
      <c r="U188">
        <f>COUNTIF('🚴 Riders'!A187:A247, C188)</f>
        <v>0</v>
      </c>
      <c r="V188">
        <f>COUNTIF('🏭 Facilities'!A187:A195, D188)</f>
        <v>0</v>
      </c>
    </row>
    <row r="189" spans="1:22">
      <c r="A189" s="18" t="s">
        <v>722</v>
      </c>
      <c r="B189" s="18" t="s">
        <v>723</v>
      </c>
      <c r="C189" s="18" t="s">
        <v>166</v>
      </c>
      <c r="D189" s="18" t="s">
        <v>184</v>
      </c>
      <c r="E189" s="26">
        <v>45099</v>
      </c>
      <c r="F189" s="18" t="s">
        <v>724</v>
      </c>
      <c r="G189" s="18" t="s">
        <v>117</v>
      </c>
      <c r="H189" s="18">
        <v>1.6</v>
      </c>
      <c r="I189" s="18">
        <v>149</v>
      </c>
      <c r="J189" s="18">
        <v>0</v>
      </c>
      <c r="K189" s="18">
        <v>238.4</v>
      </c>
      <c r="L189" s="18" t="s">
        <v>207</v>
      </c>
      <c r="M189" s="18" t="s">
        <v>119</v>
      </c>
      <c r="N189" s="28">
        <v>45099.410416666666</v>
      </c>
      <c r="O189" s="28">
        <v>45100.056944444441</v>
      </c>
      <c r="P189" s="18">
        <v>4.0999999999999996</v>
      </c>
      <c r="Q189" s="18" t="b">
        <f>FALSE()</f>
        <v>0</v>
      </c>
      <c r="R189" s="18" t="b">
        <f>FALSE()</f>
        <v>0</v>
      </c>
      <c r="S189" s="19">
        <f t="shared" si="2"/>
        <v>15.5</v>
      </c>
      <c r="T189">
        <f>COUNTIF('👤 Customers'!$A:$A, B189)</f>
        <v>1</v>
      </c>
      <c r="U189">
        <f>COUNTIF('🚴 Riders'!A188:A248, C189)</f>
        <v>0</v>
      </c>
      <c r="V189">
        <f>COUNTIF('🏭 Facilities'!A188:A196, D189)</f>
        <v>0</v>
      </c>
    </row>
    <row r="190" spans="1:22">
      <c r="A190" s="16" t="s">
        <v>725</v>
      </c>
      <c r="B190" s="16" t="s">
        <v>246</v>
      </c>
      <c r="C190" s="16" t="s">
        <v>122</v>
      </c>
      <c r="D190" s="16" t="s">
        <v>205</v>
      </c>
      <c r="E190" s="25">
        <v>45437</v>
      </c>
      <c r="F190" s="16" t="s">
        <v>726</v>
      </c>
      <c r="G190" s="16" t="s">
        <v>176</v>
      </c>
      <c r="H190" s="16">
        <v>3</v>
      </c>
      <c r="I190" s="16">
        <v>599</v>
      </c>
      <c r="J190" s="16">
        <v>0</v>
      </c>
      <c r="K190" s="16">
        <v>1797</v>
      </c>
      <c r="L190" s="16" t="s">
        <v>207</v>
      </c>
      <c r="M190" s="16" t="s">
        <v>133</v>
      </c>
      <c r="N190" s="20"/>
      <c r="O190" s="20"/>
      <c r="P190" s="20"/>
      <c r="Q190" s="16" t="b">
        <f>FALSE()</f>
        <v>0</v>
      </c>
      <c r="R190" s="16" t="b">
        <f>FALSE()</f>
        <v>0</v>
      </c>
      <c r="S190" s="17" t="str">
        <f t="shared" si="2"/>
        <v>N/A</v>
      </c>
      <c r="T190">
        <f>COUNTIF('👤 Customers'!$A:$A, B190)</f>
        <v>1</v>
      </c>
      <c r="U190">
        <f>COUNTIF('🚴 Riders'!A189:A249, C190)</f>
        <v>0</v>
      </c>
      <c r="V190">
        <f>COUNTIF('🏭 Facilities'!A189:A197, D190)</f>
        <v>0</v>
      </c>
    </row>
    <row r="191" spans="1:22">
      <c r="A191" s="18" t="s">
        <v>727</v>
      </c>
      <c r="B191" s="18" t="s">
        <v>728</v>
      </c>
      <c r="C191" s="18" t="s">
        <v>183</v>
      </c>
      <c r="D191" s="18" t="s">
        <v>197</v>
      </c>
      <c r="E191" s="26">
        <v>44994</v>
      </c>
      <c r="F191" s="18" t="s">
        <v>729</v>
      </c>
      <c r="G191" s="18" t="s">
        <v>117</v>
      </c>
      <c r="H191" s="18">
        <v>6.5</v>
      </c>
      <c r="I191" s="18">
        <v>149</v>
      </c>
      <c r="J191" s="18">
        <v>0</v>
      </c>
      <c r="K191" s="18">
        <v>968.5</v>
      </c>
      <c r="L191" s="18" t="s">
        <v>146</v>
      </c>
      <c r="M191" s="18" t="s">
        <v>119</v>
      </c>
      <c r="N191" s="28">
        <v>44994.532638888886</v>
      </c>
      <c r="O191" s="28">
        <v>44994.975694444445</v>
      </c>
      <c r="P191" s="18">
        <v>3.2</v>
      </c>
      <c r="Q191" s="18" t="b">
        <f>FALSE()</f>
        <v>0</v>
      </c>
      <c r="R191" s="18" t="b">
        <f>FALSE()</f>
        <v>0</v>
      </c>
      <c r="S191" s="19">
        <f t="shared" si="2"/>
        <v>10.6</v>
      </c>
      <c r="T191">
        <f>COUNTIF('👤 Customers'!$A:$A, B191)</f>
        <v>1</v>
      </c>
      <c r="U191">
        <f>COUNTIF('🚴 Riders'!A190:A250, C191)</f>
        <v>0</v>
      </c>
      <c r="V191">
        <f>COUNTIF('🏭 Facilities'!A190:A198, D191)</f>
        <v>0</v>
      </c>
    </row>
    <row r="192" spans="1:22">
      <c r="A192" s="16" t="s">
        <v>730</v>
      </c>
      <c r="B192" s="16" t="s">
        <v>731</v>
      </c>
      <c r="C192" s="16" t="s">
        <v>343</v>
      </c>
      <c r="D192" s="16" t="s">
        <v>137</v>
      </c>
      <c r="E192" s="25">
        <v>45197</v>
      </c>
      <c r="F192" s="16" t="s">
        <v>732</v>
      </c>
      <c r="G192" s="16" t="s">
        <v>117</v>
      </c>
      <c r="H192" s="16">
        <v>7.7</v>
      </c>
      <c r="I192" s="16">
        <v>149</v>
      </c>
      <c r="J192" s="16">
        <v>0</v>
      </c>
      <c r="K192" s="16">
        <v>1147.3</v>
      </c>
      <c r="L192" s="16" t="s">
        <v>139</v>
      </c>
      <c r="M192" s="16" t="s">
        <v>133</v>
      </c>
      <c r="N192" s="20"/>
      <c r="O192" s="20"/>
      <c r="P192" s="20"/>
      <c r="Q192" s="16" t="b">
        <f>FALSE()</f>
        <v>0</v>
      </c>
      <c r="R192" s="16" t="b">
        <f>FALSE()</f>
        <v>0</v>
      </c>
      <c r="S192" s="17" t="str">
        <f t="shared" si="2"/>
        <v>N/A</v>
      </c>
      <c r="T192">
        <f>COUNTIF('👤 Customers'!$A:$A, B192)</f>
        <v>1</v>
      </c>
      <c r="U192">
        <f>COUNTIF('🚴 Riders'!A191:A251, C192)</f>
        <v>0</v>
      </c>
      <c r="V192">
        <f>COUNTIF('🏭 Facilities'!A191:A199, D192)</f>
        <v>0</v>
      </c>
    </row>
    <row r="193" spans="1:22">
      <c r="A193" s="18" t="s">
        <v>733</v>
      </c>
      <c r="B193" s="18" t="s">
        <v>734</v>
      </c>
      <c r="C193" s="18" t="s">
        <v>343</v>
      </c>
      <c r="D193" s="18" t="s">
        <v>115</v>
      </c>
      <c r="E193" s="26">
        <v>45317</v>
      </c>
      <c r="F193" s="18" t="s">
        <v>735</v>
      </c>
      <c r="G193" s="18" t="s">
        <v>117</v>
      </c>
      <c r="H193" s="18">
        <v>3.4</v>
      </c>
      <c r="I193" s="18">
        <v>149</v>
      </c>
      <c r="J193" s="18">
        <v>0</v>
      </c>
      <c r="K193" s="18">
        <v>506.6</v>
      </c>
      <c r="L193" s="18" t="s">
        <v>139</v>
      </c>
      <c r="M193" s="18" t="s">
        <v>133</v>
      </c>
      <c r="N193" s="20"/>
      <c r="O193" s="20"/>
      <c r="P193" s="20"/>
      <c r="Q193" s="18" t="b">
        <f>FALSE()</f>
        <v>0</v>
      </c>
      <c r="R193" s="18" t="b">
        <f>FALSE()</f>
        <v>0</v>
      </c>
      <c r="S193" s="19" t="str">
        <f t="shared" si="2"/>
        <v>N/A</v>
      </c>
      <c r="T193">
        <f>COUNTIF('👤 Customers'!$A:$A, B193)</f>
        <v>1</v>
      </c>
      <c r="U193">
        <f>COUNTIF('🚴 Riders'!A192:A252, C193)</f>
        <v>0</v>
      </c>
      <c r="V193">
        <f>COUNTIF('🏭 Facilities'!A192:A200, D193)</f>
        <v>0</v>
      </c>
    </row>
    <row r="194" spans="1:22">
      <c r="A194" s="16" t="s">
        <v>736</v>
      </c>
      <c r="B194" s="16" t="s">
        <v>737</v>
      </c>
      <c r="C194" s="16" t="s">
        <v>183</v>
      </c>
      <c r="D194" s="16" t="s">
        <v>158</v>
      </c>
      <c r="E194" s="25">
        <v>45515</v>
      </c>
      <c r="F194" s="16" t="s">
        <v>738</v>
      </c>
      <c r="G194" s="16" t="s">
        <v>117</v>
      </c>
      <c r="H194" s="16">
        <v>7.7</v>
      </c>
      <c r="I194" s="16">
        <v>149</v>
      </c>
      <c r="J194" s="16">
        <v>0</v>
      </c>
      <c r="K194" s="16">
        <v>1147.3</v>
      </c>
      <c r="L194" s="16" t="s">
        <v>207</v>
      </c>
      <c r="M194" s="16" t="s">
        <v>119</v>
      </c>
      <c r="N194" s="27">
        <v>45515.497916666667</v>
      </c>
      <c r="O194" s="27">
        <v>45516.476388888892</v>
      </c>
      <c r="P194" s="16">
        <v>4.2</v>
      </c>
      <c r="Q194" s="16" t="b">
        <f>FALSE()</f>
        <v>0</v>
      </c>
      <c r="R194" s="16" t="b">
        <f>FALSE()</f>
        <v>0</v>
      </c>
      <c r="S194" s="17">
        <f t="shared" ref="S194:S257" si="3">IF(OR(N194="",O194=""),"N/A",ROUND(((O194-N194)*24),1))</f>
        <v>23.5</v>
      </c>
      <c r="T194">
        <f>COUNTIF('👤 Customers'!$A:$A, B194)</f>
        <v>1</v>
      </c>
      <c r="U194">
        <f>COUNTIF('🚴 Riders'!A193:A253, C194)</f>
        <v>0</v>
      </c>
      <c r="V194">
        <f>COUNTIF('🏭 Facilities'!A193:A201, D194)</f>
        <v>0</v>
      </c>
    </row>
    <row r="195" spans="1:22">
      <c r="A195" s="18" t="s">
        <v>739</v>
      </c>
      <c r="B195" s="18" t="s">
        <v>740</v>
      </c>
      <c r="C195" s="18" t="s">
        <v>162</v>
      </c>
      <c r="D195" s="18" t="s">
        <v>197</v>
      </c>
      <c r="E195" s="26">
        <v>45201</v>
      </c>
      <c r="F195" s="18" t="s">
        <v>741</v>
      </c>
      <c r="G195" s="18" t="s">
        <v>176</v>
      </c>
      <c r="H195" s="18">
        <v>4.7</v>
      </c>
      <c r="I195" s="18">
        <v>599</v>
      </c>
      <c r="J195" s="18">
        <v>10</v>
      </c>
      <c r="K195" s="18">
        <v>2533.77</v>
      </c>
      <c r="L195" s="18" t="s">
        <v>146</v>
      </c>
      <c r="M195" s="18" t="s">
        <v>119</v>
      </c>
      <c r="N195" s="28">
        <v>45201.314583333333</v>
      </c>
      <c r="O195" s="28">
        <v>45201.731944444444</v>
      </c>
      <c r="P195" s="18">
        <v>4.8</v>
      </c>
      <c r="Q195" s="18" t="b">
        <f>FALSE()</f>
        <v>0</v>
      </c>
      <c r="R195" s="18" t="b">
        <f>FALSE()</f>
        <v>0</v>
      </c>
      <c r="S195" s="19">
        <f t="shared" si="3"/>
        <v>10</v>
      </c>
      <c r="T195">
        <f>COUNTIF('👤 Customers'!$A:$A, B195)</f>
        <v>1</v>
      </c>
      <c r="U195">
        <f>COUNTIF('🚴 Riders'!A194:A254, C195)</f>
        <v>0</v>
      </c>
      <c r="V195">
        <f>COUNTIF('🏭 Facilities'!A194:A202, D195)</f>
        <v>0</v>
      </c>
    </row>
    <row r="196" spans="1:22">
      <c r="A196" s="16" t="s">
        <v>742</v>
      </c>
      <c r="B196" s="16" t="s">
        <v>743</v>
      </c>
      <c r="C196" s="16" t="s">
        <v>149</v>
      </c>
      <c r="D196" s="16" t="s">
        <v>130</v>
      </c>
      <c r="E196" s="25">
        <v>45621</v>
      </c>
      <c r="F196" s="16" t="s">
        <v>744</v>
      </c>
      <c r="G196" s="16" t="s">
        <v>176</v>
      </c>
      <c r="H196" s="16">
        <v>2.9</v>
      </c>
      <c r="I196" s="16">
        <v>599</v>
      </c>
      <c r="J196" s="16">
        <v>20</v>
      </c>
      <c r="K196" s="16">
        <v>1389.68</v>
      </c>
      <c r="L196" s="16" t="s">
        <v>118</v>
      </c>
      <c r="M196" s="16" t="s">
        <v>140</v>
      </c>
      <c r="N196" s="27">
        <v>45621.792361111111</v>
      </c>
      <c r="O196" s="27">
        <v>45622.287499999999</v>
      </c>
      <c r="P196" s="20"/>
      <c r="Q196" s="16" t="b">
        <f>FALSE()</f>
        <v>0</v>
      </c>
      <c r="R196" s="16" t="b">
        <f>FALSE()</f>
        <v>0</v>
      </c>
      <c r="S196" s="17">
        <f t="shared" si="3"/>
        <v>11.9</v>
      </c>
      <c r="T196">
        <f>COUNTIF('👤 Customers'!$A:$A, B196)</f>
        <v>1</v>
      </c>
      <c r="U196">
        <f>COUNTIF('🚴 Riders'!A195:A255, C196)</f>
        <v>0</v>
      </c>
      <c r="V196">
        <f>COUNTIF('🏭 Facilities'!A195:A203, D196)</f>
        <v>0</v>
      </c>
    </row>
    <row r="197" spans="1:22">
      <c r="A197" s="18" t="s">
        <v>745</v>
      </c>
      <c r="B197" s="18" t="s">
        <v>746</v>
      </c>
      <c r="C197" s="18" t="s">
        <v>304</v>
      </c>
      <c r="D197" s="18" t="s">
        <v>184</v>
      </c>
      <c r="E197" s="26">
        <v>45120</v>
      </c>
      <c r="F197" s="18" t="s">
        <v>747</v>
      </c>
      <c r="G197" s="18" t="s">
        <v>176</v>
      </c>
      <c r="H197" s="18">
        <v>3.5</v>
      </c>
      <c r="I197" s="18">
        <v>599</v>
      </c>
      <c r="J197" s="18">
        <v>10</v>
      </c>
      <c r="K197" s="18">
        <v>1886.85</v>
      </c>
      <c r="L197" s="18" t="s">
        <v>139</v>
      </c>
      <c r="M197" s="18" t="s">
        <v>119</v>
      </c>
      <c r="N197" s="28">
        <v>45121.098611111112</v>
      </c>
      <c r="O197" s="28">
        <v>45121.952777777777</v>
      </c>
      <c r="P197" s="18">
        <v>3.4</v>
      </c>
      <c r="Q197" s="18" t="b">
        <f>FALSE()</f>
        <v>0</v>
      </c>
      <c r="R197" s="18" t="b">
        <f>FALSE()</f>
        <v>0</v>
      </c>
      <c r="S197" s="19">
        <f t="shared" si="3"/>
        <v>20.5</v>
      </c>
      <c r="T197">
        <f>COUNTIF('👤 Customers'!$A:$A, B197)</f>
        <v>1</v>
      </c>
      <c r="U197">
        <f>COUNTIF('🚴 Riders'!A196:A256, C197)</f>
        <v>0</v>
      </c>
      <c r="V197">
        <f>COUNTIF('🏭 Facilities'!A196:A204, D197)</f>
        <v>0</v>
      </c>
    </row>
    <row r="198" spans="1:22">
      <c r="A198" s="16" t="s">
        <v>748</v>
      </c>
      <c r="B198" s="16" t="s">
        <v>749</v>
      </c>
      <c r="C198" s="16" t="s">
        <v>750</v>
      </c>
      <c r="D198" s="16" t="s">
        <v>158</v>
      </c>
      <c r="E198" s="25">
        <v>45611</v>
      </c>
      <c r="F198" s="16" t="s">
        <v>751</v>
      </c>
      <c r="G198" s="16" t="s">
        <v>176</v>
      </c>
      <c r="H198" s="16">
        <v>7.1</v>
      </c>
      <c r="I198" s="16">
        <v>599</v>
      </c>
      <c r="J198" s="16">
        <v>0</v>
      </c>
      <c r="K198" s="16">
        <v>4252.8999999999996</v>
      </c>
      <c r="L198" s="16" t="s">
        <v>139</v>
      </c>
      <c r="M198" s="16" t="s">
        <v>133</v>
      </c>
      <c r="N198" s="20"/>
      <c r="O198" s="20"/>
      <c r="P198" s="20"/>
      <c r="Q198" s="16" t="b">
        <f>FALSE()</f>
        <v>0</v>
      </c>
      <c r="R198" s="16" t="b">
        <f>TRUE()</f>
        <v>1</v>
      </c>
      <c r="S198" s="17" t="str">
        <f t="shared" si="3"/>
        <v>N/A</v>
      </c>
      <c r="T198">
        <f>COUNTIF('👤 Customers'!$A:$A, B198)</f>
        <v>1</v>
      </c>
      <c r="U198">
        <f>COUNTIF('🚴 Riders'!A197:A257, C198)</f>
        <v>0</v>
      </c>
      <c r="V198">
        <f>COUNTIF('🏭 Facilities'!A197:A205, D198)</f>
        <v>0</v>
      </c>
    </row>
    <row r="199" spans="1:22">
      <c r="A199" s="18" t="s">
        <v>752</v>
      </c>
      <c r="B199" s="18" t="s">
        <v>753</v>
      </c>
      <c r="C199" s="18" t="s">
        <v>304</v>
      </c>
      <c r="D199" s="18" t="s">
        <v>184</v>
      </c>
      <c r="E199" s="26">
        <v>45196</v>
      </c>
      <c r="F199" s="18" t="s">
        <v>754</v>
      </c>
      <c r="G199" s="18" t="s">
        <v>145</v>
      </c>
      <c r="H199" s="18">
        <v>7</v>
      </c>
      <c r="I199" s="18">
        <v>299</v>
      </c>
      <c r="J199" s="18">
        <v>10</v>
      </c>
      <c r="K199" s="18">
        <v>1883.7</v>
      </c>
      <c r="L199" s="18" t="s">
        <v>207</v>
      </c>
      <c r="M199" s="18" t="s">
        <v>119</v>
      </c>
      <c r="N199" s="28">
        <v>45196.910416666666</v>
      </c>
      <c r="O199" s="28">
        <v>45197.763888888891</v>
      </c>
      <c r="P199" s="18">
        <v>3.4</v>
      </c>
      <c r="Q199" s="18" t="b">
        <f>TRUE()</f>
        <v>1</v>
      </c>
      <c r="R199" s="18" t="b">
        <f>FALSE()</f>
        <v>0</v>
      </c>
      <c r="S199" s="19">
        <f t="shared" si="3"/>
        <v>20.5</v>
      </c>
      <c r="T199">
        <f>COUNTIF('👤 Customers'!$A:$A, B199)</f>
        <v>1</v>
      </c>
      <c r="U199">
        <f>COUNTIF('🚴 Riders'!A198:A258, C199)</f>
        <v>0</v>
      </c>
      <c r="V199">
        <f>COUNTIF('🏭 Facilities'!A198:A206, D199)</f>
        <v>0</v>
      </c>
    </row>
    <row r="200" spans="1:22">
      <c r="A200" s="16" t="s">
        <v>755</v>
      </c>
      <c r="B200" s="16" t="s">
        <v>756</v>
      </c>
      <c r="C200" s="16" t="s">
        <v>247</v>
      </c>
      <c r="D200" s="16" t="s">
        <v>130</v>
      </c>
      <c r="E200" s="25">
        <v>45596</v>
      </c>
      <c r="F200" s="16" t="s">
        <v>757</v>
      </c>
      <c r="G200" s="16" t="s">
        <v>117</v>
      </c>
      <c r="H200" s="16">
        <v>2.2999999999999998</v>
      </c>
      <c r="I200" s="16">
        <v>149</v>
      </c>
      <c r="J200" s="16">
        <v>0</v>
      </c>
      <c r="K200" s="16">
        <v>342.7</v>
      </c>
      <c r="L200" s="16" t="s">
        <v>139</v>
      </c>
      <c r="M200" s="16" t="s">
        <v>119</v>
      </c>
      <c r="N200" s="27">
        <v>45596.501388888886</v>
      </c>
      <c r="O200" s="27">
        <v>45597.28402777778</v>
      </c>
      <c r="P200" s="16">
        <v>4.3</v>
      </c>
      <c r="Q200" s="16" t="b">
        <f>FALSE()</f>
        <v>0</v>
      </c>
      <c r="R200" s="16" t="b">
        <f>FALSE()</f>
        <v>0</v>
      </c>
      <c r="S200" s="17">
        <f t="shared" si="3"/>
        <v>18.8</v>
      </c>
      <c r="T200">
        <f>COUNTIF('👤 Customers'!$A:$A, B200)</f>
        <v>1</v>
      </c>
      <c r="U200">
        <f>COUNTIF('🚴 Riders'!A199:A259, C200)</f>
        <v>0</v>
      </c>
      <c r="V200">
        <f>COUNTIF('🏭 Facilities'!A199:A207, D200)</f>
        <v>0</v>
      </c>
    </row>
    <row r="201" spans="1:22">
      <c r="A201" s="18" t="s">
        <v>758</v>
      </c>
      <c r="B201" s="18" t="s">
        <v>759</v>
      </c>
      <c r="C201" s="18" t="s">
        <v>129</v>
      </c>
      <c r="D201" s="18" t="s">
        <v>158</v>
      </c>
      <c r="E201" s="26">
        <v>45144</v>
      </c>
      <c r="F201" s="18" t="s">
        <v>760</v>
      </c>
      <c r="G201" s="18" t="s">
        <v>145</v>
      </c>
      <c r="H201" s="18">
        <v>2.2999999999999998</v>
      </c>
      <c r="I201" s="18">
        <v>299</v>
      </c>
      <c r="J201" s="18">
        <v>0</v>
      </c>
      <c r="K201" s="18">
        <v>687.7</v>
      </c>
      <c r="L201" s="18" t="s">
        <v>139</v>
      </c>
      <c r="M201" s="18" t="s">
        <v>133</v>
      </c>
      <c r="N201" s="20"/>
      <c r="O201" s="20"/>
      <c r="P201" s="20"/>
      <c r="Q201" s="18" t="b">
        <f>FALSE()</f>
        <v>0</v>
      </c>
      <c r="R201" s="18" t="b">
        <f>FALSE()</f>
        <v>0</v>
      </c>
      <c r="S201" s="19" t="str">
        <f t="shared" si="3"/>
        <v>N/A</v>
      </c>
      <c r="T201">
        <f>COUNTIF('👤 Customers'!$A:$A, B201)</f>
        <v>1</v>
      </c>
      <c r="U201">
        <f>COUNTIF('🚴 Riders'!A200:A260, C201)</f>
        <v>0</v>
      </c>
      <c r="V201">
        <f>COUNTIF('🏭 Facilities'!A200:A208, D201)</f>
        <v>0</v>
      </c>
    </row>
    <row r="202" spans="1:22">
      <c r="A202" s="16" t="s">
        <v>761</v>
      </c>
      <c r="B202" s="16" t="s">
        <v>762</v>
      </c>
      <c r="C202" s="16" t="s">
        <v>339</v>
      </c>
      <c r="D202" s="16" t="s">
        <v>205</v>
      </c>
      <c r="E202" s="25">
        <v>45500</v>
      </c>
      <c r="F202" s="16" t="s">
        <v>763</v>
      </c>
      <c r="G202" s="16" t="s">
        <v>132</v>
      </c>
      <c r="H202" s="16">
        <v>4.3</v>
      </c>
      <c r="I202" s="16">
        <v>399</v>
      </c>
      <c r="J202" s="16">
        <v>0</v>
      </c>
      <c r="K202" s="16">
        <v>1715.7</v>
      </c>
      <c r="L202" s="16" t="s">
        <v>139</v>
      </c>
      <c r="M202" s="16" t="s">
        <v>119</v>
      </c>
      <c r="N202" s="27">
        <v>45500.736111111109</v>
      </c>
      <c r="O202" s="27">
        <v>45501.845138888886</v>
      </c>
      <c r="P202" s="16">
        <v>3.3</v>
      </c>
      <c r="Q202" s="16" t="b">
        <f>FALSE()</f>
        <v>0</v>
      </c>
      <c r="R202" s="16" t="b">
        <f>FALSE()</f>
        <v>0</v>
      </c>
      <c r="S202" s="17">
        <f t="shared" si="3"/>
        <v>26.6</v>
      </c>
      <c r="T202">
        <f>COUNTIF('👤 Customers'!$A:$A, B202)</f>
        <v>1</v>
      </c>
      <c r="U202">
        <f>COUNTIF('🚴 Riders'!A201:A261, C202)</f>
        <v>0</v>
      </c>
      <c r="V202">
        <f>COUNTIF('🏭 Facilities'!A201:A209, D202)</f>
        <v>0</v>
      </c>
    </row>
    <row r="203" spans="1:22">
      <c r="A203" s="18" t="s">
        <v>764</v>
      </c>
      <c r="B203" s="18" t="s">
        <v>400</v>
      </c>
      <c r="C203" s="18" t="s">
        <v>343</v>
      </c>
      <c r="D203" s="18" t="s">
        <v>205</v>
      </c>
      <c r="E203" s="26">
        <v>45236</v>
      </c>
      <c r="F203" s="18" t="s">
        <v>765</v>
      </c>
      <c r="G203" s="18" t="s">
        <v>125</v>
      </c>
      <c r="H203" s="18">
        <v>5.8</v>
      </c>
      <c r="I203" s="18">
        <v>199</v>
      </c>
      <c r="J203" s="18">
        <v>0</v>
      </c>
      <c r="K203" s="18">
        <v>1154.2</v>
      </c>
      <c r="L203" s="18" t="s">
        <v>118</v>
      </c>
      <c r="M203" s="18" t="s">
        <v>119</v>
      </c>
      <c r="N203" s="28">
        <v>45236.538194444445</v>
      </c>
      <c r="O203" s="28">
        <v>45237.339583333334</v>
      </c>
      <c r="P203" s="18">
        <v>3.9</v>
      </c>
      <c r="Q203" s="18" t="b">
        <f>FALSE()</f>
        <v>0</v>
      </c>
      <c r="R203" s="18" t="b">
        <f>FALSE()</f>
        <v>0</v>
      </c>
      <c r="S203" s="19">
        <f t="shared" si="3"/>
        <v>19.2</v>
      </c>
      <c r="T203">
        <f>COUNTIF('👤 Customers'!$A:$A, B203)</f>
        <v>1</v>
      </c>
      <c r="U203">
        <f>COUNTIF('🚴 Riders'!A202:A262, C203)</f>
        <v>0</v>
      </c>
      <c r="V203">
        <f>COUNTIF('🏭 Facilities'!A202:A210, D203)</f>
        <v>0</v>
      </c>
    </row>
    <row r="204" spans="1:22">
      <c r="A204" s="16" t="s">
        <v>766</v>
      </c>
      <c r="B204" s="16" t="s">
        <v>156</v>
      </c>
      <c r="C204" s="16" t="s">
        <v>204</v>
      </c>
      <c r="D204" s="16" t="s">
        <v>123</v>
      </c>
      <c r="E204" s="25">
        <v>44942</v>
      </c>
      <c r="F204" s="16" t="s">
        <v>767</v>
      </c>
      <c r="G204" s="16" t="s">
        <v>145</v>
      </c>
      <c r="H204" s="16">
        <v>1.8</v>
      </c>
      <c r="I204" s="16">
        <v>299</v>
      </c>
      <c r="J204" s="16">
        <v>20</v>
      </c>
      <c r="K204" s="16">
        <v>430.56</v>
      </c>
      <c r="L204" s="16" t="s">
        <v>118</v>
      </c>
      <c r="M204" s="16" t="s">
        <v>133</v>
      </c>
      <c r="N204" s="20"/>
      <c r="O204" s="20"/>
      <c r="P204" s="20"/>
      <c r="Q204" s="16" t="b">
        <f>FALSE()</f>
        <v>0</v>
      </c>
      <c r="R204" s="16" t="b">
        <f>FALSE()</f>
        <v>0</v>
      </c>
      <c r="S204" s="17" t="str">
        <f t="shared" si="3"/>
        <v>N/A</v>
      </c>
      <c r="T204">
        <f>COUNTIF('👤 Customers'!$A:$A, B204)</f>
        <v>1</v>
      </c>
      <c r="U204">
        <f>COUNTIF('🚴 Riders'!A203:A263, C204)</f>
        <v>0</v>
      </c>
      <c r="V204">
        <f>COUNTIF('🏭 Facilities'!A203:A211, D204)</f>
        <v>0</v>
      </c>
    </row>
    <row r="205" spans="1:22">
      <c r="A205" s="18" t="s">
        <v>768</v>
      </c>
      <c r="B205" s="18" t="s">
        <v>769</v>
      </c>
      <c r="C205" s="18" t="s">
        <v>326</v>
      </c>
      <c r="D205" s="18" t="s">
        <v>205</v>
      </c>
      <c r="E205" s="26">
        <v>45528</v>
      </c>
      <c r="F205" s="18" t="s">
        <v>770</v>
      </c>
      <c r="G205" s="18" t="s">
        <v>145</v>
      </c>
      <c r="H205" s="18">
        <v>7.2</v>
      </c>
      <c r="I205" s="18">
        <v>299</v>
      </c>
      <c r="J205" s="18">
        <v>0</v>
      </c>
      <c r="K205" s="18">
        <v>2152.8000000000002</v>
      </c>
      <c r="L205" s="18" t="s">
        <v>139</v>
      </c>
      <c r="M205" s="18" t="s">
        <v>119</v>
      </c>
      <c r="N205" s="28">
        <v>45528.85</v>
      </c>
      <c r="O205" s="28">
        <v>45529.931250000001</v>
      </c>
      <c r="P205" s="18">
        <v>4.0999999999999996</v>
      </c>
      <c r="Q205" s="18" t="b">
        <f>FALSE()</f>
        <v>0</v>
      </c>
      <c r="R205" s="18" t="b">
        <f>FALSE()</f>
        <v>0</v>
      </c>
      <c r="S205" s="19">
        <f t="shared" si="3"/>
        <v>26</v>
      </c>
      <c r="T205">
        <f>COUNTIF('👤 Customers'!$A:$A, B205)</f>
        <v>1</v>
      </c>
      <c r="U205">
        <f>COUNTIF('🚴 Riders'!A204:A264, C205)</f>
        <v>0</v>
      </c>
      <c r="V205">
        <f>COUNTIF('🏭 Facilities'!A204:A212, D205)</f>
        <v>0</v>
      </c>
    </row>
    <row r="206" spans="1:22">
      <c r="A206" s="16" t="s">
        <v>771</v>
      </c>
      <c r="B206" s="16" t="s">
        <v>430</v>
      </c>
      <c r="C206" s="16" t="s">
        <v>153</v>
      </c>
      <c r="D206" s="16" t="s">
        <v>115</v>
      </c>
      <c r="E206" s="25">
        <v>44982</v>
      </c>
      <c r="F206" s="16" t="s">
        <v>772</v>
      </c>
      <c r="G206" s="16" t="s">
        <v>125</v>
      </c>
      <c r="H206" s="16">
        <v>2.1</v>
      </c>
      <c r="I206" s="16">
        <v>199</v>
      </c>
      <c r="J206" s="16">
        <v>0</v>
      </c>
      <c r="K206" s="16">
        <v>417.9</v>
      </c>
      <c r="L206" s="16" t="s">
        <v>118</v>
      </c>
      <c r="M206" s="16" t="s">
        <v>119</v>
      </c>
      <c r="N206" s="27">
        <v>44982.530555555553</v>
      </c>
      <c r="O206" s="27">
        <v>44983.405555555553</v>
      </c>
      <c r="P206" s="16">
        <v>4.4000000000000004</v>
      </c>
      <c r="Q206" s="16" t="b">
        <f>FALSE()</f>
        <v>0</v>
      </c>
      <c r="R206" s="16" t="b">
        <f>FALSE()</f>
        <v>0</v>
      </c>
      <c r="S206" s="17">
        <f t="shared" si="3"/>
        <v>21</v>
      </c>
      <c r="T206">
        <f>COUNTIF('👤 Customers'!$A:$A, B206)</f>
        <v>1</v>
      </c>
      <c r="U206">
        <f>COUNTIF('🚴 Riders'!A205:A265, C206)</f>
        <v>0</v>
      </c>
      <c r="V206">
        <f>COUNTIF('🏭 Facilities'!A205:A213, D206)</f>
        <v>0</v>
      </c>
    </row>
    <row r="207" spans="1:22">
      <c r="A207" s="18" t="s">
        <v>773</v>
      </c>
      <c r="B207" s="18" t="s">
        <v>774</v>
      </c>
      <c r="C207" s="18" t="s">
        <v>362</v>
      </c>
      <c r="D207" s="18" t="s">
        <v>137</v>
      </c>
      <c r="E207" s="26">
        <v>45056</v>
      </c>
      <c r="F207" s="18" t="s">
        <v>775</v>
      </c>
      <c r="G207" s="18" t="s">
        <v>132</v>
      </c>
      <c r="H207" s="18">
        <v>7</v>
      </c>
      <c r="I207" s="18">
        <v>399</v>
      </c>
      <c r="J207" s="18">
        <v>0</v>
      </c>
      <c r="K207" s="18">
        <v>2793</v>
      </c>
      <c r="L207" s="18" t="s">
        <v>139</v>
      </c>
      <c r="M207" s="18" t="s">
        <v>119</v>
      </c>
      <c r="N207" s="28">
        <v>45057.07708333333</v>
      </c>
      <c r="O207" s="28">
        <v>45058.131944444445</v>
      </c>
      <c r="P207" s="18">
        <v>2.8</v>
      </c>
      <c r="Q207" s="18" t="b">
        <f>TRUE()</f>
        <v>1</v>
      </c>
      <c r="R207" s="18" t="b">
        <f>FALSE()</f>
        <v>0</v>
      </c>
      <c r="S207" s="19">
        <f t="shared" si="3"/>
        <v>25.3</v>
      </c>
      <c r="T207">
        <f>COUNTIF('👤 Customers'!$A:$A, B207)</f>
        <v>1</v>
      </c>
      <c r="U207">
        <f>COUNTIF('🚴 Riders'!A206:A266, C207)</f>
        <v>0</v>
      </c>
      <c r="V207">
        <f>COUNTIF('🏭 Facilities'!A206:A214, D207)</f>
        <v>0</v>
      </c>
    </row>
    <row r="208" spans="1:22">
      <c r="A208" s="16" t="s">
        <v>776</v>
      </c>
      <c r="B208" s="16" t="s">
        <v>406</v>
      </c>
      <c r="C208" s="16" t="s">
        <v>479</v>
      </c>
      <c r="D208" s="16" t="s">
        <v>158</v>
      </c>
      <c r="E208" s="25">
        <v>45352</v>
      </c>
      <c r="F208" s="16" t="s">
        <v>777</v>
      </c>
      <c r="G208" s="16" t="s">
        <v>125</v>
      </c>
      <c r="H208" s="16">
        <v>1.2</v>
      </c>
      <c r="I208" s="16">
        <v>199</v>
      </c>
      <c r="J208" s="16">
        <v>0</v>
      </c>
      <c r="K208" s="16">
        <v>238.8</v>
      </c>
      <c r="L208" s="16" t="s">
        <v>118</v>
      </c>
      <c r="M208" s="16" t="s">
        <v>119</v>
      </c>
      <c r="N208" s="27">
        <v>45353.01666666667</v>
      </c>
      <c r="O208" s="27">
        <v>45353.779166666667</v>
      </c>
      <c r="P208" s="16">
        <v>3.1</v>
      </c>
      <c r="Q208" s="16" t="b">
        <f>FALSE()</f>
        <v>0</v>
      </c>
      <c r="R208" s="16" t="b">
        <f>FALSE()</f>
        <v>0</v>
      </c>
      <c r="S208" s="17">
        <f t="shared" si="3"/>
        <v>18.3</v>
      </c>
      <c r="T208">
        <f>COUNTIF('👤 Customers'!$A:$A, B208)</f>
        <v>1</v>
      </c>
      <c r="U208">
        <f>COUNTIF('🚴 Riders'!A207:A267, C208)</f>
        <v>0</v>
      </c>
      <c r="V208">
        <f>COUNTIF('🏭 Facilities'!A207:A215, D208)</f>
        <v>0</v>
      </c>
    </row>
    <row r="209" spans="1:22">
      <c r="A209" s="18" t="s">
        <v>778</v>
      </c>
      <c r="B209" s="18" t="s">
        <v>779</v>
      </c>
      <c r="C209" s="18" t="s">
        <v>251</v>
      </c>
      <c r="D209" s="18" t="s">
        <v>123</v>
      </c>
      <c r="E209" s="26">
        <v>45025</v>
      </c>
      <c r="F209" s="18" t="s">
        <v>780</v>
      </c>
      <c r="G209" s="18" t="s">
        <v>132</v>
      </c>
      <c r="H209" s="18">
        <v>4.7</v>
      </c>
      <c r="I209" s="18">
        <v>399</v>
      </c>
      <c r="J209" s="18">
        <v>0</v>
      </c>
      <c r="K209" s="18">
        <v>1875.3</v>
      </c>
      <c r="L209" s="18" t="s">
        <v>146</v>
      </c>
      <c r="M209" s="18" t="s">
        <v>119</v>
      </c>
      <c r="N209" s="28">
        <v>45025.304166666669</v>
      </c>
      <c r="O209" s="28">
        <v>45026.268055555556</v>
      </c>
      <c r="P209" s="18">
        <v>3.6</v>
      </c>
      <c r="Q209" s="18" t="b">
        <f>FALSE()</f>
        <v>0</v>
      </c>
      <c r="R209" s="18" t="b">
        <f>FALSE()</f>
        <v>0</v>
      </c>
      <c r="S209" s="19">
        <f t="shared" si="3"/>
        <v>23.1</v>
      </c>
      <c r="T209">
        <f>COUNTIF('👤 Customers'!$A:$A, B209)</f>
        <v>1</v>
      </c>
      <c r="U209">
        <f>COUNTIF('🚴 Riders'!A208:A268, C209)</f>
        <v>0</v>
      </c>
      <c r="V209">
        <f>COUNTIF('🏭 Facilities'!A208:A216, D209)</f>
        <v>0</v>
      </c>
    </row>
    <row r="210" spans="1:22">
      <c r="A210" s="16" t="s">
        <v>781</v>
      </c>
      <c r="B210" s="16" t="s">
        <v>782</v>
      </c>
      <c r="C210" s="16" t="s">
        <v>261</v>
      </c>
      <c r="D210" s="16" t="s">
        <v>205</v>
      </c>
      <c r="E210" s="25">
        <v>45064</v>
      </c>
      <c r="F210" s="16" t="s">
        <v>783</v>
      </c>
      <c r="G210" s="16" t="s">
        <v>176</v>
      </c>
      <c r="H210" s="16">
        <v>5.2</v>
      </c>
      <c r="I210" s="16">
        <v>599</v>
      </c>
      <c r="J210" s="16">
        <v>10</v>
      </c>
      <c r="K210" s="16">
        <v>2803.32</v>
      </c>
      <c r="L210" s="16" t="s">
        <v>139</v>
      </c>
      <c r="M210" s="16" t="s">
        <v>140</v>
      </c>
      <c r="N210" s="27">
        <v>45064.656944444447</v>
      </c>
      <c r="O210" s="27">
        <v>45065.327777777777</v>
      </c>
      <c r="P210" s="20"/>
      <c r="Q210" s="16" t="b">
        <f>FALSE()</f>
        <v>0</v>
      </c>
      <c r="R210" s="16" t="b">
        <f>FALSE()</f>
        <v>0</v>
      </c>
      <c r="S210" s="17">
        <f t="shared" si="3"/>
        <v>16.100000000000001</v>
      </c>
      <c r="T210">
        <f>COUNTIF('👤 Customers'!$A:$A, B210)</f>
        <v>1</v>
      </c>
      <c r="U210">
        <f>COUNTIF('🚴 Riders'!A209:A269, C210)</f>
        <v>0</v>
      </c>
      <c r="V210">
        <f>COUNTIF('🏭 Facilities'!A209:A217, D210)</f>
        <v>0</v>
      </c>
    </row>
    <row r="211" spans="1:22">
      <c r="A211" s="18" t="s">
        <v>784</v>
      </c>
      <c r="B211" s="18" t="s">
        <v>785</v>
      </c>
      <c r="C211" s="18" t="s">
        <v>265</v>
      </c>
      <c r="D211" s="18" t="s">
        <v>123</v>
      </c>
      <c r="E211" s="26">
        <v>45270</v>
      </c>
      <c r="F211" s="18" t="s">
        <v>786</v>
      </c>
      <c r="G211" s="18" t="s">
        <v>117</v>
      </c>
      <c r="H211" s="18">
        <v>3.6</v>
      </c>
      <c r="I211" s="18">
        <v>149</v>
      </c>
      <c r="J211" s="18">
        <v>0</v>
      </c>
      <c r="K211" s="18">
        <v>536.4</v>
      </c>
      <c r="L211" s="18" t="s">
        <v>139</v>
      </c>
      <c r="M211" s="18" t="s">
        <v>119</v>
      </c>
      <c r="N211" s="28">
        <v>45270.224999999999</v>
      </c>
      <c r="O211" s="28">
        <v>45270.972222222219</v>
      </c>
      <c r="P211" s="18">
        <v>3.8</v>
      </c>
      <c r="Q211" s="18" t="b">
        <f>FALSE()</f>
        <v>0</v>
      </c>
      <c r="R211" s="18" t="b">
        <f>FALSE()</f>
        <v>0</v>
      </c>
      <c r="S211" s="19">
        <f t="shared" si="3"/>
        <v>17.899999999999999</v>
      </c>
      <c r="T211">
        <f>COUNTIF('👤 Customers'!$A:$A, B211)</f>
        <v>1</v>
      </c>
      <c r="U211">
        <f>COUNTIF('🚴 Riders'!A210:A270, C211)</f>
        <v>0</v>
      </c>
      <c r="V211">
        <f>COUNTIF('🏭 Facilities'!A210:A218, D211)</f>
        <v>0</v>
      </c>
    </row>
    <row r="212" spans="1:22">
      <c r="A212" s="16" t="s">
        <v>787</v>
      </c>
      <c r="B212" s="16" t="s">
        <v>788</v>
      </c>
      <c r="C212" s="16" t="s">
        <v>276</v>
      </c>
      <c r="D212" s="16" t="s">
        <v>158</v>
      </c>
      <c r="E212" s="25">
        <v>45513</v>
      </c>
      <c r="F212" s="16" t="s">
        <v>789</v>
      </c>
      <c r="G212" s="16" t="s">
        <v>145</v>
      </c>
      <c r="H212" s="16">
        <v>3.1</v>
      </c>
      <c r="I212" s="16">
        <v>299</v>
      </c>
      <c r="J212" s="16">
        <v>10</v>
      </c>
      <c r="K212" s="16">
        <v>834.21</v>
      </c>
      <c r="L212" s="16" t="s">
        <v>139</v>
      </c>
      <c r="M212" s="16" t="s">
        <v>119</v>
      </c>
      <c r="N212" s="27">
        <v>45513.900694444441</v>
      </c>
      <c r="O212" s="27">
        <v>45514.835416666669</v>
      </c>
      <c r="P212" s="16">
        <v>3.1</v>
      </c>
      <c r="Q212" s="16" t="b">
        <f>FALSE()</f>
        <v>0</v>
      </c>
      <c r="R212" s="16" t="b">
        <f>FALSE()</f>
        <v>0</v>
      </c>
      <c r="S212" s="17">
        <f t="shared" si="3"/>
        <v>22.4</v>
      </c>
      <c r="T212">
        <f>COUNTIF('👤 Customers'!$A:$A, B212)</f>
        <v>1</v>
      </c>
      <c r="U212">
        <f>COUNTIF('🚴 Riders'!A211:A271, C212)</f>
        <v>0</v>
      </c>
      <c r="V212">
        <f>COUNTIF('🏭 Facilities'!A211:A219, D212)</f>
        <v>0</v>
      </c>
    </row>
    <row r="213" spans="1:22">
      <c r="A213" s="18" t="s">
        <v>790</v>
      </c>
      <c r="B213" s="18" t="s">
        <v>791</v>
      </c>
      <c r="C213" s="18" t="s">
        <v>224</v>
      </c>
      <c r="D213" s="18" t="s">
        <v>123</v>
      </c>
      <c r="E213" s="26">
        <v>45570</v>
      </c>
      <c r="F213" s="18" t="s">
        <v>792</v>
      </c>
      <c r="G213" s="18" t="s">
        <v>145</v>
      </c>
      <c r="H213" s="18">
        <v>2.5</v>
      </c>
      <c r="I213" s="18">
        <v>299</v>
      </c>
      <c r="J213" s="18">
        <v>0</v>
      </c>
      <c r="K213" s="18">
        <v>747.5</v>
      </c>
      <c r="L213" s="18" t="s">
        <v>118</v>
      </c>
      <c r="M213" s="18" t="s">
        <v>140</v>
      </c>
      <c r="N213" s="28">
        <v>45570.513888888891</v>
      </c>
      <c r="O213" s="28">
        <v>45571.45416666667</v>
      </c>
      <c r="P213" s="20"/>
      <c r="Q213" s="18" t="b">
        <f>FALSE()</f>
        <v>0</v>
      </c>
      <c r="R213" s="18" t="b">
        <f>FALSE()</f>
        <v>0</v>
      </c>
      <c r="S213" s="19">
        <f t="shared" si="3"/>
        <v>22.6</v>
      </c>
      <c r="T213">
        <f>COUNTIF('👤 Customers'!$A:$A, B213)</f>
        <v>1</v>
      </c>
      <c r="U213">
        <f>COUNTIF('🚴 Riders'!A212:A272, C213)</f>
        <v>0</v>
      </c>
      <c r="V213">
        <f>COUNTIF('🏭 Facilities'!A212:A220, D213)</f>
        <v>0</v>
      </c>
    </row>
    <row r="214" spans="1:22">
      <c r="A214" s="16" t="s">
        <v>793</v>
      </c>
      <c r="B214" s="16" t="s">
        <v>424</v>
      </c>
      <c r="C214" s="16" t="s">
        <v>224</v>
      </c>
      <c r="D214" s="16" t="s">
        <v>115</v>
      </c>
      <c r="E214" s="25">
        <v>45135</v>
      </c>
      <c r="F214" s="16" t="s">
        <v>794</v>
      </c>
      <c r="G214" s="16" t="s">
        <v>145</v>
      </c>
      <c r="H214" s="16">
        <v>2.2999999999999998</v>
      </c>
      <c r="I214" s="16">
        <v>299</v>
      </c>
      <c r="J214" s="16">
        <v>0</v>
      </c>
      <c r="K214" s="16">
        <v>687.7</v>
      </c>
      <c r="L214" s="16" t="s">
        <v>207</v>
      </c>
      <c r="M214" s="16" t="s">
        <v>119</v>
      </c>
      <c r="N214" s="27">
        <v>45135.863194444442</v>
      </c>
      <c r="O214" s="27">
        <v>45136.684027777781</v>
      </c>
      <c r="P214" s="16">
        <v>3.3</v>
      </c>
      <c r="Q214" s="16" t="b">
        <f>FALSE()</f>
        <v>0</v>
      </c>
      <c r="R214" s="16" t="b">
        <f>FALSE()</f>
        <v>0</v>
      </c>
      <c r="S214" s="17">
        <f t="shared" si="3"/>
        <v>19.7</v>
      </c>
      <c r="T214">
        <f>COUNTIF('👤 Customers'!$A:$A, B214)</f>
        <v>1</v>
      </c>
      <c r="U214">
        <f>COUNTIF('🚴 Riders'!A213:A273, C214)</f>
        <v>0</v>
      </c>
      <c r="V214">
        <f>COUNTIF('🏭 Facilities'!A213:A221, D214)</f>
        <v>0</v>
      </c>
    </row>
    <row r="215" spans="1:22">
      <c r="A215" s="18" t="s">
        <v>795</v>
      </c>
      <c r="B215" s="18" t="s">
        <v>796</v>
      </c>
      <c r="C215" s="18" t="s">
        <v>304</v>
      </c>
      <c r="D215" s="18" t="s">
        <v>115</v>
      </c>
      <c r="E215" s="26">
        <v>44944</v>
      </c>
      <c r="F215" s="18" t="s">
        <v>797</v>
      </c>
      <c r="G215" s="18" t="s">
        <v>132</v>
      </c>
      <c r="H215" s="18">
        <v>7.8</v>
      </c>
      <c r="I215" s="18">
        <v>399</v>
      </c>
      <c r="J215" s="18">
        <v>0</v>
      </c>
      <c r="K215" s="18">
        <v>3112.2</v>
      </c>
      <c r="L215" s="18" t="s">
        <v>207</v>
      </c>
      <c r="M215" s="18" t="s">
        <v>119</v>
      </c>
      <c r="N215" s="28">
        <v>44944.314583333333</v>
      </c>
      <c r="O215" s="28">
        <v>44945.17083333333</v>
      </c>
      <c r="P215" s="18">
        <v>3.4</v>
      </c>
      <c r="Q215" s="18" t="b">
        <f>FALSE()</f>
        <v>0</v>
      </c>
      <c r="R215" s="18" t="b">
        <f>FALSE()</f>
        <v>0</v>
      </c>
      <c r="S215" s="19">
        <f t="shared" si="3"/>
        <v>20.5</v>
      </c>
      <c r="T215">
        <f>COUNTIF('👤 Customers'!$A:$A, B215)</f>
        <v>1</v>
      </c>
      <c r="U215">
        <f>COUNTIF('🚴 Riders'!A214:A274, C215)</f>
        <v>0</v>
      </c>
      <c r="V215">
        <f>COUNTIF('🏭 Facilities'!A214:A222, D215)</f>
        <v>0</v>
      </c>
    </row>
    <row r="216" spans="1:22">
      <c r="A216" s="16" t="s">
        <v>798</v>
      </c>
      <c r="B216" s="16" t="s">
        <v>799</v>
      </c>
      <c r="C216" s="16" t="s">
        <v>354</v>
      </c>
      <c r="D216" s="16" t="s">
        <v>197</v>
      </c>
      <c r="E216" s="25">
        <v>45215</v>
      </c>
      <c r="F216" s="16" t="s">
        <v>800</v>
      </c>
      <c r="G216" s="16" t="s">
        <v>145</v>
      </c>
      <c r="H216" s="16">
        <v>5.9</v>
      </c>
      <c r="I216" s="16">
        <v>299</v>
      </c>
      <c r="J216" s="16">
        <v>0</v>
      </c>
      <c r="K216" s="16">
        <v>1764.1</v>
      </c>
      <c r="L216" s="16" t="s">
        <v>146</v>
      </c>
      <c r="M216" s="16" t="s">
        <v>119</v>
      </c>
      <c r="N216" s="27">
        <v>45215.615972222222</v>
      </c>
      <c r="O216" s="27">
        <v>45216.626388888886</v>
      </c>
      <c r="P216" s="16">
        <v>3.7</v>
      </c>
      <c r="Q216" s="16" t="b">
        <f>FALSE()</f>
        <v>0</v>
      </c>
      <c r="R216" s="16" t="b">
        <f>FALSE()</f>
        <v>0</v>
      </c>
      <c r="S216" s="17">
        <f t="shared" si="3"/>
        <v>24.2</v>
      </c>
      <c r="T216">
        <f>COUNTIF('👤 Customers'!$A:$A, B216)</f>
        <v>1</v>
      </c>
      <c r="U216">
        <f>COUNTIF('🚴 Riders'!A215:A275, C216)</f>
        <v>0</v>
      </c>
      <c r="V216">
        <f>COUNTIF('🏭 Facilities'!A215:A223, D216)</f>
        <v>0</v>
      </c>
    </row>
    <row r="217" spans="1:22">
      <c r="A217" s="18" t="s">
        <v>801</v>
      </c>
      <c r="B217" s="18" t="s">
        <v>610</v>
      </c>
      <c r="C217" s="18" t="s">
        <v>122</v>
      </c>
      <c r="D217" s="18" t="s">
        <v>130</v>
      </c>
      <c r="E217" s="26">
        <v>45561</v>
      </c>
      <c r="F217" s="18" t="s">
        <v>802</v>
      </c>
      <c r="G217" s="18" t="s">
        <v>145</v>
      </c>
      <c r="H217" s="18">
        <v>6.8</v>
      </c>
      <c r="I217" s="18">
        <v>299</v>
      </c>
      <c r="J217" s="18">
        <v>0</v>
      </c>
      <c r="K217" s="18">
        <v>2033.2</v>
      </c>
      <c r="L217" s="18" t="s">
        <v>139</v>
      </c>
      <c r="M217" s="18" t="s">
        <v>140</v>
      </c>
      <c r="N217" s="28">
        <v>45561.834027777775</v>
      </c>
      <c r="O217" s="28">
        <v>45562.740972222222</v>
      </c>
      <c r="P217" s="20"/>
      <c r="Q217" s="18" t="b">
        <f>FALSE()</f>
        <v>0</v>
      </c>
      <c r="R217" s="18" t="b">
        <f>TRUE()</f>
        <v>1</v>
      </c>
      <c r="S217" s="19">
        <f t="shared" si="3"/>
        <v>21.8</v>
      </c>
      <c r="T217">
        <f>COUNTIF('👤 Customers'!$A:$A, B217)</f>
        <v>1</v>
      </c>
      <c r="U217">
        <f>COUNTIF('🚴 Riders'!A216:A276, C217)</f>
        <v>0</v>
      </c>
      <c r="V217">
        <f>COUNTIF('🏭 Facilities'!A216:A224, D217)</f>
        <v>0</v>
      </c>
    </row>
    <row r="218" spans="1:22">
      <c r="A218" s="16" t="s">
        <v>803</v>
      </c>
      <c r="B218" s="16" t="s">
        <v>264</v>
      </c>
      <c r="C218" s="16" t="s">
        <v>611</v>
      </c>
      <c r="D218" s="16" t="s">
        <v>197</v>
      </c>
      <c r="E218" s="25">
        <v>45444</v>
      </c>
      <c r="F218" s="16" t="s">
        <v>804</v>
      </c>
      <c r="G218" s="16" t="s">
        <v>132</v>
      </c>
      <c r="H218" s="16">
        <v>4.3</v>
      </c>
      <c r="I218" s="16">
        <v>399</v>
      </c>
      <c r="J218" s="16">
        <v>10</v>
      </c>
      <c r="K218" s="16">
        <v>1544.13</v>
      </c>
      <c r="L218" s="16" t="s">
        <v>118</v>
      </c>
      <c r="M218" s="16" t="s">
        <v>119</v>
      </c>
      <c r="N218" s="27">
        <v>45444.460416666669</v>
      </c>
      <c r="O218" s="27">
        <v>45444.931944444441</v>
      </c>
      <c r="P218" s="16">
        <v>3.7</v>
      </c>
      <c r="Q218" s="16" t="b">
        <f>FALSE()</f>
        <v>0</v>
      </c>
      <c r="R218" s="16" t="b">
        <f>FALSE()</f>
        <v>0</v>
      </c>
      <c r="S218" s="17">
        <f t="shared" si="3"/>
        <v>11.3</v>
      </c>
      <c r="T218">
        <f>COUNTIF('👤 Customers'!$A:$A, B218)</f>
        <v>1</v>
      </c>
      <c r="U218">
        <f>COUNTIF('🚴 Riders'!A217:A277, C218)</f>
        <v>0</v>
      </c>
      <c r="V218">
        <f>COUNTIF('🏭 Facilities'!A217:A225, D218)</f>
        <v>0</v>
      </c>
    </row>
    <row r="219" spans="1:22">
      <c r="A219" s="18" t="s">
        <v>805</v>
      </c>
      <c r="B219" s="18" t="s">
        <v>806</v>
      </c>
      <c r="C219" s="18" t="s">
        <v>354</v>
      </c>
      <c r="D219" s="18" t="s">
        <v>130</v>
      </c>
      <c r="E219" s="26">
        <v>44967</v>
      </c>
      <c r="F219" s="18" t="s">
        <v>807</v>
      </c>
      <c r="G219" s="18" t="s">
        <v>132</v>
      </c>
      <c r="H219" s="18">
        <v>7.8</v>
      </c>
      <c r="I219" s="18">
        <v>399</v>
      </c>
      <c r="J219" s="18">
        <v>0</v>
      </c>
      <c r="K219" s="18">
        <v>3112.2</v>
      </c>
      <c r="L219" s="18" t="s">
        <v>126</v>
      </c>
      <c r="M219" s="18" t="s">
        <v>119</v>
      </c>
      <c r="N219" s="28">
        <v>44967.525694444441</v>
      </c>
      <c r="O219" s="28">
        <v>44967.965277777781</v>
      </c>
      <c r="P219" s="18">
        <v>4.9000000000000004</v>
      </c>
      <c r="Q219" s="18" t="b">
        <f>FALSE()</f>
        <v>0</v>
      </c>
      <c r="R219" s="18" t="b">
        <f>FALSE()</f>
        <v>0</v>
      </c>
      <c r="S219" s="19">
        <f t="shared" si="3"/>
        <v>10.6</v>
      </c>
      <c r="T219">
        <f>COUNTIF('👤 Customers'!$A:$A, B219)</f>
        <v>1</v>
      </c>
      <c r="U219">
        <f>COUNTIF('🚴 Riders'!A218:A278, C219)</f>
        <v>0</v>
      </c>
      <c r="V219">
        <f>COUNTIF('🏭 Facilities'!A218:A226, D219)</f>
        <v>0</v>
      </c>
    </row>
    <row r="220" spans="1:22">
      <c r="A220" s="16" t="s">
        <v>808</v>
      </c>
      <c r="B220" s="16" t="s">
        <v>406</v>
      </c>
      <c r="C220" s="16" t="s">
        <v>196</v>
      </c>
      <c r="D220" s="16" t="s">
        <v>184</v>
      </c>
      <c r="E220" s="25">
        <v>45461</v>
      </c>
      <c r="F220" s="16" t="s">
        <v>809</v>
      </c>
      <c r="G220" s="16" t="s">
        <v>176</v>
      </c>
      <c r="H220" s="16">
        <v>2.1</v>
      </c>
      <c r="I220" s="16">
        <v>599</v>
      </c>
      <c r="J220" s="16">
        <v>10</v>
      </c>
      <c r="K220" s="16">
        <v>1132.1099999999999</v>
      </c>
      <c r="L220" s="16" t="s">
        <v>126</v>
      </c>
      <c r="M220" s="16" t="s">
        <v>119</v>
      </c>
      <c r="N220" s="27">
        <v>45461.744444444441</v>
      </c>
      <c r="O220" s="27">
        <v>45462.15625</v>
      </c>
      <c r="P220" s="16">
        <v>3.4</v>
      </c>
      <c r="Q220" s="16" t="b">
        <f>FALSE()</f>
        <v>0</v>
      </c>
      <c r="R220" s="16" t="b">
        <f>FALSE()</f>
        <v>0</v>
      </c>
      <c r="S220" s="17">
        <f t="shared" si="3"/>
        <v>9.9</v>
      </c>
      <c r="T220">
        <f>COUNTIF('👤 Customers'!$A:$A, B220)</f>
        <v>1</v>
      </c>
      <c r="U220">
        <f>COUNTIF('🚴 Riders'!A219:A279, C220)</f>
        <v>0</v>
      </c>
      <c r="V220">
        <f>COUNTIF('🏭 Facilities'!A219:A227, D220)</f>
        <v>0</v>
      </c>
    </row>
    <row r="221" spans="1:22">
      <c r="A221" s="18" t="s">
        <v>810</v>
      </c>
      <c r="B221" s="18" t="s">
        <v>811</v>
      </c>
      <c r="C221" s="18" t="s">
        <v>283</v>
      </c>
      <c r="D221" s="18" t="s">
        <v>130</v>
      </c>
      <c r="E221" s="26">
        <v>45010</v>
      </c>
      <c r="F221" s="18" t="s">
        <v>812</v>
      </c>
      <c r="G221" s="18" t="s">
        <v>132</v>
      </c>
      <c r="H221" s="18">
        <v>4.4000000000000004</v>
      </c>
      <c r="I221" s="18">
        <v>399</v>
      </c>
      <c r="J221" s="18">
        <v>0</v>
      </c>
      <c r="K221" s="18">
        <v>1755.6</v>
      </c>
      <c r="L221" s="18" t="s">
        <v>126</v>
      </c>
      <c r="M221" s="18" t="s">
        <v>133</v>
      </c>
      <c r="N221" s="20"/>
      <c r="O221" s="20"/>
      <c r="P221" s="20"/>
      <c r="Q221" s="18" t="b">
        <f>FALSE()</f>
        <v>0</v>
      </c>
      <c r="R221" s="18" t="b">
        <f>FALSE()</f>
        <v>0</v>
      </c>
      <c r="S221" s="19" t="str">
        <f t="shared" si="3"/>
        <v>N/A</v>
      </c>
      <c r="T221">
        <f>COUNTIF('👤 Customers'!$A:$A, B221)</f>
        <v>1</v>
      </c>
      <c r="U221">
        <f>COUNTIF('🚴 Riders'!A220:A280, C221)</f>
        <v>0</v>
      </c>
      <c r="V221">
        <f>COUNTIF('🏭 Facilities'!A220:A228, D221)</f>
        <v>0</v>
      </c>
    </row>
    <row r="222" spans="1:22">
      <c r="A222" s="16" t="s">
        <v>813</v>
      </c>
      <c r="B222" s="16" t="s">
        <v>814</v>
      </c>
      <c r="C222" s="16" t="s">
        <v>536</v>
      </c>
      <c r="D222" s="16" t="s">
        <v>205</v>
      </c>
      <c r="E222" s="25">
        <v>45031</v>
      </c>
      <c r="F222" s="16" t="s">
        <v>815</v>
      </c>
      <c r="G222" s="16" t="s">
        <v>117</v>
      </c>
      <c r="H222" s="16">
        <v>7.3</v>
      </c>
      <c r="I222" s="16">
        <v>149</v>
      </c>
      <c r="J222" s="16">
        <v>0</v>
      </c>
      <c r="K222" s="16">
        <v>1087.7</v>
      </c>
      <c r="L222" s="16" t="s">
        <v>118</v>
      </c>
      <c r="M222" s="16" t="s">
        <v>119</v>
      </c>
      <c r="N222" s="27">
        <v>45031.751388888886</v>
      </c>
      <c r="O222" s="27">
        <v>45032.490972222222</v>
      </c>
      <c r="P222" s="16">
        <v>4.3</v>
      </c>
      <c r="Q222" s="16" t="b">
        <f>FALSE()</f>
        <v>0</v>
      </c>
      <c r="R222" s="16" t="b">
        <f>FALSE()</f>
        <v>0</v>
      </c>
      <c r="S222" s="17">
        <f t="shared" si="3"/>
        <v>17.8</v>
      </c>
      <c r="T222">
        <f>COUNTIF('👤 Customers'!$A:$A, B222)</f>
        <v>1</v>
      </c>
      <c r="U222">
        <f>COUNTIF('🚴 Riders'!A221:A281, C222)</f>
        <v>0</v>
      </c>
      <c r="V222">
        <f>COUNTIF('🏭 Facilities'!A221:A229, D222)</f>
        <v>0</v>
      </c>
    </row>
    <row r="223" spans="1:22">
      <c r="A223" s="18" t="s">
        <v>816</v>
      </c>
      <c r="B223" s="18" t="s">
        <v>817</v>
      </c>
      <c r="C223" s="18" t="s">
        <v>204</v>
      </c>
      <c r="D223" s="18" t="s">
        <v>158</v>
      </c>
      <c r="E223" s="26">
        <v>45637</v>
      </c>
      <c r="F223" s="18" t="s">
        <v>818</v>
      </c>
      <c r="G223" s="18" t="s">
        <v>176</v>
      </c>
      <c r="H223" s="18">
        <v>2.1</v>
      </c>
      <c r="I223" s="18">
        <v>599</v>
      </c>
      <c r="J223" s="18">
        <v>0</v>
      </c>
      <c r="K223" s="18">
        <v>1257.9000000000001</v>
      </c>
      <c r="L223" s="18" t="s">
        <v>207</v>
      </c>
      <c r="M223" s="18" t="s">
        <v>119</v>
      </c>
      <c r="N223" s="28">
        <v>45637.356249999997</v>
      </c>
      <c r="O223" s="28">
        <v>45637.876388888886</v>
      </c>
      <c r="P223" s="18">
        <v>4.7</v>
      </c>
      <c r="Q223" s="18" t="b">
        <f>FALSE()</f>
        <v>0</v>
      </c>
      <c r="R223" s="18" t="b">
        <f>FALSE()</f>
        <v>0</v>
      </c>
      <c r="S223" s="19">
        <f t="shared" si="3"/>
        <v>12.5</v>
      </c>
      <c r="T223">
        <f>COUNTIF('👤 Customers'!$A:$A, B223)</f>
        <v>1</v>
      </c>
      <c r="U223">
        <f>COUNTIF('🚴 Riders'!A222:A282, C223)</f>
        <v>0</v>
      </c>
      <c r="V223">
        <f>COUNTIF('🏭 Facilities'!A222:A230, D223)</f>
        <v>0</v>
      </c>
    </row>
    <row r="224" spans="1:22">
      <c r="A224" s="16" t="s">
        <v>819</v>
      </c>
      <c r="B224" s="16" t="s">
        <v>707</v>
      </c>
      <c r="C224" s="16" t="s">
        <v>136</v>
      </c>
      <c r="D224" s="16" t="s">
        <v>137</v>
      </c>
      <c r="E224" s="25">
        <v>45408</v>
      </c>
      <c r="F224" s="16" t="s">
        <v>820</v>
      </c>
      <c r="G224" s="16" t="s">
        <v>132</v>
      </c>
      <c r="H224" s="16">
        <v>3.2</v>
      </c>
      <c r="I224" s="16">
        <v>399</v>
      </c>
      <c r="J224" s="16">
        <v>0</v>
      </c>
      <c r="K224" s="16">
        <v>1276.8</v>
      </c>
      <c r="L224" s="16" t="s">
        <v>146</v>
      </c>
      <c r="M224" s="16" t="s">
        <v>133</v>
      </c>
      <c r="N224" s="20"/>
      <c r="O224" s="20"/>
      <c r="P224" s="20"/>
      <c r="Q224" s="16" t="b">
        <f>FALSE()</f>
        <v>0</v>
      </c>
      <c r="R224" s="16" t="b">
        <f>FALSE()</f>
        <v>0</v>
      </c>
      <c r="S224" s="17" t="str">
        <f t="shared" si="3"/>
        <v>N/A</v>
      </c>
      <c r="T224">
        <f>COUNTIF('👤 Customers'!$A:$A, B224)</f>
        <v>1</v>
      </c>
      <c r="U224">
        <f>COUNTIF('🚴 Riders'!A223:A283, C224)</f>
        <v>0</v>
      </c>
      <c r="V224">
        <f>COUNTIF('🏭 Facilities'!A223:A231, D224)</f>
        <v>0</v>
      </c>
    </row>
    <row r="225" spans="1:22">
      <c r="A225" s="18" t="s">
        <v>821</v>
      </c>
      <c r="B225" s="18" t="s">
        <v>822</v>
      </c>
      <c r="C225" s="18" t="s">
        <v>228</v>
      </c>
      <c r="D225" s="18" t="s">
        <v>115</v>
      </c>
      <c r="E225" s="26">
        <v>45177</v>
      </c>
      <c r="F225" s="18" t="s">
        <v>823</v>
      </c>
      <c r="G225" s="18" t="s">
        <v>125</v>
      </c>
      <c r="H225" s="18">
        <v>1.7</v>
      </c>
      <c r="I225" s="18">
        <v>199</v>
      </c>
      <c r="J225" s="18">
        <v>10</v>
      </c>
      <c r="K225" s="18">
        <v>304.47000000000003</v>
      </c>
      <c r="L225" s="18" t="s">
        <v>207</v>
      </c>
      <c r="M225" s="18" t="s">
        <v>119</v>
      </c>
      <c r="N225" s="28">
        <v>45177.265972222223</v>
      </c>
      <c r="O225" s="28">
        <v>45177.727777777778</v>
      </c>
      <c r="P225" s="18">
        <v>2.7</v>
      </c>
      <c r="Q225" s="18" t="b">
        <f>FALSE()</f>
        <v>0</v>
      </c>
      <c r="R225" s="18" t="b">
        <f>FALSE()</f>
        <v>0</v>
      </c>
      <c r="S225" s="19">
        <f t="shared" si="3"/>
        <v>11.1</v>
      </c>
      <c r="T225">
        <f>COUNTIF('👤 Customers'!$A:$A, B225)</f>
        <v>1</v>
      </c>
      <c r="U225">
        <f>COUNTIF('🚴 Riders'!A224:A284, C225)</f>
        <v>0</v>
      </c>
      <c r="V225">
        <f>COUNTIF('🏭 Facilities'!A224:A232, D225)</f>
        <v>0</v>
      </c>
    </row>
    <row r="226" spans="1:22">
      <c r="A226" s="16" t="s">
        <v>824</v>
      </c>
      <c r="B226" s="16" t="s">
        <v>397</v>
      </c>
      <c r="C226" s="16" t="s">
        <v>611</v>
      </c>
      <c r="D226" s="16" t="s">
        <v>130</v>
      </c>
      <c r="E226" s="25">
        <v>45438</v>
      </c>
      <c r="F226" s="16" t="s">
        <v>825</v>
      </c>
      <c r="G226" s="16" t="s">
        <v>145</v>
      </c>
      <c r="H226" s="16">
        <v>4.7</v>
      </c>
      <c r="I226" s="16">
        <v>299</v>
      </c>
      <c r="J226" s="16">
        <v>10</v>
      </c>
      <c r="K226" s="16">
        <v>1264.77</v>
      </c>
      <c r="L226" s="16" t="s">
        <v>139</v>
      </c>
      <c r="M226" s="16" t="s">
        <v>119</v>
      </c>
      <c r="N226" s="27">
        <v>45438.05</v>
      </c>
      <c r="O226" s="27">
        <v>45438.567361111112</v>
      </c>
      <c r="P226" s="16">
        <v>4.8</v>
      </c>
      <c r="Q226" s="16" t="b">
        <f>FALSE()</f>
        <v>0</v>
      </c>
      <c r="R226" s="16" t="b">
        <f>FALSE()</f>
        <v>0</v>
      </c>
      <c r="S226" s="17">
        <f t="shared" si="3"/>
        <v>12.4</v>
      </c>
      <c r="T226">
        <f>COUNTIF('👤 Customers'!$A:$A, B226)</f>
        <v>1</v>
      </c>
      <c r="U226">
        <f>COUNTIF('🚴 Riders'!A225:A285, C226)</f>
        <v>0</v>
      </c>
      <c r="V226">
        <f>COUNTIF('🏭 Facilities'!A225:A233, D226)</f>
        <v>0</v>
      </c>
    </row>
    <row r="227" spans="1:22">
      <c r="A227" s="18" t="s">
        <v>826</v>
      </c>
      <c r="B227" s="18" t="s">
        <v>827</v>
      </c>
      <c r="C227" s="18" t="s">
        <v>153</v>
      </c>
      <c r="D227" s="18" t="s">
        <v>184</v>
      </c>
      <c r="E227" s="26">
        <v>45423</v>
      </c>
      <c r="F227" s="18" t="s">
        <v>828</v>
      </c>
      <c r="G227" s="18" t="s">
        <v>125</v>
      </c>
      <c r="H227" s="18">
        <v>3.5</v>
      </c>
      <c r="I227" s="18">
        <v>199</v>
      </c>
      <c r="J227" s="18">
        <v>10</v>
      </c>
      <c r="K227" s="18">
        <v>626.85</v>
      </c>
      <c r="L227" s="18" t="s">
        <v>126</v>
      </c>
      <c r="M227" s="18" t="s">
        <v>119</v>
      </c>
      <c r="N227" s="28">
        <v>45423.401388888888</v>
      </c>
      <c r="O227" s="28">
        <v>45424.293749999997</v>
      </c>
      <c r="P227" s="18">
        <v>4.5999999999999996</v>
      </c>
      <c r="Q227" s="18" t="b">
        <f>TRUE()</f>
        <v>1</v>
      </c>
      <c r="R227" s="18" t="b">
        <f>FALSE()</f>
        <v>0</v>
      </c>
      <c r="S227" s="19">
        <f t="shared" si="3"/>
        <v>21.4</v>
      </c>
      <c r="T227">
        <f>COUNTIF('👤 Customers'!$A:$A, B227)</f>
        <v>1</v>
      </c>
      <c r="U227">
        <f>COUNTIF('🚴 Riders'!A226:A286, C227)</f>
        <v>0</v>
      </c>
      <c r="V227">
        <f>COUNTIF('🏭 Facilities'!A226:A234, D227)</f>
        <v>0</v>
      </c>
    </row>
    <row r="228" spans="1:22">
      <c r="A228" s="16" t="s">
        <v>829</v>
      </c>
      <c r="B228" s="16" t="s">
        <v>830</v>
      </c>
      <c r="C228" s="16" t="s">
        <v>536</v>
      </c>
      <c r="D228" s="16" t="s">
        <v>158</v>
      </c>
      <c r="E228" s="25">
        <v>45330</v>
      </c>
      <c r="F228" s="16" t="s">
        <v>831</v>
      </c>
      <c r="G228" s="16" t="s">
        <v>125</v>
      </c>
      <c r="H228" s="16">
        <v>1.7</v>
      </c>
      <c r="I228" s="16">
        <v>199</v>
      </c>
      <c r="J228" s="16">
        <v>0</v>
      </c>
      <c r="K228" s="16">
        <v>338.3</v>
      </c>
      <c r="L228" s="16" t="s">
        <v>126</v>
      </c>
      <c r="M228" s="16" t="s">
        <v>119</v>
      </c>
      <c r="N228" s="27">
        <v>45330.544444444444</v>
      </c>
      <c r="O228" s="27">
        <v>45331.251388888886</v>
      </c>
      <c r="P228" s="16">
        <v>4.4000000000000004</v>
      </c>
      <c r="Q228" s="16" t="b">
        <f>FALSE()</f>
        <v>0</v>
      </c>
      <c r="R228" s="16" t="b">
        <f>FALSE()</f>
        <v>0</v>
      </c>
      <c r="S228" s="17">
        <f t="shared" si="3"/>
        <v>17</v>
      </c>
      <c r="T228">
        <f>COUNTIF('👤 Customers'!$A:$A, B228)</f>
        <v>1</v>
      </c>
      <c r="U228">
        <f>COUNTIF('🚴 Riders'!A227:A287, C228)</f>
        <v>0</v>
      </c>
      <c r="V228">
        <f>COUNTIF('🏭 Facilities'!A227:A235, D228)</f>
        <v>0</v>
      </c>
    </row>
    <row r="229" spans="1:22">
      <c r="A229" s="18" t="s">
        <v>832</v>
      </c>
      <c r="B229" s="18" t="s">
        <v>782</v>
      </c>
      <c r="C229" s="18" t="s">
        <v>287</v>
      </c>
      <c r="D229" s="18" t="s">
        <v>115</v>
      </c>
      <c r="E229" s="26">
        <v>45472</v>
      </c>
      <c r="F229" s="18" t="s">
        <v>833</v>
      </c>
      <c r="G229" s="18" t="s">
        <v>145</v>
      </c>
      <c r="H229" s="18">
        <v>7.2</v>
      </c>
      <c r="I229" s="18">
        <v>299</v>
      </c>
      <c r="J229" s="18">
        <v>0</v>
      </c>
      <c r="K229" s="18">
        <v>2152.8000000000002</v>
      </c>
      <c r="L229" s="18" t="s">
        <v>118</v>
      </c>
      <c r="M229" s="18" t="s">
        <v>119</v>
      </c>
      <c r="N229" s="28">
        <v>45472.787499999999</v>
      </c>
      <c r="O229" s="28">
        <v>45473.512499999997</v>
      </c>
      <c r="P229" s="18">
        <v>4.8</v>
      </c>
      <c r="Q229" s="18" t="b">
        <f>FALSE()</f>
        <v>0</v>
      </c>
      <c r="R229" s="18" t="b">
        <f>FALSE()</f>
        <v>0</v>
      </c>
      <c r="S229" s="19">
        <f t="shared" si="3"/>
        <v>17.399999999999999</v>
      </c>
      <c r="T229">
        <f>COUNTIF('👤 Customers'!$A:$A, B229)</f>
        <v>1</v>
      </c>
      <c r="U229">
        <f>COUNTIF('🚴 Riders'!A228:A288, C229)</f>
        <v>0</v>
      </c>
      <c r="V229">
        <f>COUNTIF('🏭 Facilities'!A228:A236, D229)</f>
        <v>0</v>
      </c>
    </row>
    <row r="230" spans="1:22">
      <c r="A230" s="16" t="s">
        <v>834</v>
      </c>
      <c r="B230" s="16" t="s">
        <v>835</v>
      </c>
      <c r="C230" s="16" t="s">
        <v>204</v>
      </c>
      <c r="D230" s="16" t="s">
        <v>123</v>
      </c>
      <c r="E230" s="25">
        <v>45583</v>
      </c>
      <c r="F230" s="16" t="s">
        <v>836</v>
      </c>
      <c r="G230" s="16" t="s">
        <v>117</v>
      </c>
      <c r="H230" s="16">
        <v>3.9</v>
      </c>
      <c r="I230" s="16">
        <v>149</v>
      </c>
      <c r="J230" s="16">
        <v>10</v>
      </c>
      <c r="K230" s="16">
        <v>522.99</v>
      </c>
      <c r="L230" s="16" t="s">
        <v>118</v>
      </c>
      <c r="M230" s="16" t="s">
        <v>140</v>
      </c>
      <c r="N230" s="27">
        <v>45583.285416666666</v>
      </c>
      <c r="O230" s="27">
        <v>45583.802777777775</v>
      </c>
      <c r="P230" s="20"/>
      <c r="Q230" s="16" t="b">
        <f>FALSE()</f>
        <v>0</v>
      </c>
      <c r="R230" s="16" t="b">
        <f>FALSE()</f>
        <v>0</v>
      </c>
      <c r="S230" s="17">
        <f t="shared" si="3"/>
        <v>12.4</v>
      </c>
      <c r="T230">
        <f>COUNTIF('👤 Customers'!$A:$A, B230)</f>
        <v>1</v>
      </c>
      <c r="U230">
        <f>COUNTIF('🚴 Riders'!A229:A289, C230)</f>
        <v>0</v>
      </c>
      <c r="V230">
        <f>COUNTIF('🏭 Facilities'!A229:A237, D230)</f>
        <v>0</v>
      </c>
    </row>
    <row r="231" spans="1:22">
      <c r="A231" s="18" t="s">
        <v>837</v>
      </c>
      <c r="B231" s="18" t="s">
        <v>838</v>
      </c>
      <c r="C231" s="18" t="s">
        <v>261</v>
      </c>
      <c r="D231" s="18" t="s">
        <v>130</v>
      </c>
      <c r="E231" s="26">
        <v>45235</v>
      </c>
      <c r="F231" s="18" t="s">
        <v>839</v>
      </c>
      <c r="G231" s="18" t="s">
        <v>125</v>
      </c>
      <c r="H231" s="18">
        <v>6.1</v>
      </c>
      <c r="I231" s="18">
        <v>199</v>
      </c>
      <c r="J231" s="18">
        <v>30</v>
      </c>
      <c r="K231" s="18">
        <v>849.73</v>
      </c>
      <c r="L231" s="18" t="s">
        <v>207</v>
      </c>
      <c r="M231" s="18" t="s">
        <v>133</v>
      </c>
      <c r="N231" s="20"/>
      <c r="O231" s="20"/>
      <c r="P231" s="20"/>
      <c r="Q231" s="18" t="b">
        <f>FALSE()</f>
        <v>0</v>
      </c>
      <c r="R231" s="18" t="b">
        <f>TRUE()</f>
        <v>1</v>
      </c>
      <c r="S231" s="19" t="str">
        <f t="shared" si="3"/>
        <v>N/A</v>
      </c>
      <c r="T231">
        <f>COUNTIF('👤 Customers'!$A:$A, B231)</f>
        <v>1</v>
      </c>
      <c r="U231">
        <f>COUNTIF('🚴 Riders'!A230:A290, C231)</f>
        <v>0</v>
      </c>
      <c r="V231">
        <f>COUNTIF('🏭 Facilities'!A230:A238, D231)</f>
        <v>0</v>
      </c>
    </row>
    <row r="232" spans="1:22">
      <c r="A232" s="16" t="s">
        <v>840</v>
      </c>
      <c r="B232" s="16" t="s">
        <v>841</v>
      </c>
      <c r="C232" s="16" t="s">
        <v>842</v>
      </c>
      <c r="D232" s="16" t="s">
        <v>137</v>
      </c>
      <c r="E232" s="25">
        <v>45565</v>
      </c>
      <c r="F232" s="16" t="s">
        <v>843</v>
      </c>
      <c r="G232" s="16" t="s">
        <v>117</v>
      </c>
      <c r="H232" s="16">
        <v>7.4</v>
      </c>
      <c r="I232" s="16">
        <v>149</v>
      </c>
      <c r="J232" s="16">
        <v>0</v>
      </c>
      <c r="K232" s="16">
        <v>1102.5999999999999</v>
      </c>
      <c r="L232" s="16" t="s">
        <v>118</v>
      </c>
      <c r="M232" s="16" t="s">
        <v>133</v>
      </c>
      <c r="N232" s="20"/>
      <c r="O232" s="20"/>
      <c r="P232" s="20"/>
      <c r="Q232" s="16" t="b">
        <f>FALSE()</f>
        <v>0</v>
      </c>
      <c r="R232" s="16" t="b">
        <f>FALSE()</f>
        <v>0</v>
      </c>
      <c r="S232" s="17" t="str">
        <f t="shared" si="3"/>
        <v>N/A</v>
      </c>
      <c r="T232">
        <f>COUNTIF('👤 Customers'!$A:$A, B232)</f>
        <v>1</v>
      </c>
      <c r="U232">
        <f>COUNTIF('🚴 Riders'!A231:A291, C232)</f>
        <v>0</v>
      </c>
      <c r="V232">
        <f>COUNTIF('🏭 Facilities'!A231:A239, D232)</f>
        <v>0</v>
      </c>
    </row>
    <row r="233" spans="1:22">
      <c r="A233" s="18" t="s">
        <v>844</v>
      </c>
      <c r="B233" s="18" t="s">
        <v>845</v>
      </c>
      <c r="C233" s="18" t="s">
        <v>272</v>
      </c>
      <c r="D233" s="18" t="s">
        <v>115</v>
      </c>
      <c r="E233" s="26">
        <v>45107</v>
      </c>
      <c r="F233" s="18" t="s">
        <v>846</v>
      </c>
      <c r="G233" s="18" t="s">
        <v>117</v>
      </c>
      <c r="H233" s="18">
        <v>6.7</v>
      </c>
      <c r="I233" s="18">
        <v>149</v>
      </c>
      <c r="J233" s="18">
        <v>0</v>
      </c>
      <c r="K233" s="18">
        <v>998.3</v>
      </c>
      <c r="L233" s="18" t="s">
        <v>207</v>
      </c>
      <c r="M233" s="18" t="s">
        <v>119</v>
      </c>
      <c r="N233" s="28">
        <v>45108.075694444444</v>
      </c>
      <c r="O233" s="28">
        <v>45108.536805555559</v>
      </c>
      <c r="P233" s="18">
        <v>3.7</v>
      </c>
      <c r="Q233" s="18" t="b">
        <f>FALSE()</f>
        <v>0</v>
      </c>
      <c r="R233" s="18" t="b">
        <f>FALSE()</f>
        <v>0</v>
      </c>
      <c r="S233" s="19">
        <f t="shared" si="3"/>
        <v>11.1</v>
      </c>
      <c r="T233">
        <f>COUNTIF('👤 Customers'!$A:$A, B233)</f>
        <v>1</v>
      </c>
      <c r="U233">
        <f>COUNTIF('🚴 Riders'!A232:A292, C233)</f>
        <v>0</v>
      </c>
      <c r="V233">
        <f>COUNTIF('🏭 Facilities'!A232:A240, D233)</f>
        <v>0</v>
      </c>
    </row>
    <row r="234" spans="1:22">
      <c r="A234" s="16" t="s">
        <v>847</v>
      </c>
      <c r="B234" s="16" t="s">
        <v>605</v>
      </c>
      <c r="C234" s="16" t="s">
        <v>204</v>
      </c>
      <c r="D234" s="16" t="s">
        <v>205</v>
      </c>
      <c r="E234" s="25">
        <v>45563</v>
      </c>
      <c r="F234" s="16" t="s">
        <v>848</v>
      </c>
      <c r="G234" s="16" t="s">
        <v>125</v>
      </c>
      <c r="H234" s="16">
        <v>5.2</v>
      </c>
      <c r="I234" s="16">
        <v>199</v>
      </c>
      <c r="J234" s="16">
        <v>0</v>
      </c>
      <c r="K234" s="16">
        <v>1034.8</v>
      </c>
      <c r="L234" s="16" t="s">
        <v>118</v>
      </c>
      <c r="M234" s="16" t="s">
        <v>140</v>
      </c>
      <c r="N234" s="27">
        <v>45563.675000000003</v>
      </c>
      <c r="O234" s="27">
        <v>45564.317361111112</v>
      </c>
      <c r="P234" s="20"/>
      <c r="Q234" s="16" t="b">
        <f>FALSE()</f>
        <v>0</v>
      </c>
      <c r="R234" s="16" t="b">
        <f>FALSE()</f>
        <v>0</v>
      </c>
      <c r="S234" s="17">
        <f t="shared" si="3"/>
        <v>15.4</v>
      </c>
      <c r="T234">
        <f>COUNTIF('👤 Customers'!$A:$A, B234)</f>
        <v>1</v>
      </c>
      <c r="U234">
        <f>COUNTIF('🚴 Riders'!A233:A293, C234)</f>
        <v>0</v>
      </c>
      <c r="V234">
        <f>COUNTIF('🏭 Facilities'!A233:A241, D234)</f>
        <v>0</v>
      </c>
    </row>
    <row r="235" spans="1:22">
      <c r="A235" s="18" t="s">
        <v>849</v>
      </c>
      <c r="B235" s="18" t="s">
        <v>850</v>
      </c>
      <c r="C235" s="18" t="s">
        <v>188</v>
      </c>
      <c r="D235" s="18" t="s">
        <v>184</v>
      </c>
      <c r="E235" s="26">
        <v>45649</v>
      </c>
      <c r="F235" s="18" t="s">
        <v>851</v>
      </c>
      <c r="G235" s="18" t="s">
        <v>125</v>
      </c>
      <c r="H235" s="18">
        <v>7.1</v>
      </c>
      <c r="I235" s="18">
        <v>199</v>
      </c>
      <c r="J235" s="18">
        <v>0</v>
      </c>
      <c r="K235" s="18">
        <v>1412.9</v>
      </c>
      <c r="L235" s="18" t="s">
        <v>118</v>
      </c>
      <c r="M235" s="18" t="s">
        <v>140</v>
      </c>
      <c r="N235" s="28">
        <v>45649.688194444447</v>
      </c>
      <c r="O235" s="28">
        <v>45650.729166666664</v>
      </c>
      <c r="P235" s="20"/>
      <c r="Q235" s="18" t="b">
        <f>FALSE()</f>
        <v>0</v>
      </c>
      <c r="R235" s="18" t="b">
        <f>FALSE()</f>
        <v>0</v>
      </c>
      <c r="S235" s="19">
        <f t="shared" si="3"/>
        <v>25</v>
      </c>
      <c r="T235">
        <f>COUNTIF('👤 Customers'!$A:$A, B235)</f>
        <v>1</v>
      </c>
      <c r="U235">
        <f>COUNTIF('🚴 Riders'!A234:A294, C235)</f>
        <v>0</v>
      </c>
      <c r="V235">
        <f>COUNTIF('🏭 Facilities'!A234:A242, D235)</f>
        <v>0</v>
      </c>
    </row>
    <row r="236" spans="1:22">
      <c r="A236" s="16" t="s">
        <v>852</v>
      </c>
      <c r="B236" s="16" t="s">
        <v>853</v>
      </c>
      <c r="C236" s="16" t="s">
        <v>196</v>
      </c>
      <c r="D236" s="16" t="s">
        <v>197</v>
      </c>
      <c r="E236" s="25">
        <v>45365</v>
      </c>
      <c r="F236" s="16" t="s">
        <v>854</v>
      </c>
      <c r="G236" s="16" t="s">
        <v>132</v>
      </c>
      <c r="H236" s="16">
        <v>3.3</v>
      </c>
      <c r="I236" s="16">
        <v>399</v>
      </c>
      <c r="J236" s="16">
        <v>10</v>
      </c>
      <c r="K236" s="16">
        <v>1185.03</v>
      </c>
      <c r="L236" s="16" t="s">
        <v>207</v>
      </c>
      <c r="M236" s="16" t="s">
        <v>119</v>
      </c>
      <c r="N236" s="27">
        <v>45365.808333333334</v>
      </c>
      <c r="O236" s="27">
        <v>45366.681944444441</v>
      </c>
      <c r="P236" s="16">
        <v>3.6</v>
      </c>
      <c r="Q236" s="16" t="b">
        <f>FALSE()</f>
        <v>0</v>
      </c>
      <c r="R236" s="16" t="b">
        <f>TRUE()</f>
        <v>1</v>
      </c>
      <c r="S236" s="17">
        <f t="shared" si="3"/>
        <v>21</v>
      </c>
      <c r="T236">
        <f>COUNTIF('👤 Customers'!$A:$A, B236)</f>
        <v>1</v>
      </c>
      <c r="U236">
        <f>COUNTIF('🚴 Riders'!A235:A295, C236)</f>
        <v>0</v>
      </c>
      <c r="V236">
        <f>COUNTIF('🏭 Facilities'!A235:A243, D236)</f>
        <v>0</v>
      </c>
    </row>
    <row r="237" spans="1:22">
      <c r="A237" s="18" t="s">
        <v>855</v>
      </c>
      <c r="B237" s="18" t="s">
        <v>338</v>
      </c>
      <c r="C237" s="18" t="s">
        <v>224</v>
      </c>
      <c r="D237" s="18" t="s">
        <v>137</v>
      </c>
      <c r="E237" s="26">
        <v>45188</v>
      </c>
      <c r="F237" s="18" t="s">
        <v>856</v>
      </c>
      <c r="G237" s="18" t="s">
        <v>125</v>
      </c>
      <c r="H237" s="18">
        <v>4.3</v>
      </c>
      <c r="I237" s="18">
        <v>199</v>
      </c>
      <c r="J237" s="18">
        <v>10</v>
      </c>
      <c r="K237" s="18">
        <v>770.13</v>
      </c>
      <c r="L237" s="18" t="s">
        <v>207</v>
      </c>
      <c r="M237" s="18" t="s">
        <v>133</v>
      </c>
      <c r="N237" s="20"/>
      <c r="O237" s="20"/>
      <c r="P237" s="20"/>
      <c r="Q237" s="18" t="b">
        <f>FALSE()</f>
        <v>0</v>
      </c>
      <c r="R237" s="18" t="b">
        <f>TRUE()</f>
        <v>1</v>
      </c>
      <c r="S237" s="19" t="str">
        <f t="shared" si="3"/>
        <v>N/A</v>
      </c>
      <c r="T237">
        <f>COUNTIF('👤 Customers'!$A:$A, B237)</f>
        <v>1</v>
      </c>
      <c r="U237">
        <f>COUNTIF('🚴 Riders'!A236:A296, C237)</f>
        <v>0</v>
      </c>
      <c r="V237">
        <f>COUNTIF('🏭 Facilities'!A236:A244, D237)</f>
        <v>0</v>
      </c>
    </row>
    <row r="238" spans="1:22">
      <c r="A238" s="16" t="s">
        <v>857</v>
      </c>
      <c r="B238" s="16" t="s">
        <v>858</v>
      </c>
      <c r="C238" s="16" t="s">
        <v>114</v>
      </c>
      <c r="D238" s="16" t="s">
        <v>197</v>
      </c>
      <c r="E238" s="25">
        <v>45234</v>
      </c>
      <c r="F238" s="16" t="s">
        <v>859</v>
      </c>
      <c r="G238" s="16" t="s">
        <v>176</v>
      </c>
      <c r="H238" s="16">
        <v>2.4</v>
      </c>
      <c r="I238" s="16">
        <v>599</v>
      </c>
      <c r="J238" s="16">
        <v>10</v>
      </c>
      <c r="K238" s="16">
        <v>1293.8399999999999</v>
      </c>
      <c r="L238" s="16" t="s">
        <v>126</v>
      </c>
      <c r="M238" s="16" t="s">
        <v>140</v>
      </c>
      <c r="N238" s="27">
        <v>45234.15</v>
      </c>
      <c r="O238" s="27">
        <v>45234.645833333336</v>
      </c>
      <c r="P238" s="20"/>
      <c r="Q238" s="16" t="b">
        <f>FALSE()</f>
        <v>0</v>
      </c>
      <c r="R238" s="16" t="b">
        <f>FALSE()</f>
        <v>0</v>
      </c>
      <c r="S238" s="17">
        <f t="shared" si="3"/>
        <v>11.9</v>
      </c>
      <c r="T238">
        <f>COUNTIF('👤 Customers'!$A:$A, B238)</f>
        <v>1</v>
      </c>
      <c r="U238">
        <f>COUNTIF('🚴 Riders'!A237:A297, C238)</f>
        <v>0</v>
      </c>
      <c r="V238">
        <f>COUNTIF('🏭 Facilities'!A237:A245, D238)</f>
        <v>0</v>
      </c>
    </row>
    <row r="239" spans="1:22">
      <c r="A239" s="18" t="s">
        <v>860</v>
      </c>
      <c r="B239" s="18" t="s">
        <v>740</v>
      </c>
      <c r="C239" s="18" t="s">
        <v>326</v>
      </c>
      <c r="D239" s="18" t="s">
        <v>115</v>
      </c>
      <c r="E239" s="26">
        <v>45197</v>
      </c>
      <c r="F239" s="18" t="s">
        <v>861</v>
      </c>
      <c r="G239" s="18" t="s">
        <v>132</v>
      </c>
      <c r="H239" s="18">
        <v>3.2</v>
      </c>
      <c r="I239" s="18">
        <v>399</v>
      </c>
      <c r="J239" s="18">
        <v>0</v>
      </c>
      <c r="K239" s="18">
        <v>1276.8</v>
      </c>
      <c r="L239" s="18" t="s">
        <v>146</v>
      </c>
      <c r="M239" s="18" t="s">
        <v>119</v>
      </c>
      <c r="N239" s="28">
        <v>45197.671527777777</v>
      </c>
      <c r="O239" s="28">
        <v>45198.119444444441</v>
      </c>
      <c r="P239" s="18">
        <v>2.9</v>
      </c>
      <c r="Q239" s="18" t="b">
        <f>TRUE()</f>
        <v>1</v>
      </c>
      <c r="R239" s="18" t="b">
        <f>FALSE()</f>
        <v>0</v>
      </c>
      <c r="S239" s="19">
        <f t="shared" si="3"/>
        <v>10.7</v>
      </c>
      <c r="T239">
        <f>COUNTIF('👤 Customers'!$A:$A, B239)</f>
        <v>1</v>
      </c>
      <c r="U239">
        <f>COUNTIF('🚴 Riders'!A238:A298, C239)</f>
        <v>0</v>
      </c>
      <c r="V239">
        <f>COUNTIF('🏭 Facilities'!A238:A246, D239)</f>
        <v>0</v>
      </c>
    </row>
    <row r="240" spans="1:22">
      <c r="A240" s="16" t="s">
        <v>862</v>
      </c>
      <c r="B240" s="16" t="s">
        <v>863</v>
      </c>
      <c r="C240" s="16" t="s">
        <v>842</v>
      </c>
      <c r="D240" s="16" t="s">
        <v>123</v>
      </c>
      <c r="E240" s="25">
        <v>45082</v>
      </c>
      <c r="F240" s="16" t="s">
        <v>864</v>
      </c>
      <c r="G240" s="16" t="s">
        <v>117</v>
      </c>
      <c r="H240" s="16">
        <v>2.1</v>
      </c>
      <c r="I240" s="16">
        <v>149</v>
      </c>
      <c r="J240" s="16">
        <v>10</v>
      </c>
      <c r="K240" s="16">
        <v>281.61</v>
      </c>
      <c r="L240" s="16" t="s">
        <v>126</v>
      </c>
      <c r="M240" s="16" t="s">
        <v>119</v>
      </c>
      <c r="N240" s="27">
        <v>45082.136805555558</v>
      </c>
      <c r="O240" s="27">
        <v>45082.548611111109</v>
      </c>
      <c r="P240" s="16">
        <v>3.4</v>
      </c>
      <c r="Q240" s="16" t="b">
        <f>FALSE()</f>
        <v>0</v>
      </c>
      <c r="R240" s="16" t="b">
        <f>FALSE()</f>
        <v>0</v>
      </c>
      <c r="S240" s="17">
        <f t="shared" si="3"/>
        <v>9.9</v>
      </c>
      <c r="T240">
        <f>COUNTIF('👤 Customers'!$A:$A, B240)</f>
        <v>1</v>
      </c>
      <c r="U240">
        <f>COUNTIF('🚴 Riders'!A239:A299, C240)</f>
        <v>0</v>
      </c>
      <c r="V240">
        <f>COUNTIF('🏭 Facilities'!A239:A247, D240)</f>
        <v>0</v>
      </c>
    </row>
    <row r="241" spans="1:22">
      <c r="A241" s="18" t="s">
        <v>865</v>
      </c>
      <c r="B241" s="18" t="s">
        <v>866</v>
      </c>
      <c r="C241" s="18" t="s">
        <v>157</v>
      </c>
      <c r="D241" s="18" t="s">
        <v>137</v>
      </c>
      <c r="E241" s="26">
        <v>45292</v>
      </c>
      <c r="F241" s="18" t="s">
        <v>867</v>
      </c>
      <c r="G241" s="18" t="s">
        <v>125</v>
      </c>
      <c r="H241" s="18">
        <v>3.3</v>
      </c>
      <c r="I241" s="18">
        <v>199</v>
      </c>
      <c r="J241" s="18">
        <v>10</v>
      </c>
      <c r="K241" s="18">
        <v>591.03</v>
      </c>
      <c r="L241" s="18" t="s">
        <v>126</v>
      </c>
      <c r="M241" s="18" t="s">
        <v>119</v>
      </c>
      <c r="N241" s="28">
        <v>45293.034722222219</v>
      </c>
      <c r="O241" s="28">
        <v>45293.740277777775</v>
      </c>
      <c r="P241" s="18">
        <v>3.4</v>
      </c>
      <c r="Q241" s="18" t="b">
        <f>FALSE()</f>
        <v>0</v>
      </c>
      <c r="R241" s="18" t="b">
        <f>FALSE()</f>
        <v>0</v>
      </c>
      <c r="S241" s="19">
        <f t="shared" si="3"/>
        <v>16.899999999999999</v>
      </c>
      <c r="T241">
        <f>COUNTIF('👤 Customers'!$A:$A, B241)</f>
        <v>1</v>
      </c>
      <c r="U241">
        <f>COUNTIF('🚴 Riders'!A240:A300, C241)</f>
        <v>0</v>
      </c>
      <c r="V241">
        <f>COUNTIF('🏭 Facilities'!A240:A248, D241)</f>
        <v>0</v>
      </c>
    </row>
    <row r="242" spans="1:22">
      <c r="A242" s="16" t="s">
        <v>868</v>
      </c>
      <c r="B242" s="16" t="s">
        <v>869</v>
      </c>
      <c r="C242" s="16" t="s">
        <v>183</v>
      </c>
      <c r="D242" s="16" t="s">
        <v>158</v>
      </c>
      <c r="E242" s="25">
        <v>45125</v>
      </c>
      <c r="F242" s="16" t="s">
        <v>870</v>
      </c>
      <c r="G242" s="16" t="s">
        <v>132</v>
      </c>
      <c r="H242" s="16">
        <v>1.4</v>
      </c>
      <c r="I242" s="16">
        <v>399</v>
      </c>
      <c r="J242" s="16">
        <v>0</v>
      </c>
      <c r="K242" s="16">
        <v>558.6</v>
      </c>
      <c r="L242" s="16" t="s">
        <v>118</v>
      </c>
      <c r="M242" s="16" t="s">
        <v>140</v>
      </c>
      <c r="N242" s="27">
        <v>45125.529166666667</v>
      </c>
      <c r="O242" s="27">
        <v>45125.915277777778</v>
      </c>
      <c r="P242" s="20"/>
      <c r="Q242" s="16" t="b">
        <f>FALSE()</f>
        <v>0</v>
      </c>
      <c r="R242" s="16" t="b">
        <f>FALSE()</f>
        <v>0</v>
      </c>
      <c r="S242" s="17">
        <f t="shared" si="3"/>
        <v>9.3000000000000007</v>
      </c>
      <c r="T242">
        <f>COUNTIF('👤 Customers'!$A:$A, B242)</f>
        <v>1</v>
      </c>
      <c r="U242">
        <f>COUNTIF('🚴 Riders'!A241:A301, C242)</f>
        <v>0</v>
      </c>
      <c r="V242">
        <f>COUNTIF('🏭 Facilities'!A241:A249, D242)</f>
        <v>0</v>
      </c>
    </row>
    <row r="243" spans="1:22">
      <c r="A243" s="18" t="s">
        <v>871</v>
      </c>
      <c r="B243" s="18" t="s">
        <v>872</v>
      </c>
      <c r="C243" s="18" t="s">
        <v>228</v>
      </c>
      <c r="D243" s="18" t="s">
        <v>205</v>
      </c>
      <c r="E243" s="26">
        <v>45206</v>
      </c>
      <c r="F243" s="18" t="s">
        <v>873</v>
      </c>
      <c r="G243" s="18" t="s">
        <v>125</v>
      </c>
      <c r="H243" s="18">
        <v>1.1000000000000001</v>
      </c>
      <c r="I243" s="18">
        <v>199</v>
      </c>
      <c r="J243" s="18">
        <v>20</v>
      </c>
      <c r="K243" s="18">
        <v>175.12</v>
      </c>
      <c r="L243" s="18" t="s">
        <v>139</v>
      </c>
      <c r="M243" s="18" t="s">
        <v>140</v>
      </c>
      <c r="N243" s="28">
        <v>45206.867361111108</v>
      </c>
      <c r="O243" s="28">
        <v>45207.936111111114</v>
      </c>
      <c r="P243" s="20"/>
      <c r="Q243" s="18" t="b">
        <f>FALSE()</f>
        <v>0</v>
      </c>
      <c r="R243" s="18" t="b">
        <f>FALSE()</f>
        <v>0</v>
      </c>
      <c r="S243" s="19">
        <f t="shared" si="3"/>
        <v>25.7</v>
      </c>
      <c r="T243">
        <f>COUNTIF('👤 Customers'!$A:$A, B243)</f>
        <v>1</v>
      </c>
      <c r="U243">
        <f>COUNTIF('🚴 Riders'!A242:A302, C243)</f>
        <v>0</v>
      </c>
      <c r="V243">
        <f>COUNTIF('🏭 Facilities'!A242:A250, D243)</f>
        <v>0</v>
      </c>
    </row>
    <row r="244" spans="1:22">
      <c r="A244" s="16" t="s">
        <v>874</v>
      </c>
      <c r="B244" s="16" t="s">
        <v>875</v>
      </c>
      <c r="C244" s="16" t="s">
        <v>236</v>
      </c>
      <c r="D244" s="16" t="s">
        <v>158</v>
      </c>
      <c r="E244" s="25">
        <v>45071</v>
      </c>
      <c r="F244" s="16" t="s">
        <v>876</v>
      </c>
      <c r="G244" s="16" t="s">
        <v>132</v>
      </c>
      <c r="H244" s="16">
        <v>4.5</v>
      </c>
      <c r="I244" s="16">
        <v>399</v>
      </c>
      <c r="J244" s="16">
        <v>0</v>
      </c>
      <c r="K244" s="16">
        <v>1795.5</v>
      </c>
      <c r="L244" s="16" t="s">
        <v>207</v>
      </c>
      <c r="M244" s="16" t="s">
        <v>140</v>
      </c>
      <c r="N244" s="27">
        <v>45071.818055555559</v>
      </c>
      <c r="O244" s="27">
        <v>45072.339583333334</v>
      </c>
      <c r="P244" s="20"/>
      <c r="Q244" s="16" t="b">
        <f>TRUE()</f>
        <v>1</v>
      </c>
      <c r="R244" s="16" t="b">
        <f>FALSE()</f>
        <v>0</v>
      </c>
      <c r="S244" s="17">
        <f t="shared" si="3"/>
        <v>12.5</v>
      </c>
      <c r="T244">
        <f>COUNTIF('👤 Customers'!$A:$A, B244)</f>
        <v>1</v>
      </c>
      <c r="U244">
        <f>COUNTIF('🚴 Riders'!A243:A303, C244)</f>
        <v>0</v>
      </c>
      <c r="V244">
        <f>COUNTIF('🏭 Facilities'!A243:A251, D244)</f>
        <v>0</v>
      </c>
    </row>
    <row r="245" spans="1:22">
      <c r="A245" s="18" t="s">
        <v>877</v>
      </c>
      <c r="B245" s="18" t="s">
        <v>878</v>
      </c>
      <c r="C245" s="18" t="s">
        <v>479</v>
      </c>
      <c r="D245" s="18" t="s">
        <v>184</v>
      </c>
      <c r="E245" s="26">
        <v>45203</v>
      </c>
      <c r="F245" s="18" t="s">
        <v>879</v>
      </c>
      <c r="G245" s="18" t="s">
        <v>117</v>
      </c>
      <c r="H245" s="18">
        <v>2.7</v>
      </c>
      <c r="I245" s="18">
        <v>149</v>
      </c>
      <c r="J245" s="18">
        <v>30</v>
      </c>
      <c r="K245" s="18">
        <v>281.61</v>
      </c>
      <c r="L245" s="18" t="s">
        <v>146</v>
      </c>
      <c r="M245" s="18" t="s">
        <v>133</v>
      </c>
      <c r="N245" s="20"/>
      <c r="O245" s="20"/>
      <c r="P245" s="20"/>
      <c r="Q245" s="18" t="b">
        <f>FALSE()</f>
        <v>0</v>
      </c>
      <c r="R245" s="18" t="b">
        <f>FALSE()</f>
        <v>0</v>
      </c>
      <c r="S245" s="19" t="str">
        <f t="shared" si="3"/>
        <v>N/A</v>
      </c>
      <c r="T245">
        <f>COUNTIF('👤 Customers'!$A:$A, B245)</f>
        <v>1</v>
      </c>
      <c r="U245">
        <f>COUNTIF('🚴 Riders'!A244:A304, C245)</f>
        <v>0</v>
      </c>
      <c r="V245">
        <f>COUNTIF('🏭 Facilities'!A244:A252, D245)</f>
        <v>0</v>
      </c>
    </row>
    <row r="246" spans="1:22">
      <c r="A246" s="16" t="s">
        <v>880</v>
      </c>
      <c r="B246" s="16" t="s">
        <v>698</v>
      </c>
      <c r="C246" s="16" t="s">
        <v>192</v>
      </c>
      <c r="D246" s="16" t="s">
        <v>158</v>
      </c>
      <c r="E246" s="25">
        <v>45192</v>
      </c>
      <c r="F246" s="16" t="s">
        <v>881</v>
      </c>
      <c r="G246" s="16" t="s">
        <v>145</v>
      </c>
      <c r="H246" s="16">
        <v>5.6</v>
      </c>
      <c r="I246" s="16">
        <v>299</v>
      </c>
      <c r="J246" s="16">
        <v>0</v>
      </c>
      <c r="K246" s="16">
        <v>1674.4</v>
      </c>
      <c r="L246" s="16" t="s">
        <v>207</v>
      </c>
      <c r="M246" s="16" t="s">
        <v>119</v>
      </c>
      <c r="N246" s="27">
        <v>45192.569444444445</v>
      </c>
      <c r="O246" s="27">
        <v>45193.442361111112</v>
      </c>
      <c r="P246" s="16">
        <v>3.9</v>
      </c>
      <c r="Q246" s="16" t="b">
        <f>FALSE()</f>
        <v>0</v>
      </c>
      <c r="R246" s="16" t="b">
        <f>FALSE()</f>
        <v>0</v>
      </c>
      <c r="S246" s="17">
        <f t="shared" si="3"/>
        <v>21</v>
      </c>
      <c r="T246">
        <f>COUNTIF('👤 Customers'!$A:$A, B246)</f>
        <v>1</v>
      </c>
      <c r="U246">
        <f>COUNTIF('🚴 Riders'!A245:A305, C246)</f>
        <v>0</v>
      </c>
      <c r="V246">
        <f>COUNTIF('🏭 Facilities'!A245:A253, D246)</f>
        <v>0</v>
      </c>
    </row>
    <row r="247" spans="1:22">
      <c r="A247" s="18" t="s">
        <v>882</v>
      </c>
      <c r="B247" s="18" t="s">
        <v>883</v>
      </c>
      <c r="C247" s="18" t="s">
        <v>179</v>
      </c>
      <c r="D247" s="18" t="s">
        <v>123</v>
      </c>
      <c r="E247" s="26">
        <v>45397</v>
      </c>
      <c r="F247" s="18" t="s">
        <v>884</v>
      </c>
      <c r="G247" s="18" t="s">
        <v>117</v>
      </c>
      <c r="H247" s="18">
        <v>4.0999999999999996</v>
      </c>
      <c r="I247" s="18">
        <v>149</v>
      </c>
      <c r="J247" s="18">
        <v>0</v>
      </c>
      <c r="K247" s="18">
        <v>610.9</v>
      </c>
      <c r="L247" s="18" t="s">
        <v>146</v>
      </c>
      <c r="M247" s="18" t="s">
        <v>140</v>
      </c>
      <c r="N247" s="28">
        <v>45397.244444444441</v>
      </c>
      <c r="O247" s="28">
        <v>45398.009027777778</v>
      </c>
      <c r="P247" s="20"/>
      <c r="Q247" s="18" t="b">
        <f>FALSE()</f>
        <v>0</v>
      </c>
      <c r="R247" s="18" t="b">
        <f>FALSE()</f>
        <v>0</v>
      </c>
      <c r="S247" s="19">
        <f t="shared" si="3"/>
        <v>18.399999999999999</v>
      </c>
      <c r="T247">
        <f>COUNTIF('👤 Customers'!$A:$A, B247)</f>
        <v>1</v>
      </c>
      <c r="U247">
        <f>COUNTIF('🚴 Riders'!A246:A306, C247)</f>
        <v>0</v>
      </c>
      <c r="V247">
        <f>COUNTIF('🏭 Facilities'!A246:A254, D247)</f>
        <v>0</v>
      </c>
    </row>
    <row r="248" spans="1:22">
      <c r="A248" s="16" t="s">
        <v>885</v>
      </c>
      <c r="B248" s="16" t="s">
        <v>689</v>
      </c>
      <c r="C248" s="16" t="s">
        <v>536</v>
      </c>
      <c r="D248" s="16" t="s">
        <v>205</v>
      </c>
      <c r="E248" s="25">
        <v>45633</v>
      </c>
      <c r="F248" s="16" t="s">
        <v>886</v>
      </c>
      <c r="G248" s="16" t="s">
        <v>132</v>
      </c>
      <c r="H248" s="16">
        <v>5.6</v>
      </c>
      <c r="I248" s="16">
        <v>399</v>
      </c>
      <c r="J248" s="16">
        <v>0</v>
      </c>
      <c r="K248" s="16">
        <v>2234.4</v>
      </c>
      <c r="L248" s="16" t="s">
        <v>207</v>
      </c>
      <c r="M248" s="16" t="s">
        <v>119</v>
      </c>
      <c r="N248" s="27">
        <v>45633.109722222223</v>
      </c>
      <c r="O248" s="27">
        <v>45633.898611111108</v>
      </c>
      <c r="P248" s="16">
        <v>4.3</v>
      </c>
      <c r="Q248" s="16" t="b">
        <f>FALSE()</f>
        <v>0</v>
      </c>
      <c r="R248" s="16" t="b">
        <f>FALSE()</f>
        <v>0</v>
      </c>
      <c r="S248" s="17">
        <f t="shared" si="3"/>
        <v>18.899999999999999</v>
      </c>
      <c r="T248">
        <f>COUNTIF('👤 Customers'!$A:$A, B248)</f>
        <v>1</v>
      </c>
      <c r="U248">
        <f>COUNTIF('🚴 Riders'!A247:A307, C248)</f>
        <v>0</v>
      </c>
      <c r="V248">
        <f>COUNTIF('🏭 Facilities'!A247:A255, D248)</f>
        <v>0</v>
      </c>
    </row>
    <row r="249" spans="1:22">
      <c r="A249" s="18" t="s">
        <v>887</v>
      </c>
      <c r="B249" s="18" t="s">
        <v>303</v>
      </c>
      <c r="C249" s="18" t="s">
        <v>179</v>
      </c>
      <c r="D249" s="18" t="s">
        <v>137</v>
      </c>
      <c r="E249" s="26">
        <v>45248</v>
      </c>
      <c r="F249" s="18" t="s">
        <v>888</v>
      </c>
      <c r="G249" s="18" t="s">
        <v>145</v>
      </c>
      <c r="H249" s="18">
        <v>3.1</v>
      </c>
      <c r="I249" s="18">
        <v>299</v>
      </c>
      <c r="J249" s="18">
        <v>10</v>
      </c>
      <c r="K249" s="18">
        <v>834.21</v>
      </c>
      <c r="L249" s="18" t="s">
        <v>126</v>
      </c>
      <c r="M249" s="18" t="s">
        <v>140</v>
      </c>
      <c r="N249" s="28">
        <v>45248.751388888886</v>
      </c>
      <c r="O249" s="28">
        <v>45249.313194444447</v>
      </c>
      <c r="P249" s="20"/>
      <c r="Q249" s="18" t="b">
        <f>FALSE()</f>
        <v>0</v>
      </c>
      <c r="R249" s="18" t="b">
        <f>FALSE()</f>
        <v>0</v>
      </c>
      <c r="S249" s="19">
        <f t="shared" si="3"/>
        <v>13.5</v>
      </c>
      <c r="T249">
        <f>COUNTIF('👤 Customers'!$A:$A, B249)</f>
        <v>1</v>
      </c>
      <c r="U249">
        <f>COUNTIF('🚴 Riders'!A248:A308, C249)</f>
        <v>0</v>
      </c>
      <c r="V249">
        <f>COUNTIF('🏭 Facilities'!A248:A256, D249)</f>
        <v>0</v>
      </c>
    </row>
    <row r="250" spans="1:22">
      <c r="A250" s="16" t="s">
        <v>889</v>
      </c>
      <c r="B250" s="16" t="s">
        <v>890</v>
      </c>
      <c r="C250" s="16" t="s">
        <v>213</v>
      </c>
      <c r="D250" s="16" t="s">
        <v>137</v>
      </c>
      <c r="E250" s="25">
        <v>45134</v>
      </c>
      <c r="F250" s="16" t="s">
        <v>891</v>
      </c>
      <c r="G250" s="16" t="s">
        <v>176</v>
      </c>
      <c r="H250" s="16">
        <v>5</v>
      </c>
      <c r="I250" s="16">
        <v>599</v>
      </c>
      <c r="J250" s="16">
        <v>0</v>
      </c>
      <c r="K250" s="16">
        <v>2995</v>
      </c>
      <c r="L250" s="16" t="s">
        <v>146</v>
      </c>
      <c r="M250" s="16" t="s">
        <v>119</v>
      </c>
      <c r="N250" s="27">
        <v>45134.332638888889</v>
      </c>
      <c r="O250" s="27">
        <v>45134.65</v>
      </c>
      <c r="P250" s="16">
        <v>4.5999999999999996</v>
      </c>
      <c r="Q250" s="16" t="b">
        <f>FALSE()</f>
        <v>0</v>
      </c>
      <c r="R250" s="16" t="b">
        <f>FALSE()</f>
        <v>0</v>
      </c>
      <c r="S250" s="17">
        <f t="shared" si="3"/>
        <v>7.6</v>
      </c>
      <c r="T250">
        <f>COUNTIF('👤 Customers'!$A:$A, B250)</f>
        <v>1</v>
      </c>
      <c r="U250">
        <f>COUNTIF('🚴 Riders'!A249:A309, C250)</f>
        <v>0</v>
      </c>
      <c r="V250">
        <f>COUNTIF('🏭 Facilities'!A249:A257, D250)</f>
        <v>0</v>
      </c>
    </row>
    <row r="251" spans="1:22">
      <c r="A251" s="18" t="s">
        <v>892</v>
      </c>
      <c r="B251" s="18" t="s">
        <v>893</v>
      </c>
      <c r="C251" s="18" t="s">
        <v>153</v>
      </c>
      <c r="D251" s="18" t="s">
        <v>158</v>
      </c>
      <c r="E251" s="26">
        <v>45069</v>
      </c>
      <c r="F251" s="18" t="s">
        <v>894</v>
      </c>
      <c r="G251" s="18" t="s">
        <v>145</v>
      </c>
      <c r="H251" s="18">
        <v>4.4000000000000004</v>
      </c>
      <c r="I251" s="18">
        <v>299</v>
      </c>
      <c r="J251" s="18">
        <v>0</v>
      </c>
      <c r="K251" s="18">
        <v>1315.6</v>
      </c>
      <c r="L251" s="18" t="s">
        <v>207</v>
      </c>
      <c r="M251" s="18" t="s">
        <v>119</v>
      </c>
      <c r="N251" s="28">
        <v>45069.95208333333</v>
      </c>
      <c r="O251" s="28">
        <v>45070.631249999999</v>
      </c>
      <c r="P251" s="18">
        <v>4.4000000000000004</v>
      </c>
      <c r="Q251" s="18" t="b">
        <f>FALSE()</f>
        <v>0</v>
      </c>
      <c r="R251" s="18" t="b">
        <f>FALSE()</f>
        <v>0</v>
      </c>
      <c r="S251" s="19">
        <f t="shared" si="3"/>
        <v>16.3</v>
      </c>
      <c r="T251">
        <f>COUNTIF('👤 Customers'!$A:$A, B251)</f>
        <v>1</v>
      </c>
      <c r="U251">
        <f>COUNTIF('🚴 Riders'!A250:A310, C251)</f>
        <v>0</v>
      </c>
      <c r="V251">
        <f>COUNTIF('🏭 Facilities'!A250:A258, D251)</f>
        <v>0</v>
      </c>
    </row>
    <row r="252" spans="1:22">
      <c r="A252" s="16" t="s">
        <v>895</v>
      </c>
      <c r="B252" s="16" t="s">
        <v>282</v>
      </c>
      <c r="C252" s="16" t="s">
        <v>247</v>
      </c>
      <c r="D252" s="16" t="s">
        <v>158</v>
      </c>
      <c r="E252" s="25">
        <v>44978</v>
      </c>
      <c r="F252" s="16" t="s">
        <v>896</v>
      </c>
      <c r="G252" s="16" t="s">
        <v>132</v>
      </c>
      <c r="H252" s="16">
        <v>7.5</v>
      </c>
      <c r="I252" s="16">
        <v>399</v>
      </c>
      <c r="J252" s="16">
        <v>30</v>
      </c>
      <c r="K252" s="16">
        <v>2094.75</v>
      </c>
      <c r="L252" s="16" t="s">
        <v>126</v>
      </c>
      <c r="M252" s="16" t="s">
        <v>133</v>
      </c>
      <c r="N252" s="20"/>
      <c r="O252" s="20"/>
      <c r="P252" s="20"/>
      <c r="Q252" s="16" t="b">
        <f>FALSE()</f>
        <v>0</v>
      </c>
      <c r="R252" s="16" t="b">
        <f>FALSE()</f>
        <v>0</v>
      </c>
      <c r="S252" s="17" t="str">
        <f t="shared" si="3"/>
        <v>N/A</v>
      </c>
      <c r="T252">
        <f>COUNTIF('👤 Customers'!$A:$A, B252)</f>
        <v>1</v>
      </c>
      <c r="U252">
        <f>COUNTIF('🚴 Riders'!A251:A311, C252)</f>
        <v>0</v>
      </c>
      <c r="V252">
        <f>COUNTIF('🏭 Facilities'!A251:A259, D252)</f>
        <v>0</v>
      </c>
    </row>
    <row r="253" spans="1:22">
      <c r="A253" s="18" t="s">
        <v>897</v>
      </c>
      <c r="B253" s="18" t="s">
        <v>667</v>
      </c>
      <c r="C253" s="18" t="s">
        <v>122</v>
      </c>
      <c r="D253" s="18" t="s">
        <v>197</v>
      </c>
      <c r="E253" s="26">
        <v>45486</v>
      </c>
      <c r="F253" s="18" t="s">
        <v>898</v>
      </c>
      <c r="G253" s="18" t="s">
        <v>117</v>
      </c>
      <c r="H253" s="18">
        <v>3.8</v>
      </c>
      <c r="I253" s="18">
        <v>149</v>
      </c>
      <c r="J253" s="18">
        <v>20</v>
      </c>
      <c r="K253" s="18">
        <v>452.96</v>
      </c>
      <c r="L253" s="18" t="s">
        <v>139</v>
      </c>
      <c r="M253" s="18" t="s">
        <v>133</v>
      </c>
      <c r="N253" s="20"/>
      <c r="O253" s="20"/>
      <c r="P253" s="20"/>
      <c r="Q253" s="18" t="b">
        <f>FALSE()</f>
        <v>0</v>
      </c>
      <c r="R253" s="18" t="b">
        <f>FALSE()</f>
        <v>0</v>
      </c>
      <c r="S253" s="19" t="str">
        <f t="shared" si="3"/>
        <v>N/A</v>
      </c>
      <c r="T253">
        <f>COUNTIF('👤 Customers'!$A:$A, B253)</f>
        <v>1</v>
      </c>
      <c r="U253">
        <f>COUNTIF('🚴 Riders'!A252:A312, C253)</f>
        <v>0</v>
      </c>
      <c r="V253">
        <f>COUNTIF('🏭 Facilities'!A252:A260, D253)</f>
        <v>0</v>
      </c>
    </row>
    <row r="254" spans="1:22">
      <c r="A254" s="16" t="s">
        <v>899</v>
      </c>
      <c r="B254" s="16" t="s">
        <v>900</v>
      </c>
      <c r="C254" s="16" t="s">
        <v>174</v>
      </c>
      <c r="D254" s="16" t="s">
        <v>130</v>
      </c>
      <c r="E254" s="25">
        <v>45608</v>
      </c>
      <c r="F254" s="16" t="s">
        <v>901</v>
      </c>
      <c r="G254" s="16" t="s">
        <v>132</v>
      </c>
      <c r="H254" s="16">
        <v>4.5999999999999996</v>
      </c>
      <c r="I254" s="16">
        <v>399</v>
      </c>
      <c r="J254" s="16">
        <v>0</v>
      </c>
      <c r="K254" s="16">
        <v>1835.4</v>
      </c>
      <c r="L254" s="16" t="s">
        <v>118</v>
      </c>
      <c r="M254" s="16" t="s">
        <v>140</v>
      </c>
      <c r="N254" s="27">
        <v>45608.818055555559</v>
      </c>
      <c r="O254" s="27">
        <v>45609.463888888888</v>
      </c>
      <c r="P254" s="20"/>
      <c r="Q254" s="16" t="b">
        <f>FALSE()</f>
        <v>0</v>
      </c>
      <c r="R254" s="16" t="b">
        <f>FALSE()</f>
        <v>0</v>
      </c>
      <c r="S254" s="17">
        <f t="shared" si="3"/>
        <v>15.5</v>
      </c>
      <c r="T254">
        <f>COUNTIF('👤 Customers'!$A:$A, B254)</f>
        <v>1</v>
      </c>
      <c r="U254">
        <f>COUNTIF('🚴 Riders'!A253:A313, C254)</f>
        <v>0</v>
      </c>
      <c r="V254">
        <f>COUNTIF('🏭 Facilities'!A253:A261, D254)</f>
        <v>0</v>
      </c>
    </row>
    <row r="255" spans="1:22">
      <c r="A255" s="18" t="s">
        <v>902</v>
      </c>
      <c r="B255" s="18" t="s">
        <v>903</v>
      </c>
      <c r="C255" s="18" t="s">
        <v>563</v>
      </c>
      <c r="D255" s="18" t="s">
        <v>115</v>
      </c>
      <c r="E255" s="26">
        <v>45527</v>
      </c>
      <c r="F255" s="18" t="s">
        <v>904</v>
      </c>
      <c r="G255" s="18" t="s">
        <v>117</v>
      </c>
      <c r="H255" s="18">
        <v>4.2</v>
      </c>
      <c r="I255" s="18">
        <v>149</v>
      </c>
      <c r="J255" s="18">
        <v>0</v>
      </c>
      <c r="K255" s="18">
        <v>625.79999999999995</v>
      </c>
      <c r="L255" s="18" t="s">
        <v>126</v>
      </c>
      <c r="M255" s="18" t="s">
        <v>133</v>
      </c>
      <c r="N255" s="20"/>
      <c r="O255" s="20"/>
      <c r="P255" s="20"/>
      <c r="Q255" s="18" t="b">
        <f>FALSE()</f>
        <v>0</v>
      </c>
      <c r="R255" s="18" t="b">
        <f>TRUE()</f>
        <v>1</v>
      </c>
      <c r="S255" s="19" t="str">
        <f t="shared" si="3"/>
        <v>N/A</v>
      </c>
      <c r="T255">
        <f>COUNTIF('👤 Customers'!$A:$A, B255)</f>
        <v>1</v>
      </c>
      <c r="U255">
        <f>COUNTIF('🚴 Riders'!A254:A314, C255)</f>
        <v>0</v>
      </c>
      <c r="V255">
        <f>COUNTIF('🏭 Facilities'!A254:A262, D255)</f>
        <v>0</v>
      </c>
    </row>
    <row r="256" spans="1:22">
      <c r="A256" s="16" t="s">
        <v>905</v>
      </c>
      <c r="B256" s="16" t="s">
        <v>178</v>
      </c>
      <c r="C256" s="16" t="s">
        <v>220</v>
      </c>
      <c r="D256" s="16" t="s">
        <v>130</v>
      </c>
      <c r="E256" s="25">
        <v>45531</v>
      </c>
      <c r="F256" s="16" t="s">
        <v>906</v>
      </c>
      <c r="G256" s="16" t="s">
        <v>176</v>
      </c>
      <c r="H256" s="16">
        <v>7.6</v>
      </c>
      <c r="I256" s="16">
        <v>599</v>
      </c>
      <c r="J256" s="16">
        <v>10</v>
      </c>
      <c r="K256" s="16">
        <v>4097.16</v>
      </c>
      <c r="L256" s="16" t="s">
        <v>139</v>
      </c>
      <c r="M256" s="16" t="s">
        <v>119</v>
      </c>
      <c r="N256" s="27">
        <v>45531.936111111114</v>
      </c>
      <c r="O256" s="27">
        <v>45532.472222222219</v>
      </c>
      <c r="P256" s="16">
        <v>2.7</v>
      </c>
      <c r="Q256" s="16" t="b">
        <f>FALSE()</f>
        <v>0</v>
      </c>
      <c r="R256" s="16" t="b">
        <f>FALSE()</f>
        <v>0</v>
      </c>
      <c r="S256" s="17">
        <f t="shared" si="3"/>
        <v>12.9</v>
      </c>
      <c r="T256">
        <f>COUNTIF('👤 Customers'!$A:$A, B256)</f>
        <v>1</v>
      </c>
      <c r="U256">
        <f>COUNTIF('🚴 Riders'!A255:A315, C256)</f>
        <v>0</v>
      </c>
      <c r="V256">
        <f>COUNTIF('🏭 Facilities'!A255:A263, D256)</f>
        <v>0</v>
      </c>
    </row>
    <row r="257" spans="1:22">
      <c r="A257" s="18" t="s">
        <v>907</v>
      </c>
      <c r="B257" s="18" t="s">
        <v>908</v>
      </c>
      <c r="C257" s="18" t="s">
        <v>188</v>
      </c>
      <c r="D257" s="18" t="s">
        <v>137</v>
      </c>
      <c r="E257" s="26">
        <v>45479</v>
      </c>
      <c r="F257" s="18" t="s">
        <v>909</v>
      </c>
      <c r="G257" s="18" t="s">
        <v>132</v>
      </c>
      <c r="H257" s="18">
        <v>6</v>
      </c>
      <c r="I257" s="18">
        <v>399</v>
      </c>
      <c r="J257" s="18">
        <v>0</v>
      </c>
      <c r="K257" s="18">
        <v>2394</v>
      </c>
      <c r="L257" s="18" t="s">
        <v>139</v>
      </c>
      <c r="M257" s="18" t="s">
        <v>119</v>
      </c>
      <c r="N257" s="28">
        <v>45479.738194444442</v>
      </c>
      <c r="O257" s="28">
        <v>45480.512499999997</v>
      </c>
      <c r="P257" s="18">
        <v>3.9</v>
      </c>
      <c r="Q257" s="18" t="b">
        <f>TRUE()</f>
        <v>1</v>
      </c>
      <c r="R257" s="18" t="b">
        <f>TRUE()</f>
        <v>1</v>
      </c>
      <c r="S257" s="19">
        <f t="shared" si="3"/>
        <v>18.600000000000001</v>
      </c>
      <c r="T257">
        <f>COUNTIF('👤 Customers'!$A:$A, B257)</f>
        <v>1</v>
      </c>
      <c r="U257">
        <f>COUNTIF('🚴 Riders'!A256:A316, C257)</f>
        <v>0</v>
      </c>
      <c r="V257">
        <f>COUNTIF('🏭 Facilities'!A256:A264, D257)</f>
        <v>0</v>
      </c>
    </row>
    <row r="258" spans="1:22">
      <c r="A258" s="16" t="s">
        <v>910</v>
      </c>
      <c r="B258" s="16" t="s">
        <v>562</v>
      </c>
      <c r="C258" s="16" t="s">
        <v>261</v>
      </c>
      <c r="D258" s="16" t="s">
        <v>123</v>
      </c>
      <c r="E258" s="25">
        <v>45187</v>
      </c>
      <c r="F258" s="16" t="s">
        <v>911</v>
      </c>
      <c r="G258" s="16" t="s">
        <v>176</v>
      </c>
      <c r="H258" s="16">
        <v>7.1</v>
      </c>
      <c r="I258" s="16">
        <v>599</v>
      </c>
      <c r="J258" s="16">
        <v>20</v>
      </c>
      <c r="K258" s="16">
        <v>3402.32</v>
      </c>
      <c r="L258" s="16" t="s">
        <v>139</v>
      </c>
      <c r="M258" s="16" t="s">
        <v>119</v>
      </c>
      <c r="N258" s="27">
        <v>45187.499305555553</v>
      </c>
      <c r="O258" s="27">
        <v>45187.984722222223</v>
      </c>
      <c r="P258" s="16">
        <v>3.2</v>
      </c>
      <c r="Q258" s="16" t="b">
        <f>FALSE()</f>
        <v>0</v>
      </c>
      <c r="R258" s="16" t="b">
        <f>FALSE()</f>
        <v>0</v>
      </c>
      <c r="S258" s="17">
        <f t="shared" ref="S258:S321" si="4">IF(OR(N258="",O258=""),"N/A",ROUND(((O258-N258)*24),1))</f>
        <v>11.7</v>
      </c>
      <c r="T258">
        <f>COUNTIF('👤 Customers'!$A:$A, B258)</f>
        <v>1</v>
      </c>
      <c r="U258">
        <f>COUNTIF('🚴 Riders'!A257:A317, C258)</f>
        <v>0</v>
      </c>
      <c r="V258">
        <f>COUNTIF('🏭 Facilities'!A257:A265, D258)</f>
        <v>0</v>
      </c>
    </row>
    <row r="259" spans="1:22">
      <c r="A259" s="18" t="s">
        <v>912</v>
      </c>
      <c r="B259" s="18" t="s">
        <v>913</v>
      </c>
      <c r="C259" s="18" t="s">
        <v>479</v>
      </c>
      <c r="D259" s="18" t="s">
        <v>115</v>
      </c>
      <c r="E259" s="26">
        <v>45084</v>
      </c>
      <c r="F259" s="18" t="s">
        <v>914</v>
      </c>
      <c r="G259" s="18" t="s">
        <v>125</v>
      </c>
      <c r="H259" s="18">
        <v>5.4</v>
      </c>
      <c r="I259" s="18">
        <v>199</v>
      </c>
      <c r="J259" s="18">
        <v>0</v>
      </c>
      <c r="K259" s="18">
        <v>1074.5999999999999</v>
      </c>
      <c r="L259" s="18" t="s">
        <v>207</v>
      </c>
      <c r="M259" s="18" t="s">
        <v>119</v>
      </c>
      <c r="N259" s="28">
        <v>45084.652777777781</v>
      </c>
      <c r="O259" s="28">
        <v>45085.385416666664</v>
      </c>
      <c r="P259" s="18">
        <v>3</v>
      </c>
      <c r="Q259" s="18" t="b">
        <f>FALSE()</f>
        <v>0</v>
      </c>
      <c r="R259" s="18" t="b">
        <f>FALSE()</f>
        <v>0</v>
      </c>
      <c r="S259" s="19">
        <f t="shared" si="4"/>
        <v>17.600000000000001</v>
      </c>
      <c r="T259">
        <f>COUNTIF('👤 Customers'!$A:$A, B259)</f>
        <v>1</v>
      </c>
      <c r="U259">
        <f>COUNTIF('🚴 Riders'!A258:A318, C259)</f>
        <v>0</v>
      </c>
      <c r="V259">
        <f>COUNTIF('🏭 Facilities'!A258:A266, D259)</f>
        <v>0</v>
      </c>
    </row>
    <row r="260" spans="1:22">
      <c r="A260" s="16" t="s">
        <v>915</v>
      </c>
      <c r="B260" s="16" t="s">
        <v>916</v>
      </c>
      <c r="C260" s="16" t="s">
        <v>174</v>
      </c>
      <c r="D260" s="16" t="s">
        <v>137</v>
      </c>
      <c r="E260" s="25">
        <v>45270</v>
      </c>
      <c r="F260" s="16" t="s">
        <v>917</v>
      </c>
      <c r="G260" s="16" t="s">
        <v>125</v>
      </c>
      <c r="H260" s="16">
        <v>5.2</v>
      </c>
      <c r="I260" s="16">
        <v>199</v>
      </c>
      <c r="J260" s="16">
        <v>0</v>
      </c>
      <c r="K260" s="16">
        <v>1034.8</v>
      </c>
      <c r="L260" s="16" t="s">
        <v>207</v>
      </c>
      <c r="M260" s="16" t="s">
        <v>133</v>
      </c>
      <c r="N260" s="20"/>
      <c r="O260" s="20"/>
      <c r="P260" s="20"/>
      <c r="Q260" s="16" t="b">
        <f>TRUE()</f>
        <v>1</v>
      </c>
      <c r="R260" s="16" t="b">
        <f>FALSE()</f>
        <v>0</v>
      </c>
      <c r="S260" s="17" t="str">
        <f t="shared" si="4"/>
        <v>N/A</v>
      </c>
      <c r="T260">
        <f>COUNTIF('👤 Customers'!$A:$A, B260)</f>
        <v>1</v>
      </c>
      <c r="U260">
        <f>COUNTIF('🚴 Riders'!A259:A319, C260)</f>
        <v>0</v>
      </c>
      <c r="V260">
        <f>COUNTIF('🏭 Facilities'!A259:A267, D260)</f>
        <v>0</v>
      </c>
    </row>
    <row r="261" spans="1:22">
      <c r="A261" s="18" t="s">
        <v>918</v>
      </c>
      <c r="B261" s="18" t="s">
        <v>919</v>
      </c>
      <c r="C261" s="18" t="s">
        <v>315</v>
      </c>
      <c r="D261" s="18" t="s">
        <v>123</v>
      </c>
      <c r="E261" s="26">
        <v>45039</v>
      </c>
      <c r="F261" s="18" t="s">
        <v>920</v>
      </c>
      <c r="G261" s="18" t="s">
        <v>125</v>
      </c>
      <c r="H261" s="18">
        <v>5.7</v>
      </c>
      <c r="I261" s="18">
        <v>199</v>
      </c>
      <c r="J261" s="18">
        <v>20</v>
      </c>
      <c r="K261" s="18">
        <v>907.44</v>
      </c>
      <c r="L261" s="18" t="s">
        <v>146</v>
      </c>
      <c r="M261" s="18" t="s">
        <v>119</v>
      </c>
      <c r="N261" s="28">
        <v>45039.984722222223</v>
      </c>
      <c r="O261" s="28">
        <v>45040.350694444445</v>
      </c>
      <c r="P261" s="18">
        <v>4.2</v>
      </c>
      <c r="Q261" s="18" t="b">
        <f>FALSE()</f>
        <v>0</v>
      </c>
      <c r="R261" s="18" t="b">
        <f>FALSE()</f>
        <v>0</v>
      </c>
      <c r="S261" s="19">
        <f t="shared" si="4"/>
        <v>8.8000000000000007</v>
      </c>
      <c r="T261">
        <f>COUNTIF('👤 Customers'!$A:$A, B261)</f>
        <v>1</v>
      </c>
      <c r="U261">
        <f>COUNTIF('🚴 Riders'!A260:A320, C261)</f>
        <v>0</v>
      </c>
      <c r="V261">
        <f>COUNTIF('🏭 Facilities'!A260:A268, D261)</f>
        <v>0</v>
      </c>
    </row>
    <row r="262" spans="1:22">
      <c r="A262" s="16" t="s">
        <v>921</v>
      </c>
      <c r="B262" s="16" t="s">
        <v>922</v>
      </c>
      <c r="C262" s="16" t="s">
        <v>580</v>
      </c>
      <c r="D262" s="16" t="s">
        <v>158</v>
      </c>
      <c r="E262" s="25">
        <v>45363</v>
      </c>
      <c r="F262" s="16" t="s">
        <v>923</v>
      </c>
      <c r="G262" s="16" t="s">
        <v>132</v>
      </c>
      <c r="H262" s="16">
        <v>7.8</v>
      </c>
      <c r="I262" s="16">
        <v>399</v>
      </c>
      <c r="J262" s="16">
        <v>10</v>
      </c>
      <c r="K262" s="16">
        <v>2800.98</v>
      </c>
      <c r="L262" s="16" t="s">
        <v>126</v>
      </c>
      <c r="M262" s="16" t="s">
        <v>119</v>
      </c>
      <c r="N262" s="27">
        <v>45363.8125</v>
      </c>
      <c r="O262" s="27">
        <v>45364.198611111111</v>
      </c>
      <c r="P262" s="16">
        <v>4.4000000000000004</v>
      </c>
      <c r="Q262" s="16" t="b">
        <f>FALSE()</f>
        <v>0</v>
      </c>
      <c r="R262" s="16" t="b">
        <f>TRUE()</f>
        <v>1</v>
      </c>
      <c r="S262" s="17">
        <f t="shared" si="4"/>
        <v>9.3000000000000007</v>
      </c>
      <c r="T262">
        <f>COUNTIF('👤 Customers'!$A:$A, B262)</f>
        <v>1</v>
      </c>
      <c r="U262">
        <f>COUNTIF('🚴 Riders'!A261:A321, C262)</f>
        <v>0</v>
      </c>
      <c r="V262">
        <f>COUNTIF('🏭 Facilities'!A261:A269, D262)</f>
        <v>0</v>
      </c>
    </row>
    <row r="263" spans="1:22">
      <c r="A263" s="18" t="s">
        <v>924</v>
      </c>
      <c r="B263" s="18" t="s">
        <v>925</v>
      </c>
      <c r="C263" s="18" t="s">
        <v>174</v>
      </c>
      <c r="D263" s="18" t="s">
        <v>197</v>
      </c>
      <c r="E263" s="26">
        <v>45292</v>
      </c>
      <c r="F263" s="18" t="s">
        <v>926</v>
      </c>
      <c r="G263" s="18" t="s">
        <v>132</v>
      </c>
      <c r="H263" s="18">
        <v>1.9</v>
      </c>
      <c r="I263" s="18">
        <v>399</v>
      </c>
      <c r="J263" s="18">
        <v>20</v>
      </c>
      <c r="K263" s="18">
        <v>606.48</v>
      </c>
      <c r="L263" s="18" t="s">
        <v>146</v>
      </c>
      <c r="M263" s="18" t="s">
        <v>119</v>
      </c>
      <c r="N263" s="28">
        <v>45292.791666666664</v>
      </c>
      <c r="O263" s="28">
        <v>45293.534722222219</v>
      </c>
      <c r="P263" s="18">
        <v>4.3</v>
      </c>
      <c r="Q263" s="18" t="b">
        <f>FALSE()</f>
        <v>0</v>
      </c>
      <c r="R263" s="18" t="b">
        <f>FALSE()</f>
        <v>0</v>
      </c>
      <c r="S263" s="19">
        <f t="shared" si="4"/>
        <v>17.8</v>
      </c>
      <c r="T263">
        <f>COUNTIF('👤 Customers'!$A:$A, B263)</f>
        <v>1</v>
      </c>
      <c r="U263">
        <f>COUNTIF('🚴 Riders'!A262:A322, C263)</f>
        <v>0</v>
      </c>
      <c r="V263">
        <f>COUNTIF('🏭 Facilities'!A262:A270, D263)</f>
        <v>0</v>
      </c>
    </row>
    <row r="264" spans="1:22">
      <c r="A264" s="16" t="s">
        <v>927</v>
      </c>
      <c r="B264" s="16" t="s">
        <v>734</v>
      </c>
      <c r="C264" s="16" t="s">
        <v>157</v>
      </c>
      <c r="D264" s="16" t="s">
        <v>205</v>
      </c>
      <c r="E264" s="25">
        <v>45302</v>
      </c>
      <c r="F264" s="16" t="s">
        <v>928</v>
      </c>
      <c r="G264" s="16" t="s">
        <v>176</v>
      </c>
      <c r="H264" s="16">
        <v>7.5</v>
      </c>
      <c r="I264" s="16">
        <v>599</v>
      </c>
      <c r="J264" s="16">
        <v>30</v>
      </c>
      <c r="K264" s="16">
        <v>3144.75</v>
      </c>
      <c r="L264" s="16" t="s">
        <v>207</v>
      </c>
      <c r="M264" s="16" t="s">
        <v>119</v>
      </c>
      <c r="N264" s="27">
        <v>45302.754861111112</v>
      </c>
      <c r="O264" s="27">
        <v>45303.70416666667</v>
      </c>
      <c r="P264" s="16">
        <v>4</v>
      </c>
      <c r="Q264" s="16" t="b">
        <f>FALSE()</f>
        <v>0</v>
      </c>
      <c r="R264" s="16" t="b">
        <f>FALSE()</f>
        <v>0</v>
      </c>
      <c r="S264" s="17">
        <f t="shared" si="4"/>
        <v>22.8</v>
      </c>
      <c r="T264">
        <f>COUNTIF('👤 Customers'!$A:$A, B264)</f>
        <v>1</v>
      </c>
      <c r="U264">
        <f>COUNTIF('🚴 Riders'!A263:A323, C264)</f>
        <v>0</v>
      </c>
      <c r="V264">
        <f>COUNTIF('🏭 Facilities'!A263:A271, D264)</f>
        <v>0</v>
      </c>
    </row>
    <row r="265" spans="1:22">
      <c r="A265" s="18" t="s">
        <v>929</v>
      </c>
      <c r="B265" s="18" t="s">
        <v>930</v>
      </c>
      <c r="C265" s="18" t="s">
        <v>251</v>
      </c>
      <c r="D265" s="18" t="s">
        <v>197</v>
      </c>
      <c r="E265" s="26">
        <v>45313</v>
      </c>
      <c r="F265" s="18" t="s">
        <v>931</v>
      </c>
      <c r="G265" s="18" t="s">
        <v>145</v>
      </c>
      <c r="H265" s="18">
        <v>6.7</v>
      </c>
      <c r="I265" s="18">
        <v>299</v>
      </c>
      <c r="J265" s="18">
        <v>20</v>
      </c>
      <c r="K265" s="18">
        <v>1602.64</v>
      </c>
      <c r="L265" s="18" t="s">
        <v>207</v>
      </c>
      <c r="M265" s="18" t="s">
        <v>119</v>
      </c>
      <c r="N265" s="28">
        <v>45313.730555555558</v>
      </c>
      <c r="O265" s="28">
        <v>45314.756944444445</v>
      </c>
      <c r="P265" s="18">
        <v>4.5</v>
      </c>
      <c r="Q265" s="18" t="b">
        <f>FALSE()</f>
        <v>0</v>
      </c>
      <c r="R265" s="18" t="b">
        <f>FALSE()</f>
        <v>0</v>
      </c>
      <c r="S265" s="19">
        <f t="shared" si="4"/>
        <v>24.6</v>
      </c>
      <c r="T265">
        <f>COUNTIF('👤 Customers'!$A:$A, B265)</f>
        <v>1</v>
      </c>
      <c r="U265">
        <f>COUNTIF('🚴 Riders'!A264:A324, C265)</f>
        <v>0</v>
      </c>
      <c r="V265">
        <f>COUNTIF('🏭 Facilities'!A264:A272, D265)</f>
        <v>0</v>
      </c>
    </row>
    <row r="266" spans="1:22">
      <c r="A266" s="16" t="s">
        <v>932</v>
      </c>
      <c r="B266" s="16" t="s">
        <v>389</v>
      </c>
      <c r="C266" s="16" t="s">
        <v>261</v>
      </c>
      <c r="D266" s="16" t="s">
        <v>123</v>
      </c>
      <c r="E266" s="25">
        <v>45186</v>
      </c>
      <c r="F266" s="16" t="s">
        <v>933</v>
      </c>
      <c r="G266" s="16" t="s">
        <v>117</v>
      </c>
      <c r="H266" s="16">
        <v>4.9000000000000004</v>
      </c>
      <c r="I266" s="16">
        <v>149</v>
      </c>
      <c r="J266" s="16">
        <v>10</v>
      </c>
      <c r="K266" s="16">
        <v>657.09</v>
      </c>
      <c r="L266" s="16" t="s">
        <v>146</v>
      </c>
      <c r="M266" s="16" t="s">
        <v>119</v>
      </c>
      <c r="N266" s="27">
        <v>45186.37777777778</v>
      </c>
      <c r="O266" s="27">
        <v>45187.208333333336</v>
      </c>
      <c r="P266" s="16">
        <v>3.9</v>
      </c>
      <c r="Q266" s="16" t="b">
        <f>FALSE()</f>
        <v>0</v>
      </c>
      <c r="R266" s="16" t="b">
        <f>TRUE()</f>
        <v>1</v>
      </c>
      <c r="S266" s="17">
        <f t="shared" si="4"/>
        <v>19.899999999999999</v>
      </c>
      <c r="T266">
        <f>COUNTIF('👤 Customers'!$A:$A, B266)</f>
        <v>1</v>
      </c>
      <c r="U266">
        <f>COUNTIF('🚴 Riders'!A265:A325, C266)</f>
        <v>0</v>
      </c>
      <c r="V266">
        <f>COUNTIF('🏭 Facilities'!A265:A273, D266)</f>
        <v>0</v>
      </c>
    </row>
    <row r="267" spans="1:22">
      <c r="A267" s="18" t="s">
        <v>934</v>
      </c>
      <c r="B267" s="18" t="s">
        <v>935</v>
      </c>
      <c r="C267" s="18" t="s">
        <v>257</v>
      </c>
      <c r="D267" s="18" t="s">
        <v>115</v>
      </c>
      <c r="E267" s="26">
        <v>45185</v>
      </c>
      <c r="F267" s="18" t="s">
        <v>936</v>
      </c>
      <c r="G267" s="18" t="s">
        <v>117</v>
      </c>
      <c r="H267" s="18">
        <v>3.8</v>
      </c>
      <c r="I267" s="18">
        <v>149</v>
      </c>
      <c r="J267" s="18">
        <v>0</v>
      </c>
      <c r="K267" s="18">
        <v>566.20000000000005</v>
      </c>
      <c r="L267" s="18" t="s">
        <v>139</v>
      </c>
      <c r="M267" s="18" t="s">
        <v>119</v>
      </c>
      <c r="N267" s="28">
        <v>45186.010416666664</v>
      </c>
      <c r="O267" s="28">
        <v>45186.51666666667</v>
      </c>
      <c r="P267" s="18">
        <v>4.5</v>
      </c>
      <c r="Q267" s="18" t="b">
        <f>FALSE()</f>
        <v>0</v>
      </c>
      <c r="R267" s="18" t="b">
        <f>FALSE()</f>
        <v>0</v>
      </c>
      <c r="S267" s="19">
        <f t="shared" si="4"/>
        <v>12.2</v>
      </c>
      <c r="T267">
        <f>COUNTIF('👤 Customers'!$A:$A, B267)</f>
        <v>1</v>
      </c>
      <c r="U267">
        <f>COUNTIF('🚴 Riders'!A266:A326, C267)</f>
        <v>0</v>
      </c>
      <c r="V267">
        <f>COUNTIF('🏭 Facilities'!A266:A274, D267)</f>
        <v>0</v>
      </c>
    </row>
    <row r="268" spans="1:22">
      <c r="A268" s="16" t="s">
        <v>937</v>
      </c>
      <c r="B268" s="16" t="s">
        <v>938</v>
      </c>
      <c r="C268" s="16" t="s">
        <v>563</v>
      </c>
      <c r="D268" s="16" t="s">
        <v>123</v>
      </c>
      <c r="E268" s="25">
        <v>45414</v>
      </c>
      <c r="F268" s="16" t="s">
        <v>939</v>
      </c>
      <c r="G268" s="16" t="s">
        <v>145</v>
      </c>
      <c r="H268" s="16">
        <v>7.2</v>
      </c>
      <c r="I268" s="16">
        <v>299</v>
      </c>
      <c r="J268" s="16">
        <v>0</v>
      </c>
      <c r="K268" s="16">
        <v>2152.8000000000002</v>
      </c>
      <c r="L268" s="16" t="s">
        <v>146</v>
      </c>
      <c r="M268" s="16" t="s">
        <v>119</v>
      </c>
      <c r="N268" s="27">
        <v>45414.248611111114</v>
      </c>
      <c r="O268" s="27">
        <v>45415.228472222225</v>
      </c>
      <c r="P268" s="16">
        <v>4.3</v>
      </c>
      <c r="Q268" s="16" t="b">
        <f>FALSE()</f>
        <v>0</v>
      </c>
      <c r="R268" s="16" t="b">
        <f>FALSE()</f>
        <v>0</v>
      </c>
      <c r="S268" s="17">
        <f t="shared" si="4"/>
        <v>23.5</v>
      </c>
      <c r="T268">
        <f>COUNTIF('👤 Customers'!$A:$A, B268)</f>
        <v>1</v>
      </c>
      <c r="U268">
        <f>COUNTIF('🚴 Riders'!A267:A327, C268)</f>
        <v>0</v>
      </c>
      <c r="V268">
        <f>COUNTIF('🏭 Facilities'!A267:A275, D268)</f>
        <v>0</v>
      </c>
    </row>
    <row r="269" spans="1:22">
      <c r="A269" s="18" t="s">
        <v>940</v>
      </c>
      <c r="B269" s="18" t="s">
        <v>941</v>
      </c>
      <c r="C269" s="18" t="s">
        <v>188</v>
      </c>
      <c r="D269" s="18" t="s">
        <v>137</v>
      </c>
      <c r="E269" s="26">
        <v>45088</v>
      </c>
      <c r="F269" s="18" t="s">
        <v>942</v>
      </c>
      <c r="G269" s="18" t="s">
        <v>176</v>
      </c>
      <c r="H269" s="18">
        <v>5.8</v>
      </c>
      <c r="I269" s="18">
        <v>599</v>
      </c>
      <c r="J269" s="18">
        <v>10</v>
      </c>
      <c r="K269" s="18">
        <v>3126.78</v>
      </c>
      <c r="L269" s="18" t="s">
        <v>146</v>
      </c>
      <c r="M269" s="18" t="s">
        <v>119</v>
      </c>
      <c r="N269" s="28">
        <v>45088.792361111111</v>
      </c>
      <c r="O269" s="28">
        <v>45089.265972222223</v>
      </c>
      <c r="P269" s="18">
        <v>4</v>
      </c>
      <c r="Q269" s="18" t="b">
        <f>FALSE()</f>
        <v>0</v>
      </c>
      <c r="R269" s="18" t="b">
        <f>TRUE()</f>
        <v>1</v>
      </c>
      <c r="S269" s="19">
        <f t="shared" si="4"/>
        <v>11.4</v>
      </c>
      <c r="T269">
        <f>COUNTIF('👤 Customers'!$A:$A, B269)</f>
        <v>1</v>
      </c>
      <c r="U269">
        <f>COUNTIF('🚴 Riders'!A268:A328, C269)</f>
        <v>0</v>
      </c>
      <c r="V269">
        <f>COUNTIF('🏭 Facilities'!A268:A276, D269)</f>
        <v>0</v>
      </c>
    </row>
    <row r="270" spans="1:22">
      <c r="A270" s="16" t="s">
        <v>943</v>
      </c>
      <c r="B270" s="16" t="s">
        <v>944</v>
      </c>
      <c r="C270" s="16" t="s">
        <v>717</v>
      </c>
      <c r="D270" s="16" t="s">
        <v>123</v>
      </c>
      <c r="E270" s="25">
        <v>45534</v>
      </c>
      <c r="F270" s="16" t="s">
        <v>945</v>
      </c>
      <c r="G270" s="16" t="s">
        <v>117</v>
      </c>
      <c r="H270" s="16">
        <v>5.9</v>
      </c>
      <c r="I270" s="16">
        <v>149</v>
      </c>
      <c r="J270" s="16">
        <v>0</v>
      </c>
      <c r="K270" s="16">
        <v>879.1</v>
      </c>
      <c r="L270" s="16" t="s">
        <v>207</v>
      </c>
      <c r="M270" s="16" t="s">
        <v>119</v>
      </c>
      <c r="N270" s="27">
        <v>45534.724305555559</v>
      </c>
      <c r="O270" s="27">
        <v>45535.154166666667</v>
      </c>
      <c r="P270" s="16">
        <v>3.8</v>
      </c>
      <c r="Q270" s="16" t="b">
        <f>FALSE()</f>
        <v>0</v>
      </c>
      <c r="R270" s="16" t="b">
        <f>FALSE()</f>
        <v>0</v>
      </c>
      <c r="S270" s="17">
        <f t="shared" si="4"/>
        <v>10.3</v>
      </c>
      <c r="T270">
        <f>COUNTIF('👤 Customers'!$A:$A, B270)</f>
        <v>1</v>
      </c>
      <c r="U270">
        <f>COUNTIF('🚴 Riders'!A269:A329, C270)</f>
        <v>0</v>
      </c>
      <c r="V270">
        <f>COUNTIF('🏭 Facilities'!A269:A277, D270)</f>
        <v>0</v>
      </c>
    </row>
    <row r="271" spans="1:22">
      <c r="A271" s="18" t="s">
        <v>946</v>
      </c>
      <c r="B271" s="18" t="s">
        <v>947</v>
      </c>
      <c r="C271" s="18" t="s">
        <v>611</v>
      </c>
      <c r="D271" s="18" t="s">
        <v>115</v>
      </c>
      <c r="E271" s="26">
        <v>44956</v>
      </c>
      <c r="F271" s="18" t="s">
        <v>948</v>
      </c>
      <c r="G271" s="18" t="s">
        <v>132</v>
      </c>
      <c r="H271" s="18">
        <v>7.4</v>
      </c>
      <c r="I271" s="18">
        <v>399</v>
      </c>
      <c r="J271" s="18">
        <v>0</v>
      </c>
      <c r="K271" s="18">
        <v>2952.6</v>
      </c>
      <c r="L271" s="18" t="s">
        <v>146</v>
      </c>
      <c r="M271" s="18" t="s">
        <v>119</v>
      </c>
      <c r="N271" s="28">
        <v>44956.182638888888</v>
      </c>
      <c r="O271" s="28">
        <v>44957.165972222225</v>
      </c>
      <c r="P271" s="18">
        <v>3.3</v>
      </c>
      <c r="Q271" s="18" t="b">
        <f>FALSE()</f>
        <v>0</v>
      </c>
      <c r="R271" s="18" t="b">
        <f>FALSE()</f>
        <v>0</v>
      </c>
      <c r="S271" s="19">
        <f t="shared" si="4"/>
        <v>23.6</v>
      </c>
      <c r="T271">
        <f>COUNTIF('👤 Customers'!$A:$A, B271)</f>
        <v>1</v>
      </c>
      <c r="U271">
        <f>COUNTIF('🚴 Riders'!A270:A330, C271)</f>
        <v>0</v>
      </c>
      <c r="V271">
        <f>COUNTIF('🏭 Facilities'!A270:A278, D271)</f>
        <v>0</v>
      </c>
    </row>
    <row r="272" spans="1:22">
      <c r="A272" s="16" t="s">
        <v>949</v>
      </c>
      <c r="B272" s="16" t="s">
        <v>614</v>
      </c>
      <c r="C272" s="16" t="s">
        <v>304</v>
      </c>
      <c r="D272" s="16" t="s">
        <v>123</v>
      </c>
      <c r="E272" s="25">
        <v>45003</v>
      </c>
      <c r="F272" s="16" t="s">
        <v>950</v>
      </c>
      <c r="G272" s="16" t="s">
        <v>176</v>
      </c>
      <c r="H272" s="16">
        <v>5.7</v>
      </c>
      <c r="I272" s="16">
        <v>599</v>
      </c>
      <c r="J272" s="16">
        <v>0</v>
      </c>
      <c r="K272" s="16">
        <v>3414.3</v>
      </c>
      <c r="L272" s="16" t="s">
        <v>126</v>
      </c>
      <c r="M272" s="16" t="s">
        <v>140</v>
      </c>
      <c r="N272" s="27">
        <v>45003.340277777781</v>
      </c>
      <c r="O272" s="27">
        <v>45003.994444444441</v>
      </c>
      <c r="P272" s="20"/>
      <c r="Q272" s="16" t="b">
        <f>FALSE()</f>
        <v>0</v>
      </c>
      <c r="R272" s="16" t="b">
        <f>FALSE()</f>
        <v>0</v>
      </c>
      <c r="S272" s="17">
        <f t="shared" si="4"/>
        <v>15.7</v>
      </c>
      <c r="T272">
        <f>COUNTIF('👤 Customers'!$A:$A, B272)</f>
        <v>1</v>
      </c>
      <c r="U272">
        <f>COUNTIF('🚴 Riders'!A271:A331, C272)</f>
        <v>0</v>
      </c>
      <c r="V272">
        <f>COUNTIF('🏭 Facilities'!A271:A279, D272)</f>
        <v>0</v>
      </c>
    </row>
    <row r="273" spans="1:22">
      <c r="A273" s="18" t="s">
        <v>951</v>
      </c>
      <c r="B273" s="18" t="s">
        <v>952</v>
      </c>
      <c r="C273" s="18" t="s">
        <v>261</v>
      </c>
      <c r="D273" s="18" t="s">
        <v>130</v>
      </c>
      <c r="E273" s="26">
        <v>44994</v>
      </c>
      <c r="F273" s="18" t="s">
        <v>953</v>
      </c>
      <c r="G273" s="18" t="s">
        <v>117</v>
      </c>
      <c r="H273" s="18">
        <v>4.3</v>
      </c>
      <c r="I273" s="18">
        <v>149</v>
      </c>
      <c r="J273" s="18">
        <v>0</v>
      </c>
      <c r="K273" s="18">
        <v>640.70000000000005</v>
      </c>
      <c r="L273" s="18" t="s">
        <v>118</v>
      </c>
      <c r="M273" s="18" t="s">
        <v>133</v>
      </c>
      <c r="N273" s="20"/>
      <c r="O273" s="20"/>
      <c r="P273" s="20"/>
      <c r="Q273" s="18" t="b">
        <f>FALSE()</f>
        <v>0</v>
      </c>
      <c r="R273" s="18" t="b">
        <f>FALSE()</f>
        <v>0</v>
      </c>
      <c r="S273" s="19" t="str">
        <f t="shared" si="4"/>
        <v>N/A</v>
      </c>
      <c r="T273">
        <f>COUNTIF('👤 Customers'!$A:$A, B273)</f>
        <v>1</v>
      </c>
      <c r="U273">
        <f>COUNTIF('🚴 Riders'!A272:A332, C273)</f>
        <v>0</v>
      </c>
      <c r="V273">
        <f>COUNTIF('🏭 Facilities'!A272:A280, D273)</f>
        <v>0</v>
      </c>
    </row>
    <row r="274" spans="1:22">
      <c r="A274" s="16" t="s">
        <v>954</v>
      </c>
      <c r="B274" s="16" t="s">
        <v>955</v>
      </c>
      <c r="C274" s="16" t="s">
        <v>136</v>
      </c>
      <c r="D274" s="16" t="s">
        <v>197</v>
      </c>
      <c r="E274" s="25">
        <v>45340</v>
      </c>
      <c r="F274" s="16" t="s">
        <v>956</v>
      </c>
      <c r="G274" s="16" t="s">
        <v>117</v>
      </c>
      <c r="H274" s="16">
        <v>6.4</v>
      </c>
      <c r="I274" s="16">
        <v>149</v>
      </c>
      <c r="J274" s="16">
        <v>10</v>
      </c>
      <c r="K274" s="16">
        <v>858.24</v>
      </c>
      <c r="L274" s="16" t="s">
        <v>207</v>
      </c>
      <c r="M274" s="16" t="s">
        <v>119</v>
      </c>
      <c r="N274" s="27">
        <v>45340.472916666666</v>
      </c>
      <c r="O274" s="27">
        <v>45340.97152777778</v>
      </c>
      <c r="P274" s="16">
        <v>3.9</v>
      </c>
      <c r="Q274" s="16" t="b">
        <f>FALSE()</f>
        <v>0</v>
      </c>
      <c r="R274" s="16" t="b">
        <f>FALSE()</f>
        <v>0</v>
      </c>
      <c r="S274" s="17">
        <f t="shared" si="4"/>
        <v>12</v>
      </c>
      <c r="T274">
        <f>COUNTIF('👤 Customers'!$A:$A, B274)</f>
        <v>1</v>
      </c>
      <c r="U274">
        <f>COUNTIF('🚴 Riders'!A273:A333, C274)</f>
        <v>0</v>
      </c>
      <c r="V274">
        <f>COUNTIF('🏭 Facilities'!A273:A281, D274)</f>
        <v>0</v>
      </c>
    </row>
    <row r="275" spans="1:22">
      <c r="A275" s="18" t="s">
        <v>957</v>
      </c>
      <c r="B275" s="18" t="s">
        <v>958</v>
      </c>
      <c r="C275" s="18" t="s">
        <v>308</v>
      </c>
      <c r="D275" s="18" t="s">
        <v>115</v>
      </c>
      <c r="E275" s="26">
        <v>45474</v>
      </c>
      <c r="F275" s="18" t="s">
        <v>959</v>
      </c>
      <c r="G275" s="18" t="s">
        <v>117</v>
      </c>
      <c r="H275" s="18">
        <v>5</v>
      </c>
      <c r="I275" s="18">
        <v>149</v>
      </c>
      <c r="J275" s="18">
        <v>0</v>
      </c>
      <c r="K275" s="18">
        <v>745</v>
      </c>
      <c r="L275" s="18" t="s">
        <v>126</v>
      </c>
      <c r="M275" s="18" t="s">
        <v>119</v>
      </c>
      <c r="N275" s="28">
        <v>45474.197916666664</v>
      </c>
      <c r="O275" s="28">
        <v>45474.780555555553</v>
      </c>
      <c r="P275" s="18">
        <v>2.8</v>
      </c>
      <c r="Q275" s="18" t="b">
        <f>TRUE()</f>
        <v>1</v>
      </c>
      <c r="R275" s="18" t="b">
        <f>FALSE()</f>
        <v>0</v>
      </c>
      <c r="S275" s="19">
        <f t="shared" si="4"/>
        <v>14</v>
      </c>
      <c r="T275">
        <f>COUNTIF('👤 Customers'!$A:$A, B275)</f>
        <v>1</v>
      </c>
      <c r="U275">
        <f>COUNTIF('🚴 Riders'!A274:A334, C275)</f>
        <v>0</v>
      </c>
      <c r="V275">
        <f>COUNTIF('🏭 Facilities'!A274:A282, D275)</f>
        <v>0</v>
      </c>
    </row>
    <row r="276" spans="1:22">
      <c r="A276" s="16" t="s">
        <v>960</v>
      </c>
      <c r="B276" s="16" t="s">
        <v>646</v>
      </c>
      <c r="C276" s="16" t="s">
        <v>232</v>
      </c>
      <c r="D276" s="16" t="s">
        <v>197</v>
      </c>
      <c r="E276" s="25">
        <v>45066</v>
      </c>
      <c r="F276" s="16" t="s">
        <v>961</v>
      </c>
      <c r="G276" s="16" t="s">
        <v>176</v>
      </c>
      <c r="H276" s="16">
        <v>7.2</v>
      </c>
      <c r="I276" s="16">
        <v>599</v>
      </c>
      <c r="J276" s="16">
        <v>10</v>
      </c>
      <c r="K276" s="16">
        <v>3881.52</v>
      </c>
      <c r="L276" s="16" t="s">
        <v>139</v>
      </c>
      <c r="M276" s="16" t="s">
        <v>140</v>
      </c>
      <c r="N276" s="27">
        <v>45066.142361111109</v>
      </c>
      <c r="O276" s="27">
        <v>45066.92291666667</v>
      </c>
      <c r="P276" s="20"/>
      <c r="Q276" s="16" t="b">
        <f>FALSE()</f>
        <v>0</v>
      </c>
      <c r="R276" s="16" t="b">
        <f>TRUE()</f>
        <v>1</v>
      </c>
      <c r="S276" s="17">
        <f t="shared" si="4"/>
        <v>18.7</v>
      </c>
      <c r="T276">
        <f>COUNTIF('👤 Customers'!$A:$A, B276)</f>
        <v>1</v>
      </c>
      <c r="U276">
        <f>COUNTIF('🚴 Riders'!A275:A335, C276)</f>
        <v>0</v>
      </c>
      <c r="V276">
        <f>COUNTIF('🏭 Facilities'!A275:A283, D276)</f>
        <v>0</v>
      </c>
    </row>
    <row r="277" spans="1:22">
      <c r="A277" s="18" t="s">
        <v>962</v>
      </c>
      <c r="B277" s="18" t="s">
        <v>539</v>
      </c>
      <c r="C277" s="18" t="s">
        <v>842</v>
      </c>
      <c r="D277" s="18" t="s">
        <v>123</v>
      </c>
      <c r="E277" s="26">
        <v>45550</v>
      </c>
      <c r="F277" s="18" t="s">
        <v>963</v>
      </c>
      <c r="G277" s="18" t="s">
        <v>145</v>
      </c>
      <c r="H277" s="18">
        <v>1.7</v>
      </c>
      <c r="I277" s="18">
        <v>299</v>
      </c>
      <c r="J277" s="18">
        <v>0</v>
      </c>
      <c r="K277" s="18">
        <v>508.3</v>
      </c>
      <c r="L277" s="18" t="s">
        <v>118</v>
      </c>
      <c r="M277" s="18" t="s">
        <v>140</v>
      </c>
      <c r="N277" s="28">
        <v>45550.327777777777</v>
      </c>
      <c r="O277" s="28">
        <v>45550.988194444442</v>
      </c>
      <c r="P277" s="20"/>
      <c r="Q277" s="18" t="b">
        <f>FALSE()</f>
        <v>0</v>
      </c>
      <c r="R277" s="18" t="b">
        <f>FALSE()</f>
        <v>0</v>
      </c>
      <c r="S277" s="19">
        <f t="shared" si="4"/>
        <v>15.8</v>
      </c>
      <c r="T277">
        <f>COUNTIF('👤 Customers'!$A:$A, B277)</f>
        <v>1</v>
      </c>
      <c r="U277">
        <f>COUNTIF('🚴 Riders'!A276:A336, C277)</f>
        <v>0</v>
      </c>
      <c r="V277">
        <f>COUNTIF('🏭 Facilities'!A276:A284, D277)</f>
        <v>0</v>
      </c>
    </row>
    <row r="278" spans="1:22">
      <c r="A278" s="16" t="s">
        <v>964</v>
      </c>
      <c r="B278" s="16" t="s">
        <v>442</v>
      </c>
      <c r="C278" s="16" t="s">
        <v>251</v>
      </c>
      <c r="D278" s="16" t="s">
        <v>137</v>
      </c>
      <c r="E278" s="25">
        <v>45443</v>
      </c>
      <c r="F278" s="16" t="s">
        <v>965</v>
      </c>
      <c r="G278" s="16" t="s">
        <v>117</v>
      </c>
      <c r="H278" s="16">
        <v>6.5</v>
      </c>
      <c r="I278" s="16">
        <v>149</v>
      </c>
      <c r="J278" s="16">
        <v>20</v>
      </c>
      <c r="K278" s="16">
        <v>774.8</v>
      </c>
      <c r="L278" s="16" t="s">
        <v>118</v>
      </c>
      <c r="M278" s="16" t="s">
        <v>119</v>
      </c>
      <c r="N278" s="27">
        <v>45443.75277777778</v>
      </c>
      <c r="O278" s="27">
        <v>45444.102777777778</v>
      </c>
      <c r="P278" s="16">
        <v>4.4000000000000004</v>
      </c>
      <c r="Q278" s="16" t="b">
        <f>FALSE()</f>
        <v>0</v>
      </c>
      <c r="R278" s="16" t="b">
        <f>TRUE()</f>
        <v>1</v>
      </c>
      <c r="S278" s="17">
        <f t="shared" si="4"/>
        <v>8.4</v>
      </c>
      <c r="T278">
        <f>COUNTIF('👤 Customers'!$A:$A, B278)</f>
        <v>1</v>
      </c>
      <c r="U278">
        <f>COUNTIF('🚴 Riders'!A277:A337, C278)</f>
        <v>0</v>
      </c>
      <c r="V278">
        <f>COUNTIF('🏭 Facilities'!A277:A285, D278)</f>
        <v>0</v>
      </c>
    </row>
    <row r="279" spans="1:22">
      <c r="A279" s="18" t="s">
        <v>966</v>
      </c>
      <c r="B279" s="18" t="s">
        <v>293</v>
      </c>
      <c r="C279" s="18" t="s">
        <v>354</v>
      </c>
      <c r="D279" s="18" t="s">
        <v>158</v>
      </c>
      <c r="E279" s="26">
        <v>45006</v>
      </c>
      <c r="F279" s="18" t="s">
        <v>967</v>
      </c>
      <c r="G279" s="18" t="s">
        <v>145</v>
      </c>
      <c r="H279" s="18">
        <v>6.7</v>
      </c>
      <c r="I279" s="18">
        <v>299</v>
      </c>
      <c r="J279" s="18">
        <v>10</v>
      </c>
      <c r="K279" s="18">
        <v>1802.97</v>
      </c>
      <c r="L279" s="18" t="s">
        <v>207</v>
      </c>
      <c r="M279" s="18" t="s">
        <v>119</v>
      </c>
      <c r="N279" s="28">
        <v>45007.051388888889</v>
      </c>
      <c r="O279" s="28">
        <v>45007.421527777777</v>
      </c>
      <c r="P279" s="18">
        <v>4.0999999999999996</v>
      </c>
      <c r="Q279" s="18" t="b">
        <f>FALSE()</f>
        <v>0</v>
      </c>
      <c r="R279" s="18" t="b">
        <f>FALSE()</f>
        <v>0</v>
      </c>
      <c r="S279" s="19">
        <f t="shared" si="4"/>
        <v>8.9</v>
      </c>
      <c r="T279">
        <f>COUNTIF('👤 Customers'!$A:$A, B279)</f>
        <v>1</v>
      </c>
      <c r="U279">
        <f>COUNTIF('🚴 Riders'!A278:A338, C279)</f>
        <v>0</v>
      </c>
      <c r="V279">
        <f>COUNTIF('🏭 Facilities'!A278:A286, D279)</f>
        <v>0</v>
      </c>
    </row>
    <row r="280" spans="1:22">
      <c r="A280" s="16" t="s">
        <v>968</v>
      </c>
      <c r="B280" s="16" t="s">
        <v>969</v>
      </c>
      <c r="C280" s="16" t="s">
        <v>339</v>
      </c>
      <c r="D280" s="16" t="s">
        <v>130</v>
      </c>
      <c r="E280" s="25">
        <v>45225</v>
      </c>
      <c r="F280" s="16" t="s">
        <v>970</v>
      </c>
      <c r="G280" s="16" t="s">
        <v>125</v>
      </c>
      <c r="H280" s="16">
        <v>3.4</v>
      </c>
      <c r="I280" s="16">
        <v>199</v>
      </c>
      <c r="J280" s="16">
        <v>20</v>
      </c>
      <c r="K280" s="16">
        <v>541.28</v>
      </c>
      <c r="L280" s="16" t="s">
        <v>207</v>
      </c>
      <c r="M280" s="16" t="s">
        <v>133</v>
      </c>
      <c r="N280" s="20"/>
      <c r="O280" s="20"/>
      <c r="P280" s="20"/>
      <c r="Q280" s="16" t="b">
        <f>FALSE()</f>
        <v>0</v>
      </c>
      <c r="R280" s="16" t="b">
        <f>TRUE()</f>
        <v>1</v>
      </c>
      <c r="S280" s="17" t="str">
        <f t="shared" si="4"/>
        <v>N/A</v>
      </c>
      <c r="T280">
        <f>COUNTIF('👤 Customers'!$A:$A, B280)</f>
        <v>1</v>
      </c>
      <c r="U280">
        <f>COUNTIF('🚴 Riders'!A279:A339, C280)</f>
        <v>0</v>
      </c>
      <c r="V280">
        <f>COUNTIF('🏭 Facilities'!A279:A287, D280)</f>
        <v>0</v>
      </c>
    </row>
    <row r="281" spans="1:22">
      <c r="A281" s="18" t="s">
        <v>971</v>
      </c>
      <c r="B281" s="18" t="s">
        <v>701</v>
      </c>
      <c r="C281" s="18" t="s">
        <v>261</v>
      </c>
      <c r="D281" s="18" t="s">
        <v>158</v>
      </c>
      <c r="E281" s="26">
        <v>45650</v>
      </c>
      <c r="F281" s="18" t="s">
        <v>972</v>
      </c>
      <c r="G281" s="18" t="s">
        <v>176</v>
      </c>
      <c r="H281" s="18">
        <v>6.9</v>
      </c>
      <c r="I281" s="18">
        <v>599</v>
      </c>
      <c r="J281" s="18">
        <v>0</v>
      </c>
      <c r="K281" s="18">
        <v>4133.1000000000004</v>
      </c>
      <c r="L281" s="18" t="s">
        <v>126</v>
      </c>
      <c r="M281" s="18" t="s">
        <v>133</v>
      </c>
      <c r="N281" s="20"/>
      <c r="O281" s="20"/>
      <c r="P281" s="20"/>
      <c r="Q281" s="18" t="b">
        <f>FALSE()</f>
        <v>0</v>
      </c>
      <c r="R281" s="18" t="b">
        <f>FALSE()</f>
        <v>0</v>
      </c>
      <c r="S281" s="19" t="str">
        <f t="shared" si="4"/>
        <v>N/A</v>
      </c>
      <c r="T281">
        <f>COUNTIF('👤 Customers'!$A:$A, B281)</f>
        <v>1</v>
      </c>
      <c r="U281">
        <f>COUNTIF('🚴 Riders'!A280:A340, C281)</f>
        <v>0</v>
      </c>
      <c r="V281">
        <f>COUNTIF('🏭 Facilities'!A280:A288, D281)</f>
        <v>0</v>
      </c>
    </row>
    <row r="282" spans="1:22">
      <c r="A282" s="16" t="s">
        <v>973</v>
      </c>
      <c r="B282" s="16" t="s">
        <v>974</v>
      </c>
      <c r="C282" s="16" t="s">
        <v>196</v>
      </c>
      <c r="D282" s="16" t="s">
        <v>184</v>
      </c>
      <c r="E282" s="25">
        <v>45390</v>
      </c>
      <c r="F282" s="16" t="s">
        <v>975</v>
      </c>
      <c r="G282" s="16" t="s">
        <v>145</v>
      </c>
      <c r="H282" s="16">
        <v>3.3</v>
      </c>
      <c r="I282" s="16">
        <v>299</v>
      </c>
      <c r="J282" s="16">
        <v>10</v>
      </c>
      <c r="K282" s="16">
        <v>888.03</v>
      </c>
      <c r="L282" s="16" t="s">
        <v>207</v>
      </c>
      <c r="M282" s="16" t="s">
        <v>119</v>
      </c>
      <c r="N282" s="27">
        <v>45390.275694444441</v>
      </c>
      <c r="O282" s="27">
        <v>45391.254166666666</v>
      </c>
      <c r="P282" s="16">
        <v>4.2</v>
      </c>
      <c r="Q282" s="16" t="b">
        <f>FALSE()</f>
        <v>0</v>
      </c>
      <c r="R282" s="16" t="b">
        <f>FALSE()</f>
        <v>0</v>
      </c>
      <c r="S282" s="17">
        <f t="shared" si="4"/>
        <v>23.5</v>
      </c>
      <c r="T282">
        <f>COUNTIF('👤 Customers'!$A:$A, B282)</f>
        <v>1</v>
      </c>
      <c r="U282">
        <f>COUNTIF('🚴 Riders'!A281:A341, C282)</f>
        <v>0</v>
      </c>
      <c r="V282">
        <f>COUNTIF('🏭 Facilities'!A281:A289, D282)</f>
        <v>0</v>
      </c>
    </row>
    <row r="283" spans="1:22">
      <c r="A283" s="18" t="s">
        <v>976</v>
      </c>
      <c r="B283" s="18" t="s">
        <v>977</v>
      </c>
      <c r="C283" s="18" t="s">
        <v>611</v>
      </c>
      <c r="D283" s="18" t="s">
        <v>158</v>
      </c>
      <c r="E283" s="26">
        <v>45405</v>
      </c>
      <c r="F283" s="18" t="s">
        <v>978</v>
      </c>
      <c r="G283" s="18" t="s">
        <v>176</v>
      </c>
      <c r="H283" s="18">
        <v>4.0999999999999996</v>
      </c>
      <c r="I283" s="18">
        <v>599</v>
      </c>
      <c r="J283" s="18">
        <v>0</v>
      </c>
      <c r="K283" s="18">
        <v>2455.9</v>
      </c>
      <c r="L283" s="18" t="s">
        <v>118</v>
      </c>
      <c r="M283" s="18" t="s">
        <v>119</v>
      </c>
      <c r="N283" s="28">
        <v>45405.193055555559</v>
      </c>
      <c r="O283" s="28">
        <v>45406.137499999997</v>
      </c>
      <c r="P283" s="18">
        <v>5</v>
      </c>
      <c r="Q283" s="18" t="b">
        <f>FALSE()</f>
        <v>0</v>
      </c>
      <c r="R283" s="18" t="b">
        <f>FALSE()</f>
        <v>0</v>
      </c>
      <c r="S283" s="19">
        <f t="shared" si="4"/>
        <v>22.7</v>
      </c>
      <c r="T283">
        <f>COUNTIF('👤 Customers'!$A:$A, B283)</f>
        <v>1</v>
      </c>
      <c r="U283">
        <f>COUNTIF('🚴 Riders'!A282:A342, C283)</f>
        <v>0</v>
      </c>
      <c r="V283">
        <f>COUNTIF('🏭 Facilities'!A282:A290, D283)</f>
        <v>0</v>
      </c>
    </row>
    <row r="284" spans="1:22">
      <c r="A284" s="16" t="s">
        <v>979</v>
      </c>
      <c r="B284" s="16" t="s">
        <v>728</v>
      </c>
      <c r="C284" s="16" t="s">
        <v>136</v>
      </c>
      <c r="D284" s="16" t="s">
        <v>205</v>
      </c>
      <c r="E284" s="25">
        <v>45323</v>
      </c>
      <c r="F284" s="16" t="s">
        <v>980</v>
      </c>
      <c r="G284" s="16" t="s">
        <v>145</v>
      </c>
      <c r="H284" s="16">
        <v>6.9</v>
      </c>
      <c r="I284" s="16">
        <v>299</v>
      </c>
      <c r="J284" s="16">
        <v>20</v>
      </c>
      <c r="K284" s="16">
        <v>1650.48</v>
      </c>
      <c r="L284" s="16" t="s">
        <v>126</v>
      </c>
      <c r="M284" s="16" t="s">
        <v>119</v>
      </c>
      <c r="N284" s="27">
        <v>45323.531944444447</v>
      </c>
      <c r="O284" s="27">
        <v>45324.240277777775</v>
      </c>
      <c r="P284" s="16">
        <v>4.7</v>
      </c>
      <c r="Q284" s="16" t="b">
        <f>FALSE()</f>
        <v>0</v>
      </c>
      <c r="R284" s="16" t="b">
        <f>FALSE()</f>
        <v>0</v>
      </c>
      <c r="S284" s="17">
        <f t="shared" si="4"/>
        <v>17</v>
      </c>
      <c r="T284">
        <f>COUNTIF('👤 Customers'!$A:$A, B284)</f>
        <v>1</v>
      </c>
      <c r="U284">
        <f>COUNTIF('🚴 Riders'!A283:A343, C284)</f>
        <v>0</v>
      </c>
      <c r="V284">
        <f>COUNTIF('🏭 Facilities'!A283:A291, D284)</f>
        <v>0</v>
      </c>
    </row>
    <row r="285" spans="1:22">
      <c r="A285" s="18" t="s">
        <v>981</v>
      </c>
      <c r="B285" s="18" t="s">
        <v>982</v>
      </c>
      <c r="C285" s="18" t="s">
        <v>213</v>
      </c>
      <c r="D285" s="18" t="s">
        <v>137</v>
      </c>
      <c r="E285" s="26">
        <v>45472</v>
      </c>
      <c r="F285" s="18" t="s">
        <v>983</v>
      </c>
      <c r="G285" s="18" t="s">
        <v>176</v>
      </c>
      <c r="H285" s="18">
        <v>3.8</v>
      </c>
      <c r="I285" s="18">
        <v>599</v>
      </c>
      <c r="J285" s="18">
        <v>0</v>
      </c>
      <c r="K285" s="18">
        <v>2276.1999999999998</v>
      </c>
      <c r="L285" s="18" t="s">
        <v>207</v>
      </c>
      <c r="M285" s="18" t="s">
        <v>119</v>
      </c>
      <c r="N285" s="28">
        <v>45472.511805555558</v>
      </c>
      <c r="O285" s="28">
        <v>45473.147222222222</v>
      </c>
      <c r="P285" s="18">
        <v>3.9</v>
      </c>
      <c r="Q285" s="18" t="b">
        <f>FALSE()</f>
        <v>0</v>
      </c>
      <c r="R285" s="18" t="b">
        <f>FALSE()</f>
        <v>0</v>
      </c>
      <c r="S285" s="19">
        <f t="shared" si="4"/>
        <v>15.2</v>
      </c>
      <c r="T285">
        <f>COUNTIF('👤 Customers'!$A:$A, B285)</f>
        <v>1</v>
      </c>
      <c r="U285">
        <f>COUNTIF('🚴 Riders'!A284:A344, C285)</f>
        <v>0</v>
      </c>
      <c r="V285">
        <f>COUNTIF('🏭 Facilities'!A284:A292, D285)</f>
        <v>0</v>
      </c>
    </row>
    <row r="286" spans="1:22">
      <c r="A286" s="16" t="s">
        <v>984</v>
      </c>
      <c r="B286" s="16" t="s">
        <v>311</v>
      </c>
      <c r="C286" s="16" t="s">
        <v>479</v>
      </c>
      <c r="D286" s="16" t="s">
        <v>115</v>
      </c>
      <c r="E286" s="25">
        <v>45251</v>
      </c>
      <c r="F286" s="16" t="s">
        <v>985</v>
      </c>
      <c r="G286" s="16" t="s">
        <v>132</v>
      </c>
      <c r="H286" s="16">
        <v>3</v>
      </c>
      <c r="I286" s="16">
        <v>399</v>
      </c>
      <c r="J286" s="16">
        <v>20</v>
      </c>
      <c r="K286" s="16">
        <v>957.6</v>
      </c>
      <c r="L286" s="16" t="s">
        <v>139</v>
      </c>
      <c r="M286" s="16" t="s">
        <v>119</v>
      </c>
      <c r="N286" s="27">
        <v>45251.116666666669</v>
      </c>
      <c r="O286" s="27">
        <v>45251.463194444441</v>
      </c>
      <c r="P286" s="16">
        <v>4.9000000000000004</v>
      </c>
      <c r="Q286" s="16" t="b">
        <f>TRUE()</f>
        <v>1</v>
      </c>
      <c r="R286" s="16" t="b">
        <f>TRUE()</f>
        <v>1</v>
      </c>
      <c r="S286" s="17">
        <f t="shared" si="4"/>
        <v>8.3000000000000007</v>
      </c>
      <c r="T286">
        <f>COUNTIF('👤 Customers'!$A:$A, B286)</f>
        <v>1</v>
      </c>
      <c r="U286">
        <f>COUNTIF('🚴 Riders'!A285:A345, C286)</f>
        <v>0</v>
      </c>
      <c r="V286">
        <f>COUNTIF('🏭 Facilities'!A285:A293, D286)</f>
        <v>0</v>
      </c>
    </row>
    <row r="287" spans="1:22">
      <c r="A287" s="18" t="s">
        <v>986</v>
      </c>
      <c r="B287" s="18" t="s">
        <v>987</v>
      </c>
      <c r="C287" s="18" t="s">
        <v>247</v>
      </c>
      <c r="D287" s="18" t="s">
        <v>115</v>
      </c>
      <c r="E287" s="26">
        <v>45552</v>
      </c>
      <c r="F287" s="18" t="s">
        <v>988</v>
      </c>
      <c r="G287" s="18" t="s">
        <v>145</v>
      </c>
      <c r="H287" s="18">
        <v>7</v>
      </c>
      <c r="I287" s="18">
        <v>299</v>
      </c>
      <c r="J287" s="18">
        <v>20</v>
      </c>
      <c r="K287" s="18">
        <v>1674.4</v>
      </c>
      <c r="L287" s="18" t="s">
        <v>139</v>
      </c>
      <c r="M287" s="18" t="s">
        <v>140</v>
      </c>
      <c r="N287" s="28">
        <v>45553.102083333331</v>
      </c>
      <c r="O287" s="28">
        <v>45553.727777777778</v>
      </c>
      <c r="P287" s="20"/>
      <c r="Q287" s="18" t="b">
        <f>FALSE()</f>
        <v>0</v>
      </c>
      <c r="R287" s="18" t="b">
        <f>TRUE()</f>
        <v>1</v>
      </c>
      <c r="S287" s="19">
        <f t="shared" si="4"/>
        <v>15</v>
      </c>
      <c r="T287">
        <f>COUNTIF('👤 Customers'!$A:$A, B287)</f>
        <v>1</v>
      </c>
      <c r="U287">
        <f>COUNTIF('🚴 Riders'!A286:A346, C287)</f>
        <v>0</v>
      </c>
      <c r="V287">
        <f>COUNTIF('🏭 Facilities'!A286:A294, D287)</f>
        <v>0</v>
      </c>
    </row>
    <row r="288" spans="1:22">
      <c r="A288" s="16" t="s">
        <v>989</v>
      </c>
      <c r="B288" s="16" t="s">
        <v>990</v>
      </c>
      <c r="C288" s="16" t="s">
        <v>358</v>
      </c>
      <c r="D288" s="16" t="s">
        <v>184</v>
      </c>
      <c r="E288" s="25">
        <v>45396</v>
      </c>
      <c r="F288" s="16" t="s">
        <v>991</v>
      </c>
      <c r="G288" s="16" t="s">
        <v>125</v>
      </c>
      <c r="H288" s="16">
        <v>5</v>
      </c>
      <c r="I288" s="16">
        <v>199</v>
      </c>
      <c r="J288" s="16">
        <v>20</v>
      </c>
      <c r="K288" s="16">
        <v>796</v>
      </c>
      <c r="L288" s="16" t="s">
        <v>126</v>
      </c>
      <c r="M288" s="16" t="s">
        <v>119</v>
      </c>
      <c r="N288" s="27">
        <v>45396.710416666669</v>
      </c>
      <c r="O288" s="27">
        <v>45397.28125</v>
      </c>
      <c r="P288" s="16">
        <v>3.9</v>
      </c>
      <c r="Q288" s="16" t="b">
        <f>FALSE()</f>
        <v>0</v>
      </c>
      <c r="R288" s="16" t="b">
        <f>TRUE()</f>
        <v>1</v>
      </c>
      <c r="S288" s="17">
        <f t="shared" si="4"/>
        <v>13.7</v>
      </c>
      <c r="T288">
        <f>COUNTIF('👤 Customers'!$A:$A, B288)</f>
        <v>1</v>
      </c>
      <c r="U288">
        <f>COUNTIF('🚴 Riders'!A287:A347, C288)</f>
        <v>0</v>
      </c>
      <c r="V288">
        <f>COUNTIF('🏭 Facilities'!A287:A295, D288)</f>
        <v>0</v>
      </c>
    </row>
    <row r="289" spans="1:22">
      <c r="A289" s="18" t="s">
        <v>992</v>
      </c>
      <c r="B289" s="18" t="s">
        <v>142</v>
      </c>
      <c r="C289" s="18" t="s">
        <v>129</v>
      </c>
      <c r="D289" s="18" t="s">
        <v>115</v>
      </c>
      <c r="E289" s="26">
        <v>45301</v>
      </c>
      <c r="F289" s="18" t="s">
        <v>993</v>
      </c>
      <c r="G289" s="18" t="s">
        <v>125</v>
      </c>
      <c r="H289" s="18">
        <v>2</v>
      </c>
      <c r="I289" s="18">
        <v>199</v>
      </c>
      <c r="J289" s="18">
        <v>10</v>
      </c>
      <c r="K289" s="18">
        <v>358.2</v>
      </c>
      <c r="L289" s="18" t="s">
        <v>126</v>
      </c>
      <c r="M289" s="18" t="s">
        <v>119</v>
      </c>
      <c r="N289" s="28">
        <v>45301.106249999997</v>
      </c>
      <c r="O289" s="28">
        <v>45301.530555555553</v>
      </c>
      <c r="P289" s="18">
        <v>4.2</v>
      </c>
      <c r="Q289" s="18" t="b">
        <f>FALSE()</f>
        <v>0</v>
      </c>
      <c r="R289" s="18" t="b">
        <f>FALSE()</f>
        <v>0</v>
      </c>
      <c r="S289" s="19">
        <f t="shared" si="4"/>
        <v>10.199999999999999</v>
      </c>
      <c r="T289">
        <f>COUNTIF('👤 Customers'!$A:$A, B289)</f>
        <v>1</v>
      </c>
      <c r="U289">
        <f>COUNTIF('🚴 Riders'!A288:A348, C289)</f>
        <v>0</v>
      </c>
      <c r="V289">
        <f>COUNTIF('🏭 Facilities'!A288:A296, D289)</f>
        <v>0</v>
      </c>
    </row>
    <row r="290" spans="1:22">
      <c r="A290" s="16" t="s">
        <v>994</v>
      </c>
      <c r="B290" s="16" t="s">
        <v>574</v>
      </c>
      <c r="C290" s="16" t="s">
        <v>162</v>
      </c>
      <c r="D290" s="16" t="s">
        <v>158</v>
      </c>
      <c r="E290" s="25">
        <v>45403</v>
      </c>
      <c r="F290" s="16" t="s">
        <v>995</v>
      </c>
      <c r="G290" s="16" t="s">
        <v>125</v>
      </c>
      <c r="H290" s="16">
        <v>7.3</v>
      </c>
      <c r="I290" s="16">
        <v>199</v>
      </c>
      <c r="J290" s="16">
        <v>0</v>
      </c>
      <c r="K290" s="16">
        <v>1452.7</v>
      </c>
      <c r="L290" s="16" t="s">
        <v>118</v>
      </c>
      <c r="M290" s="16" t="s">
        <v>119</v>
      </c>
      <c r="N290" s="27">
        <v>45403.250694444447</v>
      </c>
      <c r="O290" s="27">
        <v>45403.96597222222</v>
      </c>
      <c r="P290" s="16">
        <v>4.9000000000000004</v>
      </c>
      <c r="Q290" s="16" t="b">
        <f>FALSE()</f>
        <v>0</v>
      </c>
      <c r="R290" s="16" t="b">
        <f>FALSE()</f>
        <v>0</v>
      </c>
      <c r="S290" s="17">
        <f t="shared" si="4"/>
        <v>17.2</v>
      </c>
      <c r="T290">
        <f>COUNTIF('👤 Customers'!$A:$A, B290)</f>
        <v>1</v>
      </c>
      <c r="U290">
        <f>COUNTIF('🚴 Riders'!A289:A349, C290)</f>
        <v>0</v>
      </c>
      <c r="V290">
        <f>COUNTIF('🏭 Facilities'!A289:A297, D290)</f>
        <v>0</v>
      </c>
    </row>
    <row r="291" spans="1:22">
      <c r="A291" s="18" t="s">
        <v>996</v>
      </c>
      <c r="B291" s="18" t="s">
        <v>997</v>
      </c>
      <c r="C291" s="18" t="s">
        <v>174</v>
      </c>
      <c r="D291" s="18" t="s">
        <v>123</v>
      </c>
      <c r="E291" s="26">
        <v>44954</v>
      </c>
      <c r="F291" s="18" t="s">
        <v>998</v>
      </c>
      <c r="G291" s="18" t="s">
        <v>176</v>
      </c>
      <c r="H291" s="18">
        <v>6.2</v>
      </c>
      <c r="I291" s="18">
        <v>599</v>
      </c>
      <c r="J291" s="18">
        <v>10</v>
      </c>
      <c r="K291" s="18">
        <v>3342.42</v>
      </c>
      <c r="L291" s="18" t="s">
        <v>146</v>
      </c>
      <c r="M291" s="18" t="s">
        <v>133</v>
      </c>
      <c r="N291" s="20"/>
      <c r="O291" s="20"/>
      <c r="P291" s="20"/>
      <c r="Q291" s="18" t="b">
        <f>TRUE()</f>
        <v>1</v>
      </c>
      <c r="R291" s="18" t="b">
        <f>FALSE()</f>
        <v>0</v>
      </c>
      <c r="S291" s="19" t="str">
        <f t="shared" si="4"/>
        <v>N/A</v>
      </c>
      <c r="T291">
        <f>COUNTIF('👤 Customers'!$A:$A, B291)</f>
        <v>1</v>
      </c>
      <c r="U291">
        <f>COUNTIF('🚴 Riders'!A290:A350, C291)</f>
        <v>0</v>
      </c>
      <c r="V291">
        <f>COUNTIF('🏭 Facilities'!A290:A298, D291)</f>
        <v>0</v>
      </c>
    </row>
    <row r="292" spans="1:22">
      <c r="A292" s="16" t="s">
        <v>999</v>
      </c>
      <c r="B292" s="16" t="s">
        <v>1000</v>
      </c>
      <c r="C292" s="16" t="s">
        <v>149</v>
      </c>
      <c r="D292" s="16" t="s">
        <v>197</v>
      </c>
      <c r="E292" s="25">
        <v>45025</v>
      </c>
      <c r="F292" s="16" t="s">
        <v>1001</v>
      </c>
      <c r="G292" s="16" t="s">
        <v>176</v>
      </c>
      <c r="H292" s="16">
        <v>1.5</v>
      </c>
      <c r="I292" s="16">
        <v>599</v>
      </c>
      <c r="J292" s="16">
        <v>10</v>
      </c>
      <c r="K292" s="16">
        <v>808.65</v>
      </c>
      <c r="L292" s="16" t="s">
        <v>146</v>
      </c>
      <c r="M292" s="16" t="s">
        <v>119</v>
      </c>
      <c r="N292" s="27">
        <v>45025.545138888891</v>
      </c>
      <c r="O292" s="27">
        <v>45026.118750000001</v>
      </c>
      <c r="P292" s="16">
        <v>2.9</v>
      </c>
      <c r="Q292" s="16" t="b">
        <f>FALSE()</f>
        <v>0</v>
      </c>
      <c r="R292" s="16" t="b">
        <f>TRUE()</f>
        <v>1</v>
      </c>
      <c r="S292" s="17">
        <f t="shared" si="4"/>
        <v>13.8</v>
      </c>
      <c r="T292">
        <f>COUNTIF('👤 Customers'!$A:$A, B292)</f>
        <v>1</v>
      </c>
      <c r="U292">
        <f>COUNTIF('🚴 Riders'!A291:A351, C292)</f>
        <v>0</v>
      </c>
      <c r="V292">
        <f>COUNTIF('🏭 Facilities'!A291:A299, D292)</f>
        <v>0</v>
      </c>
    </row>
    <row r="293" spans="1:22">
      <c r="A293" s="18" t="s">
        <v>1002</v>
      </c>
      <c r="B293" s="18" t="s">
        <v>1003</v>
      </c>
      <c r="C293" s="18" t="s">
        <v>162</v>
      </c>
      <c r="D293" s="18" t="s">
        <v>197</v>
      </c>
      <c r="E293" s="26">
        <v>45273</v>
      </c>
      <c r="F293" s="18" t="s">
        <v>1004</v>
      </c>
      <c r="G293" s="18" t="s">
        <v>117</v>
      </c>
      <c r="H293" s="18">
        <v>6.7</v>
      </c>
      <c r="I293" s="18">
        <v>149</v>
      </c>
      <c r="J293" s="18">
        <v>0</v>
      </c>
      <c r="K293" s="18">
        <v>998.3</v>
      </c>
      <c r="L293" s="18" t="s">
        <v>207</v>
      </c>
      <c r="M293" s="18" t="s">
        <v>140</v>
      </c>
      <c r="N293" s="28">
        <v>45273.980555555558</v>
      </c>
      <c r="O293" s="28">
        <v>45274.45208333333</v>
      </c>
      <c r="P293" s="20"/>
      <c r="Q293" s="18" t="b">
        <f>FALSE()</f>
        <v>0</v>
      </c>
      <c r="R293" s="18" t="b">
        <f>FALSE()</f>
        <v>0</v>
      </c>
      <c r="S293" s="19">
        <f t="shared" si="4"/>
        <v>11.3</v>
      </c>
      <c r="T293">
        <f>COUNTIF('👤 Customers'!$A:$A, B293)</f>
        <v>1</v>
      </c>
      <c r="U293">
        <f>COUNTIF('🚴 Riders'!A292:A352, C293)</f>
        <v>0</v>
      </c>
      <c r="V293">
        <f>COUNTIF('🏭 Facilities'!A292:A300, D293)</f>
        <v>0</v>
      </c>
    </row>
    <row r="294" spans="1:22">
      <c r="A294" s="16" t="s">
        <v>1005</v>
      </c>
      <c r="B294" s="16" t="s">
        <v>1006</v>
      </c>
      <c r="C294" s="16" t="s">
        <v>483</v>
      </c>
      <c r="D294" s="16" t="s">
        <v>205</v>
      </c>
      <c r="E294" s="25">
        <v>45577</v>
      </c>
      <c r="F294" s="16" t="s">
        <v>1007</v>
      </c>
      <c r="G294" s="16" t="s">
        <v>145</v>
      </c>
      <c r="H294" s="16">
        <v>6.3</v>
      </c>
      <c r="I294" s="16">
        <v>299</v>
      </c>
      <c r="J294" s="16">
        <v>0</v>
      </c>
      <c r="K294" s="16">
        <v>1883.7</v>
      </c>
      <c r="L294" s="16" t="s">
        <v>126</v>
      </c>
      <c r="M294" s="16" t="s">
        <v>119</v>
      </c>
      <c r="N294" s="27">
        <v>45577.649305555555</v>
      </c>
      <c r="O294" s="27">
        <v>45578.324305555558</v>
      </c>
      <c r="P294" s="16">
        <v>4.0999999999999996</v>
      </c>
      <c r="Q294" s="16" t="b">
        <f>FALSE()</f>
        <v>0</v>
      </c>
      <c r="R294" s="16" t="b">
        <f>TRUE()</f>
        <v>1</v>
      </c>
      <c r="S294" s="17">
        <f t="shared" si="4"/>
        <v>16.2</v>
      </c>
      <c r="T294">
        <f>COUNTIF('👤 Customers'!$A:$A, B294)</f>
        <v>1</v>
      </c>
      <c r="U294">
        <f>COUNTIF('🚴 Riders'!A293:A353, C294)</f>
        <v>0</v>
      </c>
      <c r="V294">
        <f>COUNTIF('🏭 Facilities'!A293:A301, D294)</f>
        <v>0</v>
      </c>
    </row>
    <row r="295" spans="1:22">
      <c r="A295" s="18" t="s">
        <v>1008</v>
      </c>
      <c r="B295" s="18" t="s">
        <v>439</v>
      </c>
      <c r="C295" s="18" t="s">
        <v>166</v>
      </c>
      <c r="D295" s="18" t="s">
        <v>158</v>
      </c>
      <c r="E295" s="26">
        <v>45057</v>
      </c>
      <c r="F295" s="18" t="s">
        <v>1009</v>
      </c>
      <c r="G295" s="18" t="s">
        <v>145</v>
      </c>
      <c r="H295" s="18">
        <v>3.8</v>
      </c>
      <c r="I295" s="18">
        <v>299</v>
      </c>
      <c r="J295" s="18">
        <v>0</v>
      </c>
      <c r="K295" s="18">
        <v>1136.2</v>
      </c>
      <c r="L295" s="18" t="s">
        <v>139</v>
      </c>
      <c r="M295" s="18" t="s">
        <v>140</v>
      </c>
      <c r="N295" s="28">
        <v>45057.337500000001</v>
      </c>
      <c r="O295" s="28">
        <v>45058.34097222222</v>
      </c>
      <c r="P295" s="20"/>
      <c r="Q295" s="18" t="b">
        <f>FALSE()</f>
        <v>0</v>
      </c>
      <c r="R295" s="18" t="b">
        <f>FALSE()</f>
        <v>0</v>
      </c>
      <c r="S295" s="19">
        <f t="shared" si="4"/>
        <v>24.1</v>
      </c>
      <c r="T295">
        <f>COUNTIF('👤 Customers'!$A:$A, B295)</f>
        <v>1</v>
      </c>
      <c r="U295">
        <f>COUNTIF('🚴 Riders'!A294:A354, C295)</f>
        <v>0</v>
      </c>
      <c r="V295">
        <f>COUNTIF('🏭 Facilities'!A294:A302, D295)</f>
        <v>0</v>
      </c>
    </row>
    <row r="296" spans="1:22">
      <c r="A296" s="16" t="s">
        <v>1010</v>
      </c>
      <c r="B296" s="16" t="s">
        <v>1011</v>
      </c>
      <c r="C296" s="16" t="s">
        <v>228</v>
      </c>
      <c r="D296" s="16" t="s">
        <v>205</v>
      </c>
      <c r="E296" s="25">
        <v>45264</v>
      </c>
      <c r="F296" s="16" t="s">
        <v>1012</v>
      </c>
      <c r="G296" s="16" t="s">
        <v>125</v>
      </c>
      <c r="H296" s="16">
        <v>3</v>
      </c>
      <c r="I296" s="16">
        <v>199</v>
      </c>
      <c r="J296" s="16">
        <v>10</v>
      </c>
      <c r="K296" s="16">
        <v>537.29999999999995</v>
      </c>
      <c r="L296" s="16" t="s">
        <v>139</v>
      </c>
      <c r="M296" s="16" t="s">
        <v>119</v>
      </c>
      <c r="N296" s="27">
        <v>45264.787499999999</v>
      </c>
      <c r="O296" s="27">
        <v>45265.857638888891</v>
      </c>
      <c r="P296" s="16">
        <v>4</v>
      </c>
      <c r="Q296" s="16" t="b">
        <f>FALSE()</f>
        <v>0</v>
      </c>
      <c r="R296" s="16" t="b">
        <f>FALSE()</f>
        <v>0</v>
      </c>
      <c r="S296" s="17">
        <f t="shared" si="4"/>
        <v>25.7</v>
      </c>
      <c r="T296">
        <f>COUNTIF('👤 Customers'!$A:$A, B296)</f>
        <v>1</v>
      </c>
      <c r="U296">
        <f>COUNTIF('🚴 Riders'!A295:A355, C296)</f>
        <v>0</v>
      </c>
      <c r="V296">
        <f>COUNTIF('🏭 Facilities'!A295:A303, D296)</f>
        <v>0</v>
      </c>
    </row>
    <row r="297" spans="1:22">
      <c r="A297" s="18" t="s">
        <v>1013</v>
      </c>
      <c r="B297" s="18" t="s">
        <v>574</v>
      </c>
      <c r="C297" s="18" t="s">
        <v>257</v>
      </c>
      <c r="D297" s="18" t="s">
        <v>130</v>
      </c>
      <c r="E297" s="26">
        <v>45136</v>
      </c>
      <c r="F297" s="18" t="s">
        <v>1014</v>
      </c>
      <c r="G297" s="18" t="s">
        <v>117</v>
      </c>
      <c r="H297" s="18">
        <v>6.6</v>
      </c>
      <c r="I297" s="18">
        <v>149</v>
      </c>
      <c r="J297" s="18">
        <v>0</v>
      </c>
      <c r="K297" s="18">
        <v>983.4</v>
      </c>
      <c r="L297" s="18" t="s">
        <v>146</v>
      </c>
      <c r="M297" s="18" t="s">
        <v>133</v>
      </c>
      <c r="N297" s="20"/>
      <c r="O297" s="20"/>
      <c r="P297" s="20"/>
      <c r="Q297" s="18" t="b">
        <f>FALSE()</f>
        <v>0</v>
      </c>
      <c r="R297" s="18" t="b">
        <f>FALSE()</f>
        <v>0</v>
      </c>
      <c r="S297" s="19" t="str">
        <f t="shared" si="4"/>
        <v>N/A</v>
      </c>
      <c r="T297">
        <f>COUNTIF('👤 Customers'!$A:$A, B297)</f>
        <v>1</v>
      </c>
      <c r="U297">
        <f>COUNTIF('🚴 Riders'!A296:A356, C297)</f>
        <v>0</v>
      </c>
      <c r="V297">
        <f>COUNTIF('🏭 Facilities'!A296:A304, D297)</f>
        <v>0</v>
      </c>
    </row>
    <row r="298" spans="1:22">
      <c r="A298" s="16" t="s">
        <v>1015</v>
      </c>
      <c r="B298" s="16" t="s">
        <v>853</v>
      </c>
      <c r="C298" s="16" t="s">
        <v>265</v>
      </c>
      <c r="D298" s="16" t="s">
        <v>130</v>
      </c>
      <c r="E298" s="25">
        <v>45066</v>
      </c>
      <c r="F298" s="16" t="s">
        <v>1016</v>
      </c>
      <c r="G298" s="16" t="s">
        <v>117</v>
      </c>
      <c r="H298" s="16">
        <v>4.8</v>
      </c>
      <c r="I298" s="16">
        <v>149</v>
      </c>
      <c r="J298" s="16">
        <v>10</v>
      </c>
      <c r="K298" s="16">
        <v>643.67999999999995</v>
      </c>
      <c r="L298" s="16" t="s">
        <v>118</v>
      </c>
      <c r="M298" s="16" t="s">
        <v>119</v>
      </c>
      <c r="N298" s="27">
        <v>45066.767361111109</v>
      </c>
      <c r="O298" s="27">
        <v>45067.140972222223</v>
      </c>
      <c r="P298" s="16">
        <v>3.1</v>
      </c>
      <c r="Q298" s="16" t="b">
        <f>TRUE()</f>
        <v>1</v>
      </c>
      <c r="R298" s="16" t="b">
        <f>FALSE()</f>
        <v>0</v>
      </c>
      <c r="S298" s="17">
        <f t="shared" si="4"/>
        <v>9</v>
      </c>
      <c r="T298">
        <f>COUNTIF('👤 Customers'!$A:$A, B298)</f>
        <v>1</v>
      </c>
      <c r="U298">
        <f>COUNTIF('🚴 Riders'!A297:A357, C298)</f>
        <v>0</v>
      </c>
      <c r="V298">
        <f>COUNTIF('🏭 Facilities'!A297:A305, D298)</f>
        <v>0</v>
      </c>
    </row>
    <row r="299" spans="1:22">
      <c r="A299" s="18" t="s">
        <v>1017</v>
      </c>
      <c r="B299" s="18" t="s">
        <v>1018</v>
      </c>
      <c r="C299" s="18" t="s">
        <v>287</v>
      </c>
      <c r="D299" s="18" t="s">
        <v>137</v>
      </c>
      <c r="E299" s="26">
        <v>44971</v>
      </c>
      <c r="F299" s="18" t="s">
        <v>1019</v>
      </c>
      <c r="G299" s="18" t="s">
        <v>176</v>
      </c>
      <c r="H299" s="18">
        <v>5.6</v>
      </c>
      <c r="I299" s="18">
        <v>599</v>
      </c>
      <c r="J299" s="18">
        <v>20</v>
      </c>
      <c r="K299" s="18">
        <v>2683.52</v>
      </c>
      <c r="L299" s="18" t="s">
        <v>139</v>
      </c>
      <c r="M299" s="18" t="s">
        <v>133</v>
      </c>
      <c r="N299" s="20"/>
      <c r="O299" s="20"/>
      <c r="P299" s="20"/>
      <c r="Q299" s="18" t="b">
        <f>FALSE()</f>
        <v>0</v>
      </c>
      <c r="R299" s="18" t="b">
        <f>FALSE()</f>
        <v>0</v>
      </c>
      <c r="S299" s="19" t="str">
        <f t="shared" si="4"/>
        <v>N/A</v>
      </c>
      <c r="T299">
        <f>COUNTIF('👤 Customers'!$A:$A, B299)</f>
        <v>1</v>
      </c>
      <c r="U299">
        <f>COUNTIF('🚴 Riders'!A298:A358, C299)</f>
        <v>0</v>
      </c>
      <c r="V299">
        <f>COUNTIF('🏭 Facilities'!A298:A306, D299)</f>
        <v>0</v>
      </c>
    </row>
    <row r="300" spans="1:22">
      <c r="A300" s="16" t="s">
        <v>1020</v>
      </c>
      <c r="B300" s="16" t="s">
        <v>178</v>
      </c>
      <c r="C300" s="16" t="s">
        <v>611</v>
      </c>
      <c r="D300" s="16" t="s">
        <v>123</v>
      </c>
      <c r="E300" s="25">
        <v>45366</v>
      </c>
      <c r="F300" s="16" t="s">
        <v>1021</v>
      </c>
      <c r="G300" s="16" t="s">
        <v>132</v>
      </c>
      <c r="H300" s="16">
        <v>7.3</v>
      </c>
      <c r="I300" s="16">
        <v>399</v>
      </c>
      <c r="J300" s="16">
        <v>10</v>
      </c>
      <c r="K300" s="16">
        <v>2621.4299999999998</v>
      </c>
      <c r="L300" s="16" t="s">
        <v>139</v>
      </c>
      <c r="M300" s="16" t="s">
        <v>119</v>
      </c>
      <c r="N300" s="27">
        <v>45366.742361111108</v>
      </c>
      <c r="O300" s="27">
        <v>45367.535416666666</v>
      </c>
      <c r="P300" s="16">
        <v>4.2</v>
      </c>
      <c r="Q300" s="16" t="b">
        <f>FALSE()</f>
        <v>0</v>
      </c>
      <c r="R300" s="16" t="b">
        <f>FALSE()</f>
        <v>0</v>
      </c>
      <c r="S300" s="17">
        <f t="shared" si="4"/>
        <v>19</v>
      </c>
      <c r="T300">
        <f>COUNTIF('👤 Customers'!$A:$A, B300)</f>
        <v>1</v>
      </c>
      <c r="U300">
        <f>COUNTIF('🚴 Riders'!A299:A359, C300)</f>
        <v>0</v>
      </c>
      <c r="V300">
        <f>COUNTIF('🏭 Facilities'!A299:A307, D300)</f>
        <v>0</v>
      </c>
    </row>
    <row r="301" spans="1:22">
      <c r="A301" s="18" t="s">
        <v>1022</v>
      </c>
      <c r="B301" s="18" t="s">
        <v>1023</v>
      </c>
      <c r="C301" s="18" t="s">
        <v>240</v>
      </c>
      <c r="D301" s="18" t="s">
        <v>123</v>
      </c>
      <c r="E301" s="26">
        <v>45126</v>
      </c>
      <c r="F301" s="18" t="s">
        <v>1024</v>
      </c>
      <c r="G301" s="18" t="s">
        <v>132</v>
      </c>
      <c r="H301" s="18">
        <v>6.5</v>
      </c>
      <c r="I301" s="18">
        <v>399</v>
      </c>
      <c r="J301" s="18">
        <v>0</v>
      </c>
      <c r="K301" s="18">
        <v>2593.5</v>
      </c>
      <c r="L301" s="18" t="s">
        <v>207</v>
      </c>
      <c r="M301" s="18" t="s">
        <v>119</v>
      </c>
      <c r="N301" s="28">
        <v>45126.955555555556</v>
      </c>
      <c r="O301" s="28">
        <v>45127.501388888886</v>
      </c>
      <c r="P301" s="18">
        <v>3.6</v>
      </c>
      <c r="Q301" s="18" t="b">
        <f>FALSE()</f>
        <v>0</v>
      </c>
      <c r="R301" s="18" t="b">
        <f>FALSE()</f>
        <v>0</v>
      </c>
      <c r="S301" s="19">
        <f t="shared" si="4"/>
        <v>13.1</v>
      </c>
      <c r="T301">
        <f>COUNTIF('👤 Customers'!$A:$A, B301)</f>
        <v>1</v>
      </c>
      <c r="U301">
        <f>COUNTIF('🚴 Riders'!A300:A360, C301)</f>
        <v>0</v>
      </c>
      <c r="V301">
        <f>COUNTIF('🏭 Facilities'!A300:A308, D301)</f>
        <v>0</v>
      </c>
    </row>
    <row r="302" spans="1:22">
      <c r="A302" s="16" t="s">
        <v>1025</v>
      </c>
      <c r="B302" s="16" t="s">
        <v>303</v>
      </c>
      <c r="C302" s="16" t="s">
        <v>170</v>
      </c>
      <c r="D302" s="16" t="s">
        <v>115</v>
      </c>
      <c r="E302" s="25">
        <v>45401</v>
      </c>
      <c r="F302" s="16" t="s">
        <v>1026</v>
      </c>
      <c r="G302" s="16" t="s">
        <v>145</v>
      </c>
      <c r="H302" s="16">
        <v>2.2000000000000002</v>
      </c>
      <c r="I302" s="16">
        <v>299</v>
      </c>
      <c r="J302" s="16">
        <v>0</v>
      </c>
      <c r="K302" s="16">
        <v>657.8</v>
      </c>
      <c r="L302" s="16" t="s">
        <v>118</v>
      </c>
      <c r="M302" s="16" t="s">
        <v>119</v>
      </c>
      <c r="N302" s="27">
        <v>45401.134722222225</v>
      </c>
      <c r="O302" s="27">
        <v>45401.801388888889</v>
      </c>
      <c r="P302" s="16">
        <v>2.8</v>
      </c>
      <c r="Q302" s="16" t="b">
        <f>TRUE()</f>
        <v>1</v>
      </c>
      <c r="R302" s="16" t="b">
        <f>FALSE()</f>
        <v>0</v>
      </c>
      <c r="S302" s="17">
        <f t="shared" si="4"/>
        <v>16</v>
      </c>
      <c r="T302">
        <f>COUNTIF('👤 Customers'!$A:$A, B302)</f>
        <v>1</v>
      </c>
      <c r="U302">
        <f>COUNTIF('🚴 Riders'!A301:A361, C302)</f>
        <v>0</v>
      </c>
      <c r="V302">
        <f>COUNTIF('🏭 Facilities'!A301:A309, D302)</f>
        <v>0</v>
      </c>
    </row>
    <row r="303" spans="1:22">
      <c r="A303" s="18" t="s">
        <v>1027</v>
      </c>
      <c r="B303" s="18" t="s">
        <v>349</v>
      </c>
      <c r="C303" s="18" t="s">
        <v>842</v>
      </c>
      <c r="D303" s="18" t="s">
        <v>205</v>
      </c>
      <c r="E303" s="26">
        <v>45121</v>
      </c>
      <c r="F303" s="18" t="s">
        <v>1028</v>
      </c>
      <c r="G303" s="18" t="s">
        <v>145</v>
      </c>
      <c r="H303" s="18">
        <v>1.1000000000000001</v>
      </c>
      <c r="I303" s="18">
        <v>299</v>
      </c>
      <c r="J303" s="18">
        <v>0</v>
      </c>
      <c r="K303" s="18">
        <v>328.9</v>
      </c>
      <c r="L303" s="18" t="s">
        <v>139</v>
      </c>
      <c r="M303" s="18" t="s">
        <v>140</v>
      </c>
      <c r="N303" s="28">
        <v>45121.757638888892</v>
      </c>
      <c r="O303" s="28">
        <v>45122.804861111108</v>
      </c>
      <c r="P303" s="20"/>
      <c r="Q303" s="18" t="b">
        <f>FALSE()</f>
        <v>0</v>
      </c>
      <c r="R303" s="18" t="b">
        <f>FALSE()</f>
        <v>0</v>
      </c>
      <c r="S303" s="19">
        <f t="shared" si="4"/>
        <v>25.1</v>
      </c>
      <c r="T303">
        <f>COUNTIF('👤 Customers'!$A:$A, B303)</f>
        <v>1</v>
      </c>
      <c r="U303">
        <f>COUNTIF('🚴 Riders'!A302:A362, C303)</f>
        <v>0</v>
      </c>
      <c r="V303">
        <f>COUNTIF('🏭 Facilities'!A302:A310, D303)</f>
        <v>0</v>
      </c>
    </row>
    <row r="304" spans="1:22">
      <c r="A304" s="16" t="s">
        <v>1029</v>
      </c>
      <c r="B304" s="16" t="s">
        <v>1030</v>
      </c>
      <c r="C304" s="16" t="s">
        <v>188</v>
      </c>
      <c r="D304" s="16" t="s">
        <v>115</v>
      </c>
      <c r="E304" s="25">
        <v>45525</v>
      </c>
      <c r="F304" s="16" t="s">
        <v>1031</v>
      </c>
      <c r="G304" s="16" t="s">
        <v>145</v>
      </c>
      <c r="H304" s="16">
        <v>4.3</v>
      </c>
      <c r="I304" s="16">
        <v>299</v>
      </c>
      <c r="J304" s="16">
        <v>0</v>
      </c>
      <c r="K304" s="16">
        <v>1285.7</v>
      </c>
      <c r="L304" s="16" t="s">
        <v>126</v>
      </c>
      <c r="M304" s="16" t="s">
        <v>140</v>
      </c>
      <c r="N304" s="27">
        <v>45525.980555555558</v>
      </c>
      <c r="O304" s="27">
        <v>45526.90625</v>
      </c>
      <c r="P304" s="20"/>
      <c r="Q304" s="16" t="b">
        <f>FALSE()</f>
        <v>0</v>
      </c>
      <c r="R304" s="16" t="b">
        <f>FALSE()</f>
        <v>0</v>
      </c>
      <c r="S304" s="17">
        <f t="shared" si="4"/>
        <v>22.2</v>
      </c>
      <c r="T304">
        <f>COUNTIF('👤 Customers'!$A:$A, B304)</f>
        <v>1</v>
      </c>
      <c r="U304">
        <f>COUNTIF('🚴 Riders'!A303:A363, C304)</f>
        <v>0</v>
      </c>
      <c r="V304">
        <f>COUNTIF('🏭 Facilities'!A303:A311, D304)</f>
        <v>0</v>
      </c>
    </row>
    <row r="305" spans="1:22">
      <c r="A305" s="18" t="s">
        <v>1032</v>
      </c>
      <c r="B305" s="18" t="s">
        <v>1033</v>
      </c>
      <c r="C305" s="18" t="s">
        <v>162</v>
      </c>
      <c r="D305" s="18" t="s">
        <v>197</v>
      </c>
      <c r="E305" s="26">
        <v>45205</v>
      </c>
      <c r="F305" s="18" t="s">
        <v>1034</v>
      </c>
      <c r="G305" s="18" t="s">
        <v>117</v>
      </c>
      <c r="H305" s="18">
        <v>5.8</v>
      </c>
      <c r="I305" s="18">
        <v>149</v>
      </c>
      <c r="J305" s="18">
        <v>0</v>
      </c>
      <c r="K305" s="18">
        <v>864.2</v>
      </c>
      <c r="L305" s="18" t="s">
        <v>139</v>
      </c>
      <c r="M305" s="18" t="s">
        <v>140</v>
      </c>
      <c r="N305" s="28">
        <v>45205.945833333331</v>
      </c>
      <c r="O305" s="28">
        <v>45206.753472222219</v>
      </c>
      <c r="P305" s="20"/>
      <c r="Q305" s="18" t="b">
        <f>FALSE()</f>
        <v>0</v>
      </c>
      <c r="R305" s="18" t="b">
        <f>FALSE()</f>
        <v>0</v>
      </c>
      <c r="S305" s="19">
        <f t="shared" si="4"/>
        <v>19.399999999999999</v>
      </c>
      <c r="T305">
        <f>COUNTIF('👤 Customers'!$A:$A, B305)</f>
        <v>1</v>
      </c>
      <c r="U305">
        <f>COUNTIF('🚴 Riders'!A304:A364, C305)</f>
        <v>0</v>
      </c>
      <c r="V305">
        <f>COUNTIF('🏭 Facilities'!A304:A312, D305)</f>
        <v>0</v>
      </c>
    </row>
    <row r="306" spans="1:22">
      <c r="A306" s="16" t="s">
        <v>1035</v>
      </c>
      <c r="B306" s="16" t="s">
        <v>1036</v>
      </c>
      <c r="C306" s="16" t="s">
        <v>224</v>
      </c>
      <c r="D306" s="16" t="s">
        <v>205</v>
      </c>
      <c r="E306" s="25">
        <v>45084</v>
      </c>
      <c r="F306" s="16" t="s">
        <v>1037</v>
      </c>
      <c r="G306" s="16" t="s">
        <v>132</v>
      </c>
      <c r="H306" s="16">
        <v>4.9000000000000004</v>
      </c>
      <c r="I306" s="16">
        <v>399</v>
      </c>
      <c r="J306" s="16">
        <v>30</v>
      </c>
      <c r="K306" s="16">
        <v>1368.57</v>
      </c>
      <c r="L306" s="16" t="s">
        <v>139</v>
      </c>
      <c r="M306" s="16" t="s">
        <v>140</v>
      </c>
      <c r="N306" s="27">
        <v>45084.816666666666</v>
      </c>
      <c r="O306" s="27">
        <v>45085.704861111109</v>
      </c>
      <c r="P306" s="20"/>
      <c r="Q306" s="16" t="b">
        <f>TRUE()</f>
        <v>1</v>
      </c>
      <c r="R306" s="16" t="b">
        <f>FALSE()</f>
        <v>0</v>
      </c>
      <c r="S306" s="17">
        <f t="shared" si="4"/>
        <v>21.3</v>
      </c>
      <c r="T306">
        <f>COUNTIF('👤 Customers'!$A:$A, B306)</f>
        <v>1</v>
      </c>
      <c r="U306">
        <f>COUNTIF('🚴 Riders'!A305:A365, C306)</f>
        <v>0</v>
      </c>
      <c r="V306">
        <f>COUNTIF('🏭 Facilities'!A305:A313, D306)</f>
        <v>0</v>
      </c>
    </row>
    <row r="307" spans="1:22">
      <c r="A307" s="18" t="s">
        <v>1038</v>
      </c>
      <c r="B307" s="18" t="s">
        <v>460</v>
      </c>
      <c r="C307" s="18" t="s">
        <v>339</v>
      </c>
      <c r="D307" s="18" t="s">
        <v>123</v>
      </c>
      <c r="E307" s="26">
        <v>45498</v>
      </c>
      <c r="F307" s="18" t="s">
        <v>1039</v>
      </c>
      <c r="G307" s="18" t="s">
        <v>132</v>
      </c>
      <c r="H307" s="18">
        <v>2</v>
      </c>
      <c r="I307" s="18">
        <v>399</v>
      </c>
      <c r="J307" s="18">
        <v>0</v>
      </c>
      <c r="K307" s="18">
        <v>798</v>
      </c>
      <c r="L307" s="18" t="s">
        <v>139</v>
      </c>
      <c r="M307" s="18" t="s">
        <v>140</v>
      </c>
      <c r="N307" s="28">
        <v>45498.309027777781</v>
      </c>
      <c r="O307" s="28">
        <v>45498.811805555553</v>
      </c>
      <c r="P307" s="20"/>
      <c r="Q307" s="18" t="b">
        <f>FALSE()</f>
        <v>0</v>
      </c>
      <c r="R307" s="18" t="b">
        <f>FALSE()</f>
        <v>0</v>
      </c>
      <c r="S307" s="19">
        <f t="shared" si="4"/>
        <v>12.1</v>
      </c>
      <c r="T307">
        <f>COUNTIF('👤 Customers'!$A:$A, B307)</f>
        <v>1</v>
      </c>
      <c r="U307">
        <f>COUNTIF('🚴 Riders'!A306:A366, C307)</f>
        <v>0</v>
      </c>
      <c r="V307">
        <f>COUNTIF('🏭 Facilities'!A306:A314, D307)</f>
        <v>0</v>
      </c>
    </row>
    <row r="308" spans="1:22">
      <c r="A308" s="16" t="s">
        <v>1040</v>
      </c>
      <c r="B308" s="16" t="s">
        <v>1041</v>
      </c>
      <c r="C308" s="16" t="s">
        <v>750</v>
      </c>
      <c r="D308" s="16" t="s">
        <v>115</v>
      </c>
      <c r="E308" s="25">
        <v>45275</v>
      </c>
      <c r="F308" s="16" t="s">
        <v>1042</v>
      </c>
      <c r="G308" s="16" t="s">
        <v>125</v>
      </c>
      <c r="H308" s="16">
        <v>1.3</v>
      </c>
      <c r="I308" s="16">
        <v>199</v>
      </c>
      <c r="J308" s="16">
        <v>0</v>
      </c>
      <c r="K308" s="16">
        <v>258.7</v>
      </c>
      <c r="L308" s="16" t="s">
        <v>146</v>
      </c>
      <c r="M308" s="16" t="s">
        <v>140</v>
      </c>
      <c r="N308" s="27">
        <v>45276.013888888891</v>
      </c>
      <c r="O308" s="27">
        <v>45276.461805555555</v>
      </c>
      <c r="P308" s="20"/>
      <c r="Q308" s="16" t="b">
        <f>TRUE()</f>
        <v>1</v>
      </c>
      <c r="R308" s="16" t="b">
        <f>FALSE()</f>
        <v>0</v>
      </c>
      <c r="S308" s="17">
        <f t="shared" si="4"/>
        <v>10.7</v>
      </c>
      <c r="T308">
        <f>COUNTIF('👤 Customers'!$A:$A, B308)</f>
        <v>1</v>
      </c>
      <c r="U308">
        <f>COUNTIF('🚴 Riders'!A307:A367, C308)</f>
        <v>0</v>
      </c>
      <c r="V308">
        <f>COUNTIF('🏭 Facilities'!A307:A315, D308)</f>
        <v>0</v>
      </c>
    </row>
    <row r="309" spans="1:22">
      <c r="A309" s="18" t="s">
        <v>1043</v>
      </c>
      <c r="B309" s="18" t="s">
        <v>223</v>
      </c>
      <c r="C309" s="18" t="s">
        <v>224</v>
      </c>
      <c r="D309" s="18" t="s">
        <v>137</v>
      </c>
      <c r="E309" s="26">
        <v>45645</v>
      </c>
      <c r="F309" s="18" t="s">
        <v>1044</v>
      </c>
      <c r="G309" s="18" t="s">
        <v>125</v>
      </c>
      <c r="H309" s="18">
        <v>1.3</v>
      </c>
      <c r="I309" s="18">
        <v>199</v>
      </c>
      <c r="J309" s="18">
        <v>0</v>
      </c>
      <c r="K309" s="18">
        <v>258.7</v>
      </c>
      <c r="L309" s="18" t="s">
        <v>126</v>
      </c>
      <c r="M309" s="18" t="s">
        <v>140</v>
      </c>
      <c r="N309" s="28">
        <v>45645.348611111112</v>
      </c>
      <c r="O309" s="28">
        <v>45646.37222222222</v>
      </c>
      <c r="P309" s="20"/>
      <c r="Q309" s="18" t="b">
        <f>FALSE()</f>
        <v>0</v>
      </c>
      <c r="R309" s="18" t="b">
        <f>TRUE()</f>
        <v>1</v>
      </c>
      <c r="S309" s="19">
        <f t="shared" si="4"/>
        <v>24.6</v>
      </c>
      <c r="T309">
        <f>COUNTIF('👤 Customers'!$A:$A, B309)</f>
        <v>1</v>
      </c>
      <c r="U309">
        <f>COUNTIF('🚴 Riders'!A308:A368, C309)</f>
        <v>0</v>
      </c>
      <c r="V309">
        <f>COUNTIF('🏭 Facilities'!A308:A316, D309)</f>
        <v>0</v>
      </c>
    </row>
    <row r="310" spans="1:22">
      <c r="A310" s="16" t="s">
        <v>1045</v>
      </c>
      <c r="B310" s="16" t="s">
        <v>386</v>
      </c>
      <c r="C310" s="16" t="s">
        <v>326</v>
      </c>
      <c r="D310" s="16" t="s">
        <v>130</v>
      </c>
      <c r="E310" s="25">
        <v>45165</v>
      </c>
      <c r="F310" s="16" t="s">
        <v>1046</v>
      </c>
      <c r="G310" s="16" t="s">
        <v>125</v>
      </c>
      <c r="H310" s="16">
        <v>4.2</v>
      </c>
      <c r="I310" s="16">
        <v>199</v>
      </c>
      <c r="J310" s="16">
        <v>0</v>
      </c>
      <c r="K310" s="16">
        <v>835.8</v>
      </c>
      <c r="L310" s="16" t="s">
        <v>126</v>
      </c>
      <c r="M310" s="16" t="s">
        <v>133</v>
      </c>
      <c r="N310" s="20"/>
      <c r="O310" s="20"/>
      <c r="P310" s="20"/>
      <c r="Q310" s="16" t="b">
        <f>FALSE()</f>
        <v>0</v>
      </c>
      <c r="R310" s="16" t="b">
        <f>FALSE()</f>
        <v>0</v>
      </c>
      <c r="S310" s="17" t="str">
        <f t="shared" si="4"/>
        <v>N/A</v>
      </c>
      <c r="T310">
        <f>COUNTIF('👤 Customers'!$A:$A, B310)</f>
        <v>1</v>
      </c>
      <c r="U310">
        <f>COUNTIF('🚴 Riders'!A309:A369, C310)</f>
        <v>0</v>
      </c>
      <c r="V310">
        <f>COUNTIF('🏭 Facilities'!A309:A317, D310)</f>
        <v>0</v>
      </c>
    </row>
    <row r="311" spans="1:22">
      <c r="A311" s="18" t="s">
        <v>1047</v>
      </c>
      <c r="B311" s="18" t="s">
        <v>1048</v>
      </c>
      <c r="C311" s="18" t="s">
        <v>196</v>
      </c>
      <c r="D311" s="18" t="s">
        <v>184</v>
      </c>
      <c r="E311" s="26">
        <v>45557</v>
      </c>
      <c r="F311" s="18" t="s">
        <v>1049</v>
      </c>
      <c r="G311" s="18" t="s">
        <v>145</v>
      </c>
      <c r="H311" s="18">
        <v>3.3</v>
      </c>
      <c r="I311" s="18">
        <v>299</v>
      </c>
      <c r="J311" s="18">
        <v>30</v>
      </c>
      <c r="K311" s="18">
        <v>690.69</v>
      </c>
      <c r="L311" s="18" t="s">
        <v>146</v>
      </c>
      <c r="M311" s="18" t="s">
        <v>133</v>
      </c>
      <c r="N311" s="20"/>
      <c r="O311" s="20"/>
      <c r="P311" s="20"/>
      <c r="Q311" s="18" t="b">
        <f>FALSE()</f>
        <v>0</v>
      </c>
      <c r="R311" s="18" t="b">
        <f>TRUE()</f>
        <v>1</v>
      </c>
      <c r="S311" s="19" t="str">
        <f t="shared" si="4"/>
        <v>N/A</v>
      </c>
      <c r="T311">
        <f>COUNTIF('👤 Customers'!$A:$A, B311)</f>
        <v>1</v>
      </c>
      <c r="U311">
        <f>COUNTIF('🚴 Riders'!A310:A370, C311)</f>
        <v>0</v>
      </c>
      <c r="V311">
        <f>COUNTIF('🏭 Facilities'!A310:A318, D311)</f>
        <v>0</v>
      </c>
    </row>
    <row r="312" spans="1:22">
      <c r="A312" s="16" t="s">
        <v>1050</v>
      </c>
      <c r="B312" s="16" t="s">
        <v>1051</v>
      </c>
      <c r="C312" s="16" t="s">
        <v>179</v>
      </c>
      <c r="D312" s="16" t="s">
        <v>197</v>
      </c>
      <c r="E312" s="25">
        <v>45139</v>
      </c>
      <c r="F312" s="16" t="s">
        <v>1052</v>
      </c>
      <c r="G312" s="16" t="s">
        <v>132</v>
      </c>
      <c r="H312" s="16">
        <v>6.3</v>
      </c>
      <c r="I312" s="16">
        <v>399</v>
      </c>
      <c r="J312" s="16">
        <v>0</v>
      </c>
      <c r="K312" s="16">
        <v>2513.6999999999998</v>
      </c>
      <c r="L312" s="16" t="s">
        <v>146</v>
      </c>
      <c r="M312" s="16" t="s">
        <v>119</v>
      </c>
      <c r="N312" s="27">
        <v>45139.840277777781</v>
      </c>
      <c r="O312" s="27">
        <v>45140.538194444445</v>
      </c>
      <c r="P312" s="16">
        <v>3.4</v>
      </c>
      <c r="Q312" s="16" t="b">
        <f>FALSE()</f>
        <v>0</v>
      </c>
      <c r="R312" s="16" t="b">
        <f>FALSE()</f>
        <v>0</v>
      </c>
      <c r="S312" s="17">
        <f t="shared" si="4"/>
        <v>16.7</v>
      </c>
      <c r="T312">
        <f>COUNTIF('👤 Customers'!$A:$A, B312)</f>
        <v>1</v>
      </c>
      <c r="U312">
        <f>COUNTIF('🚴 Riders'!A311:A371, C312)</f>
        <v>0</v>
      </c>
      <c r="V312">
        <f>COUNTIF('🏭 Facilities'!A311:A319, D312)</f>
        <v>0</v>
      </c>
    </row>
    <row r="313" spans="1:22">
      <c r="A313" s="18" t="s">
        <v>1053</v>
      </c>
      <c r="B313" s="18" t="s">
        <v>791</v>
      </c>
      <c r="C313" s="18" t="s">
        <v>272</v>
      </c>
      <c r="D313" s="18" t="s">
        <v>115</v>
      </c>
      <c r="E313" s="26">
        <v>44989</v>
      </c>
      <c r="F313" s="18" t="s">
        <v>1054</v>
      </c>
      <c r="G313" s="18" t="s">
        <v>125</v>
      </c>
      <c r="H313" s="18">
        <v>1.1000000000000001</v>
      </c>
      <c r="I313" s="18">
        <v>199</v>
      </c>
      <c r="J313" s="18">
        <v>20</v>
      </c>
      <c r="K313" s="18">
        <v>175.12</v>
      </c>
      <c r="L313" s="18" t="s">
        <v>207</v>
      </c>
      <c r="M313" s="18" t="s">
        <v>140</v>
      </c>
      <c r="N313" s="28">
        <v>44989.814583333333</v>
      </c>
      <c r="O313" s="28">
        <v>44990.806250000001</v>
      </c>
      <c r="P313" s="20"/>
      <c r="Q313" s="18" t="b">
        <f>FALSE()</f>
        <v>0</v>
      </c>
      <c r="R313" s="18" t="b">
        <f>FALSE()</f>
        <v>0</v>
      </c>
      <c r="S313" s="19">
        <f t="shared" si="4"/>
        <v>23.8</v>
      </c>
      <c r="T313">
        <f>COUNTIF('👤 Customers'!$A:$A, B313)</f>
        <v>1</v>
      </c>
      <c r="U313">
        <f>COUNTIF('🚴 Riders'!A312:A372, C313)</f>
        <v>0</v>
      </c>
      <c r="V313">
        <f>COUNTIF('🏭 Facilities'!A312:A320, D313)</f>
        <v>0</v>
      </c>
    </row>
    <row r="314" spans="1:22">
      <c r="A314" s="16" t="s">
        <v>1055</v>
      </c>
      <c r="B314" s="16" t="s">
        <v>925</v>
      </c>
      <c r="C314" s="16" t="s">
        <v>300</v>
      </c>
      <c r="D314" s="16" t="s">
        <v>123</v>
      </c>
      <c r="E314" s="25">
        <v>45333</v>
      </c>
      <c r="F314" s="16" t="s">
        <v>1056</v>
      </c>
      <c r="G314" s="16" t="s">
        <v>145</v>
      </c>
      <c r="H314" s="16">
        <v>3.9</v>
      </c>
      <c r="I314" s="16">
        <v>299</v>
      </c>
      <c r="J314" s="16">
        <v>20</v>
      </c>
      <c r="K314" s="16">
        <v>932.88</v>
      </c>
      <c r="L314" s="16" t="s">
        <v>118</v>
      </c>
      <c r="M314" s="16" t="s">
        <v>133</v>
      </c>
      <c r="N314" s="20"/>
      <c r="O314" s="20"/>
      <c r="P314" s="20"/>
      <c r="Q314" s="16" t="b">
        <f>FALSE()</f>
        <v>0</v>
      </c>
      <c r="R314" s="16" t="b">
        <f>FALSE()</f>
        <v>0</v>
      </c>
      <c r="S314" s="17" t="str">
        <f t="shared" si="4"/>
        <v>N/A</v>
      </c>
      <c r="T314">
        <f>COUNTIF('👤 Customers'!$A:$A, B314)</f>
        <v>1</v>
      </c>
      <c r="U314">
        <f>COUNTIF('🚴 Riders'!A313:A373, C314)</f>
        <v>0</v>
      </c>
      <c r="V314">
        <f>COUNTIF('🏭 Facilities'!A313:A321, D314)</f>
        <v>0</v>
      </c>
    </row>
    <row r="315" spans="1:22">
      <c r="A315" s="18" t="s">
        <v>1057</v>
      </c>
      <c r="B315" s="18" t="s">
        <v>1058</v>
      </c>
      <c r="C315" s="18" t="s">
        <v>251</v>
      </c>
      <c r="D315" s="18" t="s">
        <v>130</v>
      </c>
      <c r="E315" s="26">
        <v>45076</v>
      </c>
      <c r="F315" s="18" t="s">
        <v>1059</v>
      </c>
      <c r="G315" s="18" t="s">
        <v>125</v>
      </c>
      <c r="H315" s="18">
        <v>7.9</v>
      </c>
      <c r="I315" s="18">
        <v>199</v>
      </c>
      <c r="J315" s="18">
        <v>30</v>
      </c>
      <c r="K315" s="18">
        <v>1100.47</v>
      </c>
      <c r="L315" s="18" t="s">
        <v>118</v>
      </c>
      <c r="M315" s="18" t="s">
        <v>133</v>
      </c>
      <c r="N315" s="20"/>
      <c r="O315" s="20"/>
      <c r="P315" s="20"/>
      <c r="Q315" s="18" t="b">
        <f>TRUE()</f>
        <v>1</v>
      </c>
      <c r="R315" s="18" t="b">
        <f>TRUE()</f>
        <v>1</v>
      </c>
      <c r="S315" s="19" t="str">
        <f t="shared" si="4"/>
        <v>N/A</v>
      </c>
      <c r="T315">
        <f>COUNTIF('👤 Customers'!$A:$A, B315)</f>
        <v>1</v>
      </c>
      <c r="U315">
        <f>COUNTIF('🚴 Riders'!A314:A374, C315)</f>
        <v>0</v>
      </c>
      <c r="V315">
        <f>COUNTIF('🏭 Facilities'!A314:A322, D315)</f>
        <v>0</v>
      </c>
    </row>
    <row r="316" spans="1:22">
      <c r="A316" s="16" t="s">
        <v>1060</v>
      </c>
      <c r="B316" s="16" t="s">
        <v>1061</v>
      </c>
      <c r="C316" s="16" t="s">
        <v>162</v>
      </c>
      <c r="D316" s="16" t="s">
        <v>115</v>
      </c>
      <c r="E316" s="25">
        <v>45042</v>
      </c>
      <c r="F316" s="16" t="s">
        <v>1062</v>
      </c>
      <c r="G316" s="16" t="s">
        <v>145</v>
      </c>
      <c r="H316" s="16">
        <v>4.5</v>
      </c>
      <c r="I316" s="16">
        <v>299</v>
      </c>
      <c r="J316" s="16">
        <v>0</v>
      </c>
      <c r="K316" s="16">
        <v>1345.5</v>
      </c>
      <c r="L316" s="16" t="s">
        <v>126</v>
      </c>
      <c r="M316" s="16" t="s">
        <v>119</v>
      </c>
      <c r="N316" s="27">
        <v>45042.929166666669</v>
      </c>
      <c r="O316" s="27">
        <v>45043.511111111111</v>
      </c>
      <c r="P316" s="16">
        <v>2.8</v>
      </c>
      <c r="Q316" s="16" t="b">
        <f>TRUE()</f>
        <v>1</v>
      </c>
      <c r="R316" s="16" t="b">
        <f>FALSE()</f>
        <v>0</v>
      </c>
      <c r="S316" s="17">
        <f t="shared" si="4"/>
        <v>14</v>
      </c>
      <c r="T316">
        <f>COUNTIF('👤 Customers'!$A:$A, B316)</f>
        <v>1</v>
      </c>
      <c r="U316">
        <f>COUNTIF('🚴 Riders'!A315:A375, C316)</f>
        <v>0</v>
      </c>
      <c r="V316">
        <f>COUNTIF('🏭 Facilities'!A315:A323, D316)</f>
        <v>0</v>
      </c>
    </row>
    <row r="317" spans="1:22">
      <c r="A317" s="18" t="s">
        <v>1063</v>
      </c>
      <c r="B317" s="18" t="s">
        <v>1064</v>
      </c>
      <c r="C317" s="18" t="s">
        <v>149</v>
      </c>
      <c r="D317" s="18" t="s">
        <v>205</v>
      </c>
      <c r="E317" s="26">
        <v>45049</v>
      </c>
      <c r="F317" s="18" t="s">
        <v>1065</v>
      </c>
      <c r="G317" s="18" t="s">
        <v>125</v>
      </c>
      <c r="H317" s="18">
        <v>4.4000000000000004</v>
      </c>
      <c r="I317" s="18">
        <v>199</v>
      </c>
      <c r="J317" s="18">
        <v>0</v>
      </c>
      <c r="K317" s="18">
        <v>875.6</v>
      </c>
      <c r="L317" s="18" t="s">
        <v>207</v>
      </c>
      <c r="M317" s="18" t="s">
        <v>119</v>
      </c>
      <c r="N317" s="28">
        <v>45049.883333333331</v>
      </c>
      <c r="O317" s="28">
        <v>45050.646527777775</v>
      </c>
      <c r="P317" s="18">
        <v>4.4000000000000004</v>
      </c>
      <c r="Q317" s="18" t="b">
        <f>FALSE()</f>
        <v>0</v>
      </c>
      <c r="R317" s="18" t="b">
        <f>TRUE()</f>
        <v>1</v>
      </c>
      <c r="S317" s="19">
        <f t="shared" si="4"/>
        <v>18.3</v>
      </c>
      <c r="T317">
        <f>COUNTIF('👤 Customers'!$A:$A, B317)</f>
        <v>1</v>
      </c>
      <c r="U317">
        <f>COUNTIF('🚴 Riders'!A316:A376, C317)</f>
        <v>0</v>
      </c>
      <c r="V317">
        <f>COUNTIF('🏭 Facilities'!A316:A324, D317)</f>
        <v>0</v>
      </c>
    </row>
    <row r="318" spans="1:22">
      <c r="A318" s="16" t="s">
        <v>1066</v>
      </c>
      <c r="B318" s="16" t="s">
        <v>1067</v>
      </c>
      <c r="C318" s="16" t="s">
        <v>842</v>
      </c>
      <c r="D318" s="16" t="s">
        <v>130</v>
      </c>
      <c r="E318" s="25">
        <v>45500</v>
      </c>
      <c r="F318" s="16" t="s">
        <v>1068</v>
      </c>
      <c r="G318" s="16" t="s">
        <v>145</v>
      </c>
      <c r="H318" s="16">
        <v>7.1</v>
      </c>
      <c r="I318" s="16">
        <v>299</v>
      </c>
      <c r="J318" s="16">
        <v>0</v>
      </c>
      <c r="K318" s="16">
        <v>2122.9</v>
      </c>
      <c r="L318" s="16" t="s">
        <v>146</v>
      </c>
      <c r="M318" s="16" t="s">
        <v>119</v>
      </c>
      <c r="N318" s="27">
        <v>45500.056944444441</v>
      </c>
      <c r="O318" s="27">
        <v>45500.791666666664</v>
      </c>
      <c r="P318" s="16">
        <v>3.6</v>
      </c>
      <c r="Q318" s="16" t="b">
        <f>FALSE()</f>
        <v>0</v>
      </c>
      <c r="R318" s="16" t="b">
        <f>TRUE()</f>
        <v>1</v>
      </c>
      <c r="S318" s="17">
        <f t="shared" si="4"/>
        <v>17.600000000000001</v>
      </c>
      <c r="T318">
        <f>COUNTIF('👤 Customers'!$A:$A, B318)</f>
        <v>1</v>
      </c>
      <c r="U318">
        <f>COUNTIF('🚴 Riders'!A317:A377, C318)</f>
        <v>0</v>
      </c>
      <c r="V318">
        <f>COUNTIF('🏭 Facilities'!A317:A325, D318)</f>
        <v>0</v>
      </c>
    </row>
    <row r="319" spans="1:22">
      <c r="A319" s="18" t="s">
        <v>1069</v>
      </c>
      <c r="B319" s="18" t="s">
        <v>1070</v>
      </c>
      <c r="C319" s="18" t="s">
        <v>179</v>
      </c>
      <c r="D319" s="18" t="s">
        <v>197</v>
      </c>
      <c r="E319" s="26">
        <v>45486</v>
      </c>
      <c r="F319" s="18" t="s">
        <v>1071</v>
      </c>
      <c r="G319" s="18" t="s">
        <v>132</v>
      </c>
      <c r="H319" s="18">
        <v>5.4</v>
      </c>
      <c r="I319" s="18">
        <v>399</v>
      </c>
      <c r="J319" s="18">
        <v>30</v>
      </c>
      <c r="K319" s="18">
        <v>1508.22</v>
      </c>
      <c r="L319" s="18" t="s">
        <v>139</v>
      </c>
      <c r="M319" s="18" t="s">
        <v>119</v>
      </c>
      <c r="N319" s="28">
        <v>45486.17083333333</v>
      </c>
      <c r="O319" s="28">
        <v>45486.53402777778</v>
      </c>
      <c r="P319" s="18">
        <v>3.6</v>
      </c>
      <c r="Q319" s="18" t="b">
        <f>FALSE()</f>
        <v>0</v>
      </c>
      <c r="R319" s="18" t="b">
        <f>FALSE()</f>
        <v>0</v>
      </c>
      <c r="S319" s="19">
        <f t="shared" si="4"/>
        <v>8.6999999999999993</v>
      </c>
      <c r="T319">
        <f>COUNTIF('👤 Customers'!$A:$A, B319)</f>
        <v>1</v>
      </c>
      <c r="U319">
        <f>COUNTIF('🚴 Riders'!A318:A378, C319)</f>
        <v>0</v>
      </c>
      <c r="V319">
        <f>COUNTIF('🏭 Facilities'!A318:A326, D319)</f>
        <v>0</v>
      </c>
    </row>
    <row r="320" spans="1:22">
      <c r="A320" s="16" t="s">
        <v>1072</v>
      </c>
      <c r="B320" s="16" t="s">
        <v>1073</v>
      </c>
      <c r="C320" s="16" t="s">
        <v>350</v>
      </c>
      <c r="D320" s="16" t="s">
        <v>130</v>
      </c>
      <c r="E320" s="25">
        <v>45615</v>
      </c>
      <c r="F320" s="16" t="s">
        <v>1074</v>
      </c>
      <c r="G320" s="16" t="s">
        <v>117</v>
      </c>
      <c r="H320" s="16">
        <v>5.2</v>
      </c>
      <c r="I320" s="16">
        <v>149</v>
      </c>
      <c r="J320" s="16">
        <v>10</v>
      </c>
      <c r="K320" s="16">
        <v>697.32</v>
      </c>
      <c r="L320" s="16" t="s">
        <v>126</v>
      </c>
      <c r="M320" s="16" t="s">
        <v>140</v>
      </c>
      <c r="N320" s="27">
        <v>45615.65347222222</v>
      </c>
      <c r="O320" s="27">
        <v>45616.67291666667</v>
      </c>
      <c r="P320" s="20"/>
      <c r="Q320" s="16" t="b">
        <f>FALSE()</f>
        <v>0</v>
      </c>
      <c r="R320" s="16" t="b">
        <f>FALSE()</f>
        <v>0</v>
      </c>
      <c r="S320" s="17">
        <f t="shared" si="4"/>
        <v>24.5</v>
      </c>
      <c r="T320">
        <f>COUNTIF('👤 Customers'!$A:$A, B320)</f>
        <v>1</v>
      </c>
      <c r="U320">
        <f>COUNTIF('🚴 Riders'!A319:A379, C320)</f>
        <v>0</v>
      </c>
      <c r="V320">
        <f>COUNTIF('🏭 Facilities'!A319:A327, D320)</f>
        <v>0</v>
      </c>
    </row>
    <row r="321" spans="1:22">
      <c r="A321" s="18" t="s">
        <v>1075</v>
      </c>
      <c r="B321" s="18" t="s">
        <v>282</v>
      </c>
      <c r="C321" s="18" t="s">
        <v>114</v>
      </c>
      <c r="D321" s="18" t="s">
        <v>158</v>
      </c>
      <c r="E321" s="26">
        <v>45596</v>
      </c>
      <c r="F321" s="18" t="s">
        <v>1076</v>
      </c>
      <c r="G321" s="18" t="s">
        <v>132</v>
      </c>
      <c r="H321" s="18">
        <v>5.0999999999999996</v>
      </c>
      <c r="I321" s="18">
        <v>399</v>
      </c>
      <c r="J321" s="18">
        <v>20</v>
      </c>
      <c r="K321" s="18">
        <v>1627.92</v>
      </c>
      <c r="L321" s="18" t="s">
        <v>146</v>
      </c>
      <c r="M321" s="18" t="s">
        <v>119</v>
      </c>
      <c r="N321" s="28">
        <v>45596.712500000001</v>
      </c>
      <c r="O321" s="28">
        <v>45597.397916666669</v>
      </c>
      <c r="P321" s="18">
        <v>3.1</v>
      </c>
      <c r="Q321" s="18" t="b">
        <f>FALSE()</f>
        <v>0</v>
      </c>
      <c r="R321" s="18" t="b">
        <f>FALSE()</f>
        <v>0</v>
      </c>
      <c r="S321" s="19">
        <f t="shared" si="4"/>
        <v>16.5</v>
      </c>
      <c r="T321">
        <f>COUNTIF('👤 Customers'!$A:$A, B321)</f>
        <v>1</v>
      </c>
      <c r="U321">
        <f>COUNTIF('🚴 Riders'!A320:A380, C321)</f>
        <v>0</v>
      </c>
      <c r="V321">
        <f>COUNTIF('🏭 Facilities'!A320:A328, D321)</f>
        <v>0</v>
      </c>
    </row>
    <row r="322" spans="1:22">
      <c r="A322" s="16" t="s">
        <v>1077</v>
      </c>
      <c r="B322" s="16" t="s">
        <v>1078</v>
      </c>
      <c r="C322" s="16" t="s">
        <v>247</v>
      </c>
      <c r="D322" s="16" t="s">
        <v>158</v>
      </c>
      <c r="E322" s="25">
        <v>45636</v>
      </c>
      <c r="F322" s="16" t="s">
        <v>1079</v>
      </c>
      <c r="G322" s="16" t="s">
        <v>176</v>
      </c>
      <c r="H322" s="16">
        <v>7.3</v>
      </c>
      <c r="I322" s="16">
        <v>599</v>
      </c>
      <c r="J322" s="16">
        <v>0</v>
      </c>
      <c r="K322" s="16">
        <v>4372.7</v>
      </c>
      <c r="L322" s="16" t="s">
        <v>139</v>
      </c>
      <c r="M322" s="16" t="s">
        <v>119</v>
      </c>
      <c r="N322" s="27">
        <v>45636.760416666664</v>
      </c>
      <c r="O322" s="27">
        <v>45637.469444444447</v>
      </c>
      <c r="P322" s="16">
        <v>4.5</v>
      </c>
      <c r="Q322" s="16" t="b">
        <f>FALSE()</f>
        <v>0</v>
      </c>
      <c r="R322" s="16" t="b">
        <f>TRUE()</f>
        <v>1</v>
      </c>
      <c r="S322" s="17">
        <f t="shared" ref="S322:S385" si="5">IF(OR(N322="",O322=""),"N/A",ROUND(((O322-N322)*24),1))</f>
        <v>17</v>
      </c>
      <c r="T322">
        <f>COUNTIF('👤 Customers'!$A:$A, B322)</f>
        <v>1</v>
      </c>
      <c r="U322">
        <f>COUNTIF('🚴 Riders'!A321:A381, C322)</f>
        <v>0</v>
      </c>
      <c r="V322">
        <f>COUNTIF('🏭 Facilities'!A321:A329, D322)</f>
        <v>0</v>
      </c>
    </row>
    <row r="323" spans="1:22">
      <c r="A323" s="18" t="s">
        <v>1080</v>
      </c>
      <c r="B323" s="18" t="s">
        <v>1081</v>
      </c>
      <c r="C323" s="18" t="s">
        <v>129</v>
      </c>
      <c r="D323" s="18" t="s">
        <v>197</v>
      </c>
      <c r="E323" s="26">
        <v>45311</v>
      </c>
      <c r="F323" s="18" t="s">
        <v>1082</v>
      </c>
      <c r="G323" s="18" t="s">
        <v>132</v>
      </c>
      <c r="H323" s="18">
        <v>1.6</v>
      </c>
      <c r="I323" s="18">
        <v>399</v>
      </c>
      <c r="J323" s="18">
        <v>10</v>
      </c>
      <c r="K323" s="18">
        <v>574.55999999999995</v>
      </c>
      <c r="L323" s="18" t="s">
        <v>126</v>
      </c>
      <c r="M323" s="18" t="s">
        <v>140</v>
      </c>
      <c r="N323" s="28">
        <v>45311.826388888891</v>
      </c>
      <c r="O323" s="28">
        <v>45312.841666666667</v>
      </c>
      <c r="P323" s="20"/>
      <c r="Q323" s="18" t="b">
        <f>FALSE()</f>
        <v>0</v>
      </c>
      <c r="R323" s="18" t="b">
        <f>FALSE()</f>
        <v>0</v>
      </c>
      <c r="S323" s="19">
        <f t="shared" si="5"/>
        <v>24.4</v>
      </c>
      <c r="T323">
        <f>COUNTIF('👤 Customers'!$A:$A, B323)</f>
        <v>1</v>
      </c>
      <c r="U323">
        <f>COUNTIF('🚴 Riders'!A322:A382, C323)</f>
        <v>0</v>
      </c>
      <c r="V323">
        <f>COUNTIF('🏭 Facilities'!A322:A330, D323)</f>
        <v>0</v>
      </c>
    </row>
    <row r="324" spans="1:22">
      <c r="A324" s="16" t="s">
        <v>1083</v>
      </c>
      <c r="B324" s="16" t="s">
        <v>728</v>
      </c>
      <c r="C324" s="16" t="s">
        <v>354</v>
      </c>
      <c r="D324" s="16" t="s">
        <v>137</v>
      </c>
      <c r="E324" s="25">
        <v>45473</v>
      </c>
      <c r="F324" s="16" t="s">
        <v>1084</v>
      </c>
      <c r="G324" s="16" t="s">
        <v>145</v>
      </c>
      <c r="H324" s="16">
        <v>7</v>
      </c>
      <c r="I324" s="16">
        <v>299</v>
      </c>
      <c r="J324" s="16">
        <v>10</v>
      </c>
      <c r="K324" s="16">
        <v>1883.7</v>
      </c>
      <c r="L324" s="16" t="s">
        <v>118</v>
      </c>
      <c r="M324" s="16" t="s">
        <v>119</v>
      </c>
      <c r="N324" s="27">
        <v>45473.435416666667</v>
      </c>
      <c r="O324" s="27">
        <v>45474.086805555555</v>
      </c>
      <c r="P324" s="16">
        <v>4.0999999999999996</v>
      </c>
      <c r="Q324" s="16" t="b">
        <f>FALSE()</f>
        <v>0</v>
      </c>
      <c r="R324" s="16" t="b">
        <f>TRUE()</f>
        <v>1</v>
      </c>
      <c r="S324" s="17">
        <f t="shared" si="5"/>
        <v>15.6</v>
      </c>
      <c r="T324">
        <f>COUNTIF('👤 Customers'!$A:$A, B324)</f>
        <v>1</v>
      </c>
      <c r="U324">
        <f>COUNTIF('🚴 Riders'!A323:A383, C324)</f>
        <v>0</v>
      </c>
      <c r="V324">
        <f>COUNTIF('🏭 Facilities'!A323:A331, D324)</f>
        <v>0</v>
      </c>
    </row>
    <row r="325" spans="1:22">
      <c r="A325" s="18" t="s">
        <v>1085</v>
      </c>
      <c r="B325" s="18" t="s">
        <v>695</v>
      </c>
      <c r="C325" s="18" t="s">
        <v>157</v>
      </c>
      <c r="D325" s="18" t="s">
        <v>130</v>
      </c>
      <c r="E325" s="26">
        <v>45414</v>
      </c>
      <c r="F325" s="18" t="s">
        <v>1086</v>
      </c>
      <c r="G325" s="18" t="s">
        <v>125</v>
      </c>
      <c r="H325" s="18">
        <v>3.7</v>
      </c>
      <c r="I325" s="18">
        <v>199</v>
      </c>
      <c r="J325" s="18">
        <v>10</v>
      </c>
      <c r="K325" s="18">
        <v>662.67</v>
      </c>
      <c r="L325" s="18" t="s">
        <v>126</v>
      </c>
      <c r="M325" s="18" t="s">
        <v>133</v>
      </c>
      <c r="N325" s="20"/>
      <c r="O325" s="20"/>
      <c r="P325" s="20"/>
      <c r="Q325" s="18" t="b">
        <f>FALSE()</f>
        <v>0</v>
      </c>
      <c r="R325" s="18" t="b">
        <f>FALSE()</f>
        <v>0</v>
      </c>
      <c r="S325" s="19" t="str">
        <f t="shared" si="5"/>
        <v>N/A</v>
      </c>
      <c r="T325">
        <f>COUNTIF('👤 Customers'!$A:$A, B325)</f>
        <v>1</v>
      </c>
      <c r="U325">
        <f>COUNTIF('🚴 Riders'!A324:A384, C325)</f>
        <v>0</v>
      </c>
      <c r="V325">
        <f>COUNTIF('🏭 Facilities'!A324:A332, D325)</f>
        <v>0</v>
      </c>
    </row>
    <row r="326" spans="1:22">
      <c r="A326" s="16" t="s">
        <v>1087</v>
      </c>
      <c r="B326" s="16" t="s">
        <v>1088</v>
      </c>
      <c r="C326" s="16" t="s">
        <v>122</v>
      </c>
      <c r="D326" s="16" t="s">
        <v>205</v>
      </c>
      <c r="E326" s="25">
        <v>45651</v>
      </c>
      <c r="F326" s="16" t="s">
        <v>1089</v>
      </c>
      <c r="G326" s="16" t="s">
        <v>125</v>
      </c>
      <c r="H326" s="16">
        <v>4.5999999999999996</v>
      </c>
      <c r="I326" s="16">
        <v>199</v>
      </c>
      <c r="J326" s="16">
        <v>20</v>
      </c>
      <c r="K326" s="16">
        <v>732.32</v>
      </c>
      <c r="L326" s="16" t="s">
        <v>118</v>
      </c>
      <c r="M326" s="16" t="s">
        <v>119</v>
      </c>
      <c r="N326" s="27">
        <v>45651.244444444441</v>
      </c>
      <c r="O326" s="27">
        <v>45651.65</v>
      </c>
      <c r="P326" s="16">
        <v>2.9</v>
      </c>
      <c r="Q326" s="16" t="b">
        <f>FALSE()</f>
        <v>0</v>
      </c>
      <c r="R326" s="16" t="b">
        <f>TRUE()</f>
        <v>1</v>
      </c>
      <c r="S326" s="17">
        <f t="shared" si="5"/>
        <v>9.6999999999999993</v>
      </c>
      <c r="T326">
        <f>COUNTIF('👤 Customers'!$A:$A, B326)</f>
        <v>1</v>
      </c>
      <c r="U326">
        <f>COUNTIF('🚴 Riders'!A325:A385, C326)</f>
        <v>0</v>
      </c>
      <c r="V326">
        <f>COUNTIF('🏭 Facilities'!A325:A333, D326)</f>
        <v>0</v>
      </c>
    </row>
    <row r="327" spans="1:22">
      <c r="A327" s="18" t="s">
        <v>1090</v>
      </c>
      <c r="B327" s="18" t="s">
        <v>1091</v>
      </c>
      <c r="C327" s="18" t="s">
        <v>1092</v>
      </c>
      <c r="D327" s="18" t="s">
        <v>130</v>
      </c>
      <c r="E327" s="26">
        <v>45477</v>
      </c>
      <c r="F327" s="18" t="s">
        <v>1093</v>
      </c>
      <c r="G327" s="18" t="s">
        <v>132</v>
      </c>
      <c r="H327" s="18">
        <v>2</v>
      </c>
      <c r="I327" s="18">
        <v>399</v>
      </c>
      <c r="J327" s="18">
        <v>0</v>
      </c>
      <c r="K327" s="18">
        <v>798</v>
      </c>
      <c r="L327" s="18" t="s">
        <v>207</v>
      </c>
      <c r="M327" s="18" t="s">
        <v>133</v>
      </c>
      <c r="N327" s="20"/>
      <c r="O327" s="20"/>
      <c r="P327" s="20"/>
      <c r="Q327" s="18" t="b">
        <f>FALSE()</f>
        <v>0</v>
      </c>
      <c r="R327" s="18" t="b">
        <f>FALSE()</f>
        <v>0</v>
      </c>
      <c r="S327" s="19" t="str">
        <f t="shared" si="5"/>
        <v>N/A</v>
      </c>
      <c r="T327">
        <f>COUNTIF('👤 Customers'!$A:$A, B327)</f>
        <v>1</v>
      </c>
      <c r="U327">
        <f>COUNTIF('🚴 Riders'!A326:A386, C327)</f>
        <v>0</v>
      </c>
      <c r="V327">
        <f>COUNTIF('🏭 Facilities'!A326:A334, D327)</f>
        <v>0</v>
      </c>
    </row>
    <row r="328" spans="1:22">
      <c r="A328" s="16" t="s">
        <v>1094</v>
      </c>
      <c r="B328" s="16" t="s">
        <v>1095</v>
      </c>
      <c r="C328" s="16" t="s">
        <v>166</v>
      </c>
      <c r="D328" s="16" t="s">
        <v>123</v>
      </c>
      <c r="E328" s="25">
        <v>45318</v>
      </c>
      <c r="F328" s="16" t="s">
        <v>1096</v>
      </c>
      <c r="G328" s="16" t="s">
        <v>145</v>
      </c>
      <c r="H328" s="16">
        <v>2.9</v>
      </c>
      <c r="I328" s="16">
        <v>299</v>
      </c>
      <c r="J328" s="16">
        <v>0</v>
      </c>
      <c r="K328" s="16">
        <v>867.1</v>
      </c>
      <c r="L328" s="16" t="s">
        <v>139</v>
      </c>
      <c r="M328" s="16" t="s">
        <v>119</v>
      </c>
      <c r="N328" s="27">
        <v>45318.218055555553</v>
      </c>
      <c r="O328" s="27">
        <v>45318.954861111109</v>
      </c>
      <c r="P328" s="16">
        <v>4.0999999999999996</v>
      </c>
      <c r="Q328" s="16" t="b">
        <f>FALSE()</f>
        <v>0</v>
      </c>
      <c r="R328" s="16" t="b">
        <f>FALSE()</f>
        <v>0</v>
      </c>
      <c r="S328" s="17">
        <f t="shared" si="5"/>
        <v>17.7</v>
      </c>
      <c r="T328">
        <f>COUNTIF('👤 Customers'!$A:$A, B328)</f>
        <v>1</v>
      </c>
      <c r="U328">
        <f>COUNTIF('🚴 Riders'!A327:A387, C328)</f>
        <v>0</v>
      </c>
      <c r="V328">
        <f>COUNTIF('🏭 Facilities'!A327:A335, D328)</f>
        <v>0</v>
      </c>
    </row>
    <row r="329" spans="1:22">
      <c r="A329" s="18" t="s">
        <v>1097</v>
      </c>
      <c r="B329" s="18" t="s">
        <v>1023</v>
      </c>
      <c r="C329" s="18" t="s">
        <v>183</v>
      </c>
      <c r="D329" s="18" t="s">
        <v>197</v>
      </c>
      <c r="E329" s="26">
        <v>45555</v>
      </c>
      <c r="F329" s="18" t="s">
        <v>1098</v>
      </c>
      <c r="G329" s="18" t="s">
        <v>125</v>
      </c>
      <c r="H329" s="18">
        <v>2.2999999999999998</v>
      </c>
      <c r="I329" s="18">
        <v>199</v>
      </c>
      <c r="J329" s="18">
        <v>20</v>
      </c>
      <c r="K329" s="18">
        <v>366.16</v>
      </c>
      <c r="L329" s="18" t="s">
        <v>207</v>
      </c>
      <c r="M329" s="18" t="s">
        <v>119</v>
      </c>
      <c r="N329" s="28">
        <v>45555.242361111108</v>
      </c>
      <c r="O329" s="28">
        <v>45556.231944444444</v>
      </c>
      <c r="P329" s="18">
        <v>3.2</v>
      </c>
      <c r="Q329" s="18" t="b">
        <f>FALSE()</f>
        <v>0</v>
      </c>
      <c r="R329" s="18" t="b">
        <f>FALSE()</f>
        <v>0</v>
      </c>
      <c r="S329" s="19">
        <f t="shared" si="5"/>
        <v>23.8</v>
      </c>
      <c r="T329">
        <f>COUNTIF('👤 Customers'!$A:$A, B329)</f>
        <v>1</v>
      </c>
      <c r="U329">
        <f>COUNTIF('🚴 Riders'!A328:A388, C329)</f>
        <v>0</v>
      </c>
      <c r="V329">
        <f>COUNTIF('🏭 Facilities'!A328:A336, D329)</f>
        <v>0</v>
      </c>
    </row>
    <row r="330" spans="1:22">
      <c r="A330" s="16" t="s">
        <v>1099</v>
      </c>
      <c r="B330" s="16" t="s">
        <v>522</v>
      </c>
      <c r="C330" s="16" t="s">
        <v>265</v>
      </c>
      <c r="D330" s="16" t="s">
        <v>158</v>
      </c>
      <c r="E330" s="25">
        <v>45606</v>
      </c>
      <c r="F330" s="16" t="s">
        <v>1100</v>
      </c>
      <c r="G330" s="16" t="s">
        <v>132</v>
      </c>
      <c r="H330" s="16">
        <v>4.5999999999999996</v>
      </c>
      <c r="I330" s="16">
        <v>399</v>
      </c>
      <c r="J330" s="16">
        <v>10</v>
      </c>
      <c r="K330" s="16">
        <v>1651.86</v>
      </c>
      <c r="L330" s="16" t="s">
        <v>139</v>
      </c>
      <c r="M330" s="16" t="s">
        <v>119</v>
      </c>
      <c r="N330" s="27">
        <v>45606.708333333336</v>
      </c>
      <c r="O330" s="27">
        <v>45607.589583333334</v>
      </c>
      <c r="P330" s="16">
        <v>4.3</v>
      </c>
      <c r="Q330" s="16" t="b">
        <f>TRUE()</f>
        <v>1</v>
      </c>
      <c r="R330" s="16" t="b">
        <f>TRUE()</f>
        <v>1</v>
      </c>
      <c r="S330" s="17">
        <f t="shared" si="5"/>
        <v>21.1</v>
      </c>
      <c r="T330">
        <f>COUNTIF('👤 Customers'!$A:$A, B330)</f>
        <v>1</v>
      </c>
      <c r="U330">
        <f>COUNTIF('🚴 Riders'!A329:A389, C330)</f>
        <v>0</v>
      </c>
      <c r="V330">
        <f>COUNTIF('🏭 Facilities'!A329:A337, D330)</f>
        <v>0</v>
      </c>
    </row>
    <row r="331" spans="1:22">
      <c r="A331" s="18" t="s">
        <v>1101</v>
      </c>
      <c r="B331" s="18" t="s">
        <v>1102</v>
      </c>
      <c r="C331" s="18" t="s">
        <v>236</v>
      </c>
      <c r="D331" s="18" t="s">
        <v>115</v>
      </c>
      <c r="E331" s="26">
        <v>44944</v>
      </c>
      <c r="F331" s="18" t="s">
        <v>1103</v>
      </c>
      <c r="G331" s="18" t="s">
        <v>132</v>
      </c>
      <c r="H331" s="18">
        <v>6.8</v>
      </c>
      <c r="I331" s="18">
        <v>399</v>
      </c>
      <c r="J331" s="18">
        <v>0</v>
      </c>
      <c r="K331" s="18">
        <v>2713.2</v>
      </c>
      <c r="L331" s="18" t="s">
        <v>139</v>
      </c>
      <c r="M331" s="18" t="s">
        <v>119</v>
      </c>
      <c r="N331" s="28">
        <v>44944.196527777778</v>
      </c>
      <c r="O331" s="28">
        <v>44944.799305555556</v>
      </c>
      <c r="P331" s="18">
        <v>3.3</v>
      </c>
      <c r="Q331" s="18" t="b">
        <f>TRUE()</f>
        <v>1</v>
      </c>
      <c r="R331" s="18" t="b">
        <f>FALSE()</f>
        <v>0</v>
      </c>
      <c r="S331" s="19">
        <f t="shared" si="5"/>
        <v>14.5</v>
      </c>
      <c r="T331">
        <f>COUNTIF('👤 Customers'!$A:$A, B331)</f>
        <v>1</v>
      </c>
      <c r="U331">
        <f>COUNTIF('🚴 Riders'!A330:A390, C331)</f>
        <v>0</v>
      </c>
      <c r="V331">
        <f>COUNTIF('🏭 Facilities'!A330:A338, D331)</f>
        <v>0</v>
      </c>
    </row>
    <row r="332" spans="1:22">
      <c r="A332" s="16" t="s">
        <v>1104</v>
      </c>
      <c r="B332" s="16" t="s">
        <v>1105</v>
      </c>
      <c r="C332" s="16" t="s">
        <v>315</v>
      </c>
      <c r="D332" s="16" t="s">
        <v>137</v>
      </c>
      <c r="E332" s="25">
        <v>45060</v>
      </c>
      <c r="F332" s="16" t="s">
        <v>1106</v>
      </c>
      <c r="G332" s="16" t="s">
        <v>117</v>
      </c>
      <c r="H332" s="16">
        <v>2.6</v>
      </c>
      <c r="I332" s="16">
        <v>149</v>
      </c>
      <c r="J332" s="16">
        <v>0</v>
      </c>
      <c r="K332" s="16">
        <v>387.4</v>
      </c>
      <c r="L332" s="16" t="s">
        <v>146</v>
      </c>
      <c r="M332" s="16" t="s">
        <v>119</v>
      </c>
      <c r="N332" s="27">
        <v>45060.525000000001</v>
      </c>
      <c r="O332" s="27">
        <v>45060.881249999999</v>
      </c>
      <c r="P332" s="16">
        <v>3.2</v>
      </c>
      <c r="Q332" s="16" t="b">
        <f>FALSE()</f>
        <v>0</v>
      </c>
      <c r="R332" s="16" t="b">
        <f>FALSE()</f>
        <v>0</v>
      </c>
      <c r="S332" s="17">
        <f t="shared" si="5"/>
        <v>8.5</v>
      </c>
      <c r="T332">
        <f>COUNTIF('👤 Customers'!$A:$A, B332)</f>
        <v>1</v>
      </c>
      <c r="U332">
        <f>COUNTIF('🚴 Riders'!A331:A391, C332)</f>
        <v>0</v>
      </c>
      <c r="V332">
        <f>COUNTIF('🏭 Facilities'!A331:A339, D332)</f>
        <v>0</v>
      </c>
    </row>
    <row r="333" spans="1:22">
      <c r="A333" s="18" t="s">
        <v>1107</v>
      </c>
      <c r="B333" s="18" t="s">
        <v>1108</v>
      </c>
      <c r="C333" s="18" t="s">
        <v>136</v>
      </c>
      <c r="D333" s="18" t="s">
        <v>184</v>
      </c>
      <c r="E333" s="26">
        <v>45465</v>
      </c>
      <c r="F333" s="18" t="s">
        <v>1109</v>
      </c>
      <c r="G333" s="18" t="s">
        <v>132</v>
      </c>
      <c r="H333" s="18">
        <v>2.1</v>
      </c>
      <c r="I333" s="18">
        <v>399</v>
      </c>
      <c r="J333" s="18">
        <v>0</v>
      </c>
      <c r="K333" s="18">
        <v>837.9</v>
      </c>
      <c r="L333" s="18" t="s">
        <v>118</v>
      </c>
      <c r="M333" s="18" t="s">
        <v>119</v>
      </c>
      <c r="N333" s="28">
        <v>45465.263888888891</v>
      </c>
      <c r="O333" s="28">
        <v>45465.917361111111</v>
      </c>
      <c r="P333" s="18">
        <v>4.9000000000000004</v>
      </c>
      <c r="Q333" s="18" t="b">
        <f>TRUE()</f>
        <v>1</v>
      </c>
      <c r="R333" s="18" t="b">
        <f>FALSE()</f>
        <v>0</v>
      </c>
      <c r="S333" s="19">
        <f t="shared" si="5"/>
        <v>15.7</v>
      </c>
      <c r="T333">
        <f>COUNTIF('👤 Customers'!$A:$A, B333)</f>
        <v>1</v>
      </c>
      <c r="U333">
        <f>COUNTIF('🚴 Riders'!A332:A392, C333)</f>
        <v>0</v>
      </c>
      <c r="V333">
        <f>COUNTIF('🏭 Facilities'!A332:A340, D333)</f>
        <v>0</v>
      </c>
    </row>
    <row r="334" spans="1:22">
      <c r="A334" s="16" t="s">
        <v>1110</v>
      </c>
      <c r="B334" s="16" t="s">
        <v>1111</v>
      </c>
      <c r="C334" s="16" t="s">
        <v>114</v>
      </c>
      <c r="D334" s="16" t="s">
        <v>137</v>
      </c>
      <c r="E334" s="25">
        <v>45053</v>
      </c>
      <c r="F334" s="16" t="s">
        <v>1112</v>
      </c>
      <c r="G334" s="16" t="s">
        <v>176</v>
      </c>
      <c r="H334" s="16">
        <v>3.1</v>
      </c>
      <c r="I334" s="16">
        <v>599</v>
      </c>
      <c r="J334" s="16">
        <v>20</v>
      </c>
      <c r="K334" s="16">
        <v>1485.52</v>
      </c>
      <c r="L334" s="16" t="s">
        <v>126</v>
      </c>
      <c r="M334" s="16" t="s">
        <v>119</v>
      </c>
      <c r="N334" s="27">
        <v>45053.449305555558</v>
      </c>
      <c r="O334" s="27">
        <v>45054.396527777775</v>
      </c>
      <c r="P334" s="16">
        <v>4.9000000000000004</v>
      </c>
      <c r="Q334" s="16" t="b">
        <f>FALSE()</f>
        <v>0</v>
      </c>
      <c r="R334" s="16" t="b">
        <f>FALSE()</f>
        <v>0</v>
      </c>
      <c r="S334" s="17">
        <f t="shared" si="5"/>
        <v>22.7</v>
      </c>
      <c r="T334">
        <f>COUNTIF('👤 Customers'!$A:$A, B334)</f>
        <v>1</v>
      </c>
      <c r="U334">
        <f>COUNTIF('🚴 Riders'!A333:A393, C334)</f>
        <v>0</v>
      </c>
      <c r="V334">
        <f>COUNTIF('🏭 Facilities'!A333:A341, D334)</f>
        <v>0</v>
      </c>
    </row>
    <row r="335" spans="1:22">
      <c r="A335" s="18" t="s">
        <v>1113</v>
      </c>
      <c r="B335" s="18" t="s">
        <v>935</v>
      </c>
      <c r="C335" s="18" t="s">
        <v>717</v>
      </c>
      <c r="D335" s="18" t="s">
        <v>205</v>
      </c>
      <c r="E335" s="26">
        <v>45429</v>
      </c>
      <c r="F335" s="18" t="s">
        <v>1114</v>
      </c>
      <c r="G335" s="18" t="s">
        <v>117</v>
      </c>
      <c r="H335" s="18">
        <v>4.3</v>
      </c>
      <c r="I335" s="18">
        <v>149</v>
      </c>
      <c r="J335" s="18">
        <v>0</v>
      </c>
      <c r="K335" s="18">
        <v>640.70000000000005</v>
      </c>
      <c r="L335" s="18" t="s">
        <v>126</v>
      </c>
      <c r="M335" s="18" t="s">
        <v>133</v>
      </c>
      <c r="N335" s="20"/>
      <c r="O335" s="20"/>
      <c r="P335" s="20"/>
      <c r="Q335" s="18" t="b">
        <f>FALSE()</f>
        <v>0</v>
      </c>
      <c r="R335" s="18" t="b">
        <f>FALSE()</f>
        <v>0</v>
      </c>
      <c r="S335" s="19" t="str">
        <f t="shared" si="5"/>
        <v>N/A</v>
      </c>
      <c r="T335">
        <f>COUNTIF('👤 Customers'!$A:$A, B335)</f>
        <v>1</v>
      </c>
      <c r="U335">
        <f>COUNTIF('🚴 Riders'!A334:A394, C335)</f>
        <v>0</v>
      </c>
      <c r="V335">
        <f>COUNTIF('🏭 Facilities'!A334:A342, D335)</f>
        <v>0</v>
      </c>
    </row>
    <row r="336" spans="1:22">
      <c r="A336" s="16" t="s">
        <v>1115</v>
      </c>
      <c r="B336" s="16" t="s">
        <v>938</v>
      </c>
      <c r="C336" s="16" t="s">
        <v>287</v>
      </c>
      <c r="D336" s="16" t="s">
        <v>130</v>
      </c>
      <c r="E336" s="25">
        <v>45035</v>
      </c>
      <c r="F336" s="16" t="s">
        <v>1116</v>
      </c>
      <c r="G336" s="16" t="s">
        <v>176</v>
      </c>
      <c r="H336" s="16">
        <v>1.8</v>
      </c>
      <c r="I336" s="16">
        <v>599</v>
      </c>
      <c r="J336" s="16">
        <v>0</v>
      </c>
      <c r="K336" s="16">
        <v>1078.2</v>
      </c>
      <c r="L336" s="16" t="s">
        <v>146</v>
      </c>
      <c r="M336" s="16" t="s">
        <v>133</v>
      </c>
      <c r="N336" s="20"/>
      <c r="O336" s="20"/>
      <c r="P336" s="20"/>
      <c r="Q336" s="16" t="b">
        <f>FALSE()</f>
        <v>0</v>
      </c>
      <c r="R336" s="16" t="b">
        <f>FALSE()</f>
        <v>0</v>
      </c>
      <c r="S336" s="17" t="str">
        <f t="shared" si="5"/>
        <v>N/A</v>
      </c>
      <c r="T336">
        <f>COUNTIF('👤 Customers'!$A:$A, B336)</f>
        <v>1</v>
      </c>
      <c r="U336">
        <f>COUNTIF('🚴 Riders'!A335:A395, C336)</f>
        <v>0</v>
      </c>
      <c r="V336">
        <f>COUNTIF('🏭 Facilities'!A335:A343, D336)</f>
        <v>0</v>
      </c>
    </row>
    <row r="337" spans="1:22">
      <c r="A337" s="18" t="s">
        <v>1117</v>
      </c>
      <c r="B337" s="18" t="s">
        <v>482</v>
      </c>
      <c r="C337" s="18" t="s">
        <v>232</v>
      </c>
      <c r="D337" s="18" t="s">
        <v>115</v>
      </c>
      <c r="E337" s="26">
        <v>45522</v>
      </c>
      <c r="F337" s="18" t="s">
        <v>1118</v>
      </c>
      <c r="G337" s="18" t="s">
        <v>117</v>
      </c>
      <c r="H337" s="18">
        <v>2.4</v>
      </c>
      <c r="I337" s="18">
        <v>149</v>
      </c>
      <c r="J337" s="18">
        <v>0</v>
      </c>
      <c r="K337" s="18">
        <v>357.6</v>
      </c>
      <c r="L337" s="18" t="s">
        <v>118</v>
      </c>
      <c r="M337" s="18" t="s">
        <v>119</v>
      </c>
      <c r="N337" s="28">
        <v>45522.939583333333</v>
      </c>
      <c r="O337" s="28">
        <v>45524.030555555553</v>
      </c>
      <c r="P337" s="18">
        <v>4</v>
      </c>
      <c r="Q337" s="18" t="b">
        <f>FALSE()</f>
        <v>0</v>
      </c>
      <c r="R337" s="18" t="b">
        <f>TRUE()</f>
        <v>1</v>
      </c>
      <c r="S337" s="19">
        <f t="shared" si="5"/>
        <v>26.2</v>
      </c>
      <c r="T337">
        <f>COUNTIF('👤 Customers'!$A:$A, B337)</f>
        <v>1</v>
      </c>
      <c r="U337">
        <f>COUNTIF('🚴 Riders'!A336:A396, C337)</f>
        <v>0</v>
      </c>
      <c r="V337">
        <f>COUNTIF('🏭 Facilities'!A336:A344, D337)</f>
        <v>0</v>
      </c>
    </row>
    <row r="338" spans="1:22">
      <c r="A338" s="16" t="s">
        <v>1119</v>
      </c>
      <c r="B338" s="16" t="s">
        <v>1120</v>
      </c>
      <c r="C338" s="16" t="s">
        <v>261</v>
      </c>
      <c r="D338" s="16" t="s">
        <v>115</v>
      </c>
      <c r="E338" s="25">
        <v>45444</v>
      </c>
      <c r="F338" s="16" t="s">
        <v>1121</v>
      </c>
      <c r="G338" s="16" t="s">
        <v>117</v>
      </c>
      <c r="H338" s="16">
        <v>3.8</v>
      </c>
      <c r="I338" s="16">
        <v>149</v>
      </c>
      <c r="J338" s="16">
        <v>10</v>
      </c>
      <c r="K338" s="16">
        <v>509.58</v>
      </c>
      <c r="L338" s="16" t="s">
        <v>146</v>
      </c>
      <c r="M338" s="16" t="s">
        <v>119</v>
      </c>
      <c r="N338" s="27">
        <v>45444.967361111114</v>
      </c>
      <c r="O338" s="27">
        <v>45445.5625</v>
      </c>
      <c r="P338" s="16">
        <v>2.7</v>
      </c>
      <c r="Q338" s="16" t="b">
        <f>FALSE()</f>
        <v>0</v>
      </c>
      <c r="R338" s="16" t="b">
        <f>FALSE()</f>
        <v>0</v>
      </c>
      <c r="S338" s="17">
        <f t="shared" si="5"/>
        <v>14.3</v>
      </c>
      <c r="T338">
        <f>COUNTIF('👤 Customers'!$A:$A, B338)</f>
        <v>1</v>
      </c>
      <c r="U338">
        <f>COUNTIF('🚴 Riders'!A337:A397, C338)</f>
        <v>0</v>
      </c>
      <c r="V338">
        <f>COUNTIF('🏭 Facilities'!A337:A345, D338)</f>
        <v>0</v>
      </c>
    </row>
    <row r="339" spans="1:22">
      <c r="A339" s="18" t="s">
        <v>1122</v>
      </c>
      <c r="B339" s="18" t="s">
        <v>203</v>
      </c>
      <c r="C339" s="18" t="s">
        <v>300</v>
      </c>
      <c r="D339" s="18" t="s">
        <v>137</v>
      </c>
      <c r="E339" s="26">
        <v>45249</v>
      </c>
      <c r="F339" s="18" t="s">
        <v>1123</v>
      </c>
      <c r="G339" s="18" t="s">
        <v>145</v>
      </c>
      <c r="H339" s="18">
        <v>3</v>
      </c>
      <c r="I339" s="18">
        <v>299</v>
      </c>
      <c r="J339" s="18">
        <v>20</v>
      </c>
      <c r="K339" s="18">
        <v>717.6</v>
      </c>
      <c r="L339" s="18" t="s">
        <v>207</v>
      </c>
      <c r="M339" s="18" t="s">
        <v>119</v>
      </c>
      <c r="N339" s="28">
        <v>45249.94027777778</v>
      </c>
      <c r="O339" s="28">
        <v>45250.612500000003</v>
      </c>
      <c r="P339" s="18">
        <v>3.3</v>
      </c>
      <c r="Q339" s="18" t="b">
        <f>FALSE()</f>
        <v>0</v>
      </c>
      <c r="R339" s="18" t="b">
        <f>FALSE()</f>
        <v>0</v>
      </c>
      <c r="S339" s="19">
        <f t="shared" si="5"/>
        <v>16.100000000000001</v>
      </c>
      <c r="T339">
        <f>COUNTIF('👤 Customers'!$A:$A, B339)</f>
        <v>1</v>
      </c>
      <c r="U339">
        <f>COUNTIF('🚴 Riders'!A338:A398, C339)</f>
        <v>0</v>
      </c>
      <c r="V339">
        <f>COUNTIF('🏭 Facilities'!A338:A346, D339)</f>
        <v>0</v>
      </c>
    </row>
    <row r="340" spans="1:22">
      <c r="A340" s="16" t="s">
        <v>1124</v>
      </c>
      <c r="B340" s="16" t="s">
        <v>1125</v>
      </c>
      <c r="C340" s="16" t="s">
        <v>536</v>
      </c>
      <c r="D340" s="16" t="s">
        <v>115</v>
      </c>
      <c r="E340" s="25">
        <v>45187</v>
      </c>
      <c r="F340" s="16" t="s">
        <v>1126</v>
      </c>
      <c r="G340" s="16" t="s">
        <v>125</v>
      </c>
      <c r="H340" s="16">
        <v>7.5</v>
      </c>
      <c r="I340" s="16">
        <v>199</v>
      </c>
      <c r="J340" s="16">
        <v>0</v>
      </c>
      <c r="K340" s="16">
        <v>1492.5</v>
      </c>
      <c r="L340" s="16" t="s">
        <v>146</v>
      </c>
      <c r="M340" s="16" t="s">
        <v>119</v>
      </c>
      <c r="N340" s="27">
        <v>45187.559027777781</v>
      </c>
      <c r="O340" s="27">
        <v>45188.234027777777</v>
      </c>
      <c r="P340" s="16">
        <v>4.4000000000000004</v>
      </c>
      <c r="Q340" s="16" t="b">
        <f>TRUE()</f>
        <v>1</v>
      </c>
      <c r="R340" s="16" t="b">
        <f>TRUE()</f>
        <v>1</v>
      </c>
      <c r="S340" s="17">
        <f t="shared" si="5"/>
        <v>16.2</v>
      </c>
      <c r="T340">
        <f>COUNTIF('👤 Customers'!$A:$A, B340)</f>
        <v>1</v>
      </c>
      <c r="U340">
        <f>COUNTIF('🚴 Riders'!A339:A399, C340)</f>
        <v>0</v>
      </c>
      <c r="V340">
        <f>COUNTIF('🏭 Facilities'!A339:A347, D340)</f>
        <v>0</v>
      </c>
    </row>
    <row r="341" spans="1:22">
      <c r="A341" s="18" t="s">
        <v>1127</v>
      </c>
      <c r="B341" s="18" t="s">
        <v>903</v>
      </c>
      <c r="C341" s="18" t="s">
        <v>192</v>
      </c>
      <c r="D341" s="18" t="s">
        <v>184</v>
      </c>
      <c r="E341" s="26">
        <v>45223</v>
      </c>
      <c r="F341" s="18" t="s">
        <v>1128</v>
      </c>
      <c r="G341" s="18" t="s">
        <v>117</v>
      </c>
      <c r="H341" s="18">
        <v>4.9000000000000004</v>
      </c>
      <c r="I341" s="18">
        <v>149</v>
      </c>
      <c r="J341" s="18">
        <v>0</v>
      </c>
      <c r="K341" s="18">
        <v>730.1</v>
      </c>
      <c r="L341" s="18" t="s">
        <v>126</v>
      </c>
      <c r="M341" s="18" t="s">
        <v>119</v>
      </c>
      <c r="N341" s="28">
        <v>45223.671527777777</v>
      </c>
      <c r="O341" s="28">
        <v>45224.237500000003</v>
      </c>
      <c r="P341" s="18">
        <v>2.9</v>
      </c>
      <c r="Q341" s="18" t="b">
        <f>FALSE()</f>
        <v>0</v>
      </c>
      <c r="R341" s="18" t="b">
        <f>FALSE()</f>
        <v>0</v>
      </c>
      <c r="S341" s="19">
        <f t="shared" si="5"/>
        <v>13.6</v>
      </c>
      <c r="T341">
        <f>COUNTIF('👤 Customers'!$A:$A, B341)</f>
        <v>1</v>
      </c>
      <c r="U341">
        <f>COUNTIF('🚴 Riders'!A340:A400, C341)</f>
        <v>0</v>
      </c>
      <c r="V341">
        <f>COUNTIF('🏭 Facilities'!A340:A348, D341)</f>
        <v>0</v>
      </c>
    </row>
    <row r="342" spans="1:22">
      <c r="A342" s="16" t="s">
        <v>1129</v>
      </c>
      <c r="B342" s="16" t="s">
        <v>1130</v>
      </c>
      <c r="C342" s="16" t="s">
        <v>308</v>
      </c>
      <c r="D342" s="16" t="s">
        <v>197</v>
      </c>
      <c r="E342" s="25">
        <v>45421</v>
      </c>
      <c r="F342" s="16" t="s">
        <v>1131</v>
      </c>
      <c r="G342" s="16" t="s">
        <v>145</v>
      </c>
      <c r="H342" s="16">
        <v>1.9</v>
      </c>
      <c r="I342" s="16">
        <v>299</v>
      </c>
      <c r="J342" s="16">
        <v>10</v>
      </c>
      <c r="K342" s="16">
        <v>511.29</v>
      </c>
      <c r="L342" s="16" t="s">
        <v>118</v>
      </c>
      <c r="M342" s="16" t="s">
        <v>119</v>
      </c>
      <c r="N342" s="27">
        <v>45421.512499999997</v>
      </c>
      <c r="O342" s="27">
        <v>45422.230555555558</v>
      </c>
      <c r="P342" s="16">
        <v>3.7</v>
      </c>
      <c r="Q342" s="16" t="b">
        <f>FALSE()</f>
        <v>0</v>
      </c>
      <c r="R342" s="16" t="b">
        <f>FALSE()</f>
        <v>0</v>
      </c>
      <c r="S342" s="17">
        <f t="shared" si="5"/>
        <v>17.2</v>
      </c>
      <c r="T342">
        <f>COUNTIF('👤 Customers'!$A:$A, B342)</f>
        <v>1</v>
      </c>
      <c r="U342">
        <f>COUNTIF('🚴 Riders'!A341:A401, C342)</f>
        <v>0</v>
      </c>
      <c r="V342">
        <f>COUNTIF('🏭 Facilities'!A341:A349, D342)</f>
        <v>0</v>
      </c>
    </row>
    <row r="343" spans="1:22">
      <c r="A343" s="18" t="s">
        <v>1132</v>
      </c>
      <c r="B343" s="18" t="s">
        <v>806</v>
      </c>
      <c r="C343" s="18" t="s">
        <v>358</v>
      </c>
      <c r="D343" s="18" t="s">
        <v>184</v>
      </c>
      <c r="E343" s="26">
        <v>45207</v>
      </c>
      <c r="F343" s="18" t="s">
        <v>1133</v>
      </c>
      <c r="G343" s="18" t="s">
        <v>176</v>
      </c>
      <c r="H343" s="18">
        <v>4.4000000000000004</v>
      </c>
      <c r="I343" s="18">
        <v>599</v>
      </c>
      <c r="J343" s="18">
        <v>0</v>
      </c>
      <c r="K343" s="18">
        <v>2635.6</v>
      </c>
      <c r="L343" s="18" t="s">
        <v>118</v>
      </c>
      <c r="M343" s="18" t="s">
        <v>119</v>
      </c>
      <c r="N343" s="28">
        <v>45208.099305555559</v>
      </c>
      <c r="O343" s="28">
        <v>45208.805555555555</v>
      </c>
      <c r="P343" s="18">
        <v>2.9</v>
      </c>
      <c r="Q343" s="18" t="b">
        <f>TRUE()</f>
        <v>1</v>
      </c>
      <c r="R343" s="18" t="b">
        <f>FALSE()</f>
        <v>0</v>
      </c>
      <c r="S343" s="19">
        <f t="shared" si="5"/>
        <v>16.899999999999999</v>
      </c>
      <c r="T343">
        <f>COUNTIF('👤 Customers'!$A:$A, B343)</f>
        <v>1</v>
      </c>
      <c r="U343">
        <f>COUNTIF('🚴 Riders'!A342:A402, C343)</f>
        <v>0</v>
      </c>
      <c r="V343">
        <f>COUNTIF('🏭 Facilities'!A342:A350, D343)</f>
        <v>0</v>
      </c>
    </row>
    <row r="344" spans="1:22">
      <c r="A344" s="16" t="s">
        <v>1134</v>
      </c>
      <c r="B344" s="16" t="s">
        <v>121</v>
      </c>
      <c r="C344" s="16" t="s">
        <v>413</v>
      </c>
      <c r="D344" s="16" t="s">
        <v>197</v>
      </c>
      <c r="E344" s="25">
        <v>45609</v>
      </c>
      <c r="F344" s="16" t="s">
        <v>1135</v>
      </c>
      <c r="G344" s="16" t="s">
        <v>132</v>
      </c>
      <c r="H344" s="16">
        <v>3.5</v>
      </c>
      <c r="I344" s="16">
        <v>399</v>
      </c>
      <c r="J344" s="16">
        <v>0</v>
      </c>
      <c r="K344" s="16">
        <v>1396.5</v>
      </c>
      <c r="L344" s="16" t="s">
        <v>146</v>
      </c>
      <c r="M344" s="16" t="s">
        <v>119</v>
      </c>
      <c r="N344" s="27">
        <v>45609.290972222225</v>
      </c>
      <c r="O344" s="27">
        <v>45610.296527777777</v>
      </c>
      <c r="P344" s="16">
        <v>3</v>
      </c>
      <c r="Q344" s="16" t="b">
        <f>FALSE()</f>
        <v>0</v>
      </c>
      <c r="R344" s="16" t="b">
        <f>FALSE()</f>
        <v>0</v>
      </c>
      <c r="S344" s="17">
        <f t="shared" si="5"/>
        <v>24.1</v>
      </c>
      <c r="T344">
        <f>COUNTIF('👤 Customers'!$A:$A, B344)</f>
        <v>1</v>
      </c>
      <c r="U344">
        <f>COUNTIF('🚴 Riders'!A343:A403, C344)</f>
        <v>0</v>
      </c>
      <c r="V344">
        <f>COUNTIF('🏭 Facilities'!A343:A351, D344)</f>
        <v>0</v>
      </c>
    </row>
    <row r="345" spans="1:22">
      <c r="A345" s="18" t="s">
        <v>1136</v>
      </c>
      <c r="B345" s="18" t="s">
        <v>1137</v>
      </c>
      <c r="C345" s="18" t="s">
        <v>228</v>
      </c>
      <c r="D345" s="18" t="s">
        <v>205</v>
      </c>
      <c r="E345" s="26">
        <v>45392</v>
      </c>
      <c r="F345" s="18" t="s">
        <v>1138</v>
      </c>
      <c r="G345" s="18" t="s">
        <v>132</v>
      </c>
      <c r="H345" s="18">
        <v>4.8</v>
      </c>
      <c r="I345" s="18">
        <v>399</v>
      </c>
      <c r="J345" s="18">
        <v>20</v>
      </c>
      <c r="K345" s="18">
        <v>1532.16</v>
      </c>
      <c r="L345" s="18" t="s">
        <v>207</v>
      </c>
      <c r="M345" s="18" t="s">
        <v>140</v>
      </c>
      <c r="N345" s="28">
        <v>45392.209722222222</v>
      </c>
      <c r="O345" s="28">
        <v>45392.763194444444</v>
      </c>
      <c r="P345" s="20"/>
      <c r="Q345" s="18" t="b">
        <f>TRUE()</f>
        <v>1</v>
      </c>
      <c r="R345" s="18" t="b">
        <f>FALSE()</f>
        <v>0</v>
      </c>
      <c r="S345" s="19">
        <f t="shared" si="5"/>
        <v>13.3</v>
      </c>
      <c r="T345">
        <f>COUNTIF('👤 Customers'!$A:$A, B345)</f>
        <v>1</v>
      </c>
      <c r="U345">
        <f>COUNTIF('🚴 Riders'!A344:A404, C345)</f>
        <v>0</v>
      </c>
      <c r="V345">
        <f>COUNTIF('🏭 Facilities'!A344:A352, D345)</f>
        <v>0</v>
      </c>
    </row>
    <row r="346" spans="1:22">
      <c r="A346" s="16" t="s">
        <v>1139</v>
      </c>
      <c r="B346" s="16" t="s">
        <v>788</v>
      </c>
      <c r="C346" s="16" t="s">
        <v>272</v>
      </c>
      <c r="D346" s="16" t="s">
        <v>197</v>
      </c>
      <c r="E346" s="25">
        <v>45216</v>
      </c>
      <c r="F346" s="16" t="s">
        <v>1140</v>
      </c>
      <c r="G346" s="16" t="s">
        <v>145</v>
      </c>
      <c r="H346" s="16">
        <v>3.9</v>
      </c>
      <c r="I346" s="16">
        <v>299</v>
      </c>
      <c r="J346" s="16">
        <v>20</v>
      </c>
      <c r="K346" s="16">
        <v>932.88</v>
      </c>
      <c r="L346" s="16" t="s">
        <v>139</v>
      </c>
      <c r="M346" s="16" t="s">
        <v>119</v>
      </c>
      <c r="N346" s="27">
        <v>45216.763888888891</v>
      </c>
      <c r="O346" s="27">
        <v>45217.19027777778</v>
      </c>
      <c r="P346" s="16">
        <v>3.7</v>
      </c>
      <c r="Q346" s="16" t="b">
        <f>TRUE()</f>
        <v>1</v>
      </c>
      <c r="R346" s="16" t="b">
        <f>FALSE()</f>
        <v>0</v>
      </c>
      <c r="S346" s="17">
        <f t="shared" si="5"/>
        <v>10.199999999999999</v>
      </c>
      <c r="T346">
        <f>COUNTIF('👤 Customers'!$A:$A, B346)</f>
        <v>1</v>
      </c>
      <c r="U346">
        <f>COUNTIF('🚴 Riders'!A345:A405, C346)</f>
        <v>0</v>
      </c>
      <c r="V346">
        <f>COUNTIF('🏭 Facilities'!A345:A353, D346)</f>
        <v>0</v>
      </c>
    </row>
    <row r="347" spans="1:22">
      <c r="A347" s="18" t="s">
        <v>1141</v>
      </c>
      <c r="B347" s="18" t="s">
        <v>704</v>
      </c>
      <c r="C347" s="18" t="s">
        <v>196</v>
      </c>
      <c r="D347" s="18" t="s">
        <v>205</v>
      </c>
      <c r="E347" s="26">
        <v>45644</v>
      </c>
      <c r="F347" s="18" t="s">
        <v>1142</v>
      </c>
      <c r="G347" s="18" t="s">
        <v>125</v>
      </c>
      <c r="H347" s="18">
        <v>4.4000000000000004</v>
      </c>
      <c r="I347" s="18">
        <v>199</v>
      </c>
      <c r="J347" s="18">
        <v>0</v>
      </c>
      <c r="K347" s="18">
        <v>875.6</v>
      </c>
      <c r="L347" s="18" t="s">
        <v>207</v>
      </c>
      <c r="M347" s="18" t="s">
        <v>119</v>
      </c>
      <c r="N347" s="28">
        <v>45644.274305555555</v>
      </c>
      <c r="O347" s="28">
        <v>45644.979861111111</v>
      </c>
      <c r="P347" s="18">
        <v>4.3</v>
      </c>
      <c r="Q347" s="18" t="b">
        <f>TRUE()</f>
        <v>1</v>
      </c>
      <c r="R347" s="18" t="b">
        <f>FALSE()</f>
        <v>0</v>
      </c>
      <c r="S347" s="19">
        <f t="shared" si="5"/>
        <v>16.899999999999999</v>
      </c>
      <c r="T347">
        <f>COUNTIF('👤 Customers'!$A:$A, B347)</f>
        <v>1</v>
      </c>
      <c r="U347">
        <f>COUNTIF('🚴 Riders'!A346:A406, C347)</f>
        <v>0</v>
      </c>
      <c r="V347">
        <f>COUNTIF('🏭 Facilities'!A346:A354, D347)</f>
        <v>0</v>
      </c>
    </row>
    <row r="348" spans="1:22">
      <c r="A348" s="16" t="s">
        <v>1143</v>
      </c>
      <c r="B348" s="16" t="s">
        <v>1144</v>
      </c>
      <c r="C348" s="16" t="s">
        <v>224</v>
      </c>
      <c r="D348" s="16" t="s">
        <v>197</v>
      </c>
      <c r="E348" s="25">
        <v>45099</v>
      </c>
      <c r="F348" s="16" t="s">
        <v>1145</v>
      </c>
      <c r="G348" s="16" t="s">
        <v>132</v>
      </c>
      <c r="H348" s="16">
        <v>7</v>
      </c>
      <c r="I348" s="16">
        <v>399</v>
      </c>
      <c r="J348" s="16">
        <v>0</v>
      </c>
      <c r="K348" s="16">
        <v>2793</v>
      </c>
      <c r="L348" s="16" t="s">
        <v>126</v>
      </c>
      <c r="M348" s="16" t="s">
        <v>119</v>
      </c>
      <c r="N348" s="27">
        <v>45099.775694444441</v>
      </c>
      <c r="O348" s="27">
        <v>45100.306250000001</v>
      </c>
      <c r="P348" s="16">
        <v>2.5</v>
      </c>
      <c r="Q348" s="16" t="b">
        <f>FALSE()</f>
        <v>0</v>
      </c>
      <c r="R348" s="16" t="b">
        <f>FALSE()</f>
        <v>0</v>
      </c>
      <c r="S348" s="17">
        <f t="shared" si="5"/>
        <v>12.7</v>
      </c>
      <c r="T348">
        <f>COUNTIF('👤 Customers'!$A:$A, B348)</f>
        <v>1</v>
      </c>
      <c r="U348">
        <f>COUNTIF('🚴 Riders'!A347:A407, C348)</f>
        <v>0</v>
      </c>
      <c r="V348">
        <f>COUNTIF('🏭 Facilities'!A347:A355, D348)</f>
        <v>0</v>
      </c>
    </row>
    <row r="349" spans="1:22">
      <c r="A349" s="18" t="s">
        <v>1146</v>
      </c>
      <c r="B349" s="18" t="s">
        <v>1147</v>
      </c>
      <c r="C349" s="18" t="s">
        <v>261</v>
      </c>
      <c r="D349" s="18" t="s">
        <v>184</v>
      </c>
      <c r="E349" s="26">
        <v>45079</v>
      </c>
      <c r="F349" s="18" t="s">
        <v>1148</v>
      </c>
      <c r="G349" s="18" t="s">
        <v>125</v>
      </c>
      <c r="H349" s="18">
        <v>1.2</v>
      </c>
      <c r="I349" s="18">
        <v>199</v>
      </c>
      <c r="J349" s="18">
        <v>10</v>
      </c>
      <c r="K349" s="18">
        <v>214.92</v>
      </c>
      <c r="L349" s="18" t="s">
        <v>126</v>
      </c>
      <c r="M349" s="18" t="s">
        <v>133</v>
      </c>
      <c r="N349" s="20"/>
      <c r="O349" s="20"/>
      <c r="P349" s="20"/>
      <c r="Q349" s="18" t="b">
        <f>FALSE()</f>
        <v>0</v>
      </c>
      <c r="R349" s="18" t="b">
        <f>FALSE()</f>
        <v>0</v>
      </c>
      <c r="S349" s="19" t="str">
        <f t="shared" si="5"/>
        <v>N/A</v>
      </c>
      <c r="T349">
        <f>COUNTIF('👤 Customers'!$A:$A, B349)</f>
        <v>1</v>
      </c>
      <c r="U349">
        <f>COUNTIF('🚴 Riders'!A348:A408, C349)</f>
        <v>0</v>
      </c>
      <c r="V349">
        <f>COUNTIF('🏭 Facilities'!A348:A356, D349)</f>
        <v>0</v>
      </c>
    </row>
    <row r="350" spans="1:22">
      <c r="A350" s="16" t="s">
        <v>1149</v>
      </c>
      <c r="B350" s="16" t="s">
        <v>1150</v>
      </c>
      <c r="C350" s="16" t="s">
        <v>220</v>
      </c>
      <c r="D350" s="16" t="s">
        <v>205</v>
      </c>
      <c r="E350" s="25">
        <v>45086</v>
      </c>
      <c r="F350" s="16" t="s">
        <v>1151</v>
      </c>
      <c r="G350" s="16" t="s">
        <v>176</v>
      </c>
      <c r="H350" s="16">
        <v>7.3</v>
      </c>
      <c r="I350" s="16">
        <v>599</v>
      </c>
      <c r="J350" s="16">
        <v>0</v>
      </c>
      <c r="K350" s="16">
        <v>4372.7</v>
      </c>
      <c r="L350" s="16" t="s">
        <v>118</v>
      </c>
      <c r="M350" s="16" t="s">
        <v>119</v>
      </c>
      <c r="N350" s="27">
        <v>45086.564583333333</v>
      </c>
      <c r="O350" s="27">
        <v>45087.027777777781</v>
      </c>
      <c r="P350" s="16">
        <v>2.9</v>
      </c>
      <c r="Q350" s="16" t="b">
        <f>FALSE()</f>
        <v>0</v>
      </c>
      <c r="R350" s="16" t="b">
        <f>FALSE()</f>
        <v>0</v>
      </c>
      <c r="S350" s="17">
        <f t="shared" si="5"/>
        <v>11.1</v>
      </c>
      <c r="T350">
        <f>COUNTIF('👤 Customers'!$A:$A, B350)</f>
        <v>1</v>
      </c>
      <c r="U350">
        <f>COUNTIF('🚴 Riders'!A349:A409, C350)</f>
        <v>0</v>
      </c>
      <c r="V350">
        <f>COUNTIF('🏭 Facilities'!A349:A357, D350)</f>
        <v>0</v>
      </c>
    </row>
    <row r="351" spans="1:22">
      <c r="A351" s="18" t="s">
        <v>1152</v>
      </c>
      <c r="B351" s="18" t="s">
        <v>135</v>
      </c>
      <c r="C351" s="18" t="s">
        <v>413</v>
      </c>
      <c r="D351" s="18" t="s">
        <v>137</v>
      </c>
      <c r="E351" s="26">
        <v>45114</v>
      </c>
      <c r="F351" s="18" t="s">
        <v>1153</v>
      </c>
      <c r="G351" s="18" t="s">
        <v>176</v>
      </c>
      <c r="H351" s="18">
        <v>5</v>
      </c>
      <c r="I351" s="18">
        <v>599</v>
      </c>
      <c r="J351" s="18">
        <v>0</v>
      </c>
      <c r="K351" s="18">
        <v>2995</v>
      </c>
      <c r="L351" s="18" t="s">
        <v>146</v>
      </c>
      <c r="M351" s="18" t="s">
        <v>133</v>
      </c>
      <c r="N351" s="20"/>
      <c r="O351" s="20"/>
      <c r="P351" s="20"/>
      <c r="Q351" s="18" t="b">
        <f>TRUE()</f>
        <v>1</v>
      </c>
      <c r="R351" s="18" t="b">
        <f>FALSE()</f>
        <v>0</v>
      </c>
      <c r="S351" s="19" t="str">
        <f t="shared" si="5"/>
        <v>N/A</v>
      </c>
      <c r="T351">
        <f>COUNTIF('👤 Customers'!$A:$A, B351)</f>
        <v>1</v>
      </c>
      <c r="U351">
        <f>COUNTIF('🚴 Riders'!A350:A410, C351)</f>
        <v>0</v>
      </c>
      <c r="V351">
        <f>COUNTIF('🏭 Facilities'!A350:A358, D351)</f>
        <v>0</v>
      </c>
    </row>
    <row r="352" spans="1:22">
      <c r="A352" s="16" t="s">
        <v>1154</v>
      </c>
      <c r="B352" s="16" t="s">
        <v>1155</v>
      </c>
      <c r="C352" s="16" t="s">
        <v>228</v>
      </c>
      <c r="D352" s="16" t="s">
        <v>137</v>
      </c>
      <c r="E352" s="25">
        <v>45644</v>
      </c>
      <c r="F352" s="16" t="s">
        <v>1156</v>
      </c>
      <c r="G352" s="16" t="s">
        <v>132</v>
      </c>
      <c r="H352" s="16">
        <v>7.4</v>
      </c>
      <c r="I352" s="16">
        <v>399</v>
      </c>
      <c r="J352" s="16">
        <v>20</v>
      </c>
      <c r="K352" s="16">
        <v>2362.08</v>
      </c>
      <c r="L352" s="16" t="s">
        <v>118</v>
      </c>
      <c r="M352" s="16" t="s">
        <v>119</v>
      </c>
      <c r="N352" s="27">
        <v>45644.946527777778</v>
      </c>
      <c r="O352" s="27">
        <v>45645.716666666667</v>
      </c>
      <c r="P352" s="16">
        <v>5</v>
      </c>
      <c r="Q352" s="16" t="b">
        <f>FALSE()</f>
        <v>0</v>
      </c>
      <c r="R352" s="16" t="b">
        <f>FALSE()</f>
        <v>0</v>
      </c>
      <c r="S352" s="17">
        <f t="shared" si="5"/>
        <v>18.5</v>
      </c>
      <c r="T352">
        <f>COUNTIF('👤 Customers'!$A:$A, B352)</f>
        <v>1</v>
      </c>
      <c r="U352">
        <f>COUNTIF('🚴 Riders'!A351:A411, C352)</f>
        <v>0</v>
      </c>
      <c r="V352">
        <f>COUNTIF('🏭 Facilities'!A351:A359, D352)</f>
        <v>0</v>
      </c>
    </row>
    <row r="353" spans="1:22">
      <c r="A353" s="18" t="s">
        <v>1157</v>
      </c>
      <c r="B353" s="18" t="s">
        <v>728</v>
      </c>
      <c r="C353" s="18" t="s">
        <v>413</v>
      </c>
      <c r="D353" s="18" t="s">
        <v>184</v>
      </c>
      <c r="E353" s="26">
        <v>45243</v>
      </c>
      <c r="F353" s="18" t="s">
        <v>1158</v>
      </c>
      <c r="G353" s="18" t="s">
        <v>125</v>
      </c>
      <c r="H353" s="18">
        <v>6.3</v>
      </c>
      <c r="I353" s="18">
        <v>199</v>
      </c>
      <c r="J353" s="18">
        <v>0</v>
      </c>
      <c r="K353" s="18">
        <v>1253.7</v>
      </c>
      <c r="L353" s="18" t="s">
        <v>126</v>
      </c>
      <c r="M353" s="18" t="s">
        <v>119</v>
      </c>
      <c r="N353" s="28">
        <v>45243.611805555556</v>
      </c>
      <c r="O353" s="28">
        <v>45244.068749999999</v>
      </c>
      <c r="P353" s="18">
        <v>3.3</v>
      </c>
      <c r="Q353" s="18" t="b">
        <f>TRUE()</f>
        <v>1</v>
      </c>
      <c r="R353" s="18" t="b">
        <f>FALSE()</f>
        <v>0</v>
      </c>
      <c r="S353" s="19">
        <f t="shared" si="5"/>
        <v>11</v>
      </c>
      <c r="T353">
        <f>COUNTIF('👤 Customers'!$A:$A, B353)</f>
        <v>1</v>
      </c>
      <c r="U353">
        <f>COUNTIF('🚴 Riders'!A352:A412, C353)</f>
        <v>0</v>
      </c>
      <c r="V353">
        <f>COUNTIF('🏭 Facilities'!A352:A360, D353)</f>
        <v>0</v>
      </c>
    </row>
    <row r="354" spans="1:22">
      <c r="A354" s="16" t="s">
        <v>1159</v>
      </c>
      <c r="B354" s="16" t="s">
        <v>788</v>
      </c>
      <c r="C354" s="16" t="s">
        <v>350</v>
      </c>
      <c r="D354" s="16" t="s">
        <v>197</v>
      </c>
      <c r="E354" s="25">
        <v>45393</v>
      </c>
      <c r="F354" s="16" t="s">
        <v>1160</v>
      </c>
      <c r="G354" s="16" t="s">
        <v>117</v>
      </c>
      <c r="H354" s="16">
        <v>5.8</v>
      </c>
      <c r="I354" s="16">
        <v>149</v>
      </c>
      <c r="J354" s="16">
        <v>20</v>
      </c>
      <c r="K354" s="16">
        <v>691.36</v>
      </c>
      <c r="L354" s="16" t="s">
        <v>139</v>
      </c>
      <c r="M354" s="16" t="s">
        <v>119</v>
      </c>
      <c r="N354" s="27">
        <v>45393.4375</v>
      </c>
      <c r="O354" s="27">
        <v>45394.018750000003</v>
      </c>
      <c r="P354" s="16">
        <v>4.8</v>
      </c>
      <c r="Q354" s="16" t="b">
        <f>FALSE()</f>
        <v>0</v>
      </c>
      <c r="R354" s="16" t="b">
        <f>TRUE()</f>
        <v>1</v>
      </c>
      <c r="S354" s="17">
        <f t="shared" si="5"/>
        <v>14</v>
      </c>
      <c r="T354">
        <f>COUNTIF('👤 Customers'!$A:$A, B354)</f>
        <v>1</v>
      </c>
      <c r="U354">
        <f>COUNTIF('🚴 Riders'!A353:A413, C354)</f>
        <v>0</v>
      </c>
      <c r="V354">
        <f>COUNTIF('🏭 Facilities'!A353:A361, D354)</f>
        <v>0</v>
      </c>
    </row>
    <row r="355" spans="1:22">
      <c r="A355" s="18" t="s">
        <v>1161</v>
      </c>
      <c r="B355" s="18" t="s">
        <v>1162</v>
      </c>
      <c r="C355" s="18" t="s">
        <v>224</v>
      </c>
      <c r="D355" s="18" t="s">
        <v>197</v>
      </c>
      <c r="E355" s="26">
        <v>45450</v>
      </c>
      <c r="F355" s="18" t="s">
        <v>1163</v>
      </c>
      <c r="G355" s="18" t="s">
        <v>145</v>
      </c>
      <c r="H355" s="18">
        <v>5.7</v>
      </c>
      <c r="I355" s="18">
        <v>299</v>
      </c>
      <c r="J355" s="18">
        <v>0</v>
      </c>
      <c r="K355" s="18">
        <v>1704.3</v>
      </c>
      <c r="L355" s="18" t="s">
        <v>207</v>
      </c>
      <c r="M355" s="18" t="s">
        <v>133</v>
      </c>
      <c r="N355" s="20"/>
      <c r="O355" s="20"/>
      <c r="P355" s="20"/>
      <c r="Q355" s="18" t="b">
        <f>TRUE()</f>
        <v>1</v>
      </c>
      <c r="R355" s="18" t="b">
        <f>FALSE()</f>
        <v>0</v>
      </c>
      <c r="S355" s="19" t="str">
        <f t="shared" si="5"/>
        <v>N/A</v>
      </c>
      <c r="T355">
        <f>COUNTIF('👤 Customers'!$A:$A, B355)</f>
        <v>1</v>
      </c>
      <c r="U355">
        <f>COUNTIF('🚴 Riders'!A354:A414, C355)</f>
        <v>0</v>
      </c>
      <c r="V355">
        <f>COUNTIF('🏭 Facilities'!A354:A362, D355)</f>
        <v>0</v>
      </c>
    </row>
    <row r="356" spans="1:22">
      <c r="A356" s="16" t="s">
        <v>1164</v>
      </c>
      <c r="B356" s="16" t="s">
        <v>1165</v>
      </c>
      <c r="C356" s="16" t="s">
        <v>166</v>
      </c>
      <c r="D356" s="16" t="s">
        <v>123</v>
      </c>
      <c r="E356" s="25">
        <v>45190</v>
      </c>
      <c r="F356" s="16" t="s">
        <v>1166</v>
      </c>
      <c r="G356" s="16" t="s">
        <v>132</v>
      </c>
      <c r="H356" s="16">
        <v>5.2</v>
      </c>
      <c r="I356" s="16">
        <v>399</v>
      </c>
      <c r="J356" s="16">
        <v>30</v>
      </c>
      <c r="K356" s="16">
        <v>1452.36</v>
      </c>
      <c r="L356" s="16" t="s">
        <v>139</v>
      </c>
      <c r="M356" s="16" t="s">
        <v>119</v>
      </c>
      <c r="N356" s="27">
        <v>45190.07708333333</v>
      </c>
      <c r="O356" s="27">
        <v>45190.729166666664</v>
      </c>
      <c r="P356" s="16">
        <v>3.4</v>
      </c>
      <c r="Q356" s="16" t="b">
        <f>FALSE()</f>
        <v>0</v>
      </c>
      <c r="R356" s="16" t="b">
        <f>FALSE()</f>
        <v>0</v>
      </c>
      <c r="S356" s="17">
        <f t="shared" si="5"/>
        <v>15.7</v>
      </c>
      <c r="T356">
        <f>COUNTIF('👤 Customers'!$A:$A, B356)</f>
        <v>1</v>
      </c>
      <c r="U356">
        <f>COUNTIF('🚴 Riders'!A355:A415, C356)</f>
        <v>0</v>
      </c>
      <c r="V356">
        <f>COUNTIF('🏭 Facilities'!A355:A363, D356)</f>
        <v>0</v>
      </c>
    </row>
    <row r="357" spans="1:22">
      <c r="A357" s="18" t="s">
        <v>1167</v>
      </c>
      <c r="B357" s="18" t="s">
        <v>1168</v>
      </c>
      <c r="C357" s="18" t="s">
        <v>179</v>
      </c>
      <c r="D357" s="18" t="s">
        <v>184</v>
      </c>
      <c r="E357" s="26">
        <v>45303</v>
      </c>
      <c r="F357" s="18" t="s">
        <v>1169</v>
      </c>
      <c r="G357" s="18" t="s">
        <v>176</v>
      </c>
      <c r="H357" s="18">
        <v>3</v>
      </c>
      <c r="I357" s="18">
        <v>599</v>
      </c>
      <c r="J357" s="18">
        <v>10</v>
      </c>
      <c r="K357" s="18">
        <v>1617.3</v>
      </c>
      <c r="L357" s="18" t="s">
        <v>126</v>
      </c>
      <c r="M357" s="18" t="s">
        <v>119</v>
      </c>
      <c r="N357" s="28">
        <v>45303.386111111111</v>
      </c>
      <c r="O357" s="28">
        <v>45304.063888888886</v>
      </c>
      <c r="P357" s="18">
        <v>4.3</v>
      </c>
      <c r="Q357" s="18" t="b">
        <f>FALSE()</f>
        <v>0</v>
      </c>
      <c r="R357" s="18" t="b">
        <f>FALSE()</f>
        <v>0</v>
      </c>
      <c r="S357" s="19">
        <f t="shared" si="5"/>
        <v>16.3</v>
      </c>
      <c r="T357">
        <f>COUNTIF('👤 Customers'!$A:$A, B357)</f>
        <v>1</v>
      </c>
      <c r="U357">
        <f>COUNTIF('🚴 Riders'!A356:A416, C357)</f>
        <v>0</v>
      </c>
      <c r="V357">
        <f>COUNTIF('🏭 Facilities'!A356:A364, D357)</f>
        <v>0</v>
      </c>
    </row>
    <row r="358" spans="1:22">
      <c r="A358" s="16" t="s">
        <v>1170</v>
      </c>
      <c r="B358" s="16" t="s">
        <v>631</v>
      </c>
      <c r="C358" s="16" t="s">
        <v>196</v>
      </c>
      <c r="D358" s="16" t="s">
        <v>115</v>
      </c>
      <c r="E358" s="25">
        <v>44947</v>
      </c>
      <c r="F358" s="16" t="s">
        <v>1171</v>
      </c>
      <c r="G358" s="16" t="s">
        <v>132</v>
      </c>
      <c r="H358" s="16">
        <v>3.7</v>
      </c>
      <c r="I358" s="16">
        <v>399</v>
      </c>
      <c r="J358" s="16">
        <v>10</v>
      </c>
      <c r="K358" s="16">
        <v>1328.67</v>
      </c>
      <c r="L358" s="16" t="s">
        <v>139</v>
      </c>
      <c r="M358" s="16" t="s">
        <v>119</v>
      </c>
      <c r="N358" s="27">
        <v>44947.84097222222</v>
      </c>
      <c r="O358" s="27">
        <v>44948.663888888892</v>
      </c>
      <c r="P358" s="16">
        <v>3</v>
      </c>
      <c r="Q358" s="16" t="b">
        <f>FALSE()</f>
        <v>0</v>
      </c>
      <c r="R358" s="16" t="b">
        <f>FALSE()</f>
        <v>0</v>
      </c>
      <c r="S358" s="17">
        <f t="shared" si="5"/>
        <v>19.8</v>
      </c>
      <c r="T358">
        <f>COUNTIF('👤 Customers'!$A:$A, B358)</f>
        <v>1</v>
      </c>
      <c r="U358">
        <f>COUNTIF('🚴 Riders'!A357:A417, C358)</f>
        <v>0</v>
      </c>
      <c r="V358">
        <f>COUNTIF('🏭 Facilities'!A357:A365, D358)</f>
        <v>0</v>
      </c>
    </row>
    <row r="359" spans="1:22">
      <c r="A359" s="18" t="s">
        <v>1172</v>
      </c>
      <c r="B359" s="18" t="s">
        <v>1173</v>
      </c>
      <c r="C359" s="18" t="s">
        <v>170</v>
      </c>
      <c r="D359" s="18" t="s">
        <v>197</v>
      </c>
      <c r="E359" s="26">
        <v>45130</v>
      </c>
      <c r="F359" s="18" t="s">
        <v>1174</v>
      </c>
      <c r="G359" s="18" t="s">
        <v>176</v>
      </c>
      <c r="H359" s="18">
        <v>3.4</v>
      </c>
      <c r="I359" s="18">
        <v>599</v>
      </c>
      <c r="J359" s="18">
        <v>20</v>
      </c>
      <c r="K359" s="18">
        <v>1629.28</v>
      </c>
      <c r="L359" s="18" t="s">
        <v>139</v>
      </c>
      <c r="M359" s="18" t="s">
        <v>133</v>
      </c>
      <c r="N359" s="20"/>
      <c r="O359" s="20"/>
      <c r="P359" s="20"/>
      <c r="Q359" s="18" t="b">
        <f>FALSE()</f>
        <v>0</v>
      </c>
      <c r="R359" s="18" t="b">
        <f>FALSE()</f>
        <v>0</v>
      </c>
      <c r="S359" s="19" t="str">
        <f t="shared" si="5"/>
        <v>N/A</v>
      </c>
      <c r="T359">
        <f>COUNTIF('👤 Customers'!$A:$A, B359)</f>
        <v>1</v>
      </c>
      <c r="U359">
        <f>COUNTIF('🚴 Riders'!A358:A418, C359)</f>
        <v>0</v>
      </c>
      <c r="V359">
        <f>COUNTIF('🏭 Facilities'!A358:A366, D359)</f>
        <v>0</v>
      </c>
    </row>
    <row r="360" spans="1:22">
      <c r="A360" s="16" t="s">
        <v>1175</v>
      </c>
      <c r="B360" s="16" t="s">
        <v>268</v>
      </c>
      <c r="C360" s="16" t="s">
        <v>247</v>
      </c>
      <c r="D360" s="16" t="s">
        <v>137</v>
      </c>
      <c r="E360" s="25">
        <v>45270</v>
      </c>
      <c r="F360" s="16" t="s">
        <v>1176</v>
      </c>
      <c r="G360" s="16" t="s">
        <v>145</v>
      </c>
      <c r="H360" s="16">
        <v>1.3</v>
      </c>
      <c r="I360" s="16">
        <v>299</v>
      </c>
      <c r="J360" s="16">
        <v>0</v>
      </c>
      <c r="K360" s="16">
        <v>388.7</v>
      </c>
      <c r="L360" s="16" t="s">
        <v>118</v>
      </c>
      <c r="M360" s="16" t="s">
        <v>140</v>
      </c>
      <c r="N360" s="27">
        <v>45270.88958333333</v>
      </c>
      <c r="O360" s="27">
        <v>45271.467361111114</v>
      </c>
      <c r="P360" s="20"/>
      <c r="Q360" s="16" t="b">
        <f>FALSE()</f>
        <v>0</v>
      </c>
      <c r="R360" s="16" t="b">
        <f>FALSE()</f>
        <v>0</v>
      </c>
      <c r="S360" s="17">
        <f t="shared" si="5"/>
        <v>13.9</v>
      </c>
      <c r="T360">
        <f>COUNTIF('👤 Customers'!$A:$A, B360)</f>
        <v>1</v>
      </c>
      <c r="U360">
        <f>COUNTIF('🚴 Riders'!A359:A419, C360)</f>
        <v>0</v>
      </c>
      <c r="V360">
        <f>COUNTIF('🏭 Facilities'!A359:A367, D360)</f>
        <v>0</v>
      </c>
    </row>
    <row r="361" spans="1:22">
      <c r="A361" s="18" t="s">
        <v>1177</v>
      </c>
      <c r="B361" s="18" t="s">
        <v>654</v>
      </c>
      <c r="C361" s="18" t="s">
        <v>431</v>
      </c>
      <c r="D361" s="18" t="s">
        <v>184</v>
      </c>
      <c r="E361" s="26">
        <v>45011</v>
      </c>
      <c r="F361" s="18" t="s">
        <v>1178</v>
      </c>
      <c r="G361" s="18" t="s">
        <v>176</v>
      </c>
      <c r="H361" s="18">
        <v>5.7</v>
      </c>
      <c r="I361" s="18">
        <v>599</v>
      </c>
      <c r="J361" s="18">
        <v>10</v>
      </c>
      <c r="K361" s="18">
        <v>3072.87</v>
      </c>
      <c r="L361" s="18" t="s">
        <v>139</v>
      </c>
      <c r="M361" s="18" t="s">
        <v>140</v>
      </c>
      <c r="N361" s="28">
        <v>45012.058333333334</v>
      </c>
      <c r="O361" s="28">
        <v>45012.749305555553</v>
      </c>
      <c r="P361" s="20"/>
      <c r="Q361" s="18" t="b">
        <f>FALSE()</f>
        <v>0</v>
      </c>
      <c r="R361" s="18" t="b">
        <f>FALSE()</f>
        <v>0</v>
      </c>
      <c r="S361" s="19">
        <f t="shared" si="5"/>
        <v>16.600000000000001</v>
      </c>
      <c r="T361">
        <f>COUNTIF('👤 Customers'!$A:$A, B361)</f>
        <v>1</v>
      </c>
      <c r="U361">
        <f>COUNTIF('🚴 Riders'!A360:A420, C361)</f>
        <v>0</v>
      </c>
      <c r="V361">
        <f>COUNTIF('🏭 Facilities'!A360:A368, D361)</f>
        <v>0</v>
      </c>
    </row>
    <row r="362" spans="1:22">
      <c r="A362" s="16" t="s">
        <v>1179</v>
      </c>
      <c r="B362" s="16" t="s">
        <v>513</v>
      </c>
      <c r="C362" s="16" t="s">
        <v>358</v>
      </c>
      <c r="D362" s="16" t="s">
        <v>205</v>
      </c>
      <c r="E362" s="25">
        <v>45220</v>
      </c>
      <c r="F362" s="16" t="s">
        <v>1180</v>
      </c>
      <c r="G362" s="16" t="s">
        <v>176</v>
      </c>
      <c r="H362" s="16">
        <v>5.7</v>
      </c>
      <c r="I362" s="16">
        <v>599</v>
      </c>
      <c r="J362" s="16">
        <v>10</v>
      </c>
      <c r="K362" s="16">
        <v>3072.87</v>
      </c>
      <c r="L362" s="16" t="s">
        <v>146</v>
      </c>
      <c r="M362" s="16" t="s">
        <v>119</v>
      </c>
      <c r="N362" s="27">
        <v>45220.511111111111</v>
      </c>
      <c r="O362" s="27">
        <v>45220.827777777777</v>
      </c>
      <c r="P362" s="16">
        <v>2.6</v>
      </c>
      <c r="Q362" s="16" t="b">
        <f>FALSE()</f>
        <v>0</v>
      </c>
      <c r="R362" s="16" t="b">
        <f>FALSE()</f>
        <v>0</v>
      </c>
      <c r="S362" s="17">
        <f t="shared" si="5"/>
        <v>7.6</v>
      </c>
      <c r="T362">
        <f>COUNTIF('👤 Customers'!$A:$A, B362)</f>
        <v>1</v>
      </c>
      <c r="U362">
        <f>COUNTIF('🚴 Riders'!A361:A421, C362)</f>
        <v>0</v>
      </c>
      <c r="V362">
        <f>COUNTIF('🏭 Facilities'!A361:A369, D362)</f>
        <v>0</v>
      </c>
    </row>
    <row r="363" spans="1:22">
      <c r="A363" s="18" t="s">
        <v>1181</v>
      </c>
      <c r="B363" s="18" t="s">
        <v>1182</v>
      </c>
      <c r="C363" s="18" t="s">
        <v>220</v>
      </c>
      <c r="D363" s="18" t="s">
        <v>197</v>
      </c>
      <c r="E363" s="26">
        <v>45002</v>
      </c>
      <c r="F363" s="18" t="s">
        <v>1183</v>
      </c>
      <c r="G363" s="18" t="s">
        <v>145</v>
      </c>
      <c r="H363" s="18">
        <v>3.4</v>
      </c>
      <c r="I363" s="18">
        <v>299</v>
      </c>
      <c r="J363" s="18">
        <v>0</v>
      </c>
      <c r="K363" s="18">
        <v>1016.6</v>
      </c>
      <c r="L363" s="18" t="s">
        <v>126</v>
      </c>
      <c r="M363" s="18" t="s">
        <v>119</v>
      </c>
      <c r="N363" s="28">
        <v>45002.643055555556</v>
      </c>
      <c r="O363" s="28">
        <v>45003.136805555558</v>
      </c>
      <c r="P363" s="18">
        <v>4.7</v>
      </c>
      <c r="Q363" s="18" t="b">
        <f>TRUE()</f>
        <v>1</v>
      </c>
      <c r="R363" s="18" t="b">
        <f>TRUE()</f>
        <v>1</v>
      </c>
      <c r="S363" s="19">
        <f t="shared" si="5"/>
        <v>11.9</v>
      </c>
      <c r="T363">
        <f>COUNTIF('👤 Customers'!$A:$A, B363)</f>
        <v>1</v>
      </c>
      <c r="U363">
        <f>COUNTIF('🚴 Riders'!A362:A422, C363)</f>
        <v>0</v>
      </c>
      <c r="V363">
        <f>COUNTIF('🏭 Facilities'!A362:A370, D363)</f>
        <v>0</v>
      </c>
    </row>
    <row r="364" spans="1:22">
      <c r="A364" s="16" t="s">
        <v>1184</v>
      </c>
      <c r="B364" s="16" t="s">
        <v>577</v>
      </c>
      <c r="C364" s="16" t="s">
        <v>213</v>
      </c>
      <c r="D364" s="16" t="s">
        <v>184</v>
      </c>
      <c r="E364" s="25">
        <v>45345</v>
      </c>
      <c r="F364" s="16" t="s">
        <v>1185</v>
      </c>
      <c r="G364" s="16" t="s">
        <v>117</v>
      </c>
      <c r="H364" s="16">
        <v>1.3</v>
      </c>
      <c r="I364" s="16">
        <v>149</v>
      </c>
      <c r="J364" s="16">
        <v>10</v>
      </c>
      <c r="K364" s="16">
        <v>174.33</v>
      </c>
      <c r="L364" s="16" t="s">
        <v>118</v>
      </c>
      <c r="M364" s="16" t="s">
        <v>119</v>
      </c>
      <c r="N364" s="27">
        <v>45345.304166666669</v>
      </c>
      <c r="O364" s="27">
        <v>45346.293749999997</v>
      </c>
      <c r="P364" s="16">
        <v>3.4</v>
      </c>
      <c r="Q364" s="16" t="b">
        <f>FALSE()</f>
        <v>0</v>
      </c>
      <c r="R364" s="16" t="b">
        <f>FALSE()</f>
        <v>0</v>
      </c>
      <c r="S364" s="17">
        <f t="shared" si="5"/>
        <v>23.7</v>
      </c>
      <c r="T364">
        <f>COUNTIF('👤 Customers'!$A:$A, B364)</f>
        <v>1</v>
      </c>
      <c r="U364">
        <f>COUNTIF('🚴 Riders'!A363:A423, C364)</f>
        <v>0</v>
      </c>
      <c r="V364">
        <f>COUNTIF('🏭 Facilities'!A363:A371, D364)</f>
        <v>0</v>
      </c>
    </row>
    <row r="365" spans="1:22">
      <c r="A365" s="18" t="s">
        <v>1186</v>
      </c>
      <c r="B365" s="18" t="s">
        <v>643</v>
      </c>
      <c r="C365" s="18" t="s">
        <v>157</v>
      </c>
      <c r="D365" s="18" t="s">
        <v>123</v>
      </c>
      <c r="E365" s="26">
        <v>45554</v>
      </c>
      <c r="F365" s="18" t="s">
        <v>1187</v>
      </c>
      <c r="G365" s="18" t="s">
        <v>145</v>
      </c>
      <c r="H365" s="18">
        <v>1.7</v>
      </c>
      <c r="I365" s="18">
        <v>299</v>
      </c>
      <c r="J365" s="18">
        <v>10</v>
      </c>
      <c r="K365" s="18">
        <v>457.47</v>
      </c>
      <c r="L365" s="18" t="s">
        <v>118</v>
      </c>
      <c r="M365" s="18" t="s">
        <v>119</v>
      </c>
      <c r="N365" s="28">
        <v>45554.938888888886</v>
      </c>
      <c r="O365" s="28">
        <v>45555.894444444442</v>
      </c>
      <c r="P365" s="18">
        <v>4.9000000000000004</v>
      </c>
      <c r="Q365" s="18" t="b">
        <f>FALSE()</f>
        <v>0</v>
      </c>
      <c r="R365" s="18" t="b">
        <f>FALSE()</f>
        <v>0</v>
      </c>
      <c r="S365" s="19">
        <f t="shared" si="5"/>
        <v>22.9</v>
      </c>
      <c r="T365">
        <f>COUNTIF('👤 Customers'!$A:$A, B365)</f>
        <v>1</v>
      </c>
      <c r="U365">
        <f>COUNTIF('🚴 Riders'!A364:A424, C365)</f>
        <v>0</v>
      </c>
      <c r="V365">
        <f>COUNTIF('🏭 Facilities'!A364:A372, D365)</f>
        <v>0</v>
      </c>
    </row>
    <row r="366" spans="1:22">
      <c r="A366" s="16" t="s">
        <v>1188</v>
      </c>
      <c r="B366" s="16" t="s">
        <v>759</v>
      </c>
      <c r="C366" s="16" t="s">
        <v>192</v>
      </c>
      <c r="D366" s="16" t="s">
        <v>197</v>
      </c>
      <c r="E366" s="25">
        <v>45538</v>
      </c>
      <c r="F366" s="16" t="s">
        <v>1189</v>
      </c>
      <c r="G366" s="16" t="s">
        <v>125</v>
      </c>
      <c r="H366" s="16">
        <v>6.9</v>
      </c>
      <c r="I366" s="16">
        <v>199</v>
      </c>
      <c r="J366" s="16">
        <v>0</v>
      </c>
      <c r="K366" s="16">
        <v>1373.1</v>
      </c>
      <c r="L366" s="16" t="s">
        <v>146</v>
      </c>
      <c r="M366" s="16" t="s">
        <v>119</v>
      </c>
      <c r="N366" s="27">
        <v>45538.456250000003</v>
      </c>
      <c r="O366" s="27">
        <v>45539.018750000003</v>
      </c>
      <c r="P366" s="16">
        <v>2.7</v>
      </c>
      <c r="Q366" s="16" t="b">
        <f>FALSE()</f>
        <v>0</v>
      </c>
      <c r="R366" s="16" t="b">
        <f>TRUE()</f>
        <v>1</v>
      </c>
      <c r="S366" s="17">
        <f t="shared" si="5"/>
        <v>13.5</v>
      </c>
      <c r="T366">
        <f>COUNTIF('👤 Customers'!$A:$A, B366)</f>
        <v>1</v>
      </c>
      <c r="U366">
        <f>COUNTIF('🚴 Riders'!A365:A425, C366)</f>
        <v>0</v>
      </c>
      <c r="V366">
        <f>COUNTIF('🏭 Facilities'!A365:A373, D366)</f>
        <v>0</v>
      </c>
    </row>
    <row r="367" spans="1:22">
      <c r="A367" s="18" t="s">
        <v>1190</v>
      </c>
      <c r="B367" s="18" t="s">
        <v>1191</v>
      </c>
      <c r="C367" s="18" t="s">
        <v>322</v>
      </c>
      <c r="D367" s="18" t="s">
        <v>205</v>
      </c>
      <c r="E367" s="26">
        <v>45549</v>
      </c>
      <c r="F367" s="18" t="s">
        <v>1192</v>
      </c>
      <c r="G367" s="18" t="s">
        <v>176</v>
      </c>
      <c r="H367" s="18">
        <v>4.3</v>
      </c>
      <c r="I367" s="18">
        <v>599</v>
      </c>
      <c r="J367" s="18">
        <v>0</v>
      </c>
      <c r="K367" s="18">
        <v>2575.6999999999998</v>
      </c>
      <c r="L367" s="18" t="s">
        <v>207</v>
      </c>
      <c r="M367" s="18" t="s">
        <v>119</v>
      </c>
      <c r="N367" s="28">
        <v>45549.414583333331</v>
      </c>
      <c r="O367" s="28">
        <v>45550</v>
      </c>
      <c r="P367" s="18">
        <v>3.5</v>
      </c>
      <c r="Q367" s="18" t="b">
        <f>FALSE()</f>
        <v>0</v>
      </c>
      <c r="R367" s="18" t="b">
        <f>FALSE()</f>
        <v>0</v>
      </c>
      <c r="S367" s="19">
        <f t="shared" si="5"/>
        <v>14.1</v>
      </c>
      <c r="T367">
        <f>COUNTIF('👤 Customers'!$A:$A, B367)</f>
        <v>1</v>
      </c>
      <c r="U367">
        <f>COUNTIF('🚴 Riders'!A366:A426, C367)</f>
        <v>0</v>
      </c>
      <c r="V367">
        <f>COUNTIF('🏭 Facilities'!A366:A374, D367)</f>
        <v>0</v>
      </c>
    </row>
    <row r="368" spans="1:22">
      <c r="A368" s="16" t="s">
        <v>1193</v>
      </c>
      <c r="B368" s="16" t="s">
        <v>631</v>
      </c>
      <c r="C368" s="16" t="s">
        <v>240</v>
      </c>
      <c r="D368" s="16" t="s">
        <v>115</v>
      </c>
      <c r="E368" s="25">
        <v>45448</v>
      </c>
      <c r="F368" s="16" t="s">
        <v>1194</v>
      </c>
      <c r="G368" s="16" t="s">
        <v>176</v>
      </c>
      <c r="H368" s="16">
        <v>2.2999999999999998</v>
      </c>
      <c r="I368" s="16">
        <v>599</v>
      </c>
      <c r="J368" s="16">
        <v>0</v>
      </c>
      <c r="K368" s="16">
        <v>1377.7</v>
      </c>
      <c r="L368" s="16" t="s">
        <v>118</v>
      </c>
      <c r="M368" s="16" t="s">
        <v>140</v>
      </c>
      <c r="N368" s="27">
        <v>45448.711805555555</v>
      </c>
      <c r="O368" s="27">
        <v>45449.185416666667</v>
      </c>
      <c r="P368" s="20"/>
      <c r="Q368" s="16" t="b">
        <f>FALSE()</f>
        <v>0</v>
      </c>
      <c r="R368" s="16" t="b">
        <f>FALSE()</f>
        <v>0</v>
      </c>
      <c r="S368" s="17">
        <f t="shared" si="5"/>
        <v>11.4</v>
      </c>
      <c r="T368">
        <f>COUNTIF('👤 Customers'!$A:$A, B368)</f>
        <v>1</v>
      </c>
      <c r="U368">
        <f>COUNTIF('🚴 Riders'!A367:A427, C368)</f>
        <v>0</v>
      </c>
      <c r="V368">
        <f>COUNTIF('🏭 Facilities'!A367:A375, D368)</f>
        <v>0</v>
      </c>
    </row>
    <row r="369" spans="1:22">
      <c r="A369" s="18" t="s">
        <v>1195</v>
      </c>
      <c r="B369" s="18" t="s">
        <v>796</v>
      </c>
      <c r="C369" s="18" t="s">
        <v>149</v>
      </c>
      <c r="D369" s="18" t="s">
        <v>123</v>
      </c>
      <c r="E369" s="26">
        <v>45404</v>
      </c>
      <c r="F369" s="18" t="s">
        <v>1196</v>
      </c>
      <c r="G369" s="18" t="s">
        <v>145</v>
      </c>
      <c r="H369" s="18">
        <v>7.5</v>
      </c>
      <c r="I369" s="18">
        <v>299</v>
      </c>
      <c r="J369" s="18">
        <v>10</v>
      </c>
      <c r="K369" s="18">
        <v>2018.25</v>
      </c>
      <c r="L369" s="18" t="s">
        <v>139</v>
      </c>
      <c r="M369" s="18" t="s">
        <v>119</v>
      </c>
      <c r="N369" s="28">
        <v>45404.332638888889</v>
      </c>
      <c r="O369" s="28">
        <v>45404.909722222219</v>
      </c>
      <c r="P369" s="18">
        <v>3.5</v>
      </c>
      <c r="Q369" s="18" t="b">
        <f>FALSE()</f>
        <v>0</v>
      </c>
      <c r="R369" s="18" t="b">
        <f>FALSE()</f>
        <v>0</v>
      </c>
      <c r="S369" s="19">
        <f t="shared" si="5"/>
        <v>13.8</v>
      </c>
      <c r="T369">
        <f>COUNTIF('👤 Customers'!$A:$A, B369)</f>
        <v>1</v>
      </c>
      <c r="U369">
        <f>COUNTIF('🚴 Riders'!A368:A428, C369)</f>
        <v>0</v>
      </c>
      <c r="V369">
        <f>COUNTIF('🏭 Facilities'!A368:A376, D369)</f>
        <v>0</v>
      </c>
    </row>
    <row r="370" spans="1:22">
      <c r="A370" s="16" t="s">
        <v>1197</v>
      </c>
      <c r="B370" s="16" t="s">
        <v>250</v>
      </c>
      <c r="C370" s="16" t="s">
        <v>129</v>
      </c>
      <c r="D370" s="16" t="s">
        <v>197</v>
      </c>
      <c r="E370" s="25">
        <v>45419</v>
      </c>
      <c r="F370" s="16" t="s">
        <v>1198</v>
      </c>
      <c r="G370" s="16" t="s">
        <v>132</v>
      </c>
      <c r="H370" s="16">
        <v>6.9</v>
      </c>
      <c r="I370" s="16">
        <v>399</v>
      </c>
      <c r="J370" s="16">
        <v>0</v>
      </c>
      <c r="K370" s="16">
        <v>2753.1</v>
      </c>
      <c r="L370" s="16" t="s">
        <v>207</v>
      </c>
      <c r="M370" s="16" t="s">
        <v>119</v>
      </c>
      <c r="N370" s="27">
        <v>45419.500694444447</v>
      </c>
      <c r="O370" s="27">
        <v>45420.034722222219</v>
      </c>
      <c r="P370" s="16">
        <v>3</v>
      </c>
      <c r="Q370" s="16" t="b">
        <f>FALSE()</f>
        <v>0</v>
      </c>
      <c r="R370" s="16" t="b">
        <f>FALSE()</f>
        <v>0</v>
      </c>
      <c r="S370" s="17">
        <f t="shared" si="5"/>
        <v>12.8</v>
      </c>
      <c r="T370">
        <f>COUNTIF('👤 Customers'!$A:$A, B370)</f>
        <v>1</v>
      </c>
      <c r="U370">
        <f>COUNTIF('🚴 Riders'!A369:A429, C370)</f>
        <v>0</v>
      </c>
      <c r="V370">
        <f>COUNTIF('🏭 Facilities'!A369:A377, D370)</f>
        <v>0</v>
      </c>
    </row>
    <row r="371" spans="1:22">
      <c r="A371" s="18" t="s">
        <v>1199</v>
      </c>
      <c r="B371" s="18" t="s">
        <v>1200</v>
      </c>
      <c r="C371" s="18" t="s">
        <v>343</v>
      </c>
      <c r="D371" s="18" t="s">
        <v>123</v>
      </c>
      <c r="E371" s="26">
        <v>45287</v>
      </c>
      <c r="F371" s="18" t="s">
        <v>1201</v>
      </c>
      <c r="G371" s="18" t="s">
        <v>145</v>
      </c>
      <c r="H371" s="18">
        <v>4.9000000000000004</v>
      </c>
      <c r="I371" s="18">
        <v>299</v>
      </c>
      <c r="J371" s="18">
        <v>0</v>
      </c>
      <c r="K371" s="18">
        <v>1465.1</v>
      </c>
      <c r="L371" s="18" t="s">
        <v>146</v>
      </c>
      <c r="M371" s="18" t="s">
        <v>140</v>
      </c>
      <c r="N371" s="28">
        <v>45287.676388888889</v>
      </c>
      <c r="O371" s="28">
        <v>45288.14166666667</v>
      </c>
      <c r="P371" s="20"/>
      <c r="Q371" s="18" t="b">
        <f>FALSE()</f>
        <v>0</v>
      </c>
      <c r="R371" s="18" t="b">
        <f>FALSE()</f>
        <v>0</v>
      </c>
      <c r="S371" s="19">
        <f t="shared" si="5"/>
        <v>11.2</v>
      </c>
      <c r="T371">
        <f>COUNTIF('👤 Customers'!$A:$A, B371)</f>
        <v>1</v>
      </c>
      <c r="U371">
        <f>COUNTIF('🚴 Riders'!A370:A430, C371)</f>
        <v>0</v>
      </c>
      <c r="V371">
        <f>COUNTIF('🏭 Facilities'!A370:A378, D371)</f>
        <v>0</v>
      </c>
    </row>
    <row r="372" spans="1:22">
      <c r="A372" s="16" t="s">
        <v>1202</v>
      </c>
      <c r="B372" s="16" t="s">
        <v>1023</v>
      </c>
      <c r="C372" s="16" t="s">
        <v>276</v>
      </c>
      <c r="D372" s="16" t="s">
        <v>205</v>
      </c>
      <c r="E372" s="25">
        <v>45488</v>
      </c>
      <c r="F372" s="16" t="s">
        <v>1203</v>
      </c>
      <c r="G372" s="16" t="s">
        <v>145</v>
      </c>
      <c r="H372" s="16">
        <v>6.5</v>
      </c>
      <c r="I372" s="16">
        <v>299</v>
      </c>
      <c r="J372" s="16">
        <v>0</v>
      </c>
      <c r="K372" s="16">
        <v>1943.5</v>
      </c>
      <c r="L372" s="16" t="s">
        <v>126</v>
      </c>
      <c r="M372" s="16" t="s">
        <v>119</v>
      </c>
      <c r="N372" s="27">
        <v>45488.228472222225</v>
      </c>
      <c r="O372" s="27">
        <v>45488.748611111114</v>
      </c>
      <c r="P372" s="16">
        <v>3.5</v>
      </c>
      <c r="Q372" s="16" t="b">
        <f>FALSE()</f>
        <v>0</v>
      </c>
      <c r="R372" s="16" t="b">
        <f>FALSE()</f>
        <v>0</v>
      </c>
      <c r="S372" s="17">
        <f t="shared" si="5"/>
        <v>12.5</v>
      </c>
      <c r="T372">
        <f>COUNTIF('👤 Customers'!$A:$A, B372)</f>
        <v>1</v>
      </c>
      <c r="U372">
        <f>COUNTIF('🚴 Riders'!A371:A431, C372)</f>
        <v>0</v>
      </c>
      <c r="V372">
        <f>COUNTIF('🏭 Facilities'!A371:A379, D372)</f>
        <v>0</v>
      </c>
    </row>
    <row r="373" spans="1:22">
      <c r="A373" s="18" t="s">
        <v>1204</v>
      </c>
      <c r="B373" s="18" t="s">
        <v>406</v>
      </c>
      <c r="C373" s="18" t="s">
        <v>750</v>
      </c>
      <c r="D373" s="18" t="s">
        <v>123</v>
      </c>
      <c r="E373" s="26">
        <v>45110</v>
      </c>
      <c r="F373" s="18" t="s">
        <v>1205</v>
      </c>
      <c r="G373" s="18" t="s">
        <v>125</v>
      </c>
      <c r="H373" s="18">
        <v>5</v>
      </c>
      <c r="I373" s="18">
        <v>199</v>
      </c>
      <c r="J373" s="18">
        <v>0</v>
      </c>
      <c r="K373" s="18">
        <v>995</v>
      </c>
      <c r="L373" s="18" t="s">
        <v>139</v>
      </c>
      <c r="M373" s="18" t="s">
        <v>119</v>
      </c>
      <c r="N373" s="28">
        <v>45110.435416666667</v>
      </c>
      <c r="O373" s="28">
        <v>45111.427777777775</v>
      </c>
      <c r="P373" s="18">
        <v>4.7</v>
      </c>
      <c r="Q373" s="18" t="b">
        <f>FALSE()</f>
        <v>0</v>
      </c>
      <c r="R373" s="18" t="b">
        <f>TRUE()</f>
        <v>1</v>
      </c>
      <c r="S373" s="19">
        <f t="shared" si="5"/>
        <v>23.8</v>
      </c>
      <c r="T373">
        <f>COUNTIF('👤 Customers'!$A:$A, B373)</f>
        <v>1</v>
      </c>
      <c r="U373">
        <f>COUNTIF('🚴 Riders'!A372:A432, C373)</f>
        <v>0</v>
      </c>
      <c r="V373">
        <f>COUNTIF('🏭 Facilities'!A372:A380, D373)</f>
        <v>0</v>
      </c>
    </row>
    <row r="374" spans="1:22">
      <c r="A374" s="16" t="s">
        <v>1206</v>
      </c>
      <c r="B374" s="16" t="s">
        <v>1207</v>
      </c>
      <c r="C374" s="16" t="s">
        <v>842</v>
      </c>
      <c r="D374" s="16" t="s">
        <v>197</v>
      </c>
      <c r="E374" s="25">
        <v>45553</v>
      </c>
      <c r="F374" s="16" t="s">
        <v>1208</v>
      </c>
      <c r="G374" s="16" t="s">
        <v>117</v>
      </c>
      <c r="H374" s="16">
        <v>3.3</v>
      </c>
      <c r="I374" s="16">
        <v>149</v>
      </c>
      <c r="J374" s="16">
        <v>0</v>
      </c>
      <c r="K374" s="16">
        <v>491.7</v>
      </c>
      <c r="L374" s="16" t="s">
        <v>207</v>
      </c>
      <c r="M374" s="16" t="s">
        <v>119</v>
      </c>
      <c r="N374" s="27">
        <v>45553.710416666669</v>
      </c>
      <c r="O374" s="27">
        <v>45554.638194444444</v>
      </c>
      <c r="P374" s="16">
        <v>3</v>
      </c>
      <c r="Q374" s="16" t="b">
        <f>FALSE()</f>
        <v>0</v>
      </c>
      <c r="R374" s="16" t="b">
        <f>FALSE()</f>
        <v>0</v>
      </c>
      <c r="S374" s="17">
        <f t="shared" si="5"/>
        <v>22.3</v>
      </c>
      <c r="T374">
        <f>COUNTIF('👤 Customers'!$A:$A, B374)</f>
        <v>1</v>
      </c>
      <c r="U374">
        <f>COUNTIF('🚴 Riders'!A373:A433, C374)</f>
        <v>0</v>
      </c>
      <c r="V374">
        <f>COUNTIF('🏭 Facilities'!A373:A381, D374)</f>
        <v>0</v>
      </c>
    </row>
    <row r="375" spans="1:22">
      <c r="A375" s="18" t="s">
        <v>1209</v>
      </c>
      <c r="B375" s="18" t="s">
        <v>439</v>
      </c>
      <c r="C375" s="18" t="s">
        <v>129</v>
      </c>
      <c r="D375" s="18" t="s">
        <v>123</v>
      </c>
      <c r="E375" s="26">
        <v>45597</v>
      </c>
      <c r="F375" s="18" t="s">
        <v>1210</v>
      </c>
      <c r="G375" s="18" t="s">
        <v>176</v>
      </c>
      <c r="H375" s="18">
        <v>1.4</v>
      </c>
      <c r="I375" s="18">
        <v>599</v>
      </c>
      <c r="J375" s="18">
        <v>0</v>
      </c>
      <c r="K375" s="18">
        <v>838.6</v>
      </c>
      <c r="L375" s="18" t="s">
        <v>207</v>
      </c>
      <c r="M375" s="18" t="s">
        <v>140</v>
      </c>
      <c r="N375" s="28">
        <v>45597.393055555556</v>
      </c>
      <c r="O375" s="28">
        <v>45597.957638888889</v>
      </c>
      <c r="P375" s="20"/>
      <c r="Q375" s="18" t="b">
        <f>FALSE()</f>
        <v>0</v>
      </c>
      <c r="R375" s="18" t="b">
        <f>FALSE()</f>
        <v>0</v>
      </c>
      <c r="S375" s="19">
        <f t="shared" si="5"/>
        <v>13.5</v>
      </c>
      <c r="T375">
        <f>COUNTIF('👤 Customers'!$A:$A, B375)</f>
        <v>1</v>
      </c>
      <c r="U375">
        <f>COUNTIF('🚴 Riders'!A374:A434, C375)</f>
        <v>0</v>
      </c>
      <c r="V375">
        <f>COUNTIF('🏭 Facilities'!A374:A382, D375)</f>
        <v>0</v>
      </c>
    </row>
    <row r="376" spans="1:22">
      <c r="A376" s="16" t="s">
        <v>1211</v>
      </c>
      <c r="B376" s="16" t="s">
        <v>749</v>
      </c>
      <c r="C376" s="16" t="s">
        <v>224</v>
      </c>
      <c r="D376" s="16" t="s">
        <v>130</v>
      </c>
      <c r="E376" s="25">
        <v>45564</v>
      </c>
      <c r="F376" s="16" t="s">
        <v>1212</v>
      </c>
      <c r="G376" s="16" t="s">
        <v>117</v>
      </c>
      <c r="H376" s="16">
        <v>1.1000000000000001</v>
      </c>
      <c r="I376" s="16">
        <v>149</v>
      </c>
      <c r="J376" s="16">
        <v>30</v>
      </c>
      <c r="K376" s="16">
        <v>114.73</v>
      </c>
      <c r="L376" s="16" t="s">
        <v>118</v>
      </c>
      <c r="M376" s="16" t="s">
        <v>133</v>
      </c>
      <c r="N376" s="20"/>
      <c r="O376" s="20"/>
      <c r="P376" s="20"/>
      <c r="Q376" s="16" t="b">
        <f>FALSE()</f>
        <v>0</v>
      </c>
      <c r="R376" s="16" t="b">
        <f>FALSE()</f>
        <v>0</v>
      </c>
      <c r="S376" s="17" t="str">
        <f t="shared" si="5"/>
        <v>N/A</v>
      </c>
      <c r="T376">
        <f>COUNTIF('👤 Customers'!$A:$A, B376)</f>
        <v>1</v>
      </c>
      <c r="U376">
        <f>COUNTIF('🚴 Riders'!A375:A435, C376)</f>
        <v>0</v>
      </c>
      <c r="V376">
        <f>COUNTIF('🏭 Facilities'!A375:A383, D376)</f>
        <v>0</v>
      </c>
    </row>
    <row r="377" spans="1:22">
      <c r="A377" s="18" t="s">
        <v>1213</v>
      </c>
      <c r="B377" s="18" t="s">
        <v>1214</v>
      </c>
      <c r="C377" s="18" t="s">
        <v>354</v>
      </c>
      <c r="D377" s="18" t="s">
        <v>123</v>
      </c>
      <c r="E377" s="26">
        <v>45471</v>
      </c>
      <c r="F377" s="18" t="s">
        <v>1215</v>
      </c>
      <c r="G377" s="18" t="s">
        <v>117</v>
      </c>
      <c r="H377" s="18">
        <v>7.3</v>
      </c>
      <c r="I377" s="18">
        <v>149</v>
      </c>
      <c r="J377" s="18">
        <v>10</v>
      </c>
      <c r="K377" s="18">
        <v>978.93</v>
      </c>
      <c r="L377" s="18" t="s">
        <v>118</v>
      </c>
      <c r="M377" s="18" t="s">
        <v>133</v>
      </c>
      <c r="N377" s="20"/>
      <c r="O377" s="20"/>
      <c r="P377" s="20"/>
      <c r="Q377" s="18" t="b">
        <f>TRUE()</f>
        <v>1</v>
      </c>
      <c r="R377" s="18" t="b">
        <f>FALSE()</f>
        <v>0</v>
      </c>
      <c r="S377" s="19" t="str">
        <f t="shared" si="5"/>
        <v>N/A</v>
      </c>
      <c r="T377">
        <f>COUNTIF('👤 Customers'!$A:$A, B377)</f>
        <v>1</v>
      </c>
      <c r="U377">
        <f>COUNTIF('🚴 Riders'!A376:A436, C377)</f>
        <v>0</v>
      </c>
      <c r="V377">
        <f>COUNTIF('🏭 Facilities'!A376:A384, D377)</f>
        <v>0</v>
      </c>
    </row>
    <row r="378" spans="1:22">
      <c r="A378" s="16" t="s">
        <v>1216</v>
      </c>
      <c r="B378" s="16" t="s">
        <v>649</v>
      </c>
      <c r="C378" s="16" t="s">
        <v>272</v>
      </c>
      <c r="D378" s="16" t="s">
        <v>184</v>
      </c>
      <c r="E378" s="25">
        <v>45109</v>
      </c>
      <c r="F378" s="16" t="s">
        <v>1217</v>
      </c>
      <c r="G378" s="16" t="s">
        <v>117</v>
      </c>
      <c r="H378" s="16">
        <v>2.5</v>
      </c>
      <c r="I378" s="16">
        <v>149</v>
      </c>
      <c r="J378" s="16">
        <v>20</v>
      </c>
      <c r="K378" s="16">
        <v>298</v>
      </c>
      <c r="L378" s="16" t="s">
        <v>118</v>
      </c>
      <c r="M378" s="16" t="s">
        <v>119</v>
      </c>
      <c r="N378" s="27">
        <v>45110</v>
      </c>
      <c r="O378" s="27">
        <v>45111.015277777777</v>
      </c>
      <c r="P378" s="16">
        <v>4.7</v>
      </c>
      <c r="Q378" s="16" t="b">
        <f>FALSE()</f>
        <v>0</v>
      </c>
      <c r="R378" s="16" t="b">
        <f>FALSE()</f>
        <v>0</v>
      </c>
      <c r="S378" s="17">
        <f t="shared" si="5"/>
        <v>24.4</v>
      </c>
      <c r="T378">
        <f>COUNTIF('👤 Customers'!$A:$A, B378)</f>
        <v>1</v>
      </c>
      <c r="U378">
        <f>COUNTIF('🚴 Riders'!A377:A437, C378)</f>
        <v>0</v>
      </c>
      <c r="V378">
        <f>COUNTIF('🏭 Facilities'!A377:A385, D378)</f>
        <v>0</v>
      </c>
    </row>
    <row r="379" spans="1:22">
      <c r="A379" s="18" t="s">
        <v>1218</v>
      </c>
      <c r="B379" s="18" t="s">
        <v>1219</v>
      </c>
      <c r="C379" s="18" t="s">
        <v>343</v>
      </c>
      <c r="D379" s="18" t="s">
        <v>197</v>
      </c>
      <c r="E379" s="26">
        <v>45292</v>
      </c>
      <c r="F379" s="18" t="s">
        <v>1220</v>
      </c>
      <c r="G379" s="18" t="s">
        <v>145</v>
      </c>
      <c r="H379" s="18">
        <v>7.5</v>
      </c>
      <c r="I379" s="18">
        <v>299</v>
      </c>
      <c r="J379" s="18">
        <v>0</v>
      </c>
      <c r="K379" s="18">
        <v>2242.5</v>
      </c>
      <c r="L379" s="18" t="s">
        <v>118</v>
      </c>
      <c r="M379" s="18" t="s">
        <v>119</v>
      </c>
      <c r="N379" s="28">
        <v>45293.055555555555</v>
      </c>
      <c r="O379" s="28">
        <v>45294.03125</v>
      </c>
      <c r="P379" s="18">
        <v>3.6</v>
      </c>
      <c r="Q379" s="18" t="b">
        <f>FALSE()</f>
        <v>0</v>
      </c>
      <c r="R379" s="18" t="b">
        <f>FALSE()</f>
        <v>0</v>
      </c>
      <c r="S379" s="19">
        <f t="shared" si="5"/>
        <v>23.4</v>
      </c>
      <c r="T379">
        <f>COUNTIF('👤 Customers'!$A:$A, B379)</f>
        <v>1</v>
      </c>
      <c r="U379">
        <f>COUNTIF('🚴 Riders'!A378:A438, C379)</f>
        <v>0</v>
      </c>
      <c r="V379">
        <f>COUNTIF('🏭 Facilities'!A378:A386, D379)</f>
        <v>0</v>
      </c>
    </row>
    <row r="380" spans="1:22">
      <c r="A380" s="16" t="s">
        <v>1221</v>
      </c>
      <c r="B380" s="16" t="s">
        <v>785</v>
      </c>
      <c r="C380" s="16" t="s">
        <v>304</v>
      </c>
      <c r="D380" s="16" t="s">
        <v>158</v>
      </c>
      <c r="E380" s="25">
        <v>45180</v>
      </c>
      <c r="F380" s="16" t="s">
        <v>1222</v>
      </c>
      <c r="G380" s="16" t="s">
        <v>145</v>
      </c>
      <c r="H380" s="16">
        <v>5.9</v>
      </c>
      <c r="I380" s="16">
        <v>299</v>
      </c>
      <c r="J380" s="16">
        <v>10</v>
      </c>
      <c r="K380" s="16">
        <v>1587.69</v>
      </c>
      <c r="L380" s="16" t="s">
        <v>207</v>
      </c>
      <c r="M380" s="16" t="s">
        <v>140</v>
      </c>
      <c r="N380" s="27">
        <v>45180.922222222223</v>
      </c>
      <c r="O380" s="27">
        <v>45181.75277777778</v>
      </c>
      <c r="P380" s="20"/>
      <c r="Q380" s="16" t="b">
        <f>FALSE()</f>
        <v>0</v>
      </c>
      <c r="R380" s="16" t="b">
        <f>FALSE()</f>
        <v>0</v>
      </c>
      <c r="S380" s="17">
        <f t="shared" si="5"/>
        <v>19.899999999999999</v>
      </c>
      <c r="T380">
        <f>COUNTIF('👤 Customers'!$A:$A, B380)</f>
        <v>1</v>
      </c>
      <c r="U380">
        <f>COUNTIF('🚴 Riders'!A379:A439, C380)</f>
        <v>0</v>
      </c>
      <c r="V380">
        <f>COUNTIF('🏭 Facilities'!A379:A387, D380)</f>
        <v>0</v>
      </c>
    </row>
    <row r="381" spans="1:22">
      <c r="A381" s="18" t="s">
        <v>1223</v>
      </c>
      <c r="B381" s="18" t="s">
        <v>460</v>
      </c>
      <c r="C381" s="18" t="s">
        <v>114</v>
      </c>
      <c r="D381" s="18" t="s">
        <v>115</v>
      </c>
      <c r="E381" s="26">
        <v>44990</v>
      </c>
      <c r="F381" s="18" t="s">
        <v>1224</v>
      </c>
      <c r="G381" s="18" t="s">
        <v>125</v>
      </c>
      <c r="H381" s="18">
        <v>2.1</v>
      </c>
      <c r="I381" s="18">
        <v>199</v>
      </c>
      <c r="J381" s="18">
        <v>0</v>
      </c>
      <c r="K381" s="18">
        <v>417.9</v>
      </c>
      <c r="L381" s="18" t="s">
        <v>139</v>
      </c>
      <c r="M381" s="18" t="s">
        <v>140</v>
      </c>
      <c r="N381" s="28">
        <v>44991.003472222219</v>
      </c>
      <c r="O381" s="28">
        <v>44991.987500000003</v>
      </c>
      <c r="P381" s="20"/>
      <c r="Q381" s="18" t="b">
        <f>FALSE()</f>
        <v>0</v>
      </c>
      <c r="R381" s="18" t="b">
        <f>TRUE()</f>
        <v>1</v>
      </c>
      <c r="S381" s="19">
        <f t="shared" si="5"/>
        <v>23.6</v>
      </c>
      <c r="T381">
        <f>COUNTIF('👤 Customers'!$A:$A, B381)</f>
        <v>1</v>
      </c>
      <c r="U381">
        <f>COUNTIF('🚴 Riders'!A380:A440, C381)</f>
        <v>0</v>
      </c>
      <c r="V381">
        <f>COUNTIF('🏭 Facilities'!A380:A388, D381)</f>
        <v>0</v>
      </c>
    </row>
    <row r="382" spans="1:22">
      <c r="A382" s="16" t="s">
        <v>1225</v>
      </c>
      <c r="B382" s="16" t="s">
        <v>1226</v>
      </c>
      <c r="C382" s="16" t="s">
        <v>563</v>
      </c>
      <c r="D382" s="16" t="s">
        <v>130</v>
      </c>
      <c r="E382" s="25">
        <v>45061</v>
      </c>
      <c r="F382" s="16" t="s">
        <v>1227</v>
      </c>
      <c r="G382" s="16" t="s">
        <v>176</v>
      </c>
      <c r="H382" s="16">
        <v>6.8</v>
      </c>
      <c r="I382" s="16">
        <v>599</v>
      </c>
      <c r="J382" s="16">
        <v>10</v>
      </c>
      <c r="K382" s="16">
        <v>3665.88</v>
      </c>
      <c r="L382" s="16" t="s">
        <v>126</v>
      </c>
      <c r="M382" s="16" t="s">
        <v>119</v>
      </c>
      <c r="N382" s="27">
        <v>45061.777777777781</v>
      </c>
      <c r="O382" s="27">
        <v>45062.37777777778</v>
      </c>
      <c r="P382" s="16">
        <v>4.9000000000000004</v>
      </c>
      <c r="Q382" s="16" t="b">
        <f>FALSE()</f>
        <v>0</v>
      </c>
      <c r="R382" s="16" t="b">
        <f>FALSE()</f>
        <v>0</v>
      </c>
      <c r="S382" s="17">
        <f t="shared" si="5"/>
        <v>14.4</v>
      </c>
      <c r="T382">
        <f>COUNTIF('👤 Customers'!$A:$A, B382)</f>
        <v>1</v>
      </c>
      <c r="U382">
        <f>COUNTIF('🚴 Riders'!A381:A441, C382)</f>
        <v>0</v>
      </c>
      <c r="V382">
        <f>COUNTIF('🏭 Facilities'!A381:A389, D382)</f>
        <v>0</v>
      </c>
    </row>
    <row r="383" spans="1:22">
      <c r="A383" s="18" t="s">
        <v>1228</v>
      </c>
      <c r="B383" s="18" t="s">
        <v>1088</v>
      </c>
      <c r="C383" s="18" t="s">
        <v>247</v>
      </c>
      <c r="D383" s="18" t="s">
        <v>123</v>
      </c>
      <c r="E383" s="26">
        <v>45413</v>
      </c>
      <c r="F383" s="18" t="s">
        <v>1229</v>
      </c>
      <c r="G383" s="18" t="s">
        <v>132</v>
      </c>
      <c r="H383" s="18">
        <v>7.3</v>
      </c>
      <c r="I383" s="18">
        <v>399</v>
      </c>
      <c r="J383" s="18">
        <v>30</v>
      </c>
      <c r="K383" s="18">
        <v>2038.89</v>
      </c>
      <c r="L383" s="18" t="s">
        <v>207</v>
      </c>
      <c r="M383" s="18" t="s">
        <v>119</v>
      </c>
      <c r="N383" s="28">
        <v>45413.774305555555</v>
      </c>
      <c r="O383" s="28">
        <v>45414.709027777775</v>
      </c>
      <c r="P383" s="18">
        <v>2.7</v>
      </c>
      <c r="Q383" s="18" t="b">
        <f>FALSE()</f>
        <v>0</v>
      </c>
      <c r="R383" s="18" t="b">
        <f>FALSE()</f>
        <v>0</v>
      </c>
      <c r="S383" s="19">
        <f t="shared" si="5"/>
        <v>22.4</v>
      </c>
      <c r="T383">
        <f>COUNTIF('👤 Customers'!$A:$A, B383)</f>
        <v>1</v>
      </c>
      <c r="U383">
        <f>COUNTIF('🚴 Riders'!A382:A442, C383)</f>
        <v>0</v>
      </c>
      <c r="V383">
        <f>COUNTIF('🏭 Facilities'!A382:A390, D383)</f>
        <v>0</v>
      </c>
    </row>
    <row r="384" spans="1:22">
      <c r="A384" s="16" t="s">
        <v>1230</v>
      </c>
      <c r="B384" s="16" t="s">
        <v>713</v>
      </c>
      <c r="C384" s="16" t="s">
        <v>232</v>
      </c>
      <c r="D384" s="16" t="s">
        <v>123</v>
      </c>
      <c r="E384" s="25">
        <v>45018</v>
      </c>
      <c r="F384" s="16" t="s">
        <v>1231</v>
      </c>
      <c r="G384" s="16" t="s">
        <v>125</v>
      </c>
      <c r="H384" s="16">
        <v>6</v>
      </c>
      <c r="I384" s="16">
        <v>199</v>
      </c>
      <c r="J384" s="16">
        <v>0</v>
      </c>
      <c r="K384" s="16">
        <v>1194</v>
      </c>
      <c r="L384" s="16" t="s">
        <v>118</v>
      </c>
      <c r="M384" s="16" t="s">
        <v>119</v>
      </c>
      <c r="N384" s="27">
        <v>45018.290277777778</v>
      </c>
      <c r="O384" s="27">
        <v>45018.970833333333</v>
      </c>
      <c r="P384" s="16">
        <v>4.4000000000000004</v>
      </c>
      <c r="Q384" s="16" t="b">
        <f>FALSE()</f>
        <v>0</v>
      </c>
      <c r="R384" s="16" t="b">
        <f>FALSE()</f>
        <v>0</v>
      </c>
      <c r="S384" s="17">
        <f t="shared" si="5"/>
        <v>16.3</v>
      </c>
      <c r="T384">
        <f>COUNTIF('👤 Customers'!$A:$A, B384)</f>
        <v>1</v>
      </c>
      <c r="U384">
        <f>COUNTIF('🚴 Riders'!A383:A443, C384)</f>
        <v>0</v>
      </c>
      <c r="V384">
        <f>COUNTIF('🏭 Facilities'!A383:A391, D384)</f>
        <v>0</v>
      </c>
    </row>
    <row r="385" spans="1:22">
      <c r="A385" s="18" t="s">
        <v>1232</v>
      </c>
      <c r="B385" s="18" t="s">
        <v>1233</v>
      </c>
      <c r="C385" s="18" t="s">
        <v>308</v>
      </c>
      <c r="D385" s="18" t="s">
        <v>123</v>
      </c>
      <c r="E385" s="26">
        <v>45087</v>
      </c>
      <c r="F385" s="18" t="s">
        <v>1234</v>
      </c>
      <c r="G385" s="18" t="s">
        <v>176</v>
      </c>
      <c r="H385" s="18">
        <v>2.5</v>
      </c>
      <c r="I385" s="18">
        <v>599</v>
      </c>
      <c r="J385" s="18">
        <v>20</v>
      </c>
      <c r="K385" s="18">
        <v>1198</v>
      </c>
      <c r="L385" s="18" t="s">
        <v>118</v>
      </c>
      <c r="M385" s="18" t="s">
        <v>140</v>
      </c>
      <c r="N385" s="28">
        <v>45087.595138888886</v>
      </c>
      <c r="O385" s="28">
        <v>45088.234027777777</v>
      </c>
      <c r="P385" s="20"/>
      <c r="Q385" s="18" t="b">
        <f>FALSE()</f>
        <v>0</v>
      </c>
      <c r="R385" s="18" t="b">
        <f>FALSE()</f>
        <v>0</v>
      </c>
      <c r="S385" s="19">
        <f t="shared" si="5"/>
        <v>15.3</v>
      </c>
      <c r="T385">
        <f>COUNTIF('👤 Customers'!$A:$A, B385)</f>
        <v>1</v>
      </c>
      <c r="U385">
        <f>COUNTIF('🚴 Riders'!A384:A444, C385)</f>
        <v>0</v>
      </c>
      <c r="V385">
        <f>COUNTIF('🏭 Facilities'!A384:A392, D385)</f>
        <v>0</v>
      </c>
    </row>
    <row r="386" spans="1:22">
      <c r="A386" s="16" t="s">
        <v>1235</v>
      </c>
      <c r="B386" s="16" t="s">
        <v>1236</v>
      </c>
      <c r="C386" s="16" t="s">
        <v>354</v>
      </c>
      <c r="D386" s="16" t="s">
        <v>130</v>
      </c>
      <c r="E386" s="25">
        <v>45119</v>
      </c>
      <c r="F386" s="16" t="s">
        <v>1237</v>
      </c>
      <c r="G386" s="16" t="s">
        <v>117</v>
      </c>
      <c r="H386" s="16">
        <v>5.0999999999999996</v>
      </c>
      <c r="I386" s="16">
        <v>149</v>
      </c>
      <c r="J386" s="16">
        <v>10</v>
      </c>
      <c r="K386" s="16">
        <v>683.91</v>
      </c>
      <c r="L386" s="16" t="s">
        <v>139</v>
      </c>
      <c r="M386" s="16" t="s">
        <v>119</v>
      </c>
      <c r="N386" s="27">
        <v>45119.896527777775</v>
      </c>
      <c r="O386" s="27">
        <v>45120.314583333333</v>
      </c>
      <c r="P386" s="16">
        <v>4.3</v>
      </c>
      <c r="Q386" s="16" t="b">
        <f>FALSE()</f>
        <v>0</v>
      </c>
      <c r="R386" s="16" t="b">
        <f>FALSE()</f>
        <v>0</v>
      </c>
      <c r="S386" s="17">
        <f t="shared" ref="S386:S449" si="6">IF(OR(N386="",O386=""),"N/A",ROUND(((O386-N386)*24),1))</f>
        <v>10</v>
      </c>
      <c r="T386">
        <f>COUNTIF('👤 Customers'!$A:$A, B386)</f>
        <v>1</v>
      </c>
      <c r="U386">
        <f>COUNTIF('🚴 Riders'!A385:A445, C386)</f>
        <v>0</v>
      </c>
      <c r="V386">
        <f>COUNTIF('🏭 Facilities'!A385:A393, D386)</f>
        <v>0</v>
      </c>
    </row>
    <row r="387" spans="1:22">
      <c r="A387" s="18" t="s">
        <v>1238</v>
      </c>
      <c r="B387" s="18" t="s">
        <v>617</v>
      </c>
      <c r="C387" s="18" t="s">
        <v>326</v>
      </c>
      <c r="D387" s="18" t="s">
        <v>184</v>
      </c>
      <c r="E387" s="26">
        <v>45001</v>
      </c>
      <c r="F387" s="18" t="s">
        <v>1239</v>
      </c>
      <c r="G387" s="18" t="s">
        <v>176</v>
      </c>
      <c r="H387" s="18">
        <v>1.4</v>
      </c>
      <c r="I387" s="18">
        <v>599</v>
      </c>
      <c r="J387" s="18">
        <v>0</v>
      </c>
      <c r="K387" s="18">
        <v>838.6</v>
      </c>
      <c r="L387" s="18" t="s">
        <v>126</v>
      </c>
      <c r="M387" s="18" t="s">
        <v>119</v>
      </c>
      <c r="N387" s="28">
        <v>45001.095138888886</v>
      </c>
      <c r="O387" s="28">
        <v>45001.702777777777</v>
      </c>
      <c r="P387" s="18">
        <v>3.1</v>
      </c>
      <c r="Q387" s="18" t="b">
        <f>FALSE()</f>
        <v>0</v>
      </c>
      <c r="R387" s="18" t="b">
        <f>FALSE()</f>
        <v>0</v>
      </c>
      <c r="S387" s="19">
        <f t="shared" si="6"/>
        <v>14.6</v>
      </c>
      <c r="T387">
        <f>COUNTIF('👤 Customers'!$A:$A, B387)</f>
        <v>1</v>
      </c>
      <c r="U387">
        <f>COUNTIF('🚴 Riders'!A386:A446, C387)</f>
        <v>0</v>
      </c>
      <c r="V387">
        <f>COUNTIF('🏭 Facilities'!A386:A394, D387)</f>
        <v>0</v>
      </c>
    </row>
    <row r="388" spans="1:22">
      <c r="A388" s="16" t="s">
        <v>1240</v>
      </c>
      <c r="B388" s="16" t="s">
        <v>406</v>
      </c>
      <c r="C388" s="16" t="s">
        <v>162</v>
      </c>
      <c r="D388" s="16" t="s">
        <v>115</v>
      </c>
      <c r="E388" s="25">
        <v>45233</v>
      </c>
      <c r="F388" s="16" t="s">
        <v>1241</v>
      </c>
      <c r="G388" s="16" t="s">
        <v>117</v>
      </c>
      <c r="H388" s="16">
        <v>1.9</v>
      </c>
      <c r="I388" s="16">
        <v>149</v>
      </c>
      <c r="J388" s="16">
        <v>20</v>
      </c>
      <c r="K388" s="16">
        <v>226.48</v>
      </c>
      <c r="L388" s="16" t="s">
        <v>207</v>
      </c>
      <c r="M388" s="16" t="s">
        <v>119</v>
      </c>
      <c r="N388" s="27">
        <v>45233.675000000003</v>
      </c>
      <c r="O388" s="27">
        <v>45234.20416666667</v>
      </c>
      <c r="P388" s="16">
        <v>2.7</v>
      </c>
      <c r="Q388" s="16" t="b">
        <f>FALSE()</f>
        <v>0</v>
      </c>
      <c r="R388" s="16" t="b">
        <f>FALSE()</f>
        <v>0</v>
      </c>
      <c r="S388" s="17">
        <f t="shared" si="6"/>
        <v>12.7</v>
      </c>
      <c r="T388">
        <f>COUNTIF('👤 Customers'!$A:$A, B388)</f>
        <v>1</v>
      </c>
      <c r="U388">
        <f>COUNTIF('🚴 Riders'!A387:A447, C388)</f>
        <v>0</v>
      </c>
      <c r="V388">
        <f>COUNTIF('🏭 Facilities'!A387:A395, D388)</f>
        <v>0</v>
      </c>
    </row>
    <row r="389" spans="1:22">
      <c r="A389" s="18" t="s">
        <v>1242</v>
      </c>
      <c r="B389" s="18" t="s">
        <v>863</v>
      </c>
      <c r="C389" s="18" t="s">
        <v>247</v>
      </c>
      <c r="D389" s="18" t="s">
        <v>123</v>
      </c>
      <c r="E389" s="26">
        <v>45129</v>
      </c>
      <c r="F389" s="18" t="s">
        <v>1243</v>
      </c>
      <c r="G389" s="18" t="s">
        <v>125</v>
      </c>
      <c r="H389" s="18">
        <v>3.2</v>
      </c>
      <c r="I389" s="18">
        <v>199</v>
      </c>
      <c r="J389" s="18">
        <v>30</v>
      </c>
      <c r="K389" s="18">
        <v>445.76</v>
      </c>
      <c r="L389" s="18" t="s">
        <v>118</v>
      </c>
      <c r="M389" s="18" t="s">
        <v>119</v>
      </c>
      <c r="N389" s="28">
        <v>45129.411111111112</v>
      </c>
      <c r="O389" s="28">
        <v>45130.390972222223</v>
      </c>
      <c r="P389" s="18">
        <v>4</v>
      </c>
      <c r="Q389" s="18" t="b">
        <f>FALSE()</f>
        <v>0</v>
      </c>
      <c r="R389" s="18" t="b">
        <f>FALSE()</f>
        <v>0</v>
      </c>
      <c r="S389" s="19">
        <f t="shared" si="6"/>
        <v>23.5</v>
      </c>
      <c r="T389">
        <f>COUNTIF('👤 Customers'!$A:$A, B389)</f>
        <v>1</v>
      </c>
      <c r="U389">
        <f>COUNTIF('🚴 Riders'!A388:A448, C389)</f>
        <v>0</v>
      </c>
      <c r="V389">
        <f>COUNTIF('🏭 Facilities'!A388:A396, D389)</f>
        <v>0</v>
      </c>
    </row>
    <row r="390" spans="1:22">
      <c r="A390" s="16" t="s">
        <v>1244</v>
      </c>
      <c r="B390" s="16" t="s">
        <v>1245</v>
      </c>
      <c r="C390" s="16" t="s">
        <v>461</v>
      </c>
      <c r="D390" s="16" t="s">
        <v>115</v>
      </c>
      <c r="E390" s="25">
        <v>45170</v>
      </c>
      <c r="F390" s="16" t="s">
        <v>1246</v>
      </c>
      <c r="G390" s="16" t="s">
        <v>145</v>
      </c>
      <c r="H390" s="16">
        <v>7.2</v>
      </c>
      <c r="I390" s="16">
        <v>299</v>
      </c>
      <c r="J390" s="16">
        <v>0</v>
      </c>
      <c r="K390" s="16">
        <v>2152.8000000000002</v>
      </c>
      <c r="L390" s="16" t="s">
        <v>126</v>
      </c>
      <c r="M390" s="16" t="s">
        <v>119</v>
      </c>
      <c r="N390" s="27">
        <v>45170.254166666666</v>
      </c>
      <c r="O390" s="27">
        <v>45170.730555555558</v>
      </c>
      <c r="P390" s="16">
        <v>3</v>
      </c>
      <c r="Q390" s="16" t="b">
        <f>TRUE()</f>
        <v>1</v>
      </c>
      <c r="R390" s="16" t="b">
        <f>TRUE()</f>
        <v>1</v>
      </c>
      <c r="S390" s="17">
        <f t="shared" si="6"/>
        <v>11.4</v>
      </c>
      <c r="T390">
        <f>COUNTIF('👤 Customers'!$A:$A, B390)</f>
        <v>1</v>
      </c>
      <c r="U390">
        <f>COUNTIF('🚴 Riders'!A389:A449, C390)</f>
        <v>0</v>
      </c>
      <c r="V390">
        <f>COUNTIF('🏭 Facilities'!A389:A397, D390)</f>
        <v>0</v>
      </c>
    </row>
    <row r="391" spans="1:22">
      <c r="A391" s="18" t="s">
        <v>1247</v>
      </c>
      <c r="B391" s="18" t="s">
        <v>841</v>
      </c>
      <c r="C391" s="18" t="s">
        <v>166</v>
      </c>
      <c r="D391" s="18" t="s">
        <v>115</v>
      </c>
      <c r="E391" s="26">
        <v>45292</v>
      </c>
      <c r="F391" s="18" t="s">
        <v>1248</v>
      </c>
      <c r="G391" s="18" t="s">
        <v>117</v>
      </c>
      <c r="H391" s="18">
        <v>2.1</v>
      </c>
      <c r="I391" s="18">
        <v>149</v>
      </c>
      <c r="J391" s="18">
        <v>0</v>
      </c>
      <c r="K391" s="18">
        <v>312.89999999999998</v>
      </c>
      <c r="L391" s="18" t="s">
        <v>139</v>
      </c>
      <c r="M391" s="18" t="s">
        <v>119</v>
      </c>
      <c r="N391" s="28">
        <v>45292.417361111111</v>
      </c>
      <c r="O391" s="28">
        <v>45293.408333333333</v>
      </c>
      <c r="P391" s="18">
        <v>3.7</v>
      </c>
      <c r="Q391" s="18" t="b">
        <f>FALSE()</f>
        <v>0</v>
      </c>
      <c r="R391" s="18" t="b">
        <f>FALSE()</f>
        <v>0</v>
      </c>
      <c r="S391" s="19">
        <f t="shared" si="6"/>
        <v>23.8</v>
      </c>
      <c r="T391">
        <f>COUNTIF('👤 Customers'!$A:$A, B391)</f>
        <v>1</v>
      </c>
      <c r="U391">
        <f>COUNTIF('🚴 Riders'!A390:A450, C391)</f>
        <v>0</v>
      </c>
      <c r="V391">
        <f>COUNTIF('🏭 Facilities'!A390:A398, D391)</f>
        <v>0</v>
      </c>
    </row>
    <row r="392" spans="1:22">
      <c r="A392" s="16" t="s">
        <v>1249</v>
      </c>
      <c r="B392" s="16" t="s">
        <v>377</v>
      </c>
      <c r="C392" s="16" t="s">
        <v>580</v>
      </c>
      <c r="D392" s="16" t="s">
        <v>130</v>
      </c>
      <c r="E392" s="25">
        <v>45023</v>
      </c>
      <c r="F392" s="16" t="s">
        <v>1250</v>
      </c>
      <c r="G392" s="16" t="s">
        <v>117</v>
      </c>
      <c r="H392" s="16">
        <v>1.7</v>
      </c>
      <c r="I392" s="16">
        <v>149</v>
      </c>
      <c r="J392" s="16">
        <v>20</v>
      </c>
      <c r="K392" s="16">
        <v>202.64</v>
      </c>
      <c r="L392" s="16" t="s">
        <v>146</v>
      </c>
      <c r="M392" s="16" t="s">
        <v>119</v>
      </c>
      <c r="N392" s="27">
        <v>45023.1875</v>
      </c>
      <c r="O392" s="27">
        <v>45024.109722222223</v>
      </c>
      <c r="P392" s="16">
        <v>5</v>
      </c>
      <c r="Q392" s="16" t="b">
        <f>TRUE()</f>
        <v>1</v>
      </c>
      <c r="R392" s="16" t="b">
        <f>FALSE()</f>
        <v>0</v>
      </c>
      <c r="S392" s="17">
        <f t="shared" si="6"/>
        <v>22.1</v>
      </c>
      <c r="T392">
        <f>COUNTIF('👤 Customers'!$A:$A, B392)</f>
        <v>1</v>
      </c>
      <c r="U392">
        <f>COUNTIF('🚴 Riders'!A391:A451, C392)</f>
        <v>0</v>
      </c>
      <c r="V392">
        <f>COUNTIF('🏭 Facilities'!A391:A399, D392)</f>
        <v>0</v>
      </c>
    </row>
    <row r="393" spans="1:22">
      <c r="A393" s="18" t="s">
        <v>1251</v>
      </c>
      <c r="B393" s="18" t="s">
        <v>1252</v>
      </c>
      <c r="C393" s="18" t="s">
        <v>257</v>
      </c>
      <c r="D393" s="18" t="s">
        <v>197</v>
      </c>
      <c r="E393" s="26">
        <v>45067</v>
      </c>
      <c r="F393" s="18" t="s">
        <v>1253</v>
      </c>
      <c r="G393" s="18" t="s">
        <v>145</v>
      </c>
      <c r="H393" s="18">
        <v>7.4</v>
      </c>
      <c r="I393" s="18">
        <v>299</v>
      </c>
      <c r="J393" s="18">
        <v>0</v>
      </c>
      <c r="K393" s="18">
        <v>2212.6</v>
      </c>
      <c r="L393" s="18" t="s">
        <v>139</v>
      </c>
      <c r="M393" s="18" t="s">
        <v>119</v>
      </c>
      <c r="N393" s="28">
        <v>45067.370833333334</v>
      </c>
      <c r="O393" s="28">
        <v>45068.330555555556</v>
      </c>
      <c r="P393" s="18">
        <v>3.4</v>
      </c>
      <c r="Q393" s="18" t="b">
        <f>FALSE()</f>
        <v>0</v>
      </c>
      <c r="R393" s="18" t="b">
        <f>TRUE()</f>
        <v>1</v>
      </c>
      <c r="S393" s="19">
        <f t="shared" si="6"/>
        <v>23</v>
      </c>
      <c r="T393">
        <f>COUNTIF('👤 Customers'!$A:$A, B393)</f>
        <v>1</v>
      </c>
      <c r="U393">
        <f>COUNTIF('🚴 Riders'!A392:A452, C393)</f>
        <v>0</v>
      </c>
      <c r="V393">
        <f>COUNTIF('🏭 Facilities'!A392:A400, D393)</f>
        <v>0</v>
      </c>
    </row>
    <row r="394" spans="1:22">
      <c r="A394" s="16" t="s">
        <v>1254</v>
      </c>
      <c r="B394" s="16" t="s">
        <v>386</v>
      </c>
      <c r="C394" s="16" t="s">
        <v>322</v>
      </c>
      <c r="D394" s="16" t="s">
        <v>184</v>
      </c>
      <c r="E394" s="25">
        <v>45178</v>
      </c>
      <c r="F394" s="16" t="s">
        <v>1255</v>
      </c>
      <c r="G394" s="16" t="s">
        <v>132</v>
      </c>
      <c r="H394" s="16">
        <v>1.2</v>
      </c>
      <c r="I394" s="16">
        <v>399</v>
      </c>
      <c r="J394" s="16">
        <v>0</v>
      </c>
      <c r="K394" s="16">
        <v>478.8</v>
      </c>
      <c r="L394" s="16" t="s">
        <v>118</v>
      </c>
      <c r="M394" s="16" t="s">
        <v>140</v>
      </c>
      <c r="N394" s="27">
        <v>45178.416666666664</v>
      </c>
      <c r="O394" s="27">
        <v>45179.128472222219</v>
      </c>
      <c r="P394" s="20"/>
      <c r="Q394" s="16" t="b">
        <f>FALSE()</f>
        <v>0</v>
      </c>
      <c r="R394" s="16" t="b">
        <f>FALSE()</f>
        <v>0</v>
      </c>
      <c r="S394" s="17">
        <f t="shared" si="6"/>
        <v>17.100000000000001</v>
      </c>
      <c r="T394">
        <f>COUNTIF('👤 Customers'!$A:$A, B394)</f>
        <v>1</v>
      </c>
      <c r="U394">
        <f>COUNTIF('🚴 Riders'!A393:A453, C394)</f>
        <v>0</v>
      </c>
      <c r="V394">
        <f>COUNTIF('🏭 Facilities'!A393:A401, D394)</f>
        <v>0</v>
      </c>
    </row>
    <row r="395" spans="1:22">
      <c r="A395" s="18" t="s">
        <v>1256</v>
      </c>
      <c r="B395" s="18" t="s">
        <v>1257</v>
      </c>
      <c r="C395" s="18" t="s">
        <v>114</v>
      </c>
      <c r="D395" s="18" t="s">
        <v>184</v>
      </c>
      <c r="E395" s="26">
        <v>45278</v>
      </c>
      <c r="F395" s="18" t="s">
        <v>1258</v>
      </c>
      <c r="G395" s="18" t="s">
        <v>117</v>
      </c>
      <c r="H395" s="18">
        <v>7.6</v>
      </c>
      <c r="I395" s="18">
        <v>149</v>
      </c>
      <c r="J395" s="18">
        <v>30</v>
      </c>
      <c r="K395" s="18">
        <v>792.68</v>
      </c>
      <c r="L395" s="18" t="s">
        <v>126</v>
      </c>
      <c r="M395" s="18" t="s">
        <v>133</v>
      </c>
      <c r="N395" s="20"/>
      <c r="O395" s="20"/>
      <c r="P395" s="20"/>
      <c r="Q395" s="18" t="b">
        <f>FALSE()</f>
        <v>0</v>
      </c>
      <c r="R395" s="18" t="b">
        <f>FALSE()</f>
        <v>0</v>
      </c>
      <c r="S395" s="19" t="str">
        <f t="shared" si="6"/>
        <v>N/A</v>
      </c>
      <c r="T395">
        <f>COUNTIF('👤 Customers'!$A:$A, B395)</f>
        <v>1</v>
      </c>
      <c r="U395">
        <f>COUNTIF('🚴 Riders'!A394:A454, C395)</f>
        <v>0</v>
      </c>
      <c r="V395">
        <f>COUNTIF('🏭 Facilities'!A394:A402, D395)</f>
        <v>0</v>
      </c>
    </row>
    <row r="396" spans="1:22">
      <c r="A396" s="16" t="s">
        <v>1259</v>
      </c>
      <c r="B396" s="16" t="s">
        <v>890</v>
      </c>
      <c r="C396" s="16" t="s">
        <v>354</v>
      </c>
      <c r="D396" s="16" t="s">
        <v>123</v>
      </c>
      <c r="E396" s="25">
        <v>44998</v>
      </c>
      <c r="F396" s="16" t="s">
        <v>1260</v>
      </c>
      <c r="G396" s="16" t="s">
        <v>145</v>
      </c>
      <c r="H396" s="16">
        <v>2.8</v>
      </c>
      <c r="I396" s="16">
        <v>299</v>
      </c>
      <c r="J396" s="16">
        <v>0</v>
      </c>
      <c r="K396" s="16">
        <v>837.2</v>
      </c>
      <c r="L396" s="16" t="s">
        <v>207</v>
      </c>
      <c r="M396" s="16" t="s">
        <v>119</v>
      </c>
      <c r="N396" s="27">
        <v>44998.920138888891</v>
      </c>
      <c r="O396" s="27">
        <v>44999.864583333336</v>
      </c>
      <c r="P396" s="16">
        <v>2.8</v>
      </c>
      <c r="Q396" s="16" t="b">
        <f>FALSE()</f>
        <v>0</v>
      </c>
      <c r="R396" s="16" t="b">
        <f>FALSE()</f>
        <v>0</v>
      </c>
      <c r="S396" s="17">
        <f t="shared" si="6"/>
        <v>22.7</v>
      </c>
      <c r="T396">
        <f>COUNTIF('👤 Customers'!$A:$A, B396)</f>
        <v>1</v>
      </c>
      <c r="U396">
        <f>COUNTIF('🚴 Riders'!A395:A455, C396)</f>
        <v>0</v>
      </c>
      <c r="V396">
        <f>COUNTIF('🏭 Facilities'!A395:A403, D396)</f>
        <v>0</v>
      </c>
    </row>
    <row r="397" spans="1:22">
      <c r="A397" s="18" t="s">
        <v>1261</v>
      </c>
      <c r="B397" s="18" t="s">
        <v>113</v>
      </c>
      <c r="C397" s="18" t="s">
        <v>717</v>
      </c>
      <c r="D397" s="18" t="s">
        <v>158</v>
      </c>
      <c r="E397" s="26">
        <v>45553</v>
      </c>
      <c r="F397" s="18" t="s">
        <v>1262</v>
      </c>
      <c r="G397" s="18" t="s">
        <v>117</v>
      </c>
      <c r="H397" s="18">
        <v>7.3</v>
      </c>
      <c r="I397" s="18">
        <v>149</v>
      </c>
      <c r="J397" s="18">
        <v>10</v>
      </c>
      <c r="K397" s="18">
        <v>978.93</v>
      </c>
      <c r="L397" s="18" t="s">
        <v>139</v>
      </c>
      <c r="M397" s="18" t="s">
        <v>119</v>
      </c>
      <c r="N397" s="28">
        <v>45553.430555555555</v>
      </c>
      <c r="O397" s="28">
        <v>45554.388888888891</v>
      </c>
      <c r="P397" s="18">
        <v>3.2</v>
      </c>
      <c r="Q397" s="18" t="b">
        <f>FALSE()</f>
        <v>0</v>
      </c>
      <c r="R397" s="18" t="b">
        <f>TRUE()</f>
        <v>1</v>
      </c>
      <c r="S397" s="19">
        <f t="shared" si="6"/>
        <v>23</v>
      </c>
      <c r="T397">
        <f>COUNTIF('👤 Customers'!$A:$A, B397)</f>
        <v>1</v>
      </c>
      <c r="U397">
        <f>COUNTIF('🚴 Riders'!A396:A456, C397)</f>
        <v>0</v>
      </c>
      <c r="V397">
        <f>COUNTIF('🏭 Facilities'!A396:A404, D397)</f>
        <v>0</v>
      </c>
    </row>
    <row r="398" spans="1:22">
      <c r="A398" s="16" t="s">
        <v>1263</v>
      </c>
      <c r="B398" s="16" t="s">
        <v>353</v>
      </c>
      <c r="C398" s="16" t="s">
        <v>192</v>
      </c>
      <c r="D398" s="16" t="s">
        <v>137</v>
      </c>
      <c r="E398" s="25">
        <v>45255</v>
      </c>
      <c r="F398" s="16" t="s">
        <v>1264</v>
      </c>
      <c r="G398" s="16" t="s">
        <v>117</v>
      </c>
      <c r="H398" s="16">
        <v>5.3</v>
      </c>
      <c r="I398" s="16">
        <v>149</v>
      </c>
      <c r="J398" s="16">
        <v>0</v>
      </c>
      <c r="K398" s="16">
        <v>789.7</v>
      </c>
      <c r="L398" s="16" t="s">
        <v>139</v>
      </c>
      <c r="M398" s="16" t="s">
        <v>119</v>
      </c>
      <c r="N398" s="27">
        <v>45255.227777777778</v>
      </c>
      <c r="O398" s="27">
        <v>45255.98541666667</v>
      </c>
      <c r="P398" s="16">
        <v>3.8</v>
      </c>
      <c r="Q398" s="16" t="b">
        <f>FALSE()</f>
        <v>0</v>
      </c>
      <c r="R398" s="16" t="b">
        <f>TRUE()</f>
        <v>1</v>
      </c>
      <c r="S398" s="17">
        <f t="shared" si="6"/>
        <v>18.2</v>
      </c>
      <c r="T398">
        <f>COUNTIF('👤 Customers'!$A:$A, B398)</f>
        <v>1</v>
      </c>
      <c r="U398">
        <f>COUNTIF('🚴 Riders'!A397:A457, C398)</f>
        <v>0</v>
      </c>
      <c r="V398">
        <f>COUNTIF('🏭 Facilities'!A397:A405, D398)</f>
        <v>0</v>
      </c>
    </row>
    <row r="399" spans="1:22">
      <c r="A399" s="18" t="s">
        <v>1265</v>
      </c>
      <c r="B399" s="18" t="s">
        <v>492</v>
      </c>
      <c r="C399" s="18" t="s">
        <v>129</v>
      </c>
      <c r="D399" s="18" t="s">
        <v>158</v>
      </c>
      <c r="E399" s="26">
        <v>45290</v>
      </c>
      <c r="F399" s="18" t="s">
        <v>1266</v>
      </c>
      <c r="G399" s="18" t="s">
        <v>145</v>
      </c>
      <c r="H399" s="18">
        <v>1.6</v>
      </c>
      <c r="I399" s="18">
        <v>299</v>
      </c>
      <c r="J399" s="18">
        <v>20</v>
      </c>
      <c r="K399" s="18">
        <v>382.72</v>
      </c>
      <c r="L399" s="18" t="s">
        <v>118</v>
      </c>
      <c r="M399" s="18" t="s">
        <v>119</v>
      </c>
      <c r="N399" s="28">
        <v>45290.71875</v>
      </c>
      <c r="O399" s="28">
        <v>45291.181250000001</v>
      </c>
      <c r="P399" s="18">
        <v>3.9</v>
      </c>
      <c r="Q399" s="18" t="b">
        <f>FALSE()</f>
        <v>0</v>
      </c>
      <c r="R399" s="18" t="b">
        <f>FALSE()</f>
        <v>0</v>
      </c>
      <c r="S399" s="19">
        <f t="shared" si="6"/>
        <v>11.1</v>
      </c>
      <c r="T399">
        <f>COUNTIF('👤 Customers'!$A:$A, B399)</f>
        <v>1</v>
      </c>
      <c r="U399">
        <f>COUNTIF('🚴 Riders'!A398:A458, C399)</f>
        <v>0</v>
      </c>
      <c r="V399">
        <f>COUNTIF('🏭 Facilities'!A398:A406, D399)</f>
        <v>0</v>
      </c>
    </row>
    <row r="400" spans="1:22">
      <c r="A400" s="16" t="s">
        <v>1267</v>
      </c>
      <c r="B400" s="16" t="s">
        <v>403</v>
      </c>
      <c r="C400" s="16" t="s">
        <v>220</v>
      </c>
      <c r="D400" s="16" t="s">
        <v>197</v>
      </c>
      <c r="E400" s="25">
        <v>45325</v>
      </c>
      <c r="F400" s="16" t="s">
        <v>1268</v>
      </c>
      <c r="G400" s="16" t="s">
        <v>125</v>
      </c>
      <c r="H400" s="16">
        <v>4.5999999999999996</v>
      </c>
      <c r="I400" s="16">
        <v>199</v>
      </c>
      <c r="J400" s="16">
        <v>0</v>
      </c>
      <c r="K400" s="16">
        <v>915.4</v>
      </c>
      <c r="L400" s="16" t="s">
        <v>146</v>
      </c>
      <c r="M400" s="16" t="s">
        <v>119</v>
      </c>
      <c r="N400" s="27">
        <v>45325.897916666669</v>
      </c>
      <c r="O400" s="27">
        <v>45326.636805555558</v>
      </c>
      <c r="P400" s="16">
        <v>2.5</v>
      </c>
      <c r="Q400" s="16" t="b">
        <f>FALSE()</f>
        <v>0</v>
      </c>
      <c r="R400" s="16" t="b">
        <f>FALSE()</f>
        <v>0</v>
      </c>
      <c r="S400" s="17">
        <f t="shared" si="6"/>
        <v>17.7</v>
      </c>
      <c r="T400">
        <f>COUNTIF('👤 Customers'!$A:$A, B400)</f>
        <v>1</v>
      </c>
      <c r="U400">
        <f>COUNTIF('🚴 Riders'!A399:A459, C400)</f>
        <v>0</v>
      </c>
      <c r="V400">
        <f>COUNTIF('🏭 Facilities'!A399:A407, D400)</f>
        <v>0</v>
      </c>
    </row>
    <row r="401" spans="1:22">
      <c r="A401" s="18" t="s">
        <v>1269</v>
      </c>
      <c r="B401" s="18" t="s">
        <v>178</v>
      </c>
      <c r="C401" s="18" t="s">
        <v>196</v>
      </c>
      <c r="D401" s="18" t="s">
        <v>115</v>
      </c>
      <c r="E401" s="26">
        <v>45537</v>
      </c>
      <c r="F401" s="18" t="s">
        <v>1270</v>
      </c>
      <c r="G401" s="18" t="s">
        <v>132</v>
      </c>
      <c r="H401" s="18">
        <v>6.9</v>
      </c>
      <c r="I401" s="18">
        <v>399</v>
      </c>
      <c r="J401" s="18">
        <v>0</v>
      </c>
      <c r="K401" s="18">
        <v>2753.1</v>
      </c>
      <c r="L401" s="18" t="s">
        <v>146</v>
      </c>
      <c r="M401" s="18" t="s">
        <v>119</v>
      </c>
      <c r="N401" s="28">
        <v>45537.790277777778</v>
      </c>
      <c r="O401" s="28">
        <v>45538.354166666664</v>
      </c>
      <c r="P401" s="18">
        <v>4.5</v>
      </c>
      <c r="Q401" s="18" t="b">
        <f>FALSE()</f>
        <v>0</v>
      </c>
      <c r="R401" s="18" t="b">
        <f>FALSE()</f>
        <v>0</v>
      </c>
      <c r="S401" s="19">
        <f t="shared" si="6"/>
        <v>13.5</v>
      </c>
      <c r="T401">
        <f>COUNTIF('👤 Customers'!$A:$A, B401)</f>
        <v>1</v>
      </c>
      <c r="U401">
        <f>COUNTIF('🚴 Riders'!A400:A460, C401)</f>
        <v>0</v>
      </c>
      <c r="V401">
        <f>COUNTIF('🏭 Facilities'!A400:A408, D401)</f>
        <v>0</v>
      </c>
    </row>
    <row r="402" spans="1:22">
      <c r="A402" s="16" t="s">
        <v>1271</v>
      </c>
      <c r="B402" s="16" t="s">
        <v>1272</v>
      </c>
      <c r="C402" s="16" t="s">
        <v>304</v>
      </c>
      <c r="D402" s="16" t="s">
        <v>158</v>
      </c>
      <c r="E402" s="25">
        <v>45556</v>
      </c>
      <c r="F402" s="16" t="s">
        <v>1273</v>
      </c>
      <c r="G402" s="16" t="s">
        <v>132</v>
      </c>
      <c r="H402" s="16">
        <v>2.5</v>
      </c>
      <c r="I402" s="16">
        <v>399</v>
      </c>
      <c r="J402" s="16">
        <v>0</v>
      </c>
      <c r="K402" s="16">
        <v>997.5</v>
      </c>
      <c r="L402" s="16" t="s">
        <v>126</v>
      </c>
      <c r="M402" s="16" t="s">
        <v>133</v>
      </c>
      <c r="N402" s="20"/>
      <c r="O402" s="20"/>
      <c r="P402" s="20"/>
      <c r="Q402" s="16" t="b">
        <f>TRUE()</f>
        <v>1</v>
      </c>
      <c r="R402" s="16" t="b">
        <f>FALSE()</f>
        <v>0</v>
      </c>
      <c r="S402" s="17" t="str">
        <f t="shared" si="6"/>
        <v>N/A</v>
      </c>
      <c r="T402">
        <f>COUNTIF('👤 Customers'!$A:$A, B402)</f>
        <v>1</v>
      </c>
      <c r="U402">
        <f>COUNTIF('🚴 Riders'!A401:A461, C402)</f>
        <v>0</v>
      </c>
      <c r="V402">
        <f>COUNTIF('🏭 Facilities'!A401:A409, D402)</f>
        <v>0</v>
      </c>
    </row>
    <row r="403" spans="1:22">
      <c r="A403" s="18" t="s">
        <v>1274</v>
      </c>
      <c r="B403" s="18" t="s">
        <v>827</v>
      </c>
      <c r="C403" s="18" t="s">
        <v>358</v>
      </c>
      <c r="D403" s="18" t="s">
        <v>158</v>
      </c>
      <c r="E403" s="26">
        <v>45284</v>
      </c>
      <c r="F403" s="18" t="s">
        <v>1275</v>
      </c>
      <c r="G403" s="18" t="s">
        <v>145</v>
      </c>
      <c r="H403" s="18">
        <v>7.1</v>
      </c>
      <c r="I403" s="18">
        <v>299</v>
      </c>
      <c r="J403" s="18">
        <v>30</v>
      </c>
      <c r="K403" s="18">
        <v>1486.03</v>
      </c>
      <c r="L403" s="18" t="s">
        <v>118</v>
      </c>
      <c r="M403" s="18" t="s">
        <v>133</v>
      </c>
      <c r="N403" s="20"/>
      <c r="O403" s="20"/>
      <c r="P403" s="20"/>
      <c r="Q403" s="18" t="b">
        <f>TRUE()</f>
        <v>1</v>
      </c>
      <c r="R403" s="18" t="b">
        <f>TRUE()</f>
        <v>1</v>
      </c>
      <c r="S403" s="19" t="str">
        <f t="shared" si="6"/>
        <v>N/A</v>
      </c>
      <c r="T403">
        <f>COUNTIF('👤 Customers'!$A:$A, B403)</f>
        <v>1</v>
      </c>
      <c r="U403">
        <f>COUNTIF('🚴 Riders'!A402:A462, C403)</f>
        <v>0</v>
      </c>
      <c r="V403">
        <f>COUNTIF('🏭 Facilities'!A402:A410, D403)</f>
        <v>0</v>
      </c>
    </row>
    <row r="404" spans="1:22">
      <c r="A404" s="16" t="s">
        <v>1276</v>
      </c>
      <c r="B404" s="16" t="s">
        <v>637</v>
      </c>
      <c r="C404" s="16" t="s">
        <v>129</v>
      </c>
      <c r="D404" s="16" t="s">
        <v>158</v>
      </c>
      <c r="E404" s="25">
        <v>45075</v>
      </c>
      <c r="F404" s="16" t="s">
        <v>1277</v>
      </c>
      <c r="G404" s="16" t="s">
        <v>125</v>
      </c>
      <c r="H404" s="16">
        <v>6.7</v>
      </c>
      <c r="I404" s="16">
        <v>199</v>
      </c>
      <c r="J404" s="16">
        <v>10</v>
      </c>
      <c r="K404" s="16">
        <v>1199.97</v>
      </c>
      <c r="L404" s="16" t="s">
        <v>146</v>
      </c>
      <c r="M404" s="16" t="s">
        <v>119</v>
      </c>
      <c r="N404" s="27">
        <v>45075.345833333333</v>
      </c>
      <c r="O404" s="27">
        <v>45075.848611111112</v>
      </c>
      <c r="P404" s="16">
        <v>3</v>
      </c>
      <c r="Q404" s="16" t="b">
        <f>FALSE()</f>
        <v>0</v>
      </c>
      <c r="R404" s="16" t="b">
        <f>FALSE()</f>
        <v>0</v>
      </c>
      <c r="S404" s="17">
        <f t="shared" si="6"/>
        <v>12.1</v>
      </c>
      <c r="T404">
        <f>COUNTIF('👤 Customers'!$A:$A, B404)</f>
        <v>1</v>
      </c>
      <c r="U404">
        <f>COUNTIF('🚴 Riders'!A403:A463, C404)</f>
        <v>0</v>
      </c>
      <c r="V404">
        <f>COUNTIF('🏭 Facilities'!A403:A411, D404)</f>
        <v>0</v>
      </c>
    </row>
    <row r="405" spans="1:22">
      <c r="A405" s="18" t="s">
        <v>1278</v>
      </c>
      <c r="B405" s="18" t="s">
        <v>1279</v>
      </c>
      <c r="C405" s="18" t="s">
        <v>1092</v>
      </c>
      <c r="D405" s="18" t="s">
        <v>115</v>
      </c>
      <c r="E405" s="26">
        <v>45295</v>
      </c>
      <c r="F405" s="18" t="s">
        <v>1280</v>
      </c>
      <c r="G405" s="18" t="s">
        <v>145</v>
      </c>
      <c r="H405" s="18">
        <v>1.2</v>
      </c>
      <c r="I405" s="18">
        <v>299</v>
      </c>
      <c r="J405" s="18">
        <v>0</v>
      </c>
      <c r="K405" s="18">
        <v>358.8</v>
      </c>
      <c r="L405" s="18" t="s">
        <v>146</v>
      </c>
      <c r="M405" s="18" t="s">
        <v>119</v>
      </c>
      <c r="N405" s="28">
        <v>45295.286111111112</v>
      </c>
      <c r="O405" s="28">
        <v>45295.952777777777</v>
      </c>
      <c r="P405" s="18">
        <v>3.1</v>
      </c>
      <c r="Q405" s="18" t="b">
        <f>FALSE()</f>
        <v>0</v>
      </c>
      <c r="R405" s="18" t="b">
        <f>FALSE()</f>
        <v>0</v>
      </c>
      <c r="S405" s="19">
        <f t="shared" si="6"/>
        <v>16</v>
      </c>
      <c r="T405">
        <f>COUNTIF('👤 Customers'!$A:$A, B405)</f>
        <v>1</v>
      </c>
      <c r="U405">
        <f>COUNTIF('🚴 Riders'!A404:A464, C405)</f>
        <v>0</v>
      </c>
      <c r="V405">
        <f>COUNTIF('🏭 Facilities'!A404:A412, D405)</f>
        <v>0</v>
      </c>
    </row>
    <row r="406" spans="1:22">
      <c r="A406" s="16" t="s">
        <v>1281</v>
      </c>
      <c r="B406" s="16" t="s">
        <v>1282</v>
      </c>
      <c r="C406" s="16" t="s">
        <v>287</v>
      </c>
      <c r="D406" s="16" t="s">
        <v>123</v>
      </c>
      <c r="E406" s="25">
        <v>45231</v>
      </c>
      <c r="F406" s="16" t="s">
        <v>1283</v>
      </c>
      <c r="G406" s="16" t="s">
        <v>125</v>
      </c>
      <c r="H406" s="16">
        <v>3.3</v>
      </c>
      <c r="I406" s="16">
        <v>199</v>
      </c>
      <c r="J406" s="16">
        <v>0</v>
      </c>
      <c r="K406" s="16">
        <v>656.7</v>
      </c>
      <c r="L406" s="16" t="s">
        <v>126</v>
      </c>
      <c r="M406" s="16" t="s">
        <v>140</v>
      </c>
      <c r="N406" s="27">
        <v>45231.352083333331</v>
      </c>
      <c r="O406" s="27">
        <v>45231.996527777781</v>
      </c>
      <c r="P406" s="20"/>
      <c r="Q406" s="16" t="b">
        <f>FALSE()</f>
        <v>0</v>
      </c>
      <c r="R406" s="16" t="b">
        <f>FALSE()</f>
        <v>0</v>
      </c>
      <c r="S406" s="17">
        <f t="shared" si="6"/>
        <v>15.5</v>
      </c>
      <c r="T406">
        <f>COUNTIF('👤 Customers'!$A:$A, B406)</f>
        <v>1</v>
      </c>
      <c r="U406">
        <f>COUNTIF('🚴 Riders'!A405:A465, C406)</f>
        <v>0</v>
      </c>
      <c r="V406">
        <f>COUNTIF('🏭 Facilities'!A405:A413, D406)</f>
        <v>0</v>
      </c>
    </row>
    <row r="407" spans="1:22">
      <c r="A407" s="18" t="s">
        <v>1284</v>
      </c>
      <c r="B407" s="18" t="s">
        <v>990</v>
      </c>
      <c r="C407" s="18" t="s">
        <v>114</v>
      </c>
      <c r="D407" s="18" t="s">
        <v>197</v>
      </c>
      <c r="E407" s="26">
        <v>45386</v>
      </c>
      <c r="F407" s="18" t="s">
        <v>1285</v>
      </c>
      <c r="G407" s="18" t="s">
        <v>176</v>
      </c>
      <c r="H407" s="18">
        <v>7.5</v>
      </c>
      <c r="I407" s="18">
        <v>599</v>
      </c>
      <c r="J407" s="18">
        <v>20</v>
      </c>
      <c r="K407" s="18">
        <v>3594</v>
      </c>
      <c r="L407" s="18" t="s">
        <v>118</v>
      </c>
      <c r="M407" s="18" t="s">
        <v>119</v>
      </c>
      <c r="N407" s="28">
        <v>45386.12777777778</v>
      </c>
      <c r="O407" s="28">
        <v>45386.466666666667</v>
      </c>
      <c r="P407" s="18">
        <v>4.7</v>
      </c>
      <c r="Q407" s="18" t="b">
        <f>FALSE()</f>
        <v>0</v>
      </c>
      <c r="R407" s="18" t="b">
        <f>FALSE()</f>
        <v>0</v>
      </c>
      <c r="S407" s="19">
        <f t="shared" si="6"/>
        <v>8.1</v>
      </c>
      <c r="T407">
        <f>COUNTIF('👤 Customers'!$A:$A, B407)</f>
        <v>1</v>
      </c>
      <c r="U407">
        <f>COUNTIF('🚴 Riders'!A406:A466, C407)</f>
        <v>0</v>
      </c>
      <c r="V407">
        <f>COUNTIF('🏭 Facilities'!A406:A414, D407)</f>
        <v>0</v>
      </c>
    </row>
    <row r="408" spans="1:22">
      <c r="A408" s="16" t="s">
        <v>1286</v>
      </c>
      <c r="B408" s="16" t="s">
        <v>1095</v>
      </c>
      <c r="C408" s="16" t="s">
        <v>265</v>
      </c>
      <c r="D408" s="16" t="s">
        <v>115</v>
      </c>
      <c r="E408" s="25">
        <v>45311</v>
      </c>
      <c r="F408" s="16" t="s">
        <v>1287</v>
      </c>
      <c r="G408" s="16" t="s">
        <v>176</v>
      </c>
      <c r="H408" s="16">
        <v>7.6</v>
      </c>
      <c r="I408" s="16">
        <v>599</v>
      </c>
      <c r="J408" s="16">
        <v>0</v>
      </c>
      <c r="K408" s="16">
        <v>4552.3999999999996</v>
      </c>
      <c r="L408" s="16" t="s">
        <v>207</v>
      </c>
      <c r="M408" s="16" t="s">
        <v>140</v>
      </c>
      <c r="N408" s="27">
        <v>45311.397916666669</v>
      </c>
      <c r="O408" s="27">
        <v>45311.870833333334</v>
      </c>
      <c r="P408" s="20"/>
      <c r="Q408" s="16" t="b">
        <f>FALSE()</f>
        <v>0</v>
      </c>
      <c r="R408" s="16" t="b">
        <f>FALSE()</f>
        <v>0</v>
      </c>
      <c r="S408" s="17">
        <f t="shared" si="6"/>
        <v>11.3</v>
      </c>
      <c r="T408">
        <f>COUNTIF('👤 Customers'!$A:$A, B408)</f>
        <v>1</v>
      </c>
      <c r="U408">
        <f>COUNTIF('🚴 Riders'!A407:A467, C408)</f>
        <v>0</v>
      </c>
      <c r="V408">
        <f>COUNTIF('🏭 Facilities'!A407:A415, D408)</f>
        <v>0</v>
      </c>
    </row>
    <row r="409" spans="1:22">
      <c r="A409" s="18" t="s">
        <v>1288</v>
      </c>
      <c r="B409" s="18" t="s">
        <v>271</v>
      </c>
      <c r="C409" s="18" t="s">
        <v>188</v>
      </c>
      <c r="D409" s="18" t="s">
        <v>158</v>
      </c>
      <c r="E409" s="26">
        <v>45459</v>
      </c>
      <c r="F409" s="18" t="s">
        <v>1289</v>
      </c>
      <c r="G409" s="18" t="s">
        <v>117</v>
      </c>
      <c r="H409" s="18">
        <v>7.5</v>
      </c>
      <c r="I409" s="18">
        <v>149</v>
      </c>
      <c r="J409" s="18">
        <v>20</v>
      </c>
      <c r="K409" s="18">
        <v>894</v>
      </c>
      <c r="L409" s="18" t="s">
        <v>118</v>
      </c>
      <c r="M409" s="18" t="s">
        <v>140</v>
      </c>
      <c r="N409" s="28">
        <v>45459.151388888888</v>
      </c>
      <c r="O409" s="28">
        <v>45459.565972222219</v>
      </c>
      <c r="P409" s="20"/>
      <c r="Q409" s="18" t="b">
        <f>FALSE()</f>
        <v>0</v>
      </c>
      <c r="R409" s="18" t="b">
        <f>FALSE()</f>
        <v>0</v>
      </c>
      <c r="S409" s="19">
        <f t="shared" si="6"/>
        <v>9.9</v>
      </c>
      <c r="T409">
        <f>COUNTIF('👤 Customers'!$A:$A, B409)</f>
        <v>1</v>
      </c>
      <c r="U409">
        <f>COUNTIF('🚴 Riders'!A408:A468, C409)</f>
        <v>0</v>
      </c>
      <c r="V409">
        <f>COUNTIF('🏭 Facilities'!A408:A416, D409)</f>
        <v>0</v>
      </c>
    </row>
    <row r="410" spans="1:22">
      <c r="A410" s="16" t="s">
        <v>1290</v>
      </c>
      <c r="B410" s="16" t="s">
        <v>654</v>
      </c>
      <c r="C410" s="16" t="s">
        <v>287</v>
      </c>
      <c r="D410" s="16" t="s">
        <v>115</v>
      </c>
      <c r="E410" s="25">
        <v>45582</v>
      </c>
      <c r="F410" s="16" t="s">
        <v>1291</v>
      </c>
      <c r="G410" s="16" t="s">
        <v>132</v>
      </c>
      <c r="H410" s="16">
        <v>5.4</v>
      </c>
      <c r="I410" s="16">
        <v>399</v>
      </c>
      <c r="J410" s="16">
        <v>0</v>
      </c>
      <c r="K410" s="16">
        <v>2154.6</v>
      </c>
      <c r="L410" s="16" t="s">
        <v>126</v>
      </c>
      <c r="M410" s="16" t="s">
        <v>140</v>
      </c>
      <c r="N410" s="27">
        <v>45583</v>
      </c>
      <c r="O410" s="27">
        <v>45583.668055555558</v>
      </c>
      <c r="P410" s="20"/>
      <c r="Q410" s="16" t="b">
        <f>FALSE()</f>
        <v>0</v>
      </c>
      <c r="R410" s="16" t="b">
        <f>FALSE()</f>
        <v>0</v>
      </c>
      <c r="S410" s="17">
        <f t="shared" si="6"/>
        <v>16</v>
      </c>
      <c r="T410">
        <f>COUNTIF('👤 Customers'!$A:$A, B410)</f>
        <v>1</v>
      </c>
      <c r="U410">
        <f>COUNTIF('🚴 Riders'!A409:A469, C410)</f>
        <v>0</v>
      </c>
      <c r="V410">
        <f>COUNTIF('🏭 Facilities'!A409:A417, D410)</f>
        <v>0</v>
      </c>
    </row>
    <row r="411" spans="1:22">
      <c r="A411" s="18" t="s">
        <v>1292</v>
      </c>
      <c r="B411" s="18" t="s">
        <v>156</v>
      </c>
      <c r="C411" s="18" t="s">
        <v>240</v>
      </c>
      <c r="D411" s="18" t="s">
        <v>184</v>
      </c>
      <c r="E411" s="26">
        <v>45310</v>
      </c>
      <c r="F411" s="18" t="s">
        <v>1293</v>
      </c>
      <c r="G411" s="18" t="s">
        <v>117</v>
      </c>
      <c r="H411" s="18">
        <v>2.6</v>
      </c>
      <c r="I411" s="18">
        <v>149</v>
      </c>
      <c r="J411" s="18">
        <v>0</v>
      </c>
      <c r="K411" s="18">
        <v>387.4</v>
      </c>
      <c r="L411" s="18" t="s">
        <v>126</v>
      </c>
      <c r="M411" s="18" t="s">
        <v>119</v>
      </c>
      <c r="N411" s="28">
        <v>45310.560416666667</v>
      </c>
      <c r="O411" s="28">
        <v>45311.104166666664</v>
      </c>
      <c r="P411" s="18">
        <v>3.3</v>
      </c>
      <c r="Q411" s="18" t="b">
        <f>TRUE()</f>
        <v>1</v>
      </c>
      <c r="R411" s="18" t="b">
        <f>FALSE()</f>
        <v>0</v>
      </c>
      <c r="S411" s="19">
        <f t="shared" si="6"/>
        <v>13</v>
      </c>
      <c r="T411">
        <f>COUNTIF('👤 Customers'!$A:$A, B411)</f>
        <v>1</v>
      </c>
      <c r="U411">
        <f>COUNTIF('🚴 Riders'!A410:A470, C411)</f>
        <v>0</v>
      </c>
      <c r="V411">
        <f>COUNTIF('🏭 Facilities'!A410:A418, D411)</f>
        <v>0</v>
      </c>
    </row>
    <row r="412" spans="1:22">
      <c r="A412" s="16" t="s">
        <v>1294</v>
      </c>
      <c r="B412" s="16" t="s">
        <v>1295</v>
      </c>
      <c r="C412" s="16" t="s">
        <v>842</v>
      </c>
      <c r="D412" s="16" t="s">
        <v>197</v>
      </c>
      <c r="E412" s="25">
        <v>45363</v>
      </c>
      <c r="F412" s="16" t="s">
        <v>1296</v>
      </c>
      <c r="G412" s="16" t="s">
        <v>132</v>
      </c>
      <c r="H412" s="16">
        <v>4.4000000000000004</v>
      </c>
      <c r="I412" s="16">
        <v>399</v>
      </c>
      <c r="J412" s="16">
        <v>30</v>
      </c>
      <c r="K412" s="16">
        <v>1228.92</v>
      </c>
      <c r="L412" s="16" t="s">
        <v>126</v>
      </c>
      <c r="M412" s="16" t="s">
        <v>119</v>
      </c>
      <c r="N412" s="27">
        <v>45363.636805555558</v>
      </c>
      <c r="O412" s="27">
        <v>45364.552083333336</v>
      </c>
      <c r="P412" s="16">
        <v>4.8</v>
      </c>
      <c r="Q412" s="16" t="b">
        <f>FALSE()</f>
        <v>0</v>
      </c>
      <c r="R412" s="16" t="b">
        <f>FALSE()</f>
        <v>0</v>
      </c>
      <c r="S412" s="17">
        <f t="shared" si="6"/>
        <v>22</v>
      </c>
      <c r="T412">
        <f>COUNTIF('👤 Customers'!$A:$A, B412)</f>
        <v>1</v>
      </c>
      <c r="U412">
        <f>COUNTIF('🚴 Riders'!A411:A471, C412)</f>
        <v>0</v>
      </c>
      <c r="V412">
        <f>COUNTIF('🏭 Facilities'!A411:A419, D412)</f>
        <v>0</v>
      </c>
    </row>
    <row r="413" spans="1:22">
      <c r="A413" s="18" t="s">
        <v>1297</v>
      </c>
      <c r="B413" s="18" t="s">
        <v>1011</v>
      </c>
      <c r="C413" s="18" t="s">
        <v>431</v>
      </c>
      <c r="D413" s="18" t="s">
        <v>197</v>
      </c>
      <c r="E413" s="26">
        <v>45580</v>
      </c>
      <c r="F413" s="18" t="s">
        <v>1298</v>
      </c>
      <c r="G413" s="18" t="s">
        <v>125</v>
      </c>
      <c r="H413" s="18">
        <v>7.8</v>
      </c>
      <c r="I413" s="18">
        <v>199</v>
      </c>
      <c r="J413" s="18">
        <v>10</v>
      </c>
      <c r="K413" s="18">
        <v>1396.98</v>
      </c>
      <c r="L413" s="18" t="s">
        <v>207</v>
      </c>
      <c r="M413" s="18" t="s">
        <v>133</v>
      </c>
      <c r="N413" s="20"/>
      <c r="O413" s="20"/>
      <c r="P413" s="20"/>
      <c r="Q413" s="18" t="b">
        <f>FALSE()</f>
        <v>0</v>
      </c>
      <c r="R413" s="18" t="b">
        <f>FALSE()</f>
        <v>0</v>
      </c>
      <c r="S413" s="19" t="str">
        <f t="shared" si="6"/>
        <v>N/A</v>
      </c>
      <c r="T413">
        <f>COUNTIF('👤 Customers'!$A:$A, B413)</f>
        <v>1</v>
      </c>
      <c r="U413">
        <f>COUNTIF('🚴 Riders'!A412:A472, C413)</f>
        <v>0</v>
      </c>
      <c r="V413">
        <f>COUNTIF('🏭 Facilities'!A412:A420, D413)</f>
        <v>0</v>
      </c>
    </row>
    <row r="414" spans="1:22">
      <c r="A414" s="16" t="s">
        <v>1299</v>
      </c>
      <c r="B414" s="16" t="s">
        <v>231</v>
      </c>
      <c r="C414" s="16" t="s">
        <v>143</v>
      </c>
      <c r="D414" s="16" t="s">
        <v>205</v>
      </c>
      <c r="E414" s="25">
        <v>45634</v>
      </c>
      <c r="F414" s="16" t="s">
        <v>1300</v>
      </c>
      <c r="G414" s="16" t="s">
        <v>117</v>
      </c>
      <c r="H414" s="16">
        <v>2.1</v>
      </c>
      <c r="I414" s="16">
        <v>149</v>
      </c>
      <c r="J414" s="16">
        <v>0</v>
      </c>
      <c r="K414" s="16">
        <v>312.89999999999998</v>
      </c>
      <c r="L414" s="16" t="s">
        <v>118</v>
      </c>
      <c r="M414" s="16" t="s">
        <v>119</v>
      </c>
      <c r="N414" s="27">
        <v>45634.715277777781</v>
      </c>
      <c r="O414" s="27">
        <v>45635.453472222223</v>
      </c>
      <c r="P414" s="16">
        <v>4.5</v>
      </c>
      <c r="Q414" s="16" t="b">
        <f>TRUE()</f>
        <v>1</v>
      </c>
      <c r="R414" s="16" t="b">
        <f>FALSE()</f>
        <v>0</v>
      </c>
      <c r="S414" s="17">
        <f t="shared" si="6"/>
        <v>17.7</v>
      </c>
      <c r="T414">
        <f>COUNTIF('👤 Customers'!$A:$A, B414)</f>
        <v>1</v>
      </c>
      <c r="U414">
        <f>COUNTIF('🚴 Riders'!A413:A473, C414)</f>
        <v>0</v>
      </c>
      <c r="V414">
        <f>COUNTIF('🏭 Facilities'!A413:A421, D414)</f>
        <v>0</v>
      </c>
    </row>
    <row r="415" spans="1:22">
      <c r="A415" s="18" t="s">
        <v>1301</v>
      </c>
      <c r="B415" s="18" t="s">
        <v>1302</v>
      </c>
      <c r="C415" s="18" t="s">
        <v>196</v>
      </c>
      <c r="D415" s="18" t="s">
        <v>158</v>
      </c>
      <c r="E415" s="26">
        <v>45249</v>
      </c>
      <c r="F415" s="18" t="s">
        <v>1303</v>
      </c>
      <c r="G415" s="18" t="s">
        <v>125</v>
      </c>
      <c r="H415" s="18">
        <v>2.7</v>
      </c>
      <c r="I415" s="18">
        <v>199</v>
      </c>
      <c r="J415" s="18">
        <v>20</v>
      </c>
      <c r="K415" s="18">
        <v>429.84</v>
      </c>
      <c r="L415" s="18" t="s">
        <v>118</v>
      </c>
      <c r="M415" s="18" t="s">
        <v>119</v>
      </c>
      <c r="N415" s="28">
        <v>45249.984722222223</v>
      </c>
      <c r="O415" s="28">
        <v>45250.427083333336</v>
      </c>
      <c r="P415" s="18">
        <v>4.0999999999999996</v>
      </c>
      <c r="Q415" s="18" t="b">
        <f>FALSE()</f>
        <v>0</v>
      </c>
      <c r="R415" s="18" t="b">
        <f>FALSE()</f>
        <v>0</v>
      </c>
      <c r="S415" s="19">
        <f t="shared" si="6"/>
        <v>10.6</v>
      </c>
      <c r="T415">
        <f>COUNTIF('👤 Customers'!$A:$A, B415)</f>
        <v>1</v>
      </c>
      <c r="U415">
        <f>COUNTIF('🚴 Riders'!A414:A474, C415)</f>
        <v>0</v>
      </c>
      <c r="V415">
        <f>COUNTIF('🏭 Facilities'!A414:A422, D415)</f>
        <v>0</v>
      </c>
    </row>
    <row r="416" spans="1:22">
      <c r="A416" s="16" t="s">
        <v>1304</v>
      </c>
      <c r="B416" s="16" t="s">
        <v>1033</v>
      </c>
      <c r="C416" s="16" t="s">
        <v>750</v>
      </c>
      <c r="D416" s="16" t="s">
        <v>205</v>
      </c>
      <c r="E416" s="25">
        <v>45338</v>
      </c>
      <c r="F416" s="16" t="s">
        <v>1305</v>
      </c>
      <c r="G416" s="16" t="s">
        <v>145</v>
      </c>
      <c r="H416" s="16">
        <v>6.5</v>
      </c>
      <c r="I416" s="16">
        <v>299</v>
      </c>
      <c r="J416" s="16">
        <v>0</v>
      </c>
      <c r="K416" s="16">
        <v>1943.5</v>
      </c>
      <c r="L416" s="16" t="s">
        <v>126</v>
      </c>
      <c r="M416" s="16" t="s">
        <v>119</v>
      </c>
      <c r="N416" s="27">
        <v>45338.472222222219</v>
      </c>
      <c r="O416" s="27">
        <v>45339.109027777777</v>
      </c>
      <c r="P416" s="16">
        <v>3.6</v>
      </c>
      <c r="Q416" s="16" t="b">
        <f>FALSE()</f>
        <v>0</v>
      </c>
      <c r="R416" s="16" t="b">
        <f>FALSE()</f>
        <v>0</v>
      </c>
      <c r="S416" s="17">
        <f t="shared" si="6"/>
        <v>15.3</v>
      </c>
      <c r="T416">
        <f>COUNTIF('👤 Customers'!$A:$A, B416)</f>
        <v>1</v>
      </c>
      <c r="U416">
        <f>COUNTIF('🚴 Riders'!A415:A475, C416)</f>
        <v>0</v>
      </c>
      <c r="V416">
        <f>COUNTIF('🏭 Facilities'!A415:A423, D416)</f>
        <v>0</v>
      </c>
    </row>
    <row r="417" spans="1:22">
      <c r="A417" s="18" t="s">
        <v>1306</v>
      </c>
      <c r="B417" s="18" t="s">
        <v>935</v>
      </c>
      <c r="C417" s="18" t="s">
        <v>143</v>
      </c>
      <c r="D417" s="18" t="s">
        <v>137</v>
      </c>
      <c r="E417" s="26">
        <v>45328</v>
      </c>
      <c r="F417" s="18" t="s">
        <v>1307</v>
      </c>
      <c r="G417" s="18" t="s">
        <v>125</v>
      </c>
      <c r="H417" s="18">
        <v>1.6</v>
      </c>
      <c r="I417" s="18">
        <v>199</v>
      </c>
      <c r="J417" s="18">
        <v>0</v>
      </c>
      <c r="K417" s="18">
        <v>318.39999999999998</v>
      </c>
      <c r="L417" s="18" t="s">
        <v>146</v>
      </c>
      <c r="M417" s="18" t="s">
        <v>119</v>
      </c>
      <c r="N417" s="28">
        <v>45328.920138888891</v>
      </c>
      <c r="O417" s="28">
        <v>45329.510416666664</v>
      </c>
      <c r="P417" s="18">
        <v>2.6</v>
      </c>
      <c r="Q417" s="18" t="b">
        <f>FALSE()</f>
        <v>0</v>
      </c>
      <c r="R417" s="18" t="b">
        <f>FALSE()</f>
        <v>0</v>
      </c>
      <c r="S417" s="19">
        <f t="shared" si="6"/>
        <v>14.2</v>
      </c>
      <c r="T417">
        <f>COUNTIF('👤 Customers'!$A:$A, B417)</f>
        <v>1</v>
      </c>
      <c r="U417">
        <f>COUNTIF('🚴 Riders'!A416:A476, C417)</f>
        <v>0</v>
      </c>
      <c r="V417">
        <f>COUNTIF('🏭 Facilities'!A416:A424, D417)</f>
        <v>0</v>
      </c>
    </row>
    <row r="418" spans="1:22">
      <c r="A418" s="16" t="s">
        <v>1308</v>
      </c>
      <c r="B418" s="16" t="s">
        <v>623</v>
      </c>
      <c r="C418" s="16" t="s">
        <v>170</v>
      </c>
      <c r="D418" s="16" t="s">
        <v>205</v>
      </c>
      <c r="E418" s="25">
        <v>45439</v>
      </c>
      <c r="F418" s="16" t="s">
        <v>1309</v>
      </c>
      <c r="G418" s="16" t="s">
        <v>176</v>
      </c>
      <c r="H418" s="16">
        <v>7.8</v>
      </c>
      <c r="I418" s="16">
        <v>599</v>
      </c>
      <c r="J418" s="16">
        <v>0</v>
      </c>
      <c r="K418" s="16">
        <v>4672.2</v>
      </c>
      <c r="L418" s="16" t="s">
        <v>126</v>
      </c>
      <c r="M418" s="16" t="s">
        <v>140</v>
      </c>
      <c r="N418" s="27">
        <v>45440.040972222225</v>
      </c>
      <c r="O418" s="27">
        <v>45441.04791666667</v>
      </c>
      <c r="P418" s="20"/>
      <c r="Q418" s="16" t="b">
        <f>FALSE()</f>
        <v>0</v>
      </c>
      <c r="R418" s="16" t="b">
        <f>FALSE()</f>
        <v>0</v>
      </c>
      <c r="S418" s="17">
        <f t="shared" si="6"/>
        <v>24.2</v>
      </c>
      <c r="T418">
        <f>COUNTIF('👤 Customers'!$A:$A, B418)</f>
        <v>1</v>
      </c>
      <c r="U418">
        <f>COUNTIF('🚴 Riders'!A417:A477, C418)</f>
        <v>0</v>
      </c>
      <c r="V418">
        <f>COUNTIF('🏭 Facilities'!A417:A425, D418)</f>
        <v>0</v>
      </c>
    </row>
    <row r="419" spans="1:22">
      <c r="A419" s="18" t="s">
        <v>1310</v>
      </c>
      <c r="B419" s="18" t="s">
        <v>1311</v>
      </c>
      <c r="C419" s="18" t="s">
        <v>224</v>
      </c>
      <c r="D419" s="18" t="s">
        <v>205</v>
      </c>
      <c r="E419" s="26">
        <v>45401</v>
      </c>
      <c r="F419" s="18" t="s">
        <v>1312</v>
      </c>
      <c r="G419" s="18" t="s">
        <v>132</v>
      </c>
      <c r="H419" s="18">
        <v>5.9</v>
      </c>
      <c r="I419" s="18">
        <v>399</v>
      </c>
      <c r="J419" s="18">
        <v>0</v>
      </c>
      <c r="K419" s="18">
        <v>2354.1</v>
      </c>
      <c r="L419" s="18" t="s">
        <v>139</v>
      </c>
      <c r="M419" s="18" t="s">
        <v>119</v>
      </c>
      <c r="N419" s="28">
        <v>45401.262499999997</v>
      </c>
      <c r="O419" s="28">
        <v>45402.073611111111</v>
      </c>
      <c r="P419" s="18">
        <v>4.4000000000000004</v>
      </c>
      <c r="Q419" s="18" t="b">
        <f>FALSE()</f>
        <v>0</v>
      </c>
      <c r="R419" s="18" t="b">
        <f>TRUE()</f>
        <v>1</v>
      </c>
      <c r="S419" s="19">
        <f t="shared" si="6"/>
        <v>19.5</v>
      </c>
      <c r="T419">
        <f>COUNTIF('👤 Customers'!$A:$A, B419)</f>
        <v>1</v>
      </c>
      <c r="U419">
        <f>COUNTIF('🚴 Riders'!A418:A478, C419)</f>
        <v>0</v>
      </c>
      <c r="V419">
        <f>COUNTIF('🏭 Facilities'!A418:A426, D419)</f>
        <v>0</v>
      </c>
    </row>
    <row r="420" spans="1:22">
      <c r="A420" s="16" t="s">
        <v>1313</v>
      </c>
      <c r="B420" s="16" t="s">
        <v>1314</v>
      </c>
      <c r="C420" s="16" t="s">
        <v>136</v>
      </c>
      <c r="D420" s="16" t="s">
        <v>123</v>
      </c>
      <c r="E420" s="25">
        <v>45344</v>
      </c>
      <c r="F420" s="16" t="s">
        <v>1315</v>
      </c>
      <c r="G420" s="16" t="s">
        <v>117</v>
      </c>
      <c r="H420" s="16">
        <v>3.7</v>
      </c>
      <c r="I420" s="16">
        <v>149</v>
      </c>
      <c r="J420" s="16">
        <v>10</v>
      </c>
      <c r="K420" s="16">
        <v>496.17</v>
      </c>
      <c r="L420" s="16" t="s">
        <v>146</v>
      </c>
      <c r="M420" s="16" t="s">
        <v>119</v>
      </c>
      <c r="N420" s="27">
        <v>45344.533333333333</v>
      </c>
      <c r="O420" s="27">
        <v>45345.248611111114</v>
      </c>
      <c r="P420" s="16">
        <v>3.4</v>
      </c>
      <c r="Q420" s="16" t="b">
        <f>FALSE()</f>
        <v>0</v>
      </c>
      <c r="R420" s="16" t="b">
        <f>TRUE()</f>
        <v>1</v>
      </c>
      <c r="S420" s="17">
        <f t="shared" si="6"/>
        <v>17.2</v>
      </c>
      <c r="T420">
        <f>COUNTIF('👤 Customers'!$A:$A, B420)</f>
        <v>1</v>
      </c>
      <c r="U420">
        <f>COUNTIF('🚴 Riders'!A419:A479, C420)</f>
        <v>0</v>
      </c>
      <c r="V420">
        <f>COUNTIF('🏭 Facilities'!A419:A427, D420)</f>
        <v>0</v>
      </c>
    </row>
    <row r="421" spans="1:22">
      <c r="A421" s="18" t="s">
        <v>1316</v>
      </c>
      <c r="B421" s="18" t="s">
        <v>1317</v>
      </c>
      <c r="C421" s="18" t="s">
        <v>563</v>
      </c>
      <c r="D421" s="18" t="s">
        <v>205</v>
      </c>
      <c r="E421" s="26">
        <v>45618</v>
      </c>
      <c r="F421" s="18" t="s">
        <v>1318</v>
      </c>
      <c r="G421" s="18" t="s">
        <v>176</v>
      </c>
      <c r="H421" s="18">
        <v>5.0999999999999996</v>
      </c>
      <c r="I421" s="18">
        <v>599</v>
      </c>
      <c r="J421" s="18">
        <v>0</v>
      </c>
      <c r="K421" s="18">
        <v>3054.9</v>
      </c>
      <c r="L421" s="18" t="s">
        <v>118</v>
      </c>
      <c r="M421" s="18" t="s">
        <v>119</v>
      </c>
      <c r="N421" s="28">
        <v>45618.657638888886</v>
      </c>
      <c r="O421" s="28">
        <v>45619.699305555558</v>
      </c>
      <c r="P421" s="18">
        <v>4.0999999999999996</v>
      </c>
      <c r="Q421" s="18" t="b">
        <f>FALSE()</f>
        <v>0</v>
      </c>
      <c r="R421" s="18" t="b">
        <f>TRUE()</f>
        <v>1</v>
      </c>
      <c r="S421" s="19">
        <f t="shared" si="6"/>
        <v>25</v>
      </c>
      <c r="T421">
        <f>COUNTIF('👤 Customers'!$A:$A, B421)</f>
        <v>1</v>
      </c>
      <c r="U421">
        <f>COUNTIF('🚴 Riders'!A420:A480, C421)</f>
        <v>0</v>
      </c>
      <c r="V421">
        <f>COUNTIF('🏭 Facilities'!A420:A428, D421)</f>
        <v>0</v>
      </c>
    </row>
    <row r="422" spans="1:22">
      <c r="A422" s="16" t="s">
        <v>1319</v>
      </c>
      <c r="B422" s="16" t="s">
        <v>1091</v>
      </c>
      <c r="C422" s="16" t="s">
        <v>483</v>
      </c>
      <c r="D422" s="16" t="s">
        <v>130</v>
      </c>
      <c r="E422" s="25">
        <v>45432</v>
      </c>
      <c r="F422" s="16" t="s">
        <v>1320</v>
      </c>
      <c r="G422" s="16" t="s">
        <v>125</v>
      </c>
      <c r="H422" s="16">
        <v>4.0999999999999996</v>
      </c>
      <c r="I422" s="16">
        <v>199</v>
      </c>
      <c r="J422" s="16">
        <v>0</v>
      </c>
      <c r="K422" s="16">
        <v>815.9</v>
      </c>
      <c r="L422" s="16" t="s">
        <v>118</v>
      </c>
      <c r="M422" s="16" t="s">
        <v>119</v>
      </c>
      <c r="N422" s="27">
        <v>45432.70416666667</v>
      </c>
      <c r="O422" s="27">
        <v>45433.8</v>
      </c>
      <c r="P422" s="16">
        <v>3.2</v>
      </c>
      <c r="Q422" s="16" t="b">
        <f>FALSE()</f>
        <v>0</v>
      </c>
      <c r="R422" s="16" t="b">
        <f>FALSE()</f>
        <v>0</v>
      </c>
      <c r="S422" s="17">
        <f t="shared" si="6"/>
        <v>26.3</v>
      </c>
      <c r="T422">
        <f>COUNTIF('👤 Customers'!$A:$A, B422)</f>
        <v>1</v>
      </c>
      <c r="U422">
        <f>COUNTIF('🚴 Riders'!A421:A481, C422)</f>
        <v>0</v>
      </c>
      <c r="V422">
        <f>COUNTIF('🏭 Facilities'!A421:A429, D422)</f>
        <v>0</v>
      </c>
    </row>
    <row r="423" spans="1:22">
      <c r="A423" s="18" t="s">
        <v>1321</v>
      </c>
      <c r="B423" s="18" t="s">
        <v>1322</v>
      </c>
      <c r="C423" s="18" t="s">
        <v>358</v>
      </c>
      <c r="D423" s="18" t="s">
        <v>115</v>
      </c>
      <c r="E423" s="26">
        <v>45371</v>
      </c>
      <c r="F423" s="18" t="s">
        <v>1323</v>
      </c>
      <c r="G423" s="18" t="s">
        <v>132</v>
      </c>
      <c r="H423" s="18">
        <v>6</v>
      </c>
      <c r="I423" s="18">
        <v>399</v>
      </c>
      <c r="J423" s="18">
        <v>0</v>
      </c>
      <c r="K423" s="18">
        <v>2394</v>
      </c>
      <c r="L423" s="18" t="s">
        <v>126</v>
      </c>
      <c r="M423" s="18" t="s">
        <v>119</v>
      </c>
      <c r="N423" s="28">
        <v>45371.915972222225</v>
      </c>
      <c r="O423" s="28">
        <v>45372.611111111109</v>
      </c>
      <c r="P423" s="18">
        <v>2.9</v>
      </c>
      <c r="Q423" s="18" t="b">
        <f>FALSE()</f>
        <v>0</v>
      </c>
      <c r="R423" s="18" t="b">
        <f>FALSE()</f>
        <v>0</v>
      </c>
      <c r="S423" s="19">
        <f t="shared" si="6"/>
        <v>16.7</v>
      </c>
      <c r="T423">
        <f>COUNTIF('👤 Customers'!$A:$A, B423)</f>
        <v>1</v>
      </c>
      <c r="U423">
        <f>COUNTIF('🚴 Riders'!A422:A482, C423)</f>
        <v>0</v>
      </c>
      <c r="V423">
        <f>COUNTIF('🏭 Facilities'!A422:A430, D423)</f>
        <v>0</v>
      </c>
    </row>
    <row r="424" spans="1:22">
      <c r="A424" s="16" t="s">
        <v>1324</v>
      </c>
      <c r="B424" s="16" t="s">
        <v>380</v>
      </c>
      <c r="C424" s="16" t="s">
        <v>136</v>
      </c>
      <c r="D424" s="16" t="s">
        <v>158</v>
      </c>
      <c r="E424" s="25">
        <v>44998</v>
      </c>
      <c r="F424" s="16" t="s">
        <v>1325</v>
      </c>
      <c r="G424" s="16" t="s">
        <v>125</v>
      </c>
      <c r="H424" s="16">
        <v>4</v>
      </c>
      <c r="I424" s="16">
        <v>199</v>
      </c>
      <c r="J424" s="16">
        <v>0</v>
      </c>
      <c r="K424" s="16">
        <v>796</v>
      </c>
      <c r="L424" s="16" t="s">
        <v>118</v>
      </c>
      <c r="M424" s="16" t="s">
        <v>119</v>
      </c>
      <c r="N424" s="27">
        <v>44998.737500000003</v>
      </c>
      <c r="O424" s="27">
        <v>44999.349305555559</v>
      </c>
      <c r="P424" s="16">
        <v>4</v>
      </c>
      <c r="Q424" s="16" t="b">
        <f>FALSE()</f>
        <v>0</v>
      </c>
      <c r="R424" s="16" t="b">
        <f>FALSE()</f>
        <v>0</v>
      </c>
      <c r="S424" s="17">
        <f t="shared" si="6"/>
        <v>14.7</v>
      </c>
      <c r="T424">
        <f>COUNTIF('👤 Customers'!$A:$A, B424)</f>
        <v>1</v>
      </c>
      <c r="U424">
        <f>COUNTIF('🚴 Riders'!A423:A483, C424)</f>
        <v>0</v>
      </c>
      <c r="V424">
        <f>COUNTIF('🏭 Facilities'!A423:A431, D424)</f>
        <v>0</v>
      </c>
    </row>
    <row r="425" spans="1:22">
      <c r="A425" s="18" t="s">
        <v>1326</v>
      </c>
      <c r="B425" s="18" t="s">
        <v>958</v>
      </c>
      <c r="C425" s="18" t="s">
        <v>166</v>
      </c>
      <c r="D425" s="18" t="s">
        <v>197</v>
      </c>
      <c r="E425" s="26">
        <v>45462</v>
      </c>
      <c r="F425" s="18" t="s">
        <v>1327</v>
      </c>
      <c r="G425" s="18" t="s">
        <v>145</v>
      </c>
      <c r="H425" s="18">
        <v>6.1</v>
      </c>
      <c r="I425" s="18">
        <v>299</v>
      </c>
      <c r="J425" s="18">
        <v>0</v>
      </c>
      <c r="K425" s="18">
        <v>1823.9</v>
      </c>
      <c r="L425" s="18" t="s">
        <v>207</v>
      </c>
      <c r="M425" s="18" t="s">
        <v>119</v>
      </c>
      <c r="N425" s="28">
        <v>45462.217361111114</v>
      </c>
      <c r="O425" s="28">
        <v>45462.663888888892</v>
      </c>
      <c r="P425" s="18">
        <v>3.6</v>
      </c>
      <c r="Q425" s="18" t="b">
        <f>TRUE()</f>
        <v>1</v>
      </c>
      <c r="R425" s="18" t="b">
        <f>TRUE()</f>
        <v>1</v>
      </c>
      <c r="S425" s="19">
        <f t="shared" si="6"/>
        <v>10.7</v>
      </c>
      <c r="T425">
        <f>COUNTIF('👤 Customers'!$A:$A, B425)</f>
        <v>1</v>
      </c>
      <c r="U425">
        <f>COUNTIF('🚴 Riders'!A424:A484, C425)</f>
        <v>0</v>
      </c>
      <c r="V425">
        <f>COUNTIF('🏭 Facilities'!A424:A432, D425)</f>
        <v>0</v>
      </c>
    </row>
    <row r="426" spans="1:22">
      <c r="A426" s="16" t="s">
        <v>1328</v>
      </c>
      <c r="B426" s="16" t="s">
        <v>704</v>
      </c>
      <c r="C426" s="16" t="s">
        <v>842</v>
      </c>
      <c r="D426" s="16" t="s">
        <v>197</v>
      </c>
      <c r="E426" s="25">
        <v>45361</v>
      </c>
      <c r="F426" s="16" t="s">
        <v>1329</v>
      </c>
      <c r="G426" s="16" t="s">
        <v>117</v>
      </c>
      <c r="H426" s="16">
        <v>7.5</v>
      </c>
      <c r="I426" s="16">
        <v>149</v>
      </c>
      <c r="J426" s="16">
        <v>0</v>
      </c>
      <c r="K426" s="16">
        <v>1117.5</v>
      </c>
      <c r="L426" s="16" t="s">
        <v>118</v>
      </c>
      <c r="M426" s="16" t="s">
        <v>119</v>
      </c>
      <c r="N426" s="27">
        <v>45361.245138888888</v>
      </c>
      <c r="O426" s="27">
        <v>45361.838194444441</v>
      </c>
      <c r="P426" s="16">
        <v>3.3</v>
      </c>
      <c r="Q426" s="16" t="b">
        <f>FALSE()</f>
        <v>0</v>
      </c>
      <c r="R426" s="16" t="b">
        <f>FALSE()</f>
        <v>0</v>
      </c>
      <c r="S426" s="17">
        <f t="shared" si="6"/>
        <v>14.2</v>
      </c>
      <c r="T426">
        <f>COUNTIF('👤 Customers'!$A:$A, B426)</f>
        <v>1</v>
      </c>
      <c r="U426">
        <f>COUNTIF('🚴 Riders'!A425:A485, C426)</f>
        <v>0</v>
      </c>
      <c r="V426">
        <f>COUNTIF('🏭 Facilities'!A425:A433, D426)</f>
        <v>0</v>
      </c>
    </row>
    <row r="427" spans="1:22">
      <c r="A427" s="18" t="s">
        <v>1330</v>
      </c>
      <c r="B427" s="18" t="s">
        <v>1331</v>
      </c>
      <c r="C427" s="18" t="s">
        <v>240</v>
      </c>
      <c r="D427" s="18" t="s">
        <v>115</v>
      </c>
      <c r="E427" s="26">
        <v>44948</v>
      </c>
      <c r="F427" s="18" t="s">
        <v>1332</v>
      </c>
      <c r="G427" s="18" t="s">
        <v>132</v>
      </c>
      <c r="H427" s="18">
        <v>2</v>
      </c>
      <c r="I427" s="18">
        <v>399</v>
      </c>
      <c r="J427" s="18">
        <v>0</v>
      </c>
      <c r="K427" s="18">
        <v>798</v>
      </c>
      <c r="L427" s="18" t="s">
        <v>126</v>
      </c>
      <c r="M427" s="18" t="s">
        <v>119</v>
      </c>
      <c r="N427" s="28">
        <v>44948.888194444444</v>
      </c>
      <c r="O427" s="28">
        <v>44949.431944444441</v>
      </c>
      <c r="P427" s="18">
        <v>2.8</v>
      </c>
      <c r="Q427" s="18" t="b">
        <f>FALSE()</f>
        <v>0</v>
      </c>
      <c r="R427" s="18" t="b">
        <f>FALSE()</f>
        <v>0</v>
      </c>
      <c r="S427" s="19">
        <f t="shared" si="6"/>
        <v>13</v>
      </c>
      <c r="T427">
        <f>COUNTIF('👤 Customers'!$A:$A, B427)</f>
        <v>1</v>
      </c>
      <c r="U427">
        <f>COUNTIF('🚴 Riders'!A426:A486, C427)</f>
        <v>0</v>
      </c>
      <c r="V427">
        <f>COUNTIF('🏭 Facilities'!A426:A434, D427)</f>
        <v>0</v>
      </c>
    </row>
    <row r="428" spans="1:22">
      <c r="A428" s="16" t="s">
        <v>1333</v>
      </c>
      <c r="B428" s="16" t="s">
        <v>478</v>
      </c>
      <c r="C428" s="16" t="s">
        <v>179</v>
      </c>
      <c r="D428" s="16" t="s">
        <v>137</v>
      </c>
      <c r="E428" s="25">
        <v>45251</v>
      </c>
      <c r="F428" s="16" t="s">
        <v>1334</v>
      </c>
      <c r="G428" s="16" t="s">
        <v>145</v>
      </c>
      <c r="H428" s="16">
        <v>5</v>
      </c>
      <c r="I428" s="16">
        <v>299</v>
      </c>
      <c r="J428" s="16">
        <v>0</v>
      </c>
      <c r="K428" s="16">
        <v>1495</v>
      </c>
      <c r="L428" s="16" t="s">
        <v>146</v>
      </c>
      <c r="M428" s="16" t="s">
        <v>119</v>
      </c>
      <c r="N428" s="27">
        <v>45251.474305555559</v>
      </c>
      <c r="O428" s="27">
        <v>45252.182638888888</v>
      </c>
      <c r="P428" s="16">
        <v>4.0999999999999996</v>
      </c>
      <c r="Q428" s="16" t="b">
        <f>FALSE()</f>
        <v>0</v>
      </c>
      <c r="R428" s="16" t="b">
        <f>FALSE()</f>
        <v>0</v>
      </c>
      <c r="S428" s="17">
        <f t="shared" si="6"/>
        <v>17</v>
      </c>
      <c r="T428">
        <f>COUNTIF('👤 Customers'!$A:$A, B428)</f>
        <v>1</v>
      </c>
      <c r="U428">
        <f>COUNTIF('🚴 Riders'!A427:A487, C428)</f>
        <v>0</v>
      </c>
      <c r="V428">
        <f>COUNTIF('🏭 Facilities'!A427:A435, D428)</f>
        <v>0</v>
      </c>
    </row>
    <row r="429" spans="1:22">
      <c r="A429" s="18" t="s">
        <v>1335</v>
      </c>
      <c r="B429" s="18" t="s">
        <v>1336</v>
      </c>
      <c r="C429" s="18" t="s">
        <v>122</v>
      </c>
      <c r="D429" s="18" t="s">
        <v>115</v>
      </c>
      <c r="E429" s="26">
        <v>45042</v>
      </c>
      <c r="F429" s="18" t="s">
        <v>1337</v>
      </c>
      <c r="G429" s="18" t="s">
        <v>117</v>
      </c>
      <c r="H429" s="18">
        <v>1.6</v>
      </c>
      <c r="I429" s="18">
        <v>149</v>
      </c>
      <c r="J429" s="18">
        <v>10</v>
      </c>
      <c r="K429" s="18">
        <v>214.56</v>
      </c>
      <c r="L429" s="18" t="s">
        <v>118</v>
      </c>
      <c r="M429" s="18" t="s">
        <v>133</v>
      </c>
      <c r="N429" s="20"/>
      <c r="O429" s="20"/>
      <c r="P429" s="20"/>
      <c r="Q429" s="18" t="b">
        <f>FALSE()</f>
        <v>0</v>
      </c>
      <c r="R429" s="18" t="b">
        <f>FALSE()</f>
        <v>0</v>
      </c>
      <c r="S429" s="19" t="str">
        <f t="shared" si="6"/>
        <v>N/A</v>
      </c>
      <c r="T429">
        <f>COUNTIF('👤 Customers'!$A:$A, B429)</f>
        <v>1</v>
      </c>
      <c r="U429">
        <f>COUNTIF('🚴 Riders'!A428:A488, C429)</f>
        <v>0</v>
      </c>
      <c r="V429">
        <f>COUNTIF('🏭 Facilities'!A428:A436, D429)</f>
        <v>0</v>
      </c>
    </row>
    <row r="430" spans="1:22">
      <c r="A430" s="16" t="s">
        <v>1338</v>
      </c>
      <c r="B430" s="16" t="s">
        <v>1339</v>
      </c>
      <c r="C430" s="16" t="s">
        <v>232</v>
      </c>
      <c r="D430" s="16" t="s">
        <v>184</v>
      </c>
      <c r="E430" s="25">
        <v>45476</v>
      </c>
      <c r="F430" s="16" t="s">
        <v>1340</v>
      </c>
      <c r="G430" s="16" t="s">
        <v>125</v>
      </c>
      <c r="H430" s="16">
        <v>5</v>
      </c>
      <c r="I430" s="16">
        <v>199</v>
      </c>
      <c r="J430" s="16">
        <v>10</v>
      </c>
      <c r="K430" s="16">
        <v>895.5</v>
      </c>
      <c r="L430" s="16" t="s">
        <v>146</v>
      </c>
      <c r="M430" s="16" t="s">
        <v>140</v>
      </c>
      <c r="N430" s="27">
        <v>45476.370833333334</v>
      </c>
      <c r="O430" s="27">
        <v>45477.2</v>
      </c>
      <c r="P430" s="20"/>
      <c r="Q430" s="16" t="b">
        <f>FALSE()</f>
        <v>0</v>
      </c>
      <c r="R430" s="16" t="b">
        <f>FALSE()</f>
        <v>0</v>
      </c>
      <c r="S430" s="17">
        <f t="shared" si="6"/>
        <v>19.899999999999999</v>
      </c>
      <c r="T430">
        <f>COUNTIF('👤 Customers'!$A:$A, B430)</f>
        <v>1</v>
      </c>
      <c r="U430">
        <f>COUNTIF('🚴 Riders'!A429:A489, C430)</f>
        <v>0</v>
      </c>
      <c r="V430">
        <f>COUNTIF('🏭 Facilities'!A429:A437, D430)</f>
        <v>0</v>
      </c>
    </row>
    <row r="431" spans="1:22">
      <c r="A431" s="18" t="s">
        <v>1341</v>
      </c>
      <c r="B431" s="18" t="s">
        <v>1342</v>
      </c>
      <c r="C431" s="18" t="s">
        <v>166</v>
      </c>
      <c r="D431" s="18" t="s">
        <v>115</v>
      </c>
      <c r="E431" s="26">
        <v>45317</v>
      </c>
      <c r="F431" s="18" t="s">
        <v>1343</v>
      </c>
      <c r="G431" s="18" t="s">
        <v>125</v>
      </c>
      <c r="H431" s="18">
        <v>1.8</v>
      </c>
      <c r="I431" s="18">
        <v>199</v>
      </c>
      <c r="J431" s="18">
        <v>20</v>
      </c>
      <c r="K431" s="18">
        <v>286.56</v>
      </c>
      <c r="L431" s="18" t="s">
        <v>126</v>
      </c>
      <c r="M431" s="18" t="s">
        <v>119</v>
      </c>
      <c r="N431" s="28">
        <v>45317.572222222225</v>
      </c>
      <c r="O431" s="28">
        <v>45318.086805555555</v>
      </c>
      <c r="P431" s="18">
        <v>4.5</v>
      </c>
      <c r="Q431" s="18" t="b">
        <f>FALSE()</f>
        <v>0</v>
      </c>
      <c r="R431" s="18" t="b">
        <f>FALSE()</f>
        <v>0</v>
      </c>
      <c r="S431" s="19">
        <f t="shared" si="6"/>
        <v>12.3</v>
      </c>
      <c r="T431">
        <f>COUNTIF('👤 Customers'!$A:$A, B431)</f>
        <v>1</v>
      </c>
      <c r="U431">
        <f>COUNTIF('🚴 Riders'!A430:A490, C431)</f>
        <v>0</v>
      </c>
      <c r="V431">
        <f>COUNTIF('🏭 Facilities'!A430:A438, D431)</f>
        <v>0</v>
      </c>
    </row>
    <row r="432" spans="1:22">
      <c r="A432" s="16" t="s">
        <v>1344</v>
      </c>
      <c r="B432" s="16" t="s">
        <v>1345</v>
      </c>
      <c r="C432" s="16" t="s">
        <v>343</v>
      </c>
      <c r="D432" s="16" t="s">
        <v>197</v>
      </c>
      <c r="E432" s="25">
        <v>44961</v>
      </c>
      <c r="F432" s="16" t="s">
        <v>1346</v>
      </c>
      <c r="G432" s="16" t="s">
        <v>145</v>
      </c>
      <c r="H432" s="16">
        <v>7</v>
      </c>
      <c r="I432" s="16">
        <v>299</v>
      </c>
      <c r="J432" s="16">
        <v>0</v>
      </c>
      <c r="K432" s="16">
        <v>2093</v>
      </c>
      <c r="L432" s="16" t="s">
        <v>126</v>
      </c>
      <c r="M432" s="16" t="s">
        <v>119</v>
      </c>
      <c r="N432" s="27">
        <v>44961.986805555556</v>
      </c>
      <c r="O432" s="27">
        <v>44962.340277777781</v>
      </c>
      <c r="P432" s="16">
        <v>4.9000000000000004</v>
      </c>
      <c r="Q432" s="16" t="b">
        <f>FALSE()</f>
        <v>0</v>
      </c>
      <c r="R432" s="16" t="b">
        <f>FALSE()</f>
        <v>0</v>
      </c>
      <c r="S432" s="17">
        <f t="shared" si="6"/>
        <v>8.5</v>
      </c>
      <c r="T432">
        <f>COUNTIF('👤 Customers'!$A:$A, B432)</f>
        <v>1</v>
      </c>
      <c r="U432">
        <f>COUNTIF('🚴 Riders'!A431:A491, C432)</f>
        <v>0</v>
      </c>
      <c r="V432">
        <f>COUNTIF('🏭 Facilities'!A431:A439, D432)</f>
        <v>0</v>
      </c>
    </row>
    <row r="433" spans="1:22">
      <c r="A433" s="18" t="s">
        <v>1347</v>
      </c>
      <c r="B433" s="18" t="s">
        <v>1348</v>
      </c>
      <c r="C433" s="18" t="s">
        <v>308</v>
      </c>
      <c r="D433" s="18" t="s">
        <v>184</v>
      </c>
      <c r="E433" s="26">
        <v>45068</v>
      </c>
      <c r="F433" s="18" t="s">
        <v>1349</v>
      </c>
      <c r="G433" s="18" t="s">
        <v>117</v>
      </c>
      <c r="H433" s="18">
        <v>6.4</v>
      </c>
      <c r="I433" s="18">
        <v>149</v>
      </c>
      <c r="J433" s="18">
        <v>0</v>
      </c>
      <c r="K433" s="18">
        <v>953.6</v>
      </c>
      <c r="L433" s="18" t="s">
        <v>118</v>
      </c>
      <c r="M433" s="18" t="s">
        <v>119</v>
      </c>
      <c r="N433" s="28">
        <v>45069.00277777778</v>
      </c>
      <c r="O433" s="28">
        <v>45069.418749999997</v>
      </c>
      <c r="P433" s="18">
        <v>3.5</v>
      </c>
      <c r="Q433" s="18" t="b">
        <f>FALSE()</f>
        <v>0</v>
      </c>
      <c r="R433" s="18" t="b">
        <f>FALSE()</f>
        <v>0</v>
      </c>
      <c r="S433" s="19">
        <f t="shared" si="6"/>
        <v>10</v>
      </c>
      <c r="T433">
        <f>COUNTIF('👤 Customers'!$A:$A, B433)</f>
        <v>1</v>
      </c>
      <c r="U433">
        <f>COUNTIF('🚴 Riders'!A432:A492, C433)</f>
        <v>0</v>
      </c>
      <c r="V433">
        <f>COUNTIF('🏭 Facilities'!A432:A440, D433)</f>
        <v>0</v>
      </c>
    </row>
    <row r="434" spans="1:22">
      <c r="A434" s="16" t="s">
        <v>1350</v>
      </c>
      <c r="B434" s="16" t="s">
        <v>1351</v>
      </c>
      <c r="C434" s="16" t="s">
        <v>236</v>
      </c>
      <c r="D434" s="16" t="s">
        <v>158</v>
      </c>
      <c r="E434" s="25">
        <v>45178</v>
      </c>
      <c r="F434" s="16" t="s">
        <v>1352</v>
      </c>
      <c r="G434" s="16" t="s">
        <v>117</v>
      </c>
      <c r="H434" s="16">
        <v>3.6</v>
      </c>
      <c r="I434" s="16">
        <v>149</v>
      </c>
      <c r="J434" s="16">
        <v>20</v>
      </c>
      <c r="K434" s="16">
        <v>429.12</v>
      </c>
      <c r="L434" s="16" t="s">
        <v>126</v>
      </c>
      <c r="M434" s="16" t="s">
        <v>119</v>
      </c>
      <c r="N434" s="27">
        <v>45178.855555555558</v>
      </c>
      <c r="O434" s="27">
        <v>45179.376388888886</v>
      </c>
      <c r="P434" s="16">
        <v>3.2</v>
      </c>
      <c r="Q434" s="16" t="b">
        <f>FALSE()</f>
        <v>0</v>
      </c>
      <c r="R434" s="16" t="b">
        <f>FALSE()</f>
        <v>0</v>
      </c>
      <c r="S434" s="17">
        <f t="shared" si="6"/>
        <v>12.5</v>
      </c>
      <c r="T434">
        <f>COUNTIF('👤 Customers'!$A:$A, B434)</f>
        <v>1</v>
      </c>
      <c r="U434">
        <f>COUNTIF('🚴 Riders'!A433:A493, C434)</f>
        <v>0</v>
      </c>
      <c r="V434">
        <f>COUNTIF('🏭 Facilities'!A433:A441, D434)</f>
        <v>0</v>
      </c>
    </row>
    <row r="435" spans="1:22">
      <c r="A435" s="18" t="s">
        <v>1353</v>
      </c>
      <c r="B435" s="18" t="s">
        <v>282</v>
      </c>
      <c r="C435" s="18" t="s">
        <v>196</v>
      </c>
      <c r="D435" s="18" t="s">
        <v>137</v>
      </c>
      <c r="E435" s="26">
        <v>44977</v>
      </c>
      <c r="F435" s="18" t="s">
        <v>1354</v>
      </c>
      <c r="G435" s="18" t="s">
        <v>145</v>
      </c>
      <c r="H435" s="18">
        <v>1.2</v>
      </c>
      <c r="I435" s="18">
        <v>299</v>
      </c>
      <c r="J435" s="18">
        <v>10</v>
      </c>
      <c r="K435" s="18">
        <v>322.92</v>
      </c>
      <c r="L435" s="18" t="s">
        <v>118</v>
      </c>
      <c r="M435" s="18" t="s">
        <v>119</v>
      </c>
      <c r="N435" s="28">
        <v>44977.902777777781</v>
      </c>
      <c r="O435" s="28">
        <v>44978.972916666666</v>
      </c>
      <c r="P435" s="18">
        <v>3.9</v>
      </c>
      <c r="Q435" s="18" t="b">
        <f>FALSE()</f>
        <v>0</v>
      </c>
      <c r="R435" s="18" t="b">
        <f>FALSE()</f>
        <v>0</v>
      </c>
      <c r="S435" s="19">
        <f t="shared" si="6"/>
        <v>25.7</v>
      </c>
      <c r="T435">
        <f>COUNTIF('👤 Customers'!$A:$A, B435)</f>
        <v>1</v>
      </c>
      <c r="U435">
        <f>COUNTIF('🚴 Riders'!A434:A494, C435)</f>
        <v>0</v>
      </c>
      <c r="V435">
        <f>COUNTIF('🏭 Facilities'!A434:A442, D435)</f>
        <v>0</v>
      </c>
    </row>
    <row r="436" spans="1:22">
      <c r="A436" s="16" t="s">
        <v>1355</v>
      </c>
      <c r="B436" s="16" t="s">
        <v>1356</v>
      </c>
      <c r="C436" s="16" t="s">
        <v>170</v>
      </c>
      <c r="D436" s="16" t="s">
        <v>115</v>
      </c>
      <c r="E436" s="25">
        <v>45315</v>
      </c>
      <c r="F436" s="16" t="s">
        <v>1357</v>
      </c>
      <c r="G436" s="16" t="s">
        <v>132</v>
      </c>
      <c r="H436" s="16">
        <v>6.5</v>
      </c>
      <c r="I436" s="16">
        <v>399</v>
      </c>
      <c r="J436" s="16">
        <v>0</v>
      </c>
      <c r="K436" s="16">
        <v>2593.5</v>
      </c>
      <c r="L436" s="16" t="s">
        <v>126</v>
      </c>
      <c r="M436" s="16" t="s">
        <v>133</v>
      </c>
      <c r="N436" s="20"/>
      <c r="O436" s="20"/>
      <c r="P436" s="20"/>
      <c r="Q436" s="16" t="b">
        <f>TRUE()</f>
        <v>1</v>
      </c>
      <c r="R436" s="16" t="b">
        <f>FALSE()</f>
        <v>0</v>
      </c>
      <c r="S436" s="17" t="str">
        <f t="shared" si="6"/>
        <v>N/A</v>
      </c>
      <c r="T436">
        <f>COUNTIF('👤 Customers'!$A:$A, B436)</f>
        <v>1</v>
      </c>
      <c r="U436">
        <f>COUNTIF('🚴 Riders'!A435:A495, C436)</f>
        <v>0</v>
      </c>
      <c r="V436">
        <f>COUNTIF('🏭 Facilities'!A435:A443, D436)</f>
        <v>0</v>
      </c>
    </row>
    <row r="437" spans="1:22">
      <c r="A437" s="18" t="s">
        <v>1358</v>
      </c>
      <c r="B437" s="18" t="s">
        <v>1061</v>
      </c>
      <c r="C437" s="18" t="s">
        <v>563</v>
      </c>
      <c r="D437" s="18" t="s">
        <v>158</v>
      </c>
      <c r="E437" s="26">
        <v>45571</v>
      </c>
      <c r="F437" s="18" t="s">
        <v>1359</v>
      </c>
      <c r="G437" s="18" t="s">
        <v>176</v>
      </c>
      <c r="H437" s="18">
        <v>3</v>
      </c>
      <c r="I437" s="18">
        <v>599</v>
      </c>
      <c r="J437" s="18">
        <v>30</v>
      </c>
      <c r="K437" s="18">
        <v>1257.9000000000001</v>
      </c>
      <c r="L437" s="18" t="s">
        <v>118</v>
      </c>
      <c r="M437" s="18" t="s">
        <v>119</v>
      </c>
      <c r="N437" s="28">
        <v>45571.22152777778</v>
      </c>
      <c r="O437" s="28">
        <v>45572.227083333331</v>
      </c>
      <c r="P437" s="18">
        <v>4.5999999999999996</v>
      </c>
      <c r="Q437" s="18" t="b">
        <f>FALSE()</f>
        <v>0</v>
      </c>
      <c r="R437" s="18" t="b">
        <f>FALSE()</f>
        <v>0</v>
      </c>
      <c r="S437" s="19">
        <f t="shared" si="6"/>
        <v>24.1</v>
      </c>
      <c r="T437">
        <f>COUNTIF('👤 Customers'!$A:$A, B437)</f>
        <v>1</v>
      </c>
      <c r="U437">
        <f>COUNTIF('🚴 Riders'!A436:A496, C437)</f>
        <v>0</v>
      </c>
      <c r="V437">
        <f>COUNTIF('🏭 Facilities'!A436:A444, D437)</f>
        <v>0</v>
      </c>
    </row>
    <row r="438" spans="1:22">
      <c r="A438" s="16" t="s">
        <v>1360</v>
      </c>
      <c r="B438" s="16" t="s">
        <v>1361</v>
      </c>
      <c r="C438" s="16" t="s">
        <v>283</v>
      </c>
      <c r="D438" s="16" t="s">
        <v>123</v>
      </c>
      <c r="E438" s="25">
        <v>45145</v>
      </c>
      <c r="F438" s="16" t="s">
        <v>1362</v>
      </c>
      <c r="G438" s="16" t="s">
        <v>125</v>
      </c>
      <c r="H438" s="16">
        <v>2.1</v>
      </c>
      <c r="I438" s="16">
        <v>199</v>
      </c>
      <c r="J438" s="16">
        <v>0</v>
      </c>
      <c r="K438" s="16">
        <v>417.9</v>
      </c>
      <c r="L438" s="16" t="s">
        <v>139</v>
      </c>
      <c r="M438" s="16" t="s">
        <v>119</v>
      </c>
      <c r="N438" s="27">
        <v>45145.56527777778</v>
      </c>
      <c r="O438" s="27">
        <v>45146.163888888892</v>
      </c>
      <c r="P438" s="16">
        <v>3</v>
      </c>
      <c r="Q438" s="16" t="b">
        <f>FALSE()</f>
        <v>0</v>
      </c>
      <c r="R438" s="16" t="b">
        <f>FALSE()</f>
        <v>0</v>
      </c>
      <c r="S438" s="17">
        <f t="shared" si="6"/>
        <v>14.4</v>
      </c>
      <c r="T438">
        <f>COUNTIF('👤 Customers'!$A:$A, B438)</f>
        <v>1</v>
      </c>
      <c r="U438">
        <f>COUNTIF('🚴 Riders'!A437:A497, C438)</f>
        <v>0</v>
      </c>
      <c r="V438">
        <f>COUNTIF('🏭 Facilities'!A437:A445, D438)</f>
        <v>0</v>
      </c>
    </row>
    <row r="439" spans="1:22">
      <c r="A439" s="18" t="s">
        <v>1363</v>
      </c>
      <c r="B439" s="18" t="s">
        <v>947</v>
      </c>
      <c r="C439" s="18" t="s">
        <v>362</v>
      </c>
      <c r="D439" s="18" t="s">
        <v>115</v>
      </c>
      <c r="E439" s="26">
        <v>45613</v>
      </c>
      <c r="F439" s="18" t="s">
        <v>1364</v>
      </c>
      <c r="G439" s="18" t="s">
        <v>117</v>
      </c>
      <c r="H439" s="18">
        <v>5.4</v>
      </c>
      <c r="I439" s="18">
        <v>149</v>
      </c>
      <c r="J439" s="18">
        <v>30</v>
      </c>
      <c r="K439" s="18">
        <v>563.22</v>
      </c>
      <c r="L439" s="18" t="s">
        <v>146</v>
      </c>
      <c r="M439" s="18" t="s">
        <v>140</v>
      </c>
      <c r="N439" s="28">
        <v>45613.65625</v>
      </c>
      <c r="O439" s="28">
        <v>45614.214583333334</v>
      </c>
      <c r="P439" s="20"/>
      <c r="Q439" s="18" t="b">
        <f>FALSE()</f>
        <v>0</v>
      </c>
      <c r="R439" s="18" t="b">
        <f>FALSE()</f>
        <v>0</v>
      </c>
      <c r="S439" s="19">
        <f t="shared" si="6"/>
        <v>13.4</v>
      </c>
      <c r="T439">
        <f>COUNTIF('👤 Customers'!$A:$A, B439)</f>
        <v>1</v>
      </c>
      <c r="U439">
        <f>COUNTIF('🚴 Riders'!A438:A498, C439)</f>
        <v>0</v>
      </c>
      <c r="V439">
        <f>COUNTIF('🏭 Facilities'!A438:A446, D439)</f>
        <v>0</v>
      </c>
    </row>
    <row r="440" spans="1:22">
      <c r="A440" s="16" t="s">
        <v>1365</v>
      </c>
      <c r="B440" s="16" t="s">
        <v>728</v>
      </c>
      <c r="C440" s="16" t="s">
        <v>236</v>
      </c>
      <c r="D440" s="16" t="s">
        <v>158</v>
      </c>
      <c r="E440" s="25">
        <v>45030</v>
      </c>
      <c r="F440" s="16" t="s">
        <v>1366</v>
      </c>
      <c r="G440" s="16" t="s">
        <v>125</v>
      </c>
      <c r="H440" s="16">
        <v>5.3</v>
      </c>
      <c r="I440" s="16">
        <v>199</v>
      </c>
      <c r="J440" s="16">
        <v>0</v>
      </c>
      <c r="K440" s="16">
        <v>1054.7</v>
      </c>
      <c r="L440" s="16" t="s">
        <v>146</v>
      </c>
      <c r="M440" s="16" t="s">
        <v>119</v>
      </c>
      <c r="N440" s="27">
        <v>45030.986111111109</v>
      </c>
      <c r="O440" s="27">
        <v>45031.662499999999</v>
      </c>
      <c r="P440" s="16">
        <v>2.7</v>
      </c>
      <c r="Q440" s="16" t="b">
        <f>FALSE()</f>
        <v>0</v>
      </c>
      <c r="R440" s="16" t="b">
        <f>FALSE()</f>
        <v>0</v>
      </c>
      <c r="S440" s="17">
        <f t="shared" si="6"/>
        <v>16.2</v>
      </c>
      <c r="T440">
        <f>COUNTIF('👤 Customers'!$A:$A, B440)</f>
        <v>1</v>
      </c>
      <c r="U440">
        <f>COUNTIF('🚴 Riders'!A439:A499, C440)</f>
        <v>0</v>
      </c>
      <c r="V440">
        <f>COUNTIF('🏭 Facilities'!A439:A447, D440)</f>
        <v>0</v>
      </c>
    </row>
    <row r="441" spans="1:22">
      <c r="A441" s="18" t="s">
        <v>1367</v>
      </c>
      <c r="B441" s="18" t="s">
        <v>1368</v>
      </c>
      <c r="C441" s="18" t="s">
        <v>287</v>
      </c>
      <c r="D441" s="18" t="s">
        <v>205</v>
      </c>
      <c r="E441" s="26">
        <v>45345</v>
      </c>
      <c r="F441" s="18" t="s">
        <v>1369</v>
      </c>
      <c r="G441" s="18" t="s">
        <v>125</v>
      </c>
      <c r="H441" s="18">
        <v>7.2</v>
      </c>
      <c r="I441" s="18">
        <v>199</v>
      </c>
      <c r="J441" s="18">
        <v>20</v>
      </c>
      <c r="K441" s="18">
        <v>1146.24</v>
      </c>
      <c r="L441" s="18" t="s">
        <v>139</v>
      </c>
      <c r="M441" s="18" t="s">
        <v>119</v>
      </c>
      <c r="N441" s="28">
        <v>45345.5</v>
      </c>
      <c r="O441" s="28">
        <v>45346.124305555553</v>
      </c>
      <c r="P441" s="18">
        <v>2.9</v>
      </c>
      <c r="Q441" s="18" t="b">
        <f>FALSE()</f>
        <v>0</v>
      </c>
      <c r="R441" s="18" t="b">
        <f>FALSE()</f>
        <v>0</v>
      </c>
      <c r="S441" s="19">
        <f t="shared" si="6"/>
        <v>15</v>
      </c>
      <c r="T441">
        <f>COUNTIF('👤 Customers'!$A:$A, B441)</f>
        <v>1</v>
      </c>
      <c r="U441">
        <f>COUNTIF('🚴 Riders'!A440:A500, C441)</f>
        <v>0</v>
      </c>
      <c r="V441">
        <f>COUNTIF('🏭 Facilities'!A440:A448, D441)</f>
        <v>0</v>
      </c>
    </row>
    <row r="442" spans="1:22">
      <c r="A442" s="16" t="s">
        <v>1370</v>
      </c>
      <c r="B442" s="16" t="s">
        <v>1252</v>
      </c>
      <c r="C442" s="16" t="s">
        <v>170</v>
      </c>
      <c r="D442" s="16" t="s">
        <v>205</v>
      </c>
      <c r="E442" s="25">
        <v>44933</v>
      </c>
      <c r="F442" s="16" t="s">
        <v>1371</v>
      </c>
      <c r="G442" s="16" t="s">
        <v>125</v>
      </c>
      <c r="H442" s="16">
        <v>4.2</v>
      </c>
      <c r="I442" s="16">
        <v>199</v>
      </c>
      <c r="J442" s="16">
        <v>20</v>
      </c>
      <c r="K442" s="16">
        <v>668.64</v>
      </c>
      <c r="L442" s="16" t="s">
        <v>207</v>
      </c>
      <c r="M442" s="16" t="s">
        <v>119</v>
      </c>
      <c r="N442" s="27">
        <v>44933.570833333331</v>
      </c>
      <c r="O442" s="27">
        <v>44934.482638888891</v>
      </c>
      <c r="P442" s="16">
        <v>2.7</v>
      </c>
      <c r="Q442" s="16" t="b">
        <f>FALSE()</f>
        <v>0</v>
      </c>
      <c r="R442" s="16" t="b">
        <f>FALSE()</f>
        <v>0</v>
      </c>
      <c r="S442" s="17">
        <f t="shared" si="6"/>
        <v>21.9</v>
      </c>
      <c r="T442">
        <f>COUNTIF('👤 Customers'!$A:$A, B442)</f>
        <v>1</v>
      </c>
      <c r="U442">
        <f>COUNTIF('🚴 Riders'!A441:A501, C442)</f>
        <v>0</v>
      </c>
      <c r="V442">
        <f>COUNTIF('🏭 Facilities'!A441:A449, D442)</f>
        <v>0</v>
      </c>
    </row>
    <row r="443" spans="1:22">
      <c r="A443" s="18" t="s">
        <v>1372</v>
      </c>
      <c r="B443" s="18" t="s">
        <v>478</v>
      </c>
      <c r="C443" s="18" t="s">
        <v>362</v>
      </c>
      <c r="D443" s="18" t="s">
        <v>184</v>
      </c>
      <c r="E443" s="26">
        <v>45484</v>
      </c>
      <c r="F443" s="18" t="s">
        <v>1373</v>
      </c>
      <c r="G443" s="18" t="s">
        <v>132</v>
      </c>
      <c r="H443" s="18">
        <v>2.6</v>
      </c>
      <c r="I443" s="18">
        <v>399</v>
      </c>
      <c r="J443" s="18">
        <v>0</v>
      </c>
      <c r="K443" s="18">
        <v>1037.4000000000001</v>
      </c>
      <c r="L443" s="18" t="s">
        <v>207</v>
      </c>
      <c r="M443" s="18" t="s">
        <v>119</v>
      </c>
      <c r="N443" s="28">
        <v>45484.56527777778</v>
      </c>
      <c r="O443" s="28">
        <v>45485.284722222219</v>
      </c>
      <c r="P443" s="18">
        <v>5</v>
      </c>
      <c r="Q443" s="18" t="b">
        <f>FALSE()</f>
        <v>0</v>
      </c>
      <c r="R443" s="18" t="b">
        <f>TRUE()</f>
        <v>1</v>
      </c>
      <c r="S443" s="19">
        <f t="shared" si="6"/>
        <v>17.3</v>
      </c>
      <c r="T443">
        <f>COUNTIF('👤 Customers'!$A:$A, B443)</f>
        <v>1</v>
      </c>
      <c r="U443">
        <f>COUNTIF('🚴 Riders'!A442:A502, C443)</f>
        <v>0</v>
      </c>
      <c r="V443">
        <f>COUNTIF('🏭 Facilities'!A442:A450, D443)</f>
        <v>0</v>
      </c>
    </row>
    <row r="444" spans="1:22">
      <c r="A444" s="16" t="s">
        <v>1374</v>
      </c>
      <c r="B444" s="16" t="s">
        <v>1375</v>
      </c>
      <c r="C444" s="16" t="s">
        <v>536</v>
      </c>
      <c r="D444" s="16" t="s">
        <v>197</v>
      </c>
      <c r="E444" s="25">
        <v>45142</v>
      </c>
      <c r="F444" s="16" t="s">
        <v>1376</v>
      </c>
      <c r="G444" s="16" t="s">
        <v>176</v>
      </c>
      <c r="H444" s="16">
        <v>4.5</v>
      </c>
      <c r="I444" s="16">
        <v>599</v>
      </c>
      <c r="J444" s="16">
        <v>0</v>
      </c>
      <c r="K444" s="16">
        <v>2695.5</v>
      </c>
      <c r="L444" s="16" t="s">
        <v>146</v>
      </c>
      <c r="M444" s="16" t="s">
        <v>119</v>
      </c>
      <c r="N444" s="27">
        <v>45142.538888888892</v>
      </c>
      <c r="O444" s="27">
        <v>45143.311805555553</v>
      </c>
      <c r="P444" s="16">
        <v>2.8</v>
      </c>
      <c r="Q444" s="16" t="b">
        <f>TRUE()</f>
        <v>1</v>
      </c>
      <c r="R444" s="16" t="b">
        <f>FALSE()</f>
        <v>0</v>
      </c>
      <c r="S444" s="17">
        <f t="shared" si="6"/>
        <v>18.5</v>
      </c>
      <c r="T444">
        <f>COUNTIF('👤 Customers'!$A:$A, B444)</f>
        <v>1</v>
      </c>
      <c r="U444">
        <f>COUNTIF('🚴 Riders'!A443:A503, C444)</f>
        <v>0</v>
      </c>
      <c r="V444">
        <f>COUNTIF('🏭 Facilities'!A443:A451, D444)</f>
        <v>0</v>
      </c>
    </row>
    <row r="445" spans="1:22">
      <c r="A445" s="18" t="s">
        <v>1377</v>
      </c>
      <c r="B445" s="18" t="s">
        <v>1236</v>
      </c>
      <c r="C445" s="18" t="s">
        <v>257</v>
      </c>
      <c r="D445" s="18" t="s">
        <v>123</v>
      </c>
      <c r="E445" s="26">
        <v>45369</v>
      </c>
      <c r="F445" s="18" t="s">
        <v>1378</v>
      </c>
      <c r="G445" s="18" t="s">
        <v>132</v>
      </c>
      <c r="H445" s="18">
        <v>7.2</v>
      </c>
      <c r="I445" s="18">
        <v>399</v>
      </c>
      <c r="J445" s="18">
        <v>10</v>
      </c>
      <c r="K445" s="18">
        <v>2585.52</v>
      </c>
      <c r="L445" s="18" t="s">
        <v>146</v>
      </c>
      <c r="M445" s="18" t="s">
        <v>119</v>
      </c>
      <c r="N445" s="28">
        <v>45369.705555555556</v>
      </c>
      <c r="O445" s="28">
        <v>45370.588194444441</v>
      </c>
      <c r="P445" s="18">
        <v>4.7</v>
      </c>
      <c r="Q445" s="18" t="b">
        <f>TRUE()</f>
        <v>1</v>
      </c>
      <c r="R445" s="18" t="b">
        <f>FALSE()</f>
        <v>0</v>
      </c>
      <c r="S445" s="19">
        <f t="shared" si="6"/>
        <v>21.2</v>
      </c>
      <c r="T445">
        <f>COUNTIF('👤 Customers'!$A:$A, B445)</f>
        <v>1</v>
      </c>
      <c r="U445">
        <f>COUNTIF('🚴 Riders'!A444:A504, C445)</f>
        <v>0</v>
      </c>
      <c r="V445">
        <f>COUNTIF('🏭 Facilities'!A444:A452, D445)</f>
        <v>0</v>
      </c>
    </row>
    <row r="446" spans="1:22">
      <c r="A446" s="16" t="s">
        <v>1379</v>
      </c>
      <c r="B446" s="16" t="s">
        <v>1137</v>
      </c>
      <c r="C446" s="16" t="s">
        <v>750</v>
      </c>
      <c r="D446" s="16" t="s">
        <v>184</v>
      </c>
      <c r="E446" s="25">
        <v>45449</v>
      </c>
      <c r="F446" s="16" t="s">
        <v>1380</v>
      </c>
      <c r="G446" s="16" t="s">
        <v>125</v>
      </c>
      <c r="H446" s="16">
        <v>7</v>
      </c>
      <c r="I446" s="16">
        <v>199</v>
      </c>
      <c r="J446" s="16">
        <v>0</v>
      </c>
      <c r="K446" s="16">
        <v>1393</v>
      </c>
      <c r="L446" s="16" t="s">
        <v>207</v>
      </c>
      <c r="M446" s="16" t="s">
        <v>119</v>
      </c>
      <c r="N446" s="27">
        <v>45449.87222222222</v>
      </c>
      <c r="O446" s="27">
        <v>45450.713194444441</v>
      </c>
      <c r="P446" s="16">
        <v>2.6</v>
      </c>
      <c r="Q446" s="16" t="b">
        <f>FALSE()</f>
        <v>0</v>
      </c>
      <c r="R446" s="16" t="b">
        <f>FALSE()</f>
        <v>0</v>
      </c>
      <c r="S446" s="17">
        <f t="shared" si="6"/>
        <v>20.2</v>
      </c>
      <c r="T446">
        <f>COUNTIF('👤 Customers'!$A:$A, B446)</f>
        <v>1</v>
      </c>
      <c r="U446">
        <f>COUNTIF('🚴 Riders'!A445:A505, C446)</f>
        <v>0</v>
      </c>
      <c r="V446">
        <f>COUNTIF('🏭 Facilities'!A445:A453, D446)</f>
        <v>0</v>
      </c>
    </row>
    <row r="447" spans="1:22">
      <c r="A447" s="18" t="s">
        <v>1381</v>
      </c>
      <c r="B447" s="18" t="s">
        <v>1382</v>
      </c>
      <c r="C447" s="18" t="s">
        <v>247</v>
      </c>
      <c r="D447" s="18" t="s">
        <v>197</v>
      </c>
      <c r="E447" s="26">
        <v>45172</v>
      </c>
      <c r="F447" s="18" t="s">
        <v>1383</v>
      </c>
      <c r="G447" s="18" t="s">
        <v>125</v>
      </c>
      <c r="H447" s="18">
        <v>3.7</v>
      </c>
      <c r="I447" s="18">
        <v>199</v>
      </c>
      <c r="J447" s="18">
        <v>0</v>
      </c>
      <c r="K447" s="18">
        <v>736.3</v>
      </c>
      <c r="L447" s="18" t="s">
        <v>207</v>
      </c>
      <c r="M447" s="18" t="s">
        <v>133</v>
      </c>
      <c r="N447" s="20"/>
      <c r="O447" s="20"/>
      <c r="P447" s="20"/>
      <c r="Q447" s="18" t="b">
        <f>FALSE()</f>
        <v>0</v>
      </c>
      <c r="R447" s="18" t="b">
        <f>FALSE()</f>
        <v>0</v>
      </c>
      <c r="S447" s="19" t="str">
        <f t="shared" si="6"/>
        <v>N/A</v>
      </c>
      <c r="T447">
        <f>COUNTIF('👤 Customers'!$A:$A, B447)</f>
        <v>1</v>
      </c>
      <c r="U447">
        <f>COUNTIF('🚴 Riders'!A446:A506, C447)</f>
        <v>0</v>
      </c>
      <c r="V447">
        <f>COUNTIF('🏭 Facilities'!A446:A454, D447)</f>
        <v>0</v>
      </c>
    </row>
    <row r="448" spans="1:22">
      <c r="A448" s="16" t="s">
        <v>1384</v>
      </c>
      <c r="B448" s="16" t="s">
        <v>1061</v>
      </c>
      <c r="C448" s="16" t="s">
        <v>129</v>
      </c>
      <c r="D448" s="16" t="s">
        <v>197</v>
      </c>
      <c r="E448" s="25">
        <v>44975</v>
      </c>
      <c r="F448" s="16" t="s">
        <v>1385</v>
      </c>
      <c r="G448" s="16" t="s">
        <v>125</v>
      </c>
      <c r="H448" s="16">
        <v>1.2</v>
      </c>
      <c r="I448" s="16">
        <v>199</v>
      </c>
      <c r="J448" s="16">
        <v>0</v>
      </c>
      <c r="K448" s="16">
        <v>238.8</v>
      </c>
      <c r="L448" s="16" t="s">
        <v>139</v>
      </c>
      <c r="M448" s="16" t="s">
        <v>119</v>
      </c>
      <c r="N448" s="27">
        <v>44975.919444444444</v>
      </c>
      <c r="O448" s="27">
        <v>44976.708333333336</v>
      </c>
      <c r="P448" s="16">
        <v>3.1</v>
      </c>
      <c r="Q448" s="16" t="b">
        <f>FALSE()</f>
        <v>0</v>
      </c>
      <c r="R448" s="16" t="b">
        <f>TRUE()</f>
        <v>1</v>
      </c>
      <c r="S448" s="17">
        <f t="shared" si="6"/>
        <v>18.899999999999999</v>
      </c>
      <c r="T448">
        <f>COUNTIF('👤 Customers'!$A:$A, B448)</f>
        <v>1</v>
      </c>
      <c r="U448">
        <f>COUNTIF('🚴 Riders'!A447:A507, C448)</f>
        <v>0</v>
      </c>
      <c r="V448">
        <f>COUNTIF('🏭 Facilities'!A447:A455, D448)</f>
        <v>0</v>
      </c>
    </row>
    <row r="449" spans="1:22">
      <c r="A449" s="18" t="s">
        <v>1386</v>
      </c>
      <c r="B449" s="18" t="s">
        <v>1282</v>
      </c>
      <c r="C449" s="18" t="s">
        <v>487</v>
      </c>
      <c r="D449" s="18" t="s">
        <v>197</v>
      </c>
      <c r="E449" s="26">
        <v>45186</v>
      </c>
      <c r="F449" s="18" t="s">
        <v>1387</v>
      </c>
      <c r="G449" s="18" t="s">
        <v>176</v>
      </c>
      <c r="H449" s="18">
        <v>6.6</v>
      </c>
      <c r="I449" s="18">
        <v>599</v>
      </c>
      <c r="J449" s="18">
        <v>20</v>
      </c>
      <c r="K449" s="18">
        <v>3162.72</v>
      </c>
      <c r="L449" s="18" t="s">
        <v>126</v>
      </c>
      <c r="M449" s="18" t="s">
        <v>133</v>
      </c>
      <c r="N449" s="20"/>
      <c r="O449" s="20"/>
      <c r="P449" s="20"/>
      <c r="Q449" s="18" t="b">
        <f>FALSE()</f>
        <v>0</v>
      </c>
      <c r="R449" s="18" t="b">
        <f>FALSE()</f>
        <v>0</v>
      </c>
      <c r="S449" s="19" t="str">
        <f t="shared" si="6"/>
        <v>N/A</v>
      </c>
      <c r="T449">
        <f>COUNTIF('👤 Customers'!$A:$A, B449)</f>
        <v>1</v>
      </c>
      <c r="U449">
        <f>COUNTIF('🚴 Riders'!A448:A508, C449)</f>
        <v>0</v>
      </c>
      <c r="V449">
        <f>COUNTIF('🏭 Facilities'!A448:A456, D449)</f>
        <v>0</v>
      </c>
    </row>
    <row r="450" spans="1:22">
      <c r="A450" s="16" t="s">
        <v>1388</v>
      </c>
      <c r="B450" s="16" t="s">
        <v>592</v>
      </c>
      <c r="C450" s="16" t="s">
        <v>257</v>
      </c>
      <c r="D450" s="16" t="s">
        <v>184</v>
      </c>
      <c r="E450" s="25">
        <v>45618</v>
      </c>
      <c r="F450" s="16" t="s">
        <v>1389</v>
      </c>
      <c r="G450" s="16" t="s">
        <v>125</v>
      </c>
      <c r="H450" s="16">
        <v>6.5</v>
      </c>
      <c r="I450" s="16">
        <v>199</v>
      </c>
      <c r="J450" s="16">
        <v>0</v>
      </c>
      <c r="K450" s="16">
        <v>1293.5</v>
      </c>
      <c r="L450" s="16" t="s">
        <v>146</v>
      </c>
      <c r="M450" s="16" t="s">
        <v>119</v>
      </c>
      <c r="N450" s="27">
        <v>45618.377083333333</v>
      </c>
      <c r="O450" s="27">
        <v>45619.162499999999</v>
      </c>
      <c r="P450" s="16">
        <v>2.6</v>
      </c>
      <c r="Q450" s="16" t="b">
        <f>FALSE()</f>
        <v>0</v>
      </c>
      <c r="R450" s="16" t="b">
        <f>FALSE()</f>
        <v>0</v>
      </c>
      <c r="S450" s="17">
        <f t="shared" ref="S450:S513" si="7">IF(OR(N450="",O450=""),"N/A",ROUND(((O450-N450)*24),1))</f>
        <v>18.8</v>
      </c>
      <c r="T450">
        <f>COUNTIF('👤 Customers'!$A:$A, B450)</f>
        <v>1</v>
      </c>
      <c r="U450">
        <f>COUNTIF('🚴 Riders'!A449:A509, C450)</f>
        <v>0</v>
      </c>
      <c r="V450">
        <f>COUNTIF('🏭 Facilities'!A449:A457, D450)</f>
        <v>0</v>
      </c>
    </row>
    <row r="451" spans="1:22">
      <c r="A451" s="18" t="s">
        <v>1390</v>
      </c>
      <c r="B451" s="18" t="s">
        <v>1391</v>
      </c>
      <c r="C451" s="18" t="s">
        <v>479</v>
      </c>
      <c r="D451" s="18" t="s">
        <v>197</v>
      </c>
      <c r="E451" s="26">
        <v>45406</v>
      </c>
      <c r="F451" s="18" t="s">
        <v>1392</v>
      </c>
      <c r="G451" s="18" t="s">
        <v>145</v>
      </c>
      <c r="H451" s="18">
        <v>2.6</v>
      </c>
      <c r="I451" s="18">
        <v>299</v>
      </c>
      <c r="J451" s="18">
        <v>0</v>
      </c>
      <c r="K451" s="18">
        <v>777.4</v>
      </c>
      <c r="L451" s="18" t="s">
        <v>118</v>
      </c>
      <c r="M451" s="18" t="s">
        <v>140</v>
      </c>
      <c r="N451" s="28">
        <v>45406.584027777775</v>
      </c>
      <c r="O451" s="28">
        <v>45407.254166666666</v>
      </c>
      <c r="P451" s="20"/>
      <c r="Q451" s="18" t="b">
        <f>FALSE()</f>
        <v>0</v>
      </c>
      <c r="R451" s="18" t="b">
        <f>FALSE()</f>
        <v>0</v>
      </c>
      <c r="S451" s="19">
        <f t="shared" si="7"/>
        <v>16.100000000000001</v>
      </c>
      <c r="T451">
        <f>COUNTIF('👤 Customers'!$A:$A, B451)</f>
        <v>1</v>
      </c>
      <c r="U451">
        <f>COUNTIF('🚴 Riders'!A450:A510, C451)</f>
        <v>0</v>
      </c>
      <c r="V451">
        <f>COUNTIF('🏭 Facilities'!A450:A458, D451)</f>
        <v>0</v>
      </c>
    </row>
    <row r="452" spans="1:22">
      <c r="A452" s="16" t="s">
        <v>1393</v>
      </c>
      <c r="B452" s="16" t="s">
        <v>296</v>
      </c>
      <c r="C452" s="16" t="s">
        <v>563</v>
      </c>
      <c r="D452" s="16" t="s">
        <v>130</v>
      </c>
      <c r="E452" s="25">
        <v>44947</v>
      </c>
      <c r="F452" s="16" t="s">
        <v>1394</v>
      </c>
      <c r="G452" s="16" t="s">
        <v>145</v>
      </c>
      <c r="H452" s="16">
        <v>4.5999999999999996</v>
      </c>
      <c r="I452" s="16">
        <v>299</v>
      </c>
      <c r="J452" s="16">
        <v>0</v>
      </c>
      <c r="K452" s="16">
        <v>1375.4</v>
      </c>
      <c r="L452" s="16" t="s">
        <v>146</v>
      </c>
      <c r="M452" s="16" t="s">
        <v>119</v>
      </c>
      <c r="N452" s="27">
        <v>44947.208333333336</v>
      </c>
      <c r="O452" s="27">
        <v>44947.95208333333</v>
      </c>
      <c r="P452" s="16">
        <v>2.8</v>
      </c>
      <c r="Q452" s="16" t="b">
        <f>FALSE()</f>
        <v>0</v>
      </c>
      <c r="R452" s="16" t="b">
        <f>FALSE()</f>
        <v>0</v>
      </c>
      <c r="S452" s="17">
        <f t="shared" si="7"/>
        <v>17.8</v>
      </c>
      <c r="T452">
        <f>COUNTIF('👤 Customers'!$A:$A, B452)</f>
        <v>1</v>
      </c>
      <c r="U452">
        <f>COUNTIF('🚴 Riders'!A451:A511, C452)</f>
        <v>0</v>
      </c>
      <c r="V452">
        <f>COUNTIF('🏭 Facilities'!A451:A459, D452)</f>
        <v>0</v>
      </c>
    </row>
    <row r="453" spans="1:22">
      <c r="A453" s="18" t="s">
        <v>1395</v>
      </c>
      <c r="B453" s="18" t="s">
        <v>1396</v>
      </c>
      <c r="C453" s="18" t="s">
        <v>143</v>
      </c>
      <c r="D453" s="18" t="s">
        <v>205</v>
      </c>
      <c r="E453" s="26">
        <v>45300</v>
      </c>
      <c r="F453" s="18" t="s">
        <v>1397</v>
      </c>
      <c r="G453" s="18" t="s">
        <v>176</v>
      </c>
      <c r="H453" s="18">
        <v>4.0999999999999996</v>
      </c>
      <c r="I453" s="18">
        <v>599</v>
      </c>
      <c r="J453" s="18">
        <v>0</v>
      </c>
      <c r="K453" s="18">
        <v>2455.9</v>
      </c>
      <c r="L453" s="18" t="s">
        <v>118</v>
      </c>
      <c r="M453" s="18" t="s">
        <v>119</v>
      </c>
      <c r="N453" s="28">
        <v>45300.943055555559</v>
      </c>
      <c r="O453" s="28">
        <v>45301.504861111112</v>
      </c>
      <c r="P453" s="18">
        <v>4</v>
      </c>
      <c r="Q453" s="18" t="b">
        <f>FALSE()</f>
        <v>0</v>
      </c>
      <c r="R453" s="18" t="b">
        <f>TRUE()</f>
        <v>1</v>
      </c>
      <c r="S453" s="19">
        <f t="shared" si="7"/>
        <v>13.5</v>
      </c>
      <c r="T453">
        <f>COUNTIF('👤 Customers'!$A:$A, B453)</f>
        <v>1</v>
      </c>
      <c r="U453">
        <f>COUNTIF('🚴 Riders'!A452:A512, C453)</f>
        <v>0</v>
      </c>
      <c r="V453">
        <f>COUNTIF('🏭 Facilities'!A452:A460, D453)</f>
        <v>0</v>
      </c>
    </row>
    <row r="454" spans="1:22">
      <c r="A454" s="16" t="s">
        <v>1398</v>
      </c>
      <c r="B454" s="16" t="s">
        <v>1351</v>
      </c>
      <c r="C454" s="16" t="s">
        <v>431</v>
      </c>
      <c r="D454" s="16" t="s">
        <v>184</v>
      </c>
      <c r="E454" s="25">
        <v>45291</v>
      </c>
      <c r="F454" s="16" t="s">
        <v>1399</v>
      </c>
      <c r="G454" s="16" t="s">
        <v>117</v>
      </c>
      <c r="H454" s="16">
        <v>5.2</v>
      </c>
      <c r="I454" s="16">
        <v>149</v>
      </c>
      <c r="J454" s="16">
        <v>0</v>
      </c>
      <c r="K454" s="16">
        <v>774.8</v>
      </c>
      <c r="L454" s="16" t="s">
        <v>139</v>
      </c>
      <c r="M454" s="16" t="s">
        <v>119</v>
      </c>
      <c r="N454" s="27">
        <v>45291.786111111112</v>
      </c>
      <c r="O454" s="27">
        <v>45292.582638888889</v>
      </c>
      <c r="P454" s="16">
        <v>3.4</v>
      </c>
      <c r="Q454" s="16" t="b">
        <f>FALSE()</f>
        <v>0</v>
      </c>
      <c r="R454" s="16" t="b">
        <f>FALSE()</f>
        <v>0</v>
      </c>
      <c r="S454" s="17">
        <f t="shared" si="7"/>
        <v>19.100000000000001</v>
      </c>
      <c r="T454">
        <f>COUNTIF('👤 Customers'!$A:$A, B454)</f>
        <v>1</v>
      </c>
      <c r="U454">
        <f>COUNTIF('🚴 Riders'!A453:A513, C454)</f>
        <v>0</v>
      </c>
      <c r="V454">
        <f>COUNTIF('🏭 Facilities'!A453:A461, D454)</f>
        <v>0</v>
      </c>
    </row>
    <row r="455" spans="1:22">
      <c r="A455" s="18" t="s">
        <v>1400</v>
      </c>
      <c r="B455" s="18" t="s">
        <v>1033</v>
      </c>
      <c r="C455" s="18" t="s">
        <v>220</v>
      </c>
      <c r="D455" s="18" t="s">
        <v>205</v>
      </c>
      <c r="E455" s="26">
        <v>45083</v>
      </c>
      <c r="F455" s="18" t="s">
        <v>1401</v>
      </c>
      <c r="G455" s="18" t="s">
        <v>125</v>
      </c>
      <c r="H455" s="18">
        <v>3.4</v>
      </c>
      <c r="I455" s="18">
        <v>199</v>
      </c>
      <c r="J455" s="18">
        <v>10</v>
      </c>
      <c r="K455" s="18">
        <v>608.94000000000005</v>
      </c>
      <c r="L455" s="18" t="s">
        <v>146</v>
      </c>
      <c r="M455" s="18" t="s">
        <v>140</v>
      </c>
      <c r="N455" s="28">
        <v>45083.445833333331</v>
      </c>
      <c r="O455" s="28">
        <v>45084.145833333336</v>
      </c>
      <c r="P455" s="20"/>
      <c r="Q455" s="18" t="b">
        <f>FALSE()</f>
        <v>0</v>
      </c>
      <c r="R455" s="18" t="b">
        <f>FALSE()</f>
        <v>0</v>
      </c>
      <c r="S455" s="19">
        <f t="shared" si="7"/>
        <v>16.8</v>
      </c>
      <c r="T455">
        <f>COUNTIF('👤 Customers'!$A:$A, B455)</f>
        <v>1</v>
      </c>
      <c r="U455">
        <f>COUNTIF('🚴 Riders'!A454:A514, C455)</f>
        <v>0</v>
      </c>
      <c r="V455">
        <f>COUNTIF('🏭 Facilities'!A454:A462, D455)</f>
        <v>0</v>
      </c>
    </row>
    <row r="456" spans="1:22">
      <c r="A456" s="16" t="s">
        <v>1402</v>
      </c>
      <c r="B456" s="16" t="s">
        <v>716</v>
      </c>
      <c r="C456" s="16" t="s">
        <v>251</v>
      </c>
      <c r="D456" s="16" t="s">
        <v>130</v>
      </c>
      <c r="E456" s="25">
        <v>45008</v>
      </c>
      <c r="F456" s="16" t="s">
        <v>1403</v>
      </c>
      <c r="G456" s="16" t="s">
        <v>145</v>
      </c>
      <c r="H456" s="16">
        <v>7.1</v>
      </c>
      <c r="I456" s="16">
        <v>299</v>
      </c>
      <c r="J456" s="16">
        <v>20</v>
      </c>
      <c r="K456" s="16">
        <v>1698.32</v>
      </c>
      <c r="L456" s="16" t="s">
        <v>207</v>
      </c>
      <c r="M456" s="16" t="s">
        <v>119</v>
      </c>
      <c r="N456" s="27">
        <v>45008.490277777775</v>
      </c>
      <c r="O456" s="27">
        <v>45008.803472222222</v>
      </c>
      <c r="P456" s="16">
        <v>3.7</v>
      </c>
      <c r="Q456" s="16" t="b">
        <f>FALSE()</f>
        <v>0</v>
      </c>
      <c r="R456" s="16" t="b">
        <f>FALSE()</f>
        <v>0</v>
      </c>
      <c r="S456" s="17">
        <f t="shared" si="7"/>
        <v>7.5</v>
      </c>
      <c r="T456">
        <f>COUNTIF('👤 Customers'!$A:$A, B456)</f>
        <v>1</v>
      </c>
      <c r="U456">
        <f>COUNTIF('🚴 Riders'!A455:A515, C456)</f>
        <v>0</v>
      </c>
      <c r="V456">
        <f>COUNTIF('🏭 Facilities'!A455:A463, D456)</f>
        <v>0</v>
      </c>
    </row>
    <row r="457" spans="1:22">
      <c r="A457" s="18" t="s">
        <v>1404</v>
      </c>
      <c r="B457" s="18" t="s">
        <v>1405</v>
      </c>
      <c r="C457" s="18" t="s">
        <v>842</v>
      </c>
      <c r="D457" s="18" t="s">
        <v>123</v>
      </c>
      <c r="E457" s="26">
        <v>45554</v>
      </c>
      <c r="F457" s="18" t="s">
        <v>1406</v>
      </c>
      <c r="G457" s="18" t="s">
        <v>145</v>
      </c>
      <c r="H457" s="18">
        <v>2.4</v>
      </c>
      <c r="I457" s="18">
        <v>299</v>
      </c>
      <c r="J457" s="18">
        <v>0</v>
      </c>
      <c r="K457" s="18">
        <v>717.6</v>
      </c>
      <c r="L457" s="18" t="s">
        <v>139</v>
      </c>
      <c r="M457" s="18" t="s">
        <v>119</v>
      </c>
      <c r="N457" s="28">
        <v>45554.099305555559</v>
      </c>
      <c r="O457" s="28">
        <v>45554.449305555558</v>
      </c>
      <c r="P457" s="18">
        <v>3</v>
      </c>
      <c r="Q457" s="18" t="b">
        <f>FALSE()</f>
        <v>0</v>
      </c>
      <c r="R457" s="18" t="b">
        <f>FALSE()</f>
        <v>0</v>
      </c>
      <c r="S457" s="19">
        <f t="shared" si="7"/>
        <v>8.4</v>
      </c>
      <c r="T457">
        <f>COUNTIF('👤 Customers'!$A:$A, B457)</f>
        <v>1</v>
      </c>
      <c r="U457">
        <f>COUNTIF('🚴 Riders'!A456:A516, C457)</f>
        <v>0</v>
      </c>
      <c r="V457">
        <f>COUNTIF('🏭 Facilities'!A456:A464, D457)</f>
        <v>0</v>
      </c>
    </row>
    <row r="458" spans="1:22">
      <c r="A458" s="16" t="s">
        <v>1407</v>
      </c>
      <c r="B458" s="16" t="s">
        <v>1073</v>
      </c>
      <c r="C458" s="16" t="s">
        <v>129</v>
      </c>
      <c r="D458" s="16" t="s">
        <v>137</v>
      </c>
      <c r="E458" s="25">
        <v>44961</v>
      </c>
      <c r="F458" s="16" t="s">
        <v>1408</v>
      </c>
      <c r="G458" s="16" t="s">
        <v>125</v>
      </c>
      <c r="H458" s="16">
        <v>2.4</v>
      </c>
      <c r="I458" s="16">
        <v>199</v>
      </c>
      <c r="J458" s="16">
        <v>0</v>
      </c>
      <c r="K458" s="16">
        <v>477.6</v>
      </c>
      <c r="L458" s="16" t="s">
        <v>207</v>
      </c>
      <c r="M458" s="16" t="s">
        <v>119</v>
      </c>
      <c r="N458" s="27">
        <v>44961.251388888886</v>
      </c>
      <c r="O458" s="27">
        <v>44962.11041666667</v>
      </c>
      <c r="P458" s="16">
        <v>2.6</v>
      </c>
      <c r="Q458" s="16" t="b">
        <f>FALSE()</f>
        <v>0</v>
      </c>
      <c r="R458" s="16" t="b">
        <f>FALSE()</f>
        <v>0</v>
      </c>
      <c r="S458" s="17">
        <f t="shared" si="7"/>
        <v>20.6</v>
      </c>
      <c r="T458">
        <f>COUNTIF('👤 Customers'!$A:$A, B458)</f>
        <v>1</v>
      </c>
      <c r="U458">
        <f>COUNTIF('🚴 Riders'!A457:A517, C458)</f>
        <v>0</v>
      </c>
      <c r="V458">
        <f>COUNTIF('🏭 Facilities'!A457:A465, D458)</f>
        <v>0</v>
      </c>
    </row>
    <row r="459" spans="1:22">
      <c r="A459" s="18" t="s">
        <v>1409</v>
      </c>
      <c r="B459" s="18" t="s">
        <v>1410</v>
      </c>
      <c r="C459" s="18" t="s">
        <v>326</v>
      </c>
      <c r="D459" s="18" t="s">
        <v>205</v>
      </c>
      <c r="E459" s="26">
        <v>44943</v>
      </c>
      <c r="F459" s="18" t="s">
        <v>1411</v>
      </c>
      <c r="G459" s="18" t="s">
        <v>132</v>
      </c>
      <c r="H459" s="18">
        <v>3.7</v>
      </c>
      <c r="I459" s="18">
        <v>399</v>
      </c>
      <c r="J459" s="18">
        <v>10</v>
      </c>
      <c r="K459" s="18">
        <v>1328.67</v>
      </c>
      <c r="L459" s="18" t="s">
        <v>207</v>
      </c>
      <c r="M459" s="18" t="s">
        <v>119</v>
      </c>
      <c r="N459" s="28">
        <v>44943.376388888886</v>
      </c>
      <c r="O459" s="28">
        <v>44943.863194444442</v>
      </c>
      <c r="P459" s="18">
        <v>4.9000000000000004</v>
      </c>
      <c r="Q459" s="18" t="b">
        <f>FALSE()</f>
        <v>0</v>
      </c>
      <c r="R459" s="18" t="b">
        <f>FALSE()</f>
        <v>0</v>
      </c>
      <c r="S459" s="19">
        <f t="shared" si="7"/>
        <v>11.7</v>
      </c>
      <c r="T459">
        <f>COUNTIF('👤 Customers'!$A:$A, B459)</f>
        <v>1</v>
      </c>
      <c r="U459">
        <f>COUNTIF('🚴 Riders'!A458:A518, C459)</f>
        <v>0</v>
      </c>
      <c r="V459">
        <f>COUNTIF('🏭 Facilities'!A458:A466, D459)</f>
        <v>0</v>
      </c>
    </row>
    <row r="460" spans="1:22">
      <c r="A460" s="16" t="s">
        <v>1412</v>
      </c>
      <c r="B460" s="16" t="s">
        <v>1413</v>
      </c>
      <c r="C460" s="16" t="s">
        <v>188</v>
      </c>
      <c r="D460" s="16" t="s">
        <v>205</v>
      </c>
      <c r="E460" s="25">
        <v>45611</v>
      </c>
      <c r="F460" s="16" t="s">
        <v>1414</v>
      </c>
      <c r="G460" s="16" t="s">
        <v>145</v>
      </c>
      <c r="H460" s="16">
        <v>7.1</v>
      </c>
      <c r="I460" s="16">
        <v>299</v>
      </c>
      <c r="J460" s="16">
        <v>0</v>
      </c>
      <c r="K460" s="16">
        <v>2122.9</v>
      </c>
      <c r="L460" s="16" t="s">
        <v>118</v>
      </c>
      <c r="M460" s="16" t="s">
        <v>119</v>
      </c>
      <c r="N460" s="27">
        <v>45611.957638888889</v>
      </c>
      <c r="O460" s="27">
        <v>45612.363194444442</v>
      </c>
      <c r="P460" s="16">
        <v>4</v>
      </c>
      <c r="Q460" s="16" t="b">
        <f>FALSE()</f>
        <v>0</v>
      </c>
      <c r="R460" s="16" t="b">
        <f>FALSE()</f>
        <v>0</v>
      </c>
      <c r="S460" s="17">
        <f t="shared" si="7"/>
        <v>9.6999999999999993</v>
      </c>
      <c r="T460">
        <f>COUNTIF('👤 Customers'!$A:$A, B460)</f>
        <v>1</v>
      </c>
      <c r="U460">
        <f>COUNTIF('🚴 Riders'!A459:A519, C460)</f>
        <v>0</v>
      </c>
      <c r="V460">
        <f>COUNTIF('🏭 Facilities'!A459:A467, D460)</f>
        <v>0</v>
      </c>
    </row>
    <row r="461" spans="1:22">
      <c r="A461" s="18" t="s">
        <v>1415</v>
      </c>
      <c r="B461" s="18" t="s">
        <v>1416</v>
      </c>
      <c r="C461" s="18" t="s">
        <v>153</v>
      </c>
      <c r="D461" s="18" t="s">
        <v>137</v>
      </c>
      <c r="E461" s="26">
        <v>44962</v>
      </c>
      <c r="F461" s="18" t="s">
        <v>1417</v>
      </c>
      <c r="G461" s="18" t="s">
        <v>176</v>
      </c>
      <c r="H461" s="18">
        <v>5.0999999999999996</v>
      </c>
      <c r="I461" s="18">
        <v>599</v>
      </c>
      <c r="J461" s="18">
        <v>20</v>
      </c>
      <c r="K461" s="18">
        <v>2443.92</v>
      </c>
      <c r="L461" s="18" t="s">
        <v>146</v>
      </c>
      <c r="M461" s="18" t="s">
        <v>119</v>
      </c>
      <c r="N461" s="28">
        <v>44963.01666666667</v>
      </c>
      <c r="O461" s="28">
        <v>44963.558333333334</v>
      </c>
      <c r="P461" s="18">
        <v>4.9000000000000004</v>
      </c>
      <c r="Q461" s="18" t="b">
        <f>FALSE()</f>
        <v>0</v>
      </c>
      <c r="R461" s="18" t="b">
        <f>FALSE()</f>
        <v>0</v>
      </c>
      <c r="S461" s="19">
        <f t="shared" si="7"/>
        <v>13</v>
      </c>
      <c r="T461">
        <f>COUNTIF('👤 Customers'!$A:$A, B461)</f>
        <v>1</v>
      </c>
      <c r="U461">
        <f>COUNTIF('🚴 Riders'!A460:A520, C461)</f>
        <v>0</v>
      </c>
      <c r="V461">
        <f>COUNTIF('🏭 Facilities'!A460:A468, D461)</f>
        <v>0</v>
      </c>
    </row>
    <row r="462" spans="1:22">
      <c r="A462" s="16" t="s">
        <v>1418</v>
      </c>
      <c r="B462" s="16" t="s">
        <v>987</v>
      </c>
      <c r="C462" s="16" t="s">
        <v>358</v>
      </c>
      <c r="D462" s="16" t="s">
        <v>115</v>
      </c>
      <c r="E462" s="25">
        <v>44990</v>
      </c>
      <c r="F462" s="16" t="s">
        <v>1419</v>
      </c>
      <c r="G462" s="16" t="s">
        <v>145</v>
      </c>
      <c r="H462" s="16">
        <v>6.5</v>
      </c>
      <c r="I462" s="16">
        <v>299</v>
      </c>
      <c r="J462" s="16">
        <v>10</v>
      </c>
      <c r="K462" s="16">
        <v>1749.15</v>
      </c>
      <c r="L462" s="16" t="s">
        <v>146</v>
      </c>
      <c r="M462" s="16" t="s">
        <v>119</v>
      </c>
      <c r="N462" s="27">
        <v>44990.325694444444</v>
      </c>
      <c r="O462" s="27">
        <v>44991.234722222223</v>
      </c>
      <c r="P462" s="16">
        <v>3.7</v>
      </c>
      <c r="Q462" s="16" t="b">
        <f>FALSE()</f>
        <v>0</v>
      </c>
      <c r="R462" s="16" t="b">
        <f>FALSE()</f>
        <v>0</v>
      </c>
      <c r="S462" s="17">
        <f t="shared" si="7"/>
        <v>21.8</v>
      </c>
      <c r="T462">
        <f>COUNTIF('👤 Customers'!$A:$A, B462)</f>
        <v>1</v>
      </c>
      <c r="U462">
        <f>COUNTIF('🚴 Riders'!A461:A521, C462)</f>
        <v>0</v>
      </c>
      <c r="V462">
        <f>COUNTIF('🏭 Facilities'!A461:A469, D462)</f>
        <v>0</v>
      </c>
    </row>
    <row r="463" spans="1:22">
      <c r="A463" s="18" t="s">
        <v>1420</v>
      </c>
      <c r="B463" s="18" t="s">
        <v>637</v>
      </c>
      <c r="C463" s="18" t="s">
        <v>122</v>
      </c>
      <c r="D463" s="18" t="s">
        <v>130</v>
      </c>
      <c r="E463" s="26">
        <v>45466</v>
      </c>
      <c r="F463" s="18" t="s">
        <v>1421</v>
      </c>
      <c r="G463" s="18" t="s">
        <v>145</v>
      </c>
      <c r="H463" s="18">
        <v>6</v>
      </c>
      <c r="I463" s="18">
        <v>299</v>
      </c>
      <c r="J463" s="18">
        <v>0</v>
      </c>
      <c r="K463" s="18">
        <v>1794</v>
      </c>
      <c r="L463" s="18" t="s">
        <v>207</v>
      </c>
      <c r="M463" s="18" t="s">
        <v>119</v>
      </c>
      <c r="N463" s="28">
        <v>45466.546527777777</v>
      </c>
      <c r="O463" s="28">
        <v>45467.382638888892</v>
      </c>
      <c r="P463" s="18">
        <v>4.7</v>
      </c>
      <c r="Q463" s="18" t="b">
        <f>FALSE()</f>
        <v>0</v>
      </c>
      <c r="R463" s="18" t="b">
        <f>FALSE()</f>
        <v>0</v>
      </c>
      <c r="S463" s="19">
        <f t="shared" si="7"/>
        <v>20.100000000000001</v>
      </c>
      <c r="T463">
        <f>COUNTIF('👤 Customers'!$A:$A, B463)</f>
        <v>1</v>
      </c>
      <c r="U463">
        <f>COUNTIF('🚴 Riders'!A462:A522, C463)</f>
        <v>0</v>
      </c>
      <c r="V463">
        <f>COUNTIF('🏭 Facilities'!A462:A470, D463)</f>
        <v>0</v>
      </c>
    </row>
    <row r="464" spans="1:22">
      <c r="A464" s="16" t="s">
        <v>1422</v>
      </c>
      <c r="B464" s="16" t="s">
        <v>1423</v>
      </c>
      <c r="C464" s="16" t="s">
        <v>196</v>
      </c>
      <c r="D464" s="16" t="s">
        <v>197</v>
      </c>
      <c r="E464" s="25">
        <v>45096</v>
      </c>
      <c r="F464" s="16" t="s">
        <v>1424</v>
      </c>
      <c r="G464" s="16" t="s">
        <v>117</v>
      </c>
      <c r="H464" s="16">
        <v>4</v>
      </c>
      <c r="I464" s="16">
        <v>149</v>
      </c>
      <c r="J464" s="16">
        <v>0</v>
      </c>
      <c r="K464" s="16">
        <v>596</v>
      </c>
      <c r="L464" s="16" t="s">
        <v>118</v>
      </c>
      <c r="M464" s="16" t="s">
        <v>119</v>
      </c>
      <c r="N464" s="27">
        <v>45096.943749999999</v>
      </c>
      <c r="O464" s="27">
        <v>45097.561805555553</v>
      </c>
      <c r="P464" s="16">
        <v>3.6</v>
      </c>
      <c r="Q464" s="16" t="b">
        <f>FALSE()</f>
        <v>0</v>
      </c>
      <c r="R464" s="16" t="b">
        <f>FALSE()</f>
        <v>0</v>
      </c>
      <c r="S464" s="17">
        <f t="shared" si="7"/>
        <v>14.8</v>
      </c>
      <c r="T464">
        <f>COUNTIF('👤 Customers'!$A:$A, B464)</f>
        <v>1</v>
      </c>
      <c r="U464">
        <f>COUNTIF('🚴 Riders'!A463:A523, C464)</f>
        <v>0</v>
      </c>
      <c r="V464">
        <f>COUNTIF('🏭 Facilities'!A463:A471, D464)</f>
        <v>0</v>
      </c>
    </row>
    <row r="465" spans="1:22">
      <c r="A465" s="18" t="s">
        <v>1425</v>
      </c>
      <c r="B465" s="18" t="s">
        <v>424</v>
      </c>
      <c r="C465" s="18" t="s">
        <v>188</v>
      </c>
      <c r="D465" s="18" t="s">
        <v>184</v>
      </c>
      <c r="E465" s="26">
        <v>45288</v>
      </c>
      <c r="F465" s="18" t="s">
        <v>1426</v>
      </c>
      <c r="G465" s="18" t="s">
        <v>176</v>
      </c>
      <c r="H465" s="18">
        <v>5.3</v>
      </c>
      <c r="I465" s="18">
        <v>599</v>
      </c>
      <c r="J465" s="18">
        <v>0</v>
      </c>
      <c r="K465" s="18">
        <v>3174.7</v>
      </c>
      <c r="L465" s="18" t="s">
        <v>207</v>
      </c>
      <c r="M465" s="18" t="s">
        <v>119</v>
      </c>
      <c r="N465" s="28">
        <v>45288.456250000003</v>
      </c>
      <c r="O465" s="28">
        <v>45289.06527777778</v>
      </c>
      <c r="P465" s="18">
        <v>3.6</v>
      </c>
      <c r="Q465" s="18" t="b">
        <f>FALSE()</f>
        <v>0</v>
      </c>
      <c r="R465" s="18" t="b">
        <f>TRUE()</f>
        <v>1</v>
      </c>
      <c r="S465" s="19">
        <f t="shared" si="7"/>
        <v>14.6</v>
      </c>
      <c r="T465">
        <f>COUNTIF('👤 Customers'!$A:$A, B465)</f>
        <v>1</v>
      </c>
      <c r="U465">
        <f>COUNTIF('🚴 Riders'!A464:A524, C465)</f>
        <v>0</v>
      </c>
      <c r="V465">
        <f>COUNTIF('🏭 Facilities'!A464:A472, D465)</f>
        <v>0</v>
      </c>
    </row>
    <row r="466" spans="1:22">
      <c r="A466" s="16" t="s">
        <v>1427</v>
      </c>
      <c r="B466" s="16" t="s">
        <v>1428</v>
      </c>
      <c r="C466" s="16" t="s">
        <v>487</v>
      </c>
      <c r="D466" s="16" t="s">
        <v>197</v>
      </c>
      <c r="E466" s="25">
        <v>45627</v>
      </c>
      <c r="F466" s="16" t="s">
        <v>1429</v>
      </c>
      <c r="G466" s="16" t="s">
        <v>125</v>
      </c>
      <c r="H466" s="16">
        <v>3.1</v>
      </c>
      <c r="I466" s="16">
        <v>199</v>
      </c>
      <c r="J466" s="16">
        <v>0</v>
      </c>
      <c r="K466" s="16">
        <v>616.9</v>
      </c>
      <c r="L466" s="16" t="s">
        <v>118</v>
      </c>
      <c r="M466" s="16" t="s">
        <v>133</v>
      </c>
      <c r="N466" s="20"/>
      <c r="O466" s="20"/>
      <c r="P466" s="20"/>
      <c r="Q466" s="16" t="b">
        <f>TRUE()</f>
        <v>1</v>
      </c>
      <c r="R466" s="16" t="b">
        <f>FALSE()</f>
        <v>0</v>
      </c>
      <c r="S466" s="17" t="str">
        <f t="shared" si="7"/>
        <v>N/A</v>
      </c>
      <c r="T466">
        <f>COUNTIF('👤 Customers'!$A:$A, B466)</f>
        <v>1</v>
      </c>
      <c r="U466">
        <f>COUNTIF('🚴 Riders'!A465:A525, C466)</f>
        <v>0</v>
      </c>
      <c r="V466">
        <f>COUNTIF('🏭 Facilities'!A465:A473, D466)</f>
        <v>0</v>
      </c>
    </row>
    <row r="467" spans="1:22">
      <c r="A467" s="18" t="s">
        <v>1430</v>
      </c>
      <c r="B467" s="18" t="s">
        <v>1431</v>
      </c>
      <c r="C467" s="18" t="s">
        <v>350</v>
      </c>
      <c r="D467" s="18" t="s">
        <v>123</v>
      </c>
      <c r="E467" s="26">
        <v>45079</v>
      </c>
      <c r="F467" s="18" t="s">
        <v>1432</v>
      </c>
      <c r="G467" s="18" t="s">
        <v>117</v>
      </c>
      <c r="H467" s="18">
        <v>2.8</v>
      </c>
      <c r="I467" s="18">
        <v>149</v>
      </c>
      <c r="J467" s="18">
        <v>10</v>
      </c>
      <c r="K467" s="18">
        <v>375.48</v>
      </c>
      <c r="L467" s="18" t="s">
        <v>126</v>
      </c>
      <c r="M467" s="18" t="s">
        <v>140</v>
      </c>
      <c r="N467" s="28">
        <v>45079.883333333331</v>
      </c>
      <c r="O467" s="28">
        <v>45080.368750000001</v>
      </c>
      <c r="P467" s="20"/>
      <c r="Q467" s="18" t="b">
        <f>FALSE()</f>
        <v>0</v>
      </c>
      <c r="R467" s="18" t="b">
        <f>FALSE()</f>
        <v>0</v>
      </c>
      <c r="S467" s="19">
        <f t="shared" si="7"/>
        <v>11.7</v>
      </c>
      <c r="T467">
        <f>COUNTIF('👤 Customers'!$A:$A, B467)</f>
        <v>1</v>
      </c>
      <c r="U467">
        <f>COUNTIF('🚴 Riders'!A466:A526, C467)</f>
        <v>0</v>
      </c>
      <c r="V467">
        <f>COUNTIF('🏭 Facilities'!A466:A474, D467)</f>
        <v>0</v>
      </c>
    </row>
    <row r="468" spans="1:22">
      <c r="A468" s="16" t="s">
        <v>1433</v>
      </c>
      <c r="B468" s="16" t="s">
        <v>1434</v>
      </c>
      <c r="C468" s="16" t="s">
        <v>842</v>
      </c>
      <c r="D468" s="16" t="s">
        <v>158</v>
      </c>
      <c r="E468" s="25">
        <v>45196</v>
      </c>
      <c r="F468" s="16" t="s">
        <v>1435</v>
      </c>
      <c r="G468" s="16" t="s">
        <v>145</v>
      </c>
      <c r="H468" s="16">
        <v>7.6</v>
      </c>
      <c r="I468" s="16">
        <v>299</v>
      </c>
      <c r="J468" s="16">
        <v>20</v>
      </c>
      <c r="K468" s="16">
        <v>1817.92</v>
      </c>
      <c r="L468" s="16" t="s">
        <v>207</v>
      </c>
      <c r="M468" s="16" t="s">
        <v>140</v>
      </c>
      <c r="N468" s="27">
        <v>45196.259722222225</v>
      </c>
      <c r="O468" s="27">
        <v>45197.124305555553</v>
      </c>
      <c r="P468" s="20"/>
      <c r="Q468" s="16" t="b">
        <f>FALSE()</f>
        <v>0</v>
      </c>
      <c r="R468" s="16" t="b">
        <f>FALSE()</f>
        <v>0</v>
      </c>
      <c r="S468" s="17">
        <f t="shared" si="7"/>
        <v>20.7</v>
      </c>
      <c r="T468">
        <f>COUNTIF('👤 Customers'!$A:$A, B468)</f>
        <v>1</v>
      </c>
      <c r="U468">
        <f>COUNTIF('🚴 Riders'!A467:A527, C468)</f>
        <v>0</v>
      </c>
      <c r="V468">
        <f>COUNTIF('🏭 Facilities'!A467:A475, D468)</f>
        <v>0</v>
      </c>
    </row>
    <row r="469" spans="1:22">
      <c r="A469" s="18" t="s">
        <v>1436</v>
      </c>
      <c r="B469" s="18" t="s">
        <v>623</v>
      </c>
      <c r="C469" s="18" t="s">
        <v>350</v>
      </c>
      <c r="D469" s="18" t="s">
        <v>130</v>
      </c>
      <c r="E469" s="26">
        <v>45295</v>
      </c>
      <c r="F469" s="18" t="s">
        <v>1437</v>
      </c>
      <c r="G469" s="18" t="s">
        <v>132</v>
      </c>
      <c r="H469" s="18">
        <v>4.5999999999999996</v>
      </c>
      <c r="I469" s="18">
        <v>399</v>
      </c>
      <c r="J469" s="18">
        <v>10</v>
      </c>
      <c r="K469" s="18">
        <v>1651.86</v>
      </c>
      <c r="L469" s="18" t="s">
        <v>139</v>
      </c>
      <c r="M469" s="18" t="s">
        <v>119</v>
      </c>
      <c r="N469" s="28">
        <v>45295.632638888892</v>
      </c>
      <c r="O469" s="28">
        <v>45296.336805555555</v>
      </c>
      <c r="P469" s="18">
        <v>4.4000000000000004</v>
      </c>
      <c r="Q469" s="18" t="b">
        <f>FALSE()</f>
        <v>0</v>
      </c>
      <c r="R469" s="18" t="b">
        <f>FALSE()</f>
        <v>0</v>
      </c>
      <c r="S469" s="19">
        <f t="shared" si="7"/>
        <v>16.899999999999999</v>
      </c>
      <c r="T469">
        <f>COUNTIF('👤 Customers'!$A:$A, B469)</f>
        <v>1</v>
      </c>
      <c r="U469">
        <f>COUNTIF('🚴 Riders'!A468:A528, C469)</f>
        <v>0</v>
      </c>
      <c r="V469">
        <f>COUNTIF('🏭 Facilities'!A468:A476, D469)</f>
        <v>0</v>
      </c>
    </row>
    <row r="470" spans="1:22">
      <c r="A470" s="16" t="s">
        <v>1438</v>
      </c>
      <c r="B470" s="16" t="s">
        <v>1439</v>
      </c>
      <c r="C470" s="16" t="s">
        <v>563</v>
      </c>
      <c r="D470" s="16" t="s">
        <v>205</v>
      </c>
      <c r="E470" s="25">
        <v>45276</v>
      </c>
      <c r="F470" s="16" t="s">
        <v>1440</v>
      </c>
      <c r="G470" s="16" t="s">
        <v>176</v>
      </c>
      <c r="H470" s="16">
        <v>1.2</v>
      </c>
      <c r="I470" s="16">
        <v>599</v>
      </c>
      <c r="J470" s="16">
        <v>0</v>
      </c>
      <c r="K470" s="16">
        <v>718.8</v>
      </c>
      <c r="L470" s="16" t="s">
        <v>118</v>
      </c>
      <c r="M470" s="16" t="s">
        <v>119</v>
      </c>
      <c r="N470" s="27">
        <v>45276.568749999999</v>
      </c>
      <c r="O470" s="27">
        <v>45277.455555555556</v>
      </c>
      <c r="P470" s="16">
        <v>3.1</v>
      </c>
      <c r="Q470" s="16" t="b">
        <f>FALSE()</f>
        <v>0</v>
      </c>
      <c r="R470" s="16" t="b">
        <f>FALSE()</f>
        <v>0</v>
      </c>
      <c r="S470" s="17">
        <f t="shared" si="7"/>
        <v>21.3</v>
      </c>
      <c r="T470">
        <f>COUNTIF('👤 Customers'!$A:$A, B470)</f>
        <v>1</v>
      </c>
      <c r="U470">
        <f>COUNTIF('🚴 Riders'!A469:A529, C470)</f>
        <v>0</v>
      </c>
      <c r="V470">
        <f>COUNTIF('🏭 Facilities'!A469:A477, D470)</f>
        <v>0</v>
      </c>
    </row>
    <row r="471" spans="1:22">
      <c r="A471" s="18" t="s">
        <v>1441</v>
      </c>
      <c r="B471" s="18" t="s">
        <v>1434</v>
      </c>
      <c r="C471" s="18" t="s">
        <v>162</v>
      </c>
      <c r="D471" s="18" t="s">
        <v>158</v>
      </c>
      <c r="E471" s="26">
        <v>45519</v>
      </c>
      <c r="F471" s="18" t="s">
        <v>1442</v>
      </c>
      <c r="G471" s="18" t="s">
        <v>176</v>
      </c>
      <c r="H471" s="18">
        <v>3.1</v>
      </c>
      <c r="I471" s="18">
        <v>599</v>
      </c>
      <c r="J471" s="18">
        <v>0</v>
      </c>
      <c r="K471" s="18">
        <v>1856.9</v>
      </c>
      <c r="L471" s="18" t="s">
        <v>139</v>
      </c>
      <c r="M471" s="18" t="s">
        <v>133</v>
      </c>
      <c r="N471" s="20"/>
      <c r="O471" s="20"/>
      <c r="P471" s="20"/>
      <c r="Q471" s="18" t="b">
        <f>FALSE()</f>
        <v>0</v>
      </c>
      <c r="R471" s="18" t="b">
        <f>FALSE()</f>
        <v>0</v>
      </c>
      <c r="S471" s="19" t="str">
        <f t="shared" si="7"/>
        <v>N/A</v>
      </c>
      <c r="T471">
        <f>COUNTIF('👤 Customers'!$A:$A, B471)</f>
        <v>1</v>
      </c>
      <c r="U471">
        <f>COUNTIF('🚴 Riders'!A470:A530, C471)</f>
        <v>0</v>
      </c>
      <c r="V471">
        <f>COUNTIF('🏭 Facilities'!A470:A478, D471)</f>
        <v>0</v>
      </c>
    </row>
    <row r="472" spans="1:22">
      <c r="A472" s="16" t="s">
        <v>1443</v>
      </c>
      <c r="B472" s="16" t="s">
        <v>1444</v>
      </c>
      <c r="C472" s="16" t="s">
        <v>228</v>
      </c>
      <c r="D472" s="16" t="s">
        <v>137</v>
      </c>
      <c r="E472" s="25">
        <v>45342</v>
      </c>
      <c r="F472" s="16" t="s">
        <v>1445</v>
      </c>
      <c r="G472" s="16" t="s">
        <v>145</v>
      </c>
      <c r="H472" s="16">
        <v>2.2999999999999998</v>
      </c>
      <c r="I472" s="16">
        <v>299</v>
      </c>
      <c r="J472" s="16">
        <v>0</v>
      </c>
      <c r="K472" s="16">
        <v>687.7</v>
      </c>
      <c r="L472" s="16" t="s">
        <v>126</v>
      </c>
      <c r="M472" s="16" t="s">
        <v>133</v>
      </c>
      <c r="N472" s="20"/>
      <c r="O472" s="20"/>
      <c r="P472" s="20"/>
      <c r="Q472" s="16" t="b">
        <f>FALSE()</f>
        <v>0</v>
      </c>
      <c r="R472" s="16" t="b">
        <f>FALSE()</f>
        <v>0</v>
      </c>
      <c r="S472" s="17" t="str">
        <f t="shared" si="7"/>
        <v>N/A</v>
      </c>
      <c r="T472">
        <f>COUNTIF('👤 Customers'!$A:$A, B472)</f>
        <v>1</v>
      </c>
      <c r="U472">
        <f>COUNTIF('🚴 Riders'!A471:A531, C472)</f>
        <v>0</v>
      </c>
      <c r="V472">
        <f>COUNTIF('🏭 Facilities'!A471:A479, D472)</f>
        <v>0</v>
      </c>
    </row>
    <row r="473" spans="1:22">
      <c r="A473" s="18" t="s">
        <v>1446</v>
      </c>
      <c r="B473" s="18" t="s">
        <v>1447</v>
      </c>
      <c r="C473" s="18" t="s">
        <v>251</v>
      </c>
      <c r="D473" s="18" t="s">
        <v>184</v>
      </c>
      <c r="E473" s="26">
        <v>44947</v>
      </c>
      <c r="F473" s="18" t="s">
        <v>1448</v>
      </c>
      <c r="G473" s="18" t="s">
        <v>132</v>
      </c>
      <c r="H473" s="18">
        <v>2.4</v>
      </c>
      <c r="I473" s="18">
        <v>399</v>
      </c>
      <c r="J473" s="18">
        <v>20</v>
      </c>
      <c r="K473" s="18">
        <v>766.08</v>
      </c>
      <c r="L473" s="18" t="s">
        <v>118</v>
      </c>
      <c r="M473" s="18" t="s">
        <v>119</v>
      </c>
      <c r="N473" s="28">
        <v>44947.907638888886</v>
      </c>
      <c r="O473" s="28">
        <v>44948.429166666669</v>
      </c>
      <c r="P473" s="18">
        <v>3.8</v>
      </c>
      <c r="Q473" s="18" t="b">
        <f>FALSE()</f>
        <v>0</v>
      </c>
      <c r="R473" s="18" t="b">
        <f>FALSE()</f>
        <v>0</v>
      </c>
      <c r="S473" s="19">
        <f t="shared" si="7"/>
        <v>12.5</v>
      </c>
      <c r="T473">
        <f>COUNTIF('👤 Customers'!$A:$A, B473)</f>
        <v>1</v>
      </c>
      <c r="U473">
        <f>COUNTIF('🚴 Riders'!A472:A532, C473)</f>
        <v>0</v>
      </c>
      <c r="V473">
        <f>COUNTIF('🏭 Facilities'!A472:A480, D473)</f>
        <v>0</v>
      </c>
    </row>
    <row r="474" spans="1:22">
      <c r="A474" s="16" t="s">
        <v>1449</v>
      </c>
      <c r="B474" s="16" t="s">
        <v>974</v>
      </c>
      <c r="C474" s="16" t="s">
        <v>1092</v>
      </c>
      <c r="D474" s="16" t="s">
        <v>130</v>
      </c>
      <c r="E474" s="25">
        <v>45246</v>
      </c>
      <c r="F474" s="16" t="s">
        <v>1450</v>
      </c>
      <c r="G474" s="16" t="s">
        <v>145</v>
      </c>
      <c r="H474" s="16">
        <v>2.1</v>
      </c>
      <c r="I474" s="16">
        <v>299</v>
      </c>
      <c r="J474" s="16">
        <v>0</v>
      </c>
      <c r="K474" s="16">
        <v>627.9</v>
      </c>
      <c r="L474" s="16" t="s">
        <v>207</v>
      </c>
      <c r="M474" s="16" t="s">
        <v>133</v>
      </c>
      <c r="N474" s="20"/>
      <c r="O474" s="20"/>
      <c r="P474" s="20"/>
      <c r="Q474" s="16" t="b">
        <f>FALSE()</f>
        <v>0</v>
      </c>
      <c r="R474" s="16" t="b">
        <f>FALSE()</f>
        <v>0</v>
      </c>
      <c r="S474" s="17" t="str">
        <f t="shared" si="7"/>
        <v>N/A</v>
      </c>
      <c r="T474">
        <f>COUNTIF('👤 Customers'!$A:$A, B474)</f>
        <v>1</v>
      </c>
      <c r="U474">
        <f>COUNTIF('🚴 Riders'!A473:A533, C474)</f>
        <v>0</v>
      </c>
      <c r="V474">
        <f>COUNTIF('🏭 Facilities'!A473:A481, D474)</f>
        <v>0</v>
      </c>
    </row>
    <row r="475" spans="1:22">
      <c r="A475" s="18" t="s">
        <v>1451</v>
      </c>
      <c r="B475" s="18" t="s">
        <v>1452</v>
      </c>
      <c r="C475" s="18" t="s">
        <v>232</v>
      </c>
      <c r="D475" s="18" t="s">
        <v>184</v>
      </c>
      <c r="E475" s="26">
        <v>45562</v>
      </c>
      <c r="F475" s="18" t="s">
        <v>1453</v>
      </c>
      <c r="G475" s="18" t="s">
        <v>145</v>
      </c>
      <c r="H475" s="18">
        <v>2.1</v>
      </c>
      <c r="I475" s="18">
        <v>299</v>
      </c>
      <c r="J475" s="18">
        <v>0</v>
      </c>
      <c r="K475" s="18">
        <v>627.9</v>
      </c>
      <c r="L475" s="18" t="s">
        <v>207</v>
      </c>
      <c r="M475" s="18" t="s">
        <v>119</v>
      </c>
      <c r="N475" s="28">
        <v>45562.384722222225</v>
      </c>
      <c r="O475" s="28">
        <v>45563.11041666667</v>
      </c>
      <c r="P475" s="18">
        <v>3.6</v>
      </c>
      <c r="Q475" s="18" t="b">
        <f>FALSE()</f>
        <v>0</v>
      </c>
      <c r="R475" s="18" t="b">
        <f>FALSE()</f>
        <v>0</v>
      </c>
      <c r="S475" s="19">
        <f t="shared" si="7"/>
        <v>17.399999999999999</v>
      </c>
      <c r="T475">
        <f>COUNTIF('👤 Customers'!$A:$A, B475)</f>
        <v>1</v>
      </c>
      <c r="U475">
        <f>COUNTIF('🚴 Riders'!A474:A534, C475)</f>
        <v>0</v>
      </c>
      <c r="V475">
        <f>COUNTIF('🏭 Facilities'!A474:A482, D475)</f>
        <v>0</v>
      </c>
    </row>
    <row r="476" spans="1:22">
      <c r="A476" s="16" t="s">
        <v>1454</v>
      </c>
      <c r="B476" s="16" t="s">
        <v>1455</v>
      </c>
      <c r="C476" s="16" t="s">
        <v>143</v>
      </c>
      <c r="D476" s="16" t="s">
        <v>115</v>
      </c>
      <c r="E476" s="25">
        <v>45118</v>
      </c>
      <c r="F476" s="16" t="s">
        <v>1456</v>
      </c>
      <c r="G476" s="16" t="s">
        <v>176</v>
      </c>
      <c r="H476" s="16">
        <v>3.3</v>
      </c>
      <c r="I476" s="16">
        <v>599</v>
      </c>
      <c r="J476" s="16">
        <v>0</v>
      </c>
      <c r="K476" s="16">
        <v>1976.7</v>
      </c>
      <c r="L476" s="16" t="s">
        <v>118</v>
      </c>
      <c r="M476" s="16" t="s">
        <v>119</v>
      </c>
      <c r="N476" s="27">
        <v>45118.813888888886</v>
      </c>
      <c r="O476" s="27">
        <v>45119.599305555559</v>
      </c>
      <c r="P476" s="16">
        <v>4.3</v>
      </c>
      <c r="Q476" s="16" t="b">
        <f>FALSE()</f>
        <v>0</v>
      </c>
      <c r="R476" s="16" t="b">
        <f>FALSE()</f>
        <v>0</v>
      </c>
      <c r="S476" s="17">
        <f t="shared" si="7"/>
        <v>18.899999999999999</v>
      </c>
      <c r="T476">
        <f>COUNTIF('👤 Customers'!$A:$A, B476)</f>
        <v>1</v>
      </c>
      <c r="U476">
        <f>COUNTIF('🚴 Riders'!A475:A535, C476)</f>
        <v>0</v>
      </c>
      <c r="V476">
        <f>COUNTIF('🏭 Facilities'!A475:A483, D476)</f>
        <v>0</v>
      </c>
    </row>
    <row r="477" spans="1:22">
      <c r="A477" s="18" t="s">
        <v>1457</v>
      </c>
      <c r="B477" s="18" t="s">
        <v>1331</v>
      </c>
      <c r="C477" s="18" t="s">
        <v>224</v>
      </c>
      <c r="D477" s="18" t="s">
        <v>197</v>
      </c>
      <c r="E477" s="26">
        <v>45403</v>
      </c>
      <c r="F477" s="18" t="s">
        <v>1458</v>
      </c>
      <c r="G477" s="18" t="s">
        <v>132</v>
      </c>
      <c r="H477" s="18">
        <v>3.9</v>
      </c>
      <c r="I477" s="18">
        <v>399</v>
      </c>
      <c r="J477" s="18">
        <v>0</v>
      </c>
      <c r="K477" s="18">
        <v>1556.1</v>
      </c>
      <c r="L477" s="18" t="s">
        <v>139</v>
      </c>
      <c r="M477" s="18" t="s">
        <v>133</v>
      </c>
      <c r="N477" s="20"/>
      <c r="O477" s="20"/>
      <c r="P477" s="20"/>
      <c r="Q477" s="18" t="b">
        <f>FALSE()</f>
        <v>0</v>
      </c>
      <c r="R477" s="18" t="b">
        <f>TRUE()</f>
        <v>1</v>
      </c>
      <c r="S477" s="19" t="str">
        <f t="shared" si="7"/>
        <v>N/A</v>
      </c>
      <c r="T477">
        <f>COUNTIF('👤 Customers'!$A:$A, B477)</f>
        <v>1</v>
      </c>
      <c r="U477">
        <f>COUNTIF('🚴 Riders'!A476:A536, C477)</f>
        <v>0</v>
      </c>
      <c r="V477">
        <f>COUNTIF('🏭 Facilities'!A476:A484, D477)</f>
        <v>0</v>
      </c>
    </row>
    <row r="478" spans="1:22">
      <c r="A478" s="16" t="s">
        <v>1459</v>
      </c>
      <c r="B478" s="16" t="s">
        <v>554</v>
      </c>
      <c r="C478" s="16" t="s">
        <v>362</v>
      </c>
      <c r="D478" s="16" t="s">
        <v>115</v>
      </c>
      <c r="E478" s="25">
        <v>45614</v>
      </c>
      <c r="F478" s="16" t="s">
        <v>1460</v>
      </c>
      <c r="G478" s="16" t="s">
        <v>132</v>
      </c>
      <c r="H478" s="16">
        <v>2.9</v>
      </c>
      <c r="I478" s="16">
        <v>399</v>
      </c>
      <c r="J478" s="16">
        <v>10</v>
      </c>
      <c r="K478" s="16">
        <v>1041.3900000000001</v>
      </c>
      <c r="L478" s="16" t="s">
        <v>139</v>
      </c>
      <c r="M478" s="16" t="s">
        <v>119</v>
      </c>
      <c r="N478" s="27">
        <v>45614.938194444447</v>
      </c>
      <c r="O478" s="27">
        <v>45615.34097222222</v>
      </c>
      <c r="P478" s="16">
        <v>5</v>
      </c>
      <c r="Q478" s="16" t="b">
        <f>FALSE()</f>
        <v>0</v>
      </c>
      <c r="R478" s="16" t="b">
        <f>FALSE()</f>
        <v>0</v>
      </c>
      <c r="S478" s="17">
        <f t="shared" si="7"/>
        <v>9.6999999999999993</v>
      </c>
      <c r="T478">
        <f>COUNTIF('👤 Customers'!$A:$A, B478)</f>
        <v>1</v>
      </c>
      <c r="U478">
        <f>COUNTIF('🚴 Riders'!A477:A537, C478)</f>
        <v>0</v>
      </c>
      <c r="V478">
        <f>COUNTIF('🏭 Facilities'!A477:A485, D478)</f>
        <v>0</v>
      </c>
    </row>
    <row r="479" spans="1:22">
      <c r="A479" s="18" t="s">
        <v>1461</v>
      </c>
      <c r="B479" s="18" t="s">
        <v>293</v>
      </c>
      <c r="C479" s="18" t="s">
        <v>308</v>
      </c>
      <c r="D479" s="18" t="s">
        <v>197</v>
      </c>
      <c r="E479" s="26">
        <v>44986</v>
      </c>
      <c r="F479" s="18" t="s">
        <v>1462</v>
      </c>
      <c r="G479" s="18" t="s">
        <v>125</v>
      </c>
      <c r="H479" s="18">
        <v>4.5</v>
      </c>
      <c r="I479" s="18">
        <v>199</v>
      </c>
      <c r="J479" s="18">
        <v>10</v>
      </c>
      <c r="K479" s="18">
        <v>805.95</v>
      </c>
      <c r="L479" s="18" t="s">
        <v>139</v>
      </c>
      <c r="M479" s="18" t="s">
        <v>119</v>
      </c>
      <c r="N479" s="28">
        <v>44986.531944444447</v>
      </c>
      <c r="O479" s="28">
        <v>44987.054861111108</v>
      </c>
      <c r="P479" s="18">
        <v>3.5</v>
      </c>
      <c r="Q479" s="18" t="b">
        <f>FALSE()</f>
        <v>0</v>
      </c>
      <c r="R479" s="18" t="b">
        <f>FALSE()</f>
        <v>0</v>
      </c>
      <c r="S479" s="19">
        <f t="shared" si="7"/>
        <v>12.5</v>
      </c>
      <c r="T479">
        <f>COUNTIF('👤 Customers'!$A:$A, B479)</f>
        <v>1</v>
      </c>
      <c r="U479">
        <f>COUNTIF('🚴 Riders'!A478:A538, C479)</f>
        <v>0</v>
      </c>
      <c r="V479">
        <f>COUNTIF('🏭 Facilities'!A478:A486, D479)</f>
        <v>0</v>
      </c>
    </row>
    <row r="480" spans="1:22">
      <c r="A480" s="16" t="s">
        <v>1463</v>
      </c>
      <c r="B480" s="16" t="s">
        <v>389</v>
      </c>
      <c r="C480" s="16" t="s">
        <v>300</v>
      </c>
      <c r="D480" s="16" t="s">
        <v>130</v>
      </c>
      <c r="E480" s="25">
        <v>45235</v>
      </c>
      <c r="F480" s="16" t="s">
        <v>1464</v>
      </c>
      <c r="G480" s="16" t="s">
        <v>125</v>
      </c>
      <c r="H480" s="16">
        <v>1.1000000000000001</v>
      </c>
      <c r="I480" s="16">
        <v>199</v>
      </c>
      <c r="J480" s="16">
        <v>0</v>
      </c>
      <c r="K480" s="16">
        <v>218.9</v>
      </c>
      <c r="L480" s="16" t="s">
        <v>139</v>
      </c>
      <c r="M480" s="16" t="s">
        <v>119</v>
      </c>
      <c r="N480" s="27">
        <v>45235.174305555556</v>
      </c>
      <c r="O480" s="27">
        <v>45236.068055555559</v>
      </c>
      <c r="P480" s="16">
        <v>2.9</v>
      </c>
      <c r="Q480" s="16" t="b">
        <f>FALSE()</f>
        <v>0</v>
      </c>
      <c r="R480" s="16" t="b">
        <f>FALSE()</f>
        <v>0</v>
      </c>
      <c r="S480" s="17">
        <f t="shared" si="7"/>
        <v>21.5</v>
      </c>
      <c r="T480">
        <f>COUNTIF('👤 Customers'!$A:$A, B480)</f>
        <v>1</v>
      </c>
      <c r="U480">
        <f>COUNTIF('🚴 Riders'!A479:A539, C480)</f>
        <v>0</v>
      </c>
      <c r="V480">
        <f>COUNTIF('🏭 Facilities'!A479:A487, D480)</f>
        <v>0</v>
      </c>
    </row>
    <row r="481" spans="1:22">
      <c r="A481" s="18" t="s">
        <v>1465</v>
      </c>
      <c r="B481" s="18" t="s">
        <v>1466</v>
      </c>
      <c r="C481" s="18" t="s">
        <v>304</v>
      </c>
      <c r="D481" s="18" t="s">
        <v>123</v>
      </c>
      <c r="E481" s="26">
        <v>45059</v>
      </c>
      <c r="F481" s="18" t="s">
        <v>1467</v>
      </c>
      <c r="G481" s="18" t="s">
        <v>125</v>
      </c>
      <c r="H481" s="18">
        <v>5.2</v>
      </c>
      <c r="I481" s="18">
        <v>199</v>
      </c>
      <c r="J481" s="18">
        <v>0</v>
      </c>
      <c r="K481" s="18">
        <v>1034.8</v>
      </c>
      <c r="L481" s="18" t="s">
        <v>207</v>
      </c>
      <c r="M481" s="18" t="s">
        <v>119</v>
      </c>
      <c r="N481" s="28">
        <v>45059.598611111112</v>
      </c>
      <c r="O481" s="28">
        <v>45060.19027777778</v>
      </c>
      <c r="P481" s="18">
        <v>3.6</v>
      </c>
      <c r="Q481" s="18" t="b">
        <f>FALSE()</f>
        <v>0</v>
      </c>
      <c r="R481" s="18" t="b">
        <f>FALSE()</f>
        <v>0</v>
      </c>
      <c r="S481" s="19">
        <f t="shared" si="7"/>
        <v>14.2</v>
      </c>
      <c r="T481">
        <f>COUNTIF('👤 Customers'!$A:$A, B481)</f>
        <v>1</v>
      </c>
      <c r="U481">
        <f>COUNTIF('🚴 Riders'!A480:A540, C481)</f>
        <v>0</v>
      </c>
      <c r="V481">
        <f>COUNTIF('🏭 Facilities'!A480:A488, D481)</f>
        <v>0</v>
      </c>
    </row>
    <row r="482" spans="1:22">
      <c r="A482" s="16" t="s">
        <v>1468</v>
      </c>
      <c r="B482" s="16" t="s">
        <v>1469</v>
      </c>
      <c r="C482" s="16" t="s">
        <v>228</v>
      </c>
      <c r="D482" s="16" t="s">
        <v>158</v>
      </c>
      <c r="E482" s="25">
        <v>45620</v>
      </c>
      <c r="F482" s="16" t="s">
        <v>1470</v>
      </c>
      <c r="G482" s="16" t="s">
        <v>176</v>
      </c>
      <c r="H482" s="16">
        <v>2.5</v>
      </c>
      <c r="I482" s="16">
        <v>599</v>
      </c>
      <c r="J482" s="16">
        <v>10</v>
      </c>
      <c r="K482" s="16">
        <v>1347.75</v>
      </c>
      <c r="L482" s="16" t="s">
        <v>118</v>
      </c>
      <c r="M482" s="16" t="s">
        <v>140</v>
      </c>
      <c r="N482" s="27">
        <v>45620.509722222225</v>
      </c>
      <c r="O482" s="27">
        <v>45621.341666666667</v>
      </c>
      <c r="P482" s="20"/>
      <c r="Q482" s="16" t="b">
        <f>FALSE()</f>
        <v>0</v>
      </c>
      <c r="R482" s="16" t="b">
        <f>FALSE()</f>
        <v>0</v>
      </c>
      <c r="S482" s="17">
        <f t="shared" si="7"/>
        <v>20</v>
      </c>
      <c r="T482">
        <f>COUNTIF('👤 Customers'!$A:$A, B482)</f>
        <v>1</v>
      </c>
      <c r="U482">
        <f>COUNTIF('🚴 Riders'!A481:A541, C482)</f>
        <v>0</v>
      </c>
      <c r="V482">
        <f>COUNTIF('🏭 Facilities'!A481:A489, D482)</f>
        <v>0</v>
      </c>
    </row>
    <row r="483" spans="1:22">
      <c r="A483" s="18" t="s">
        <v>1471</v>
      </c>
      <c r="B483" s="18" t="s">
        <v>1200</v>
      </c>
      <c r="C483" s="18" t="s">
        <v>304</v>
      </c>
      <c r="D483" s="18" t="s">
        <v>205</v>
      </c>
      <c r="E483" s="26">
        <v>44964</v>
      </c>
      <c r="F483" s="18" t="s">
        <v>1472</v>
      </c>
      <c r="G483" s="18" t="s">
        <v>145</v>
      </c>
      <c r="H483" s="18">
        <v>6.4</v>
      </c>
      <c r="I483" s="18">
        <v>299</v>
      </c>
      <c r="J483" s="18">
        <v>20</v>
      </c>
      <c r="K483" s="18">
        <v>1530.88</v>
      </c>
      <c r="L483" s="18" t="s">
        <v>207</v>
      </c>
      <c r="M483" s="18" t="s">
        <v>119</v>
      </c>
      <c r="N483" s="28">
        <v>44964.95208333333</v>
      </c>
      <c r="O483" s="28">
        <v>44965.395138888889</v>
      </c>
      <c r="P483" s="18">
        <v>4.2</v>
      </c>
      <c r="Q483" s="18" t="b">
        <f>TRUE()</f>
        <v>1</v>
      </c>
      <c r="R483" s="18" t="b">
        <f>FALSE()</f>
        <v>0</v>
      </c>
      <c r="S483" s="19">
        <f t="shared" si="7"/>
        <v>10.6</v>
      </c>
      <c r="T483">
        <f>COUNTIF('👤 Customers'!$A:$A, B483)</f>
        <v>1</v>
      </c>
      <c r="U483">
        <f>COUNTIF('🚴 Riders'!A482:A542, C483)</f>
        <v>0</v>
      </c>
      <c r="V483">
        <f>COUNTIF('🏭 Facilities'!A482:A490, D483)</f>
        <v>0</v>
      </c>
    </row>
    <row r="484" spans="1:22">
      <c r="A484" s="16" t="s">
        <v>1473</v>
      </c>
      <c r="B484" s="16" t="s">
        <v>1474</v>
      </c>
      <c r="C484" s="16" t="s">
        <v>157</v>
      </c>
      <c r="D484" s="16" t="s">
        <v>130</v>
      </c>
      <c r="E484" s="25">
        <v>45002</v>
      </c>
      <c r="F484" s="16" t="s">
        <v>1475</v>
      </c>
      <c r="G484" s="16" t="s">
        <v>132</v>
      </c>
      <c r="H484" s="16">
        <v>6.1</v>
      </c>
      <c r="I484" s="16">
        <v>399</v>
      </c>
      <c r="J484" s="16">
        <v>0</v>
      </c>
      <c r="K484" s="16">
        <v>2433.9</v>
      </c>
      <c r="L484" s="16" t="s">
        <v>146</v>
      </c>
      <c r="M484" s="16" t="s">
        <v>133</v>
      </c>
      <c r="N484" s="20"/>
      <c r="O484" s="20"/>
      <c r="P484" s="20"/>
      <c r="Q484" s="16" t="b">
        <f>FALSE()</f>
        <v>0</v>
      </c>
      <c r="R484" s="16" t="b">
        <f>FALSE()</f>
        <v>0</v>
      </c>
      <c r="S484" s="17" t="str">
        <f t="shared" si="7"/>
        <v>N/A</v>
      </c>
      <c r="T484">
        <f>COUNTIF('👤 Customers'!$A:$A, B484)</f>
        <v>1</v>
      </c>
      <c r="U484">
        <f>COUNTIF('🚴 Riders'!A483:A543, C484)</f>
        <v>0</v>
      </c>
      <c r="V484">
        <f>COUNTIF('🏭 Facilities'!A483:A491, D484)</f>
        <v>0</v>
      </c>
    </row>
    <row r="485" spans="1:22">
      <c r="A485" s="18" t="s">
        <v>1476</v>
      </c>
      <c r="B485" s="18" t="s">
        <v>1477</v>
      </c>
      <c r="C485" s="18" t="s">
        <v>192</v>
      </c>
      <c r="D485" s="18" t="s">
        <v>197</v>
      </c>
      <c r="E485" s="26">
        <v>45107</v>
      </c>
      <c r="F485" s="18" t="s">
        <v>1478</v>
      </c>
      <c r="G485" s="18" t="s">
        <v>132</v>
      </c>
      <c r="H485" s="18">
        <v>1.7</v>
      </c>
      <c r="I485" s="18">
        <v>399</v>
      </c>
      <c r="J485" s="18">
        <v>0</v>
      </c>
      <c r="K485" s="18">
        <v>678.3</v>
      </c>
      <c r="L485" s="18" t="s">
        <v>118</v>
      </c>
      <c r="M485" s="18" t="s">
        <v>119</v>
      </c>
      <c r="N485" s="28">
        <v>45107.595833333333</v>
      </c>
      <c r="O485" s="28">
        <v>45108.156944444447</v>
      </c>
      <c r="P485" s="18">
        <v>4.0999999999999996</v>
      </c>
      <c r="Q485" s="18" t="b">
        <f>FALSE()</f>
        <v>0</v>
      </c>
      <c r="R485" s="18" t="b">
        <f>TRUE()</f>
        <v>1</v>
      </c>
      <c r="S485" s="19">
        <f t="shared" si="7"/>
        <v>13.5</v>
      </c>
      <c r="T485">
        <f>COUNTIF('👤 Customers'!$A:$A, B485)</f>
        <v>1</v>
      </c>
      <c r="U485">
        <f>COUNTIF('🚴 Riders'!A484:A544, C485)</f>
        <v>0</v>
      </c>
      <c r="V485">
        <f>COUNTIF('🏭 Facilities'!A484:A492, D485)</f>
        <v>0</v>
      </c>
    </row>
    <row r="486" spans="1:22">
      <c r="A486" s="16" t="s">
        <v>1479</v>
      </c>
      <c r="B486" s="16" t="s">
        <v>1480</v>
      </c>
      <c r="C486" s="16" t="s">
        <v>315</v>
      </c>
      <c r="D486" s="16" t="s">
        <v>123</v>
      </c>
      <c r="E486" s="25">
        <v>45096</v>
      </c>
      <c r="F486" s="16" t="s">
        <v>1481</v>
      </c>
      <c r="G486" s="16" t="s">
        <v>145</v>
      </c>
      <c r="H486" s="16">
        <v>3.1</v>
      </c>
      <c r="I486" s="16">
        <v>299</v>
      </c>
      <c r="J486" s="16">
        <v>0</v>
      </c>
      <c r="K486" s="16">
        <v>926.9</v>
      </c>
      <c r="L486" s="16" t="s">
        <v>126</v>
      </c>
      <c r="M486" s="16" t="s">
        <v>119</v>
      </c>
      <c r="N486" s="27">
        <v>45096.885416666664</v>
      </c>
      <c r="O486" s="27">
        <v>45097.847916666666</v>
      </c>
      <c r="P486" s="16">
        <v>4</v>
      </c>
      <c r="Q486" s="16" t="b">
        <f>FALSE()</f>
        <v>0</v>
      </c>
      <c r="R486" s="16" t="b">
        <f>FALSE()</f>
        <v>0</v>
      </c>
      <c r="S486" s="17">
        <f t="shared" si="7"/>
        <v>23.1</v>
      </c>
      <c r="T486">
        <f>COUNTIF('👤 Customers'!$A:$A, B486)</f>
        <v>1</v>
      </c>
      <c r="U486">
        <f>COUNTIF('🚴 Riders'!A485:A545, C486)</f>
        <v>0</v>
      </c>
      <c r="V486">
        <f>COUNTIF('🏭 Facilities'!A485:A493, D486)</f>
        <v>0</v>
      </c>
    </row>
    <row r="487" spans="1:22">
      <c r="A487" s="18" t="s">
        <v>1482</v>
      </c>
      <c r="B487" s="18" t="s">
        <v>400</v>
      </c>
      <c r="C487" s="18" t="s">
        <v>308</v>
      </c>
      <c r="D487" s="18" t="s">
        <v>115</v>
      </c>
      <c r="E487" s="26">
        <v>45453</v>
      </c>
      <c r="F487" s="18" t="s">
        <v>1483</v>
      </c>
      <c r="G487" s="18" t="s">
        <v>132</v>
      </c>
      <c r="H487" s="18">
        <v>3.3</v>
      </c>
      <c r="I487" s="18">
        <v>399</v>
      </c>
      <c r="J487" s="18">
        <v>10</v>
      </c>
      <c r="K487" s="18">
        <v>1185.03</v>
      </c>
      <c r="L487" s="18" t="s">
        <v>139</v>
      </c>
      <c r="M487" s="18" t="s">
        <v>140</v>
      </c>
      <c r="N487" s="28">
        <v>45453.607638888891</v>
      </c>
      <c r="O487" s="28">
        <v>45454.578472222223</v>
      </c>
      <c r="P487" s="20"/>
      <c r="Q487" s="18" t="b">
        <f>FALSE()</f>
        <v>0</v>
      </c>
      <c r="R487" s="18" t="b">
        <f>FALSE()</f>
        <v>0</v>
      </c>
      <c r="S487" s="19">
        <f t="shared" si="7"/>
        <v>23.3</v>
      </c>
      <c r="T487">
        <f>COUNTIF('👤 Customers'!$A:$A, B487)</f>
        <v>1</v>
      </c>
      <c r="U487">
        <f>COUNTIF('🚴 Riders'!A486:A546, C487)</f>
        <v>0</v>
      </c>
      <c r="V487">
        <f>COUNTIF('🏭 Facilities'!A486:A494, D487)</f>
        <v>0</v>
      </c>
    </row>
    <row r="488" spans="1:22">
      <c r="A488" s="16" t="s">
        <v>1484</v>
      </c>
      <c r="B488" s="16" t="s">
        <v>610</v>
      </c>
      <c r="C488" s="16" t="s">
        <v>247</v>
      </c>
      <c r="D488" s="16" t="s">
        <v>130</v>
      </c>
      <c r="E488" s="25">
        <v>45318</v>
      </c>
      <c r="F488" s="16" t="s">
        <v>1485</v>
      </c>
      <c r="G488" s="16" t="s">
        <v>176</v>
      </c>
      <c r="H488" s="16">
        <v>5.9</v>
      </c>
      <c r="I488" s="16">
        <v>599</v>
      </c>
      <c r="J488" s="16">
        <v>0</v>
      </c>
      <c r="K488" s="16">
        <v>3534.1</v>
      </c>
      <c r="L488" s="16" t="s">
        <v>146</v>
      </c>
      <c r="M488" s="16" t="s">
        <v>119</v>
      </c>
      <c r="N488" s="27">
        <v>45318.128472222219</v>
      </c>
      <c r="O488" s="27">
        <v>45319.118055555555</v>
      </c>
      <c r="P488" s="16">
        <v>2.7</v>
      </c>
      <c r="Q488" s="16" t="b">
        <f>TRUE()</f>
        <v>1</v>
      </c>
      <c r="R488" s="16" t="b">
        <f>FALSE()</f>
        <v>0</v>
      </c>
      <c r="S488" s="17">
        <f t="shared" si="7"/>
        <v>23.8</v>
      </c>
      <c r="T488">
        <f>COUNTIF('👤 Customers'!$A:$A, B488)</f>
        <v>1</v>
      </c>
      <c r="U488">
        <f>COUNTIF('🚴 Riders'!A487:A547, C488)</f>
        <v>0</v>
      </c>
      <c r="V488">
        <f>COUNTIF('🏭 Facilities'!A487:A495, D488)</f>
        <v>0</v>
      </c>
    </row>
    <row r="489" spans="1:22">
      <c r="A489" s="18" t="s">
        <v>1486</v>
      </c>
      <c r="B489" s="18" t="s">
        <v>235</v>
      </c>
      <c r="C489" s="18" t="s">
        <v>479</v>
      </c>
      <c r="D489" s="18" t="s">
        <v>205</v>
      </c>
      <c r="E489" s="26">
        <v>45083</v>
      </c>
      <c r="F489" s="18" t="s">
        <v>1487</v>
      </c>
      <c r="G489" s="18" t="s">
        <v>132</v>
      </c>
      <c r="H489" s="18">
        <v>3.6</v>
      </c>
      <c r="I489" s="18">
        <v>399</v>
      </c>
      <c r="J489" s="18">
        <v>10</v>
      </c>
      <c r="K489" s="18">
        <v>1292.76</v>
      </c>
      <c r="L489" s="18" t="s">
        <v>207</v>
      </c>
      <c r="M489" s="18" t="s">
        <v>119</v>
      </c>
      <c r="N489" s="28">
        <v>45084.0625</v>
      </c>
      <c r="O489" s="28">
        <v>45084.881249999999</v>
      </c>
      <c r="P489" s="18">
        <v>3.2</v>
      </c>
      <c r="Q489" s="18" t="b">
        <f>FALSE()</f>
        <v>0</v>
      </c>
      <c r="R489" s="18" t="b">
        <f>FALSE()</f>
        <v>0</v>
      </c>
      <c r="S489" s="19">
        <f t="shared" si="7"/>
        <v>19.600000000000001</v>
      </c>
      <c r="T489">
        <f>COUNTIF('👤 Customers'!$A:$A, B489)</f>
        <v>1</v>
      </c>
      <c r="U489">
        <f>COUNTIF('🚴 Riders'!A488:A548, C489)</f>
        <v>0</v>
      </c>
      <c r="V489">
        <f>COUNTIF('🏭 Facilities'!A488:A496, D489)</f>
        <v>0</v>
      </c>
    </row>
    <row r="490" spans="1:22">
      <c r="A490" s="16" t="s">
        <v>1488</v>
      </c>
      <c r="B490" s="16" t="s">
        <v>1108</v>
      </c>
      <c r="C490" s="16" t="s">
        <v>339</v>
      </c>
      <c r="D490" s="16" t="s">
        <v>184</v>
      </c>
      <c r="E490" s="25">
        <v>45331</v>
      </c>
      <c r="F490" s="16" t="s">
        <v>1489</v>
      </c>
      <c r="G490" s="16" t="s">
        <v>145</v>
      </c>
      <c r="H490" s="16">
        <v>5.5</v>
      </c>
      <c r="I490" s="16">
        <v>299</v>
      </c>
      <c r="J490" s="16">
        <v>0</v>
      </c>
      <c r="K490" s="16">
        <v>1644.5</v>
      </c>
      <c r="L490" s="16" t="s">
        <v>207</v>
      </c>
      <c r="M490" s="16" t="s">
        <v>119</v>
      </c>
      <c r="N490" s="27">
        <v>45331.62777777778</v>
      </c>
      <c r="O490" s="27">
        <v>45332.497916666667</v>
      </c>
      <c r="P490" s="16">
        <v>4.5</v>
      </c>
      <c r="Q490" s="16" t="b">
        <f>FALSE()</f>
        <v>0</v>
      </c>
      <c r="R490" s="16" t="b">
        <f>FALSE()</f>
        <v>0</v>
      </c>
      <c r="S490" s="17">
        <f t="shared" si="7"/>
        <v>20.9</v>
      </c>
      <c r="T490">
        <f>COUNTIF('👤 Customers'!$A:$A, B490)</f>
        <v>1</v>
      </c>
      <c r="U490">
        <f>COUNTIF('🚴 Riders'!A489:A549, C490)</f>
        <v>0</v>
      </c>
      <c r="V490">
        <f>COUNTIF('🏭 Facilities'!A489:A497, D490)</f>
        <v>0</v>
      </c>
    </row>
    <row r="491" spans="1:22">
      <c r="A491" s="18" t="s">
        <v>1490</v>
      </c>
      <c r="B491" s="18" t="s">
        <v>1491</v>
      </c>
      <c r="C491" s="18" t="s">
        <v>174</v>
      </c>
      <c r="D491" s="18" t="s">
        <v>137</v>
      </c>
      <c r="E491" s="26">
        <v>45604</v>
      </c>
      <c r="F491" s="18" t="s">
        <v>1492</v>
      </c>
      <c r="G491" s="18" t="s">
        <v>145</v>
      </c>
      <c r="H491" s="18">
        <v>4.7</v>
      </c>
      <c r="I491" s="18">
        <v>299</v>
      </c>
      <c r="J491" s="18">
        <v>0</v>
      </c>
      <c r="K491" s="18">
        <v>1405.3</v>
      </c>
      <c r="L491" s="18" t="s">
        <v>207</v>
      </c>
      <c r="M491" s="18" t="s">
        <v>140</v>
      </c>
      <c r="N491" s="28">
        <v>45604.87222222222</v>
      </c>
      <c r="O491" s="28">
        <v>45605.822222222225</v>
      </c>
      <c r="P491" s="20"/>
      <c r="Q491" s="18" t="b">
        <f>TRUE()</f>
        <v>1</v>
      </c>
      <c r="R491" s="18" t="b">
        <f>TRUE()</f>
        <v>1</v>
      </c>
      <c r="S491" s="19">
        <f t="shared" si="7"/>
        <v>22.8</v>
      </c>
      <c r="T491">
        <f>COUNTIF('👤 Customers'!$A:$A, B491)</f>
        <v>1</v>
      </c>
      <c r="U491">
        <f>COUNTIF('🚴 Riders'!A490:A550, C491)</f>
        <v>0</v>
      </c>
      <c r="V491">
        <f>COUNTIF('🏭 Facilities'!A490:A498, D491)</f>
        <v>0</v>
      </c>
    </row>
    <row r="492" spans="1:22">
      <c r="A492" s="16" t="s">
        <v>1493</v>
      </c>
      <c r="B492" s="16" t="s">
        <v>1144</v>
      </c>
      <c r="C492" s="16" t="s">
        <v>536</v>
      </c>
      <c r="D492" s="16" t="s">
        <v>130</v>
      </c>
      <c r="E492" s="25">
        <v>45353</v>
      </c>
      <c r="F492" s="16" t="s">
        <v>1494</v>
      </c>
      <c r="G492" s="16" t="s">
        <v>132</v>
      </c>
      <c r="H492" s="16">
        <v>2.7</v>
      </c>
      <c r="I492" s="16">
        <v>399</v>
      </c>
      <c r="J492" s="16">
        <v>0</v>
      </c>
      <c r="K492" s="16">
        <v>1077.3</v>
      </c>
      <c r="L492" s="16" t="s">
        <v>118</v>
      </c>
      <c r="M492" s="16" t="s">
        <v>140</v>
      </c>
      <c r="N492" s="27">
        <v>45353.390972222223</v>
      </c>
      <c r="O492" s="27">
        <v>45353.822222222225</v>
      </c>
      <c r="P492" s="20"/>
      <c r="Q492" s="16" t="b">
        <f>FALSE()</f>
        <v>0</v>
      </c>
      <c r="R492" s="16" t="b">
        <f>FALSE()</f>
        <v>0</v>
      </c>
      <c r="S492" s="17">
        <f t="shared" si="7"/>
        <v>10.4</v>
      </c>
      <c r="T492">
        <f>COUNTIF('👤 Customers'!$A:$A, B492)</f>
        <v>1</v>
      </c>
      <c r="U492">
        <f>COUNTIF('🚴 Riders'!A491:A551, C492)</f>
        <v>0</v>
      </c>
      <c r="V492">
        <f>COUNTIF('🏭 Facilities'!A491:A499, D492)</f>
        <v>0</v>
      </c>
    </row>
    <row r="493" spans="1:22">
      <c r="A493" s="18" t="s">
        <v>1495</v>
      </c>
      <c r="B493" s="18" t="s">
        <v>1496</v>
      </c>
      <c r="C493" s="18" t="s">
        <v>717</v>
      </c>
      <c r="D493" s="18" t="s">
        <v>158</v>
      </c>
      <c r="E493" s="26">
        <v>45420</v>
      </c>
      <c r="F493" s="18" t="s">
        <v>1497</v>
      </c>
      <c r="G493" s="18" t="s">
        <v>132</v>
      </c>
      <c r="H493" s="18">
        <v>2.9</v>
      </c>
      <c r="I493" s="18">
        <v>399</v>
      </c>
      <c r="J493" s="18">
        <v>10</v>
      </c>
      <c r="K493" s="18">
        <v>1041.3900000000001</v>
      </c>
      <c r="L493" s="18" t="s">
        <v>146</v>
      </c>
      <c r="M493" s="18" t="s">
        <v>119</v>
      </c>
      <c r="N493" s="28">
        <v>45420.847222222219</v>
      </c>
      <c r="O493" s="28">
        <v>45421.44027777778</v>
      </c>
      <c r="P493" s="18">
        <v>4</v>
      </c>
      <c r="Q493" s="18" t="b">
        <f>FALSE()</f>
        <v>0</v>
      </c>
      <c r="R493" s="18" t="b">
        <f>TRUE()</f>
        <v>1</v>
      </c>
      <c r="S493" s="19">
        <f t="shared" si="7"/>
        <v>14.2</v>
      </c>
      <c r="T493">
        <f>COUNTIF('👤 Customers'!$A:$A, B493)</f>
        <v>1</v>
      </c>
      <c r="U493">
        <f>COUNTIF('🚴 Riders'!A492:A552, C493)</f>
        <v>0</v>
      </c>
      <c r="V493">
        <f>COUNTIF('🏭 Facilities'!A492:A500, D493)</f>
        <v>0</v>
      </c>
    </row>
    <row r="494" spans="1:22">
      <c r="A494" s="16" t="s">
        <v>1498</v>
      </c>
      <c r="B494" s="16" t="s">
        <v>231</v>
      </c>
      <c r="C494" s="16" t="s">
        <v>136</v>
      </c>
      <c r="D494" s="16" t="s">
        <v>137</v>
      </c>
      <c r="E494" s="25">
        <v>45543</v>
      </c>
      <c r="F494" s="16" t="s">
        <v>1499</v>
      </c>
      <c r="G494" s="16" t="s">
        <v>145</v>
      </c>
      <c r="H494" s="16">
        <v>1.1000000000000001</v>
      </c>
      <c r="I494" s="16">
        <v>299</v>
      </c>
      <c r="J494" s="16">
        <v>0</v>
      </c>
      <c r="K494" s="16">
        <v>328.9</v>
      </c>
      <c r="L494" s="16" t="s">
        <v>118</v>
      </c>
      <c r="M494" s="16" t="s">
        <v>119</v>
      </c>
      <c r="N494" s="27">
        <v>45543.506249999999</v>
      </c>
      <c r="O494" s="27">
        <v>45544.538888888892</v>
      </c>
      <c r="P494" s="16">
        <v>3.5</v>
      </c>
      <c r="Q494" s="16" t="b">
        <f>FALSE()</f>
        <v>0</v>
      </c>
      <c r="R494" s="16" t="b">
        <f>FALSE()</f>
        <v>0</v>
      </c>
      <c r="S494" s="17">
        <f t="shared" si="7"/>
        <v>24.8</v>
      </c>
      <c r="T494">
        <f>COUNTIF('👤 Customers'!$A:$A, B494)</f>
        <v>1</v>
      </c>
      <c r="U494">
        <f>COUNTIF('🚴 Riders'!A493:A553, C494)</f>
        <v>0</v>
      </c>
      <c r="V494">
        <f>COUNTIF('🏭 Facilities'!A493:A501, D494)</f>
        <v>0</v>
      </c>
    </row>
    <row r="495" spans="1:22">
      <c r="A495" s="18" t="s">
        <v>1500</v>
      </c>
      <c r="B495" s="18" t="s">
        <v>397</v>
      </c>
      <c r="C495" s="18" t="s">
        <v>1092</v>
      </c>
      <c r="D495" s="18" t="s">
        <v>205</v>
      </c>
      <c r="E495" s="26">
        <v>45363</v>
      </c>
      <c r="F495" s="18" t="s">
        <v>1501</v>
      </c>
      <c r="G495" s="18" t="s">
        <v>176</v>
      </c>
      <c r="H495" s="18">
        <v>4.4000000000000004</v>
      </c>
      <c r="I495" s="18">
        <v>599</v>
      </c>
      <c r="J495" s="18">
        <v>0</v>
      </c>
      <c r="K495" s="18">
        <v>2635.6</v>
      </c>
      <c r="L495" s="18" t="s">
        <v>139</v>
      </c>
      <c r="M495" s="18" t="s">
        <v>140</v>
      </c>
      <c r="N495" s="28">
        <v>45363.717361111114</v>
      </c>
      <c r="O495" s="28">
        <v>45364.140972222223</v>
      </c>
      <c r="P495" s="20"/>
      <c r="Q495" s="18" t="b">
        <f>FALSE()</f>
        <v>0</v>
      </c>
      <c r="R495" s="18" t="b">
        <f>FALSE()</f>
        <v>0</v>
      </c>
      <c r="S495" s="19">
        <f t="shared" si="7"/>
        <v>10.199999999999999</v>
      </c>
      <c r="T495">
        <f>COUNTIF('👤 Customers'!$A:$A, B495)</f>
        <v>1</v>
      </c>
      <c r="U495">
        <f>COUNTIF('🚴 Riders'!A494:A554, C495)</f>
        <v>0</v>
      </c>
      <c r="V495">
        <f>COUNTIF('🏭 Facilities'!A494:A502, D495)</f>
        <v>0</v>
      </c>
    </row>
    <row r="496" spans="1:22">
      <c r="A496" s="16" t="s">
        <v>1502</v>
      </c>
      <c r="B496" s="16" t="s">
        <v>1503</v>
      </c>
      <c r="C496" s="16" t="s">
        <v>188</v>
      </c>
      <c r="D496" s="16" t="s">
        <v>137</v>
      </c>
      <c r="E496" s="25">
        <v>45233</v>
      </c>
      <c r="F496" s="16" t="s">
        <v>1504</v>
      </c>
      <c r="G496" s="16" t="s">
        <v>117</v>
      </c>
      <c r="H496" s="16">
        <v>3.7</v>
      </c>
      <c r="I496" s="16">
        <v>149</v>
      </c>
      <c r="J496" s="16">
        <v>0</v>
      </c>
      <c r="K496" s="16">
        <v>551.29999999999995</v>
      </c>
      <c r="L496" s="16" t="s">
        <v>207</v>
      </c>
      <c r="M496" s="16" t="s">
        <v>133</v>
      </c>
      <c r="N496" s="20"/>
      <c r="O496" s="20"/>
      <c r="P496" s="20"/>
      <c r="Q496" s="16" t="b">
        <f>FALSE()</f>
        <v>0</v>
      </c>
      <c r="R496" s="16" t="b">
        <f>FALSE()</f>
        <v>0</v>
      </c>
      <c r="S496" s="17" t="str">
        <f t="shared" si="7"/>
        <v>N/A</v>
      </c>
      <c r="T496">
        <f>COUNTIF('👤 Customers'!$A:$A, B496)</f>
        <v>1</v>
      </c>
      <c r="U496">
        <f>COUNTIF('🚴 Riders'!A495:A555, C496)</f>
        <v>0</v>
      </c>
      <c r="V496">
        <f>COUNTIF('🏭 Facilities'!A495:A503, D496)</f>
        <v>0</v>
      </c>
    </row>
    <row r="497" spans="1:22">
      <c r="A497" s="18" t="s">
        <v>1505</v>
      </c>
      <c r="B497" s="18" t="s">
        <v>1144</v>
      </c>
      <c r="C497" s="18" t="s">
        <v>149</v>
      </c>
      <c r="D497" s="18" t="s">
        <v>130</v>
      </c>
      <c r="E497" s="26">
        <v>45526</v>
      </c>
      <c r="F497" s="18" t="s">
        <v>1506</v>
      </c>
      <c r="G497" s="18" t="s">
        <v>117</v>
      </c>
      <c r="H497" s="18">
        <v>4.5999999999999996</v>
      </c>
      <c r="I497" s="18">
        <v>149</v>
      </c>
      <c r="J497" s="18">
        <v>0</v>
      </c>
      <c r="K497" s="18">
        <v>685.4</v>
      </c>
      <c r="L497" s="18" t="s">
        <v>207</v>
      </c>
      <c r="M497" s="18" t="s">
        <v>140</v>
      </c>
      <c r="N497" s="28">
        <v>45526.137499999997</v>
      </c>
      <c r="O497" s="28">
        <v>45526.504861111112</v>
      </c>
      <c r="P497" s="20"/>
      <c r="Q497" s="18" t="b">
        <f>FALSE()</f>
        <v>0</v>
      </c>
      <c r="R497" s="18" t="b">
        <f>FALSE()</f>
        <v>0</v>
      </c>
      <c r="S497" s="19">
        <f t="shared" si="7"/>
        <v>8.8000000000000007</v>
      </c>
      <c r="T497">
        <f>COUNTIF('👤 Customers'!$A:$A, B497)</f>
        <v>1</v>
      </c>
      <c r="U497">
        <f>COUNTIF('🚴 Riders'!A496:A556, C497)</f>
        <v>0</v>
      </c>
      <c r="V497">
        <f>COUNTIF('🏭 Facilities'!A496:A504, D497)</f>
        <v>0</v>
      </c>
    </row>
    <row r="498" spans="1:22">
      <c r="A498" s="16" t="s">
        <v>1507</v>
      </c>
      <c r="B498" s="16" t="s">
        <v>282</v>
      </c>
      <c r="C498" s="16" t="s">
        <v>287</v>
      </c>
      <c r="D498" s="16" t="s">
        <v>137</v>
      </c>
      <c r="E498" s="25">
        <v>45207</v>
      </c>
      <c r="F498" s="16" t="s">
        <v>1508</v>
      </c>
      <c r="G498" s="16" t="s">
        <v>125</v>
      </c>
      <c r="H498" s="16">
        <v>5.9</v>
      </c>
      <c r="I498" s="16">
        <v>199</v>
      </c>
      <c r="J498" s="16">
        <v>10</v>
      </c>
      <c r="K498" s="16">
        <v>1056.69</v>
      </c>
      <c r="L498" s="16" t="s">
        <v>126</v>
      </c>
      <c r="M498" s="16" t="s">
        <v>119</v>
      </c>
      <c r="N498" s="27">
        <v>45207.827777777777</v>
      </c>
      <c r="O498" s="27">
        <v>45208.839583333334</v>
      </c>
      <c r="P498" s="16">
        <v>2.8</v>
      </c>
      <c r="Q498" s="16" t="b">
        <f>TRUE()</f>
        <v>1</v>
      </c>
      <c r="R498" s="16" t="b">
        <f>FALSE()</f>
        <v>0</v>
      </c>
      <c r="S498" s="17">
        <f t="shared" si="7"/>
        <v>24.3</v>
      </c>
      <c r="T498">
        <f>COUNTIF('👤 Customers'!$A:$A, B498)</f>
        <v>1</v>
      </c>
      <c r="U498">
        <f>COUNTIF('🚴 Riders'!A497:A557, C498)</f>
        <v>0</v>
      </c>
      <c r="V498">
        <f>COUNTIF('🏭 Facilities'!A497:A505, D498)</f>
        <v>0</v>
      </c>
    </row>
    <row r="499" spans="1:22">
      <c r="A499" s="18" t="s">
        <v>1509</v>
      </c>
      <c r="B499" s="18" t="s">
        <v>1342</v>
      </c>
      <c r="C499" s="18" t="s">
        <v>247</v>
      </c>
      <c r="D499" s="18" t="s">
        <v>123</v>
      </c>
      <c r="E499" s="26">
        <v>45225</v>
      </c>
      <c r="F499" s="18" t="s">
        <v>1510</v>
      </c>
      <c r="G499" s="18" t="s">
        <v>145</v>
      </c>
      <c r="H499" s="18">
        <v>5.9</v>
      </c>
      <c r="I499" s="18">
        <v>299</v>
      </c>
      <c r="J499" s="18">
        <v>30</v>
      </c>
      <c r="K499" s="18">
        <v>1234.8699999999999</v>
      </c>
      <c r="L499" s="18" t="s">
        <v>118</v>
      </c>
      <c r="M499" s="18" t="s">
        <v>119</v>
      </c>
      <c r="N499" s="28">
        <v>45225.62777777778</v>
      </c>
      <c r="O499" s="28">
        <v>45226.09652777778</v>
      </c>
      <c r="P499" s="18">
        <v>3.8</v>
      </c>
      <c r="Q499" s="18" t="b">
        <f>FALSE()</f>
        <v>0</v>
      </c>
      <c r="R499" s="18" t="b">
        <f>FALSE()</f>
        <v>0</v>
      </c>
      <c r="S499" s="19">
        <f t="shared" si="7"/>
        <v>11.3</v>
      </c>
      <c r="T499">
        <f>COUNTIF('👤 Customers'!$A:$A, B499)</f>
        <v>1</v>
      </c>
      <c r="U499">
        <f>COUNTIF('🚴 Riders'!A498:A558, C499)</f>
        <v>0</v>
      </c>
      <c r="V499">
        <f>COUNTIF('🏭 Facilities'!A498:A506, D499)</f>
        <v>0</v>
      </c>
    </row>
    <row r="500" spans="1:22">
      <c r="A500" s="16" t="s">
        <v>1511</v>
      </c>
      <c r="B500" s="16" t="s">
        <v>1512</v>
      </c>
      <c r="C500" s="16" t="s">
        <v>265</v>
      </c>
      <c r="D500" s="16" t="s">
        <v>137</v>
      </c>
      <c r="E500" s="25">
        <v>45382</v>
      </c>
      <c r="F500" s="16" t="s">
        <v>1513</v>
      </c>
      <c r="G500" s="16" t="s">
        <v>117</v>
      </c>
      <c r="H500" s="16">
        <v>6.1</v>
      </c>
      <c r="I500" s="16">
        <v>149</v>
      </c>
      <c r="J500" s="16">
        <v>10</v>
      </c>
      <c r="K500" s="16">
        <v>818.01</v>
      </c>
      <c r="L500" s="16" t="s">
        <v>118</v>
      </c>
      <c r="M500" s="16" t="s">
        <v>140</v>
      </c>
      <c r="N500" s="27">
        <v>45382.368750000001</v>
      </c>
      <c r="O500" s="27">
        <v>45382.790277777778</v>
      </c>
      <c r="P500" s="20"/>
      <c r="Q500" s="16" t="b">
        <f>FALSE()</f>
        <v>0</v>
      </c>
      <c r="R500" s="16" t="b">
        <f>FALSE()</f>
        <v>0</v>
      </c>
      <c r="S500" s="17">
        <f t="shared" si="7"/>
        <v>10.1</v>
      </c>
      <c r="T500">
        <f>COUNTIF('👤 Customers'!$A:$A, B500)</f>
        <v>1</v>
      </c>
      <c r="U500">
        <f>COUNTIF('🚴 Riders'!A499:A559, C500)</f>
        <v>0</v>
      </c>
      <c r="V500">
        <f>COUNTIF('🏭 Facilities'!A499:A507, D500)</f>
        <v>0</v>
      </c>
    </row>
    <row r="501" spans="1:22">
      <c r="A501" s="18" t="s">
        <v>1514</v>
      </c>
      <c r="B501" s="18" t="s">
        <v>1515</v>
      </c>
      <c r="C501" s="18" t="s">
        <v>276</v>
      </c>
      <c r="D501" s="18" t="s">
        <v>123</v>
      </c>
      <c r="E501" s="26">
        <v>45236</v>
      </c>
      <c r="F501" s="18" t="s">
        <v>1516</v>
      </c>
      <c r="G501" s="18" t="s">
        <v>117</v>
      </c>
      <c r="H501" s="18">
        <v>1</v>
      </c>
      <c r="I501" s="18">
        <v>149</v>
      </c>
      <c r="J501" s="18">
        <v>0</v>
      </c>
      <c r="K501" s="18">
        <v>149</v>
      </c>
      <c r="L501" s="18" t="s">
        <v>139</v>
      </c>
      <c r="M501" s="18" t="s">
        <v>119</v>
      </c>
      <c r="N501" s="28">
        <v>45236.133333333331</v>
      </c>
      <c r="O501" s="28">
        <v>45236.535416666666</v>
      </c>
      <c r="P501" s="18">
        <v>2.9</v>
      </c>
      <c r="Q501" s="18" t="b">
        <f>FALSE()</f>
        <v>0</v>
      </c>
      <c r="R501" s="18" t="b">
        <f>FALSE()</f>
        <v>0</v>
      </c>
      <c r="S501" s="19">
        <f t="shared" si="7"/>
        <v>9.6999999999999993</v>
      </c>
      <c r="T501">
        <f>COUNTIF('👤 Customers'!$A:$A, B501)</f>
        <v>1</v>
      </c>
      <c r="U501">
        <f>COUNTIF('🚴 Riders'!A500:A560, C501)</f>
        <v>0</v>
      </c>
      <c r="V501">
        <f>COUNTIF('🏭 Facilities'!A500:A508, D501)</f>
        <v>0</v>
      </c>
    </row>
    <row r="502" spans="1:22">
      <c r="A502" s="16" t="s">
        <v>1517</v>
      </c>
      <c r="B502" s="16" t="s">
        <v>1518</v>
      </c>
      <c r="C502" s="16" t="s">
        <v>536</v>
      </c>
      <c r="D502" s="16" t="s">
        <v>130</v>
      </c>
      <c r="E502" s="25">
        <v>45080</v>
      </c>
      <c r="F502" s="16" t="s">
        <v>1519</v>
      </c>
      <c r="G502" s="16" t="s">
        <v>145</v>
      </c>
      <c r="H502" s="16">
        <v>2.2999999999999998</v>
      </c>
      <c r="I502" s="16">
        <v>299</v>
      </c>
      <c r="J502" s="16">
        <v>20</v>
      </c>
      <c r="K502" s="16">
        <v>550.16</v>
      </c>
      <c r="L502" s="16" t="s">
        <v>118</v>
      </c>
      <c r="M502" s="16" t="s">
        <v>119</v>
      </c>
      <c r="N502" s="27">
        <v>45080.910416666666</v>
      </c>
      <c r="O502" s="27">
        <v>45081.37777777778</v>
      </c>
      <c r="P502" s="16">
        <v>5</v>
      </c>
      <c r="Q502" s="16" t="b">
        <f>FALSE()</f>
        <v>0</v>
      </c>
      <c r="R502" s="16" t="b">
        <f>FALSE()</f>
        <v>0</v>
      </c>
      <c r="S502" s="17">
        <f t="shared" si="7"/>
        <v>11.2</v>
      </c>
      <c r="T502">
        <f>COUNTIF('👤 Customers'!$A:$A, B502)</f>
        <v>1</v>
      </c>
      <c r="U502">
        <f>COUNTIF('🚴 Riders'!A501:A561, C502)</f>
        <v>0</v>
      </c>
      <c r="V502">
        <f>COUNTIF('🏭 Facilities'!A501:A509, D502)</f>
        <v>0</v>
      </c>
    </row>
    <row r="503" spans="1:22">
      <c r="A503" s="18" t="s">
        <v>1520</v>
      </c>
      <c r="B503" s="18" t="s">
        <v>969</v>
      </c>
      <c r="C503" s="18" t="s">
        <v>308</v>
      </c>
      <c r="D503" s="18" t="s">
        <v>130</v>
      </c>
      <c r="E503" s="26">
        <v>45636</v>
      </c>
      <c r="F503" s="18" t="s">
        <v>1521</v>
      </c>
      <c r="G503" s="18" t="s">
        <v>176</v>
      </c>
      <c r="H503" s="18">
        <v>1.8</v>
      </c>
      <c r="I503" s="18">
        <v>599</v>
      </c>
      <c r="J503" s="18">
        <v>10</v>
      </c>
      <c r="K503" s="18">
        <v>970.38</v>
      </c>
      <c r="L503" s="18" t="s">
        <v>139</v>
      </c>
      <c r="M503" s="18" t="s">
        <v>119</v>
      </c>
      <c r="N503" s="28">
        <v>45636.188888888886</v>
      </c>
      <c r="O503" s="28">
        <v>45636.786805555559</v>
      </c>
      <c r="P503" s="18">
        <v>3.7</v>
      </c>
      <c r="Q503" s="18" t="b">
        <f>FALSE()</f>
        <v>0</v>
      </c>
      <c r="R503" s="18" t="b">
        <f>TRUE()</f>
        <v>1</v>
      </c>
      <c r="S503" s="19">
        <f t="shared" si="7"/>
        <v>14.4</v>
      </c>
      <c r="T503">
        <f>COUNTIF('👤 Customers'!$A:$A, B503)</f>
        <v>1</v>
      </c>
      <c r="U503">
        <f>COUNTIF('🚴 Riders'!A502:A562, C503)</f>
        <v>0</v>
      </c>
      <c r="V503">
        <f>COUNTIF('🏭 Facilities'!A502:A510, D503)</f>
        <v>0</v>
      </c>
    </row>
    <row r="504" spans="1:22">
      <c r="A504" s="16" t="s">
        <v>1522</v>
      </c>
      <c r="B504" s="16" t="s">
        <v>1523</v>
      </c>
      <c r="C504" s="16" t="s">
        <v>750</v>
      </c>
      <c r="D504" s="16" t="s">
        <v>123</v>
      </c>
      <c r="E504" s="25">
        <v>45133</v>
      </c>
      <c r="F504" s="16" t="s">
        <v>1524</v>
      </c>
      <c r="G504" s="16" t="s">
        <v>125</v>
      </c>
      <c r="H504" s="16">
        <v>5.7</v>
      </c>
      <c r="I504" s="16">
        <v>199</v>
      </c>
      <c r="J504" s="16">
        <v>10</v>
      </c>
      <c r="K504" s="16">
        <v>1020.87</v>
      </c>
      <c r="L504" s="16" t="s">
        <v>139</v>
      </c>
      <c r="M504" s="16" t="s">
        <v>119</v>
      </c>
      <c r="N504" s="27">
        <v>45133.705555555556</v>
      </c>
      <c r="O504" s="27">
        <v>45134.38958333333</v>
      </c>
      <c r="P504" s="16">
        <v>3.7</v>
      </c>
      <c r="Q504" s="16" t="b">
        <f>FALSE()</f>
        <v>0</v>
      </c>
      <c r="R504" s="16" t="b">
        <f>FALSE()</f>
        <v>0</v>
      </c>
      <c r="S504" s="17">
        <f t="shared" si="7"/>
        <v>16.399999999999999</v>
      </c>
      <c r="T504">
        <f>COUNTIF('👤 Customers'!$A:$A, B504)</f>
        <v>1</v>
      </c>
      <c r="U504">
        <f>COUNTIF('🚴 Riders'!A503:A563, C504)</f>
        <v>0</v>
      </c>
      <c r="V504">
        <f>COUNTIF('🏭 Facilities'!A503:A511, D504)</f>
        <v>0</v>
      </c>
    </row>
    <row r="505" spans="1:22">
      <c r="A505" s="18" t="s">
        <v>1525</v>
      </c>
      <c r="B505" s="18" t="s">
        <v>841</v>
      </c>
      <c r="C505" s="18" t="s">
        <v>1092</v>
      </c>
      <c r="D505" s="18" t="s">
        <v>205</v>
      </c>
      <c r="E505" s="26">
        <v>45214</v>
      </c>
      <c r="F505" s="18" t="s">
        <v>1526</v>
      </c>
      <c r="G505" s="18" t="s">
        <v>117</v>
      </c>
      <c r="H505" s="18">
        <v>8</v>
      </c>
      <c r="I505" s="18">
        <v>149</v>
      </c>
      <c r="J505" s="18">
        <v>20</v>
      </c>
      <c r="K505" s="18">
        <v>953.6</v>
      </c>
      <c r="L505" s="18" t="s">
        <v>126</v>
      </c>
      <c r="M505" s="18" t="s">
        <v>119</v>
      </c>
      <c r="N505" s="28">
        <v>45215.114583333336</v>
      </c>
      <c r="O505" s="28">
        <v>45215.695138888892</v>
      </c>
      <c r="P505" s="18">
        <v>2.5</v>
      </c>
      <c r="Q505" s="18" t="b">
        <f>FALSE()</f>
        <v>0</v>
      </c>
      <c r="R505" s="18" t="b">
        <f>FALSE()</f>
        <v>0</v>
      </c>
      <c r="S505" s="19">
        <f t="shared" si="7"/>
        <v>13.9</v>
      </c>
      <c r="T505">
        <f>COUNTIF('👤 Customers'!$A:$A, B505)</f>
        <v>1</v>
      </c>
      <c r="U505">
        <f>COUNTIF('🚴 Riders'!A504:A564, C505)</f>
        <v>0</v>
      </c>
      <c r="V505">
        <f>COUNTIF('🏭 Facilities'!A504:A512, D505)</f>
        <v>0</v>
      </c>
    </row>
    <row r="506" spans="1:22">
      <c r="A506" s="16" t="s">
        <v>1527</v>
      </c>
      <c r="B506" s="16" t="s">
        <v>922</v>
      </c>
      <c r="C506" s="16" t="s">
        <v>717</v>
      </c>
      <c r="D506" s="16" t="s">
        <v>115</v>
      </c>
      <c r="E506" s="25">
        <v>45575</v>
      </c>
      <c r="F506" s="16" t="s">
        <v>1528</v>
      </c>
      <c r="G506" s="16" t="s">
        <v>132</v>
      </c>
      <c r="H506" s="16">
        <v>1.2</v>
      </c>
      <c r="I506" s="16">
        <v>399</v>
      </c>
      <c r="J506" s="16">
        <v>0</v>
      </c>
      <c r="K506" s="16">
        <v>478.8</v>
      </c>
      <c r="L506" s="16" t="s">
        <v>146</v>
      </c>
      <c r="M506" s="16" t="s">
        <v>133</v>
      </c>
      <c r="N506" s="20"/>
      <c r="O506" s="20"/>
      <c r="P506" s="20"/>
      <c r="Q506" s="16" t="b">
        <f>FALSE()</f>
        <v>0</v>
      </c>
      <c r="R506" s="16" t="b">
        <f>TRUE()</f>
        <v>1</v>
      </c>
      <c r="S506" s="17" t="str">
        <f t="shared" si="7"/>
        <v>N/A</v>
      </c>
      <c r="T506">
        <f>COUNTIF('👤 Customers'!$A:$A, B506)</f>
        <v>1</v>
      </c>
      <c r="U506">
        <f>COUNTIF('🚴 Riders'!A505:A565, C506)</f>
        <v>0</v>
      </c>
      <c r="V506">
        <f>COUNTIF('🏭 Facilities'!A505:A513, D506)</f>
        <v>0</v>
      </c>
    </row>
    <row r="507" spans="1:22">
      <c r="A507" s="18" t="s">
        <v>1529</v>
      </c>
      <c r="B507" s="18" t="s">
        <v>1530</v>
      </c>
      <c r="C507" s="18" t="s">
        <v>287</v>
      </c>
      <c r="D507" s="18" t="s">
        <v>115</v>
      </c>
      <c r="E507" s="26">
        <v>45422</v>
      </c>
      <c r="F507" s="18" t="s">
        <v>1531</v>
      </c>
      <c r="G507" s="18" t="s">
        <v>117</v>
      </c>
      <c r="H507" s="18">
        <v>1.1000000000000001</v>
      </c>
      <c r="I507" s="18">
        <v>149</v>
      </c>
      <c r="J507" s="18">
        <v>0</v>
      </c>
      <c r="K507" s="18">
        <v>163.9</v>
      </c>
      <c r="L507" s="18" t="s">
        <v>139</v>
      </c>
      <c r="M507" s="18" t="s">
        <v>119</v>
      </c>
      <c r="N507" s="28">
        <v>45422.768055555556</v>
      </c>
      <c r="O507" s="28">
        <v>45423.668055555558</v>
      </c>
      <c r="P507" s="18">
        <v>4.3</v>
      </c>
      <c r="Q507" s="18" t="b">
        <f>FALSE()</f>
        <v>0</v>
      </c>
      <c r="R507" s="18" t="b">
        <f>FALSE()</f>
        <v>0</v>
      </c>
      <c r="S507" s="19">
        <f t="shared" si="7"/>
        <v>21.6</v>
      </c>
      <c r="T507">
        <f>COUNTIF('👤 Customers'!$A:$A, B507)</f>
        <v>1</v>
      </c>
      <c r="U507">
        <f>COUNTIF('🚴 Riders'!A506:A566, C507)</f>
        <v>0</v>
      </c>
      <c r="V507">
        <f>COUNTIF('🏭 Facilities'!A506:A514, D507)</f>
        <v>0</v>
      </c>
    </row>
    <row r="508" spans="1:22">
      <c r="A508" s="16" t="s">
        <v>1532</v>
      </c>
      <c r="B508" s="16" t="s">
        <v>1533</v>
      </c>
      <c r="C508" s="16" t="s">
        <v>1092</v>
      </c>
      <c r="D508" s="16" t="s">
        <v>184</v>
      </c>
      <c r="E508" s="25">
        <v>45656</v>
      </c>
      <c r="F508" s="16" t="s">
        <v>1534</v>
      </c>
      <c r="G508" s="16" t="s">
        <v>145</v>
      </c>
      <c r="H508" s="16">
        <v>7.9</v>
      </c>
      <c r="I508" s="16">
        <v>299</v>
      </c>
      <c r="J508" s="16">
        <v>20</v>
      </c>
      <c r="K508" s="16">
        <v>1889.68</v>
      </c>
      <c r="L508" s="16" t="s">
        <v>207</v>
      </c>
      <c r="M508" s="16" t="s">
        <v>119</v>
      </c>
      <c r="N508" s="27">
        <v>45656.536111111112</v>
      </c>
      <c r="O508" s="27">
        <v>45657.064583333333</v>
      </c>
      <c r="P508" s="16">
        <v>3.7</v>
      </c>
      <c r="Q508" s="16" t="b">
        <f>TRUE()</f>
        <v>1</v>
      </c>
      <c r="R508" s="16" t="b">
        <f>FALSE()</f>
        <v>0</v>
      </c>
      <c r="S508" s="17">
        <f t="shared" si="7"/>
        <v>12.7</v>
      </c>
      <c r="T508">
        <f>COUNTIF('👤 Customers'!$A:$A, B508)</f>
        <v>1</v>
      </c>
      <c r="U508">
        <f>COUNTIF('🚴 Riders'!A507:A567, C508)</f>
        <v>0</v>
      </c>
      <c r="V508">
        <f>COUNTIF('🏭 Facilities'!A507:A515, D508)</f>
        <v>0</v>
      </c>
    </row>
    <row r="509" spans="1:22">
      <c r="A509" s="18" t="s">
        <v>1535</v>
      </c>
      <c r="B509" s="18" t="s">
        <v>1444</v>
      </c>
      <c r="C509" s="18" t="s">
        <v>196</v>
      </c>
      <c r="D509" s="18" t="s">
        <v>197</v>
      </c>
      <c r="E509" s="26">
        <v>45353</v>
      </c>
      <c r="F509" s="18" t="s">
        <v>1536</v>
      </c>
      <c r="G509" s="18" t="s">
        <v>145</v>
      </c>
      <c r="H509" s="18">
        <v>2.2000000000000002</v>
      </c>
      <c r="I509" s="18">
        <v>299</v>
      </c>
      <c r="J509" s="18">
        <v>0</v>
      </c>
      <c r="K509" s="18">
        <v>657.8</v>
      </c>
      <c r="L509" s="18" t="s">
        <v>126</v>
      </c>
      <c r="M509" s="18" t="s">
        <v>119</v>
      </c>
      <c r="N509" s="28">
        <v>45353.314583333333</v>
      </c>
      <c r="O509" s="28">
        <v>45354.032638888886</v>
      </c>
      <c r="P509" s="18">
        <v>3.6</v>
      </c>
      <c r="Q509" s="18" t="b">
        <f>FALSE()</f>
        <v>0</v>
      </c>
      <c r="R509" s="18" t="b">
        <f>TRUE()</f>
        <v>1</v>
      </c>
      <c r="S509" s="19">
        <f t="shared" si="7"/>
        <v>17.2</v>
      </c>
      <c r="T509">
        <f>COUNTIF('👤 Customers'!$A:$A, B509)</f>
        <v>1</v>
      </c>
      <c r="U509">
        <f>COUNTIF('🚴 Riders'!A508:A568, C509)</f>
        <v>0</v>
      </c>
      <c r="V509">
        <f>COUNTIF('🏭 Facilities'!A508:A516, D509)</f>
        <v>0</v>
      </c>
    </row>
    <row r="510" spans="1:22">
      <c r="A510" s="16" t="s">
        <v>1537</v>
      </c>
      <c r="B510" s="16" t="s">
        <v>617</v>
      </c>
      <c r="C510" s="16" t="s">
        <v>487</v>
      </c>
      <c r="D510" s="16" t="s">
        <v>137</v>
      </c>
      <c r="E510" s="25">
        <v>45648</v>
      </c>
      <c r="F510" s="16" t="s">
        <v>1538</v>
      </c>
      <c r="G510" s="16" t="s">
        <v>117</v>
      </c>
      <c r="H510" s="16">
        <v>7.3</v>
      </c>
      <c r="I510" s="16">
        <v>149</v>
      </c>
      <c r="J510" s="16">
        <v>10</v>
      </c>
      <c r="K510" s="16">
        <v>978.93</v>
      </c>
      <c r="L510" s="16" t="s">
        <v>146</v>
      </c>
      <c r="M510" s="16" t="s">
        <v>119</v>
      </c>
      <c r="N510" s="27">
        <v>45648.675694444442</v>
      </c>
      <c r="O510" s="27">
        <v>45649.54583333333</v>
      </c>
      <c r="P510" s="16">
        <v>4.0999999999999996</v>
      </c>
      <c r="Q510" s="16" t="b">
        <f>FALSE()</f>
        <v>0</v>
      </c>
      <c r="R510" s="16" t="b">
        <f>FALSE()</f>
        <v>0</v>
      </c>
      <c r="S510" s="17">
        <f t="shared" si="7"/>
        <v>20.9</v>
      </c>
      <c r="T510">
        <f>COUNTIF('👤 Customers'!$A:$A, B510)</f>
        <v>1</v>
      </c>
      <c r="U510">
        <f>COUNTIF('🚴 Riders'!A509:A569, C510)</f>
        <v>0</v>
      </c>
      <c r="V510">
        <f>COUNTIF('🏭 Facilities'!A509:A517, D510)</f>
        <v>0</v>
      </c>
    </row>
    <row r="511" spans="1:22">
      <c r="A511" s="18" t="s">
        <v>1539</v>
      </c>
      <c r="B511" s="18" t="s">
        <v>1540</v>
      </c>
      <c r="C511" s="18" t="s">
        <v>149</v>
      </c>
      <c r="D511" s="18" t="s">
        <v>158</v>
      </c>
      <c r="E511" s="26">
        <v>45185</v>
      </c>
      <c r="F511" s="18" t="s">
        <v>1541</v>
      </c>
      <c r="G511" s="18" t="s">
        <v>132</v>
      </c>
      <c r="H511" s="18">
        <v>7.5</v>
      </c>
      <c r="I511" s="18">
        <v>399</v>
      </c>
      <c r="J511" s="18">
        <v>10</v>
      </c>
      <c r="K511" s="18">
        <v>2693.25</v>
      </c>
      <c r="L511" s="18" t="s">
        <v>146</v>
      </c>
      <c r="M511" s="18" t="s">
        <v>133</v>
      </c>
      <c r="N511" s="20"/>
      <c r="O511" s="20"/>
      <c r="P511" s="20"/>
      <c r="Q511" s="18" t="b">
        <f>FALSE()</f>
        <v>0</v>
      </c>
      <c r="R511" s="18" t="b">
        <f>FALSE()</f>
        <v>0</v>
      </c>
      <c r="S511" s="19" t="str">
        <f t="shared" si="7"/>
        <v>N/A</v>
      </c>
      <c r="T511">
        <f>COUNTIF('👤 Customers'!$A:$A, B511)</f>
        <v>1</v>
      </c>
      <c r="U511">
        <f>COUNTIF('🚴 Riders'!A510:A570, C511)</f>
        <v>0</v>
      </c>
      <c r="V511">
        <f>COUNTIF('🏭 Facilities'!A510:A518, D511)</f>
        <v>0</v>
      </c>
    </row>
    <row r="512" spans="1:22">
      <c r="A512" s="16" t="s">
        <v>1542</v>
      </c>
      <c r="B512" s="16" t="s">
        <v>264</v>
      </c>
      <c r="C512" s="16" t="s">
        <v>487</v>
      </c>
      <c r="D512" s="16" t="s">
        <v>205</v>
      </c>
      <c r="E512" s="25">
        <v>45108</v>
      </c>
      <c r="F512" s="16" t="s">
        <v>1543</v>
      </c>
      <c r="G512" s="16" t="s">
        <v>132</v>
      </c>
      <c r="H512" s="16">
        <v>2.8</v>
      </c>
      <c r="I512" s="16">
        <v>399</v>
      </c>
      <c r="J512" s="16">
        <v>0</v>
      </c>
      <c r="K512" s="16">
        <v>1117.2</v>
      </c>
      <c r="L512" s="16" t="s">
        <v>207</v>
      </c>
      <c r="M512" s="16" t="s">
        <v>119</v>
      </c>
      <c r="N512" s="27">
        <v>45108.295138888891</v>
      </c>
      <c r="O512" s="27">
        <v>45109.220833333333</v>
      </c>
      <c r="P512" s="16">
        <v>4.5999999999999996</v>
      </c>
      <c r="Q512" s="16" t="b">
        <f>FALSE()</f>
        <v>0</v>
      </c>
      <c r="R512" s="16" t="b">
        <f>FALSE()</f>
        <v>0</v>
      </c>
      <c r="S512" s="17">
        <f t="shared" si="7"/>
        <v>22.2</v>
      </c>
      <c r="T512">
        <f>COUNTIF('👤 Customers'!$A:$A, B512)</f>
        <v>1</v>
      </c>
      <c r="U512">
        <f>COUNTIF('🚴 Riders'!A511:A571, C512)</f>
        <v>0</v>
      </c>
      <c r="V512">
        <f>COUNTIF('🏭 Facilities'!A511:A519, D512)</f>
        <v>0</v>
      </c>
    </row>
    <row r="513" spans="1:22">
      <c r="A513" s="18" t="s">
        <v>1544</v>
      </c>
      <c r="B513" s="18" t="s">
        <v>1545</v>
      </c>
      <c r="C513" s="18" t="s">
        <v>611</v>
      </c>
      <c r="D513" s="18" t="s">
        <v>137</v>
      </c>
      <c r="E513" s="26">
        <v>44928</v>
      </c>
      <c r="F513" s="18" t="s">
        <v>1546</v>
      </c>
      <c r="G513" s="18" t="s">
        <v>117</v>
      </c>
      <c r="H513" s="18">
        <v>1.4</v>
      </c>
      <c r="I513" s="18">
        <v>149</v>
      </c>
      <c r="J513" s="18">
        <v>0</v>
      </c>
      <c r="K513" s="18">
        <v>208.6</v>
      </c>
      <c r="L513" s="18" t="s">
        <v>146</v>
      </c>
      <c r="M513" s="18" t="s">
        <v>119</v>
      </c>
      <c r="N513" s="28">
        <v>44928.467361111114</v>
      </c>
      <c r="O513" s="28">
        <v>44929.029166666667</v>
      </c>
      <c r="P513" s="18">
        <v>4.2</v>
      </c>
      <c r="Q513" s="18" t="b">
        <f>FALSE()</f>
        <v>0</v>
      </c>
      <c r="R513" s="18" t="b">
        <f>TRUE()</f>
        <v>1</v>
      </c>
      <c r="S513" s="19">
        <f t="shared" si="7"/>
        <v>13.5</v>
      </c>
      <c r="T513">
        <f>COUNTIF('👤 Customers'!$A:$A, B513)</f>
        <v>1</v>
      </c>
      <c r="U513">
        <f>COUNTIF('🚴 Riders'!A512:A572, C513)</f>
        <v>0</v>
      </c>
      <c r="V513">
        <f>COUNTIF('🏭 Facilities'!A512:A520, D513)</f>
        <v>0</v>
      </c>
    </row>
    <row r="514" spans="1:22">
      <c r="A514" s="16" t="s">
        <v>1547</v>
      </c>
      <c r="B514" s="16" t="s">
        <v>1548</v>
      </c>
      <c r="C514" s="16" t="s">
        <v>413</v>
      </c>
      <c r="D514" s="16" t="s">
        <v>137</v>
      </c>
      <c r="E514" s="25">
        <v>44934</v>
      </c>
      <c r="F514" s="16" t="s">
        <v>1549</v>
      </c>
      <c r="G514" s="16" t="s">
        <v>176</v>
      </c>
      <c r="H514" s="16">
        <v>7</v>
      </c>
      <c r="I514" s="16">
        <v>599</v>
      </c>
      <c r="J514" s="16">
        <v>0</v>
      </c>
      <c r="K514" s="16">
        <v>4193</v>
      </c>
      <c r="L514" s="16" t="s">
        <v>126</v>
      </c>
      <c r="M514" s="16" t="s">
        <v>119</v>
      </c>
      <c r="N514" s="27">
        <v>44934.279166666667</v>
      </c>
      <c r="O514" s="27">
        <v>44934.984027777777</v>
      </c>
      <c r="P514" s="16">
        <v>4</v>
      </c>
      <c r="Q514" s="16" t="b">
        <f>FALSE()</f>
        <v>0</v>
      </c>
      <c r="R514" s="16" t="b">
        <f>FALSE()</f>
        <v>0</v>
      </c>
      <c r="S514" s="17">
        <f t="shared" ref="S514:S577" si="8">IF(OR(N514="",O514=""),"N/A",ROUND(((O514-N514)*24),1))</f>
        <v>16.899999999999999</v>
      </c>
      <c r="T514">
        <f>COUNTIF('👤 Customers'!$A:$A, B514)</f>
        <v>1</v>
      </c>
      <c r="U514">
        <f>COUNTIF('🚴 Riders'!A513:A573, C514)</f>
        <v>0</v>
      </c>
      <c r="V514">
        <f>COUNTIF('🏭 Facilities'!A513:A521, D514)</f>
        <v>0</v>
      </c>
    </row>
    <row r="515" spans="1:22">
      <c r="A515" s="18" t="s">
        <v>1550</v>
      </c>
      <c r="B515" s="18" t="s">
        <v>1551</v>
      </c>
      <c r="C515" s="18" t="s">
        <v>188</v>
      </c>
      <c r="D515" s="18" t="s">
        <v>184</v>
      </c>
      <c r="E515" s="26">
        <v>45022</v>
      </c>
      <c r="F515" s="18" t="s">
        <v>1552</v>
      </c>
      <c r="G515" s="18" t="s">
        <v>117</v>
      </c>
      <c r="H515" s="18">
        <v>8</v>
      </c>
      <c r="I515" s="18">
        <v>149</v>
      </c>
      <c r="J515" s="18">
        <v>10</v>
      </c>
      <c r="K515" s="18">
        <v>1072.8</v>
      </c>
      <c r="L515" s="18" t="s">
        <v>118</v>
      </c>
      <c r="M515" s="18" t="s">
        <v>119</v>
      </c>
      <c r="N515" s="28">
        <v>45023.009722222225</v>
      </c>
      <c r="O515" s="28">
        <v>45023.487500000003</v>
      </c>
      <c r="P515" s="18">
        <v>2.9</v>
      </c>
      <c r="Q515" s="18" t="b">
        <f>FALSE()</f>
        <v>0</v>
      </c>
      <c r="R515" s="18" t="b">
        <f>FALSE()</f>
        <v>0</v>
      </c>
      <c r="S515" s="19">
        <f t="shared" si="8"/>
        <v>11.5</v>
      </c>
      <c r="T515">
        <f>COUNTIF('👤 Customers'!$A:$A, B515)</f>
        <v>1</v>
      </c>
      <c r="U515">
        <f>COUNTIF('🚴 Riders'!A514:A574, C515)</f>
        <v>0</v>
      </c>
      <c r="V515">
        <f>COUNTIF('🏭 Facilities'!A514:A522, D515)</f>
        <v>0</v>
      </c>
    </row>
    <row r="516" spans="1:22">
      <c r="A516" s="16" t="s">
        <v>1553</v>
      </c>
      <c r="B516" s="16" t="s">
        <v>1554</v>
      </c>
      <c r="C516" s="16" t="s">
        <v>322</v>
      </c>
      <c r="D516" s="16" t="s">
        <v>137</v>
      </c>
      <c r="E516" s="25">
        <v>45652</v>
      </c>
      <c r="F516" s="16" t="s">
        <v>1555</v>
      </c>
      <c r="G516" s="16" t="s">
        <v>132</v>
      </c>
      <c r="H516" s="16">
        <v>5.9</v>
      </c>
      <c r="I516" s="16">
        <v>399</v>
      </c>
      <c r="J516" s="16">
        <v>0</v>
      </c>
      <c r="K516" s="16">
        <v>2354.1</v>
      </c>
      <c r="L516" s="16" t="s">
        <v>126</v>
      </c>
      <c r="M516" s="16" t="s">
        <v>119</v>
      </c>
      <c r="N516" s="27">
        <v>45652.940972222219</v>
      </c>
      <c r="O516" s="27">
        <v>45653.802777777775</v>
      </c>
      <c r="P516" s="16">
        <v>3.9</v>
      </c>
      <c r="Q516" s="16" t="b">
        <f>FALSE()</f>
        <v>0</v>
      </c>
      <c r="R516" s="16" t="b">
        <f>FALSE()</f>
        <v>0</v>
      </c>
      <c r="S516" s="17">
        <f t="shared" si="8"/>
        <v>20.7</v>
      </c>
      <c r="T516">
        <f>COUNTIF('👤 Customers'!$A:$A, B516)</f>
        <v>1</v>
      </c>
      <c r="U516">
        <f>COUNTIF('🚴 Riders'!A515:A575, C516)</f>
        <v>0</v>
      </c>
      <c r="V516">
        <f>COUNTIF('🏭 Facilities'!A515:A523, D516)</f>
        <v>0</v>
      </c>
    </row>
    <row r="517" spans="1:22">
      <c r="A517" s="18" t="s">
        <v>1556</v>
      </c>
      <c r="B517" s="18" t="s">
        <v>1557</v>
      </c>
      <c r="C517" s="18" t="s">
        <v>354</v>
      </c>
      <c r="D517" s="18" t="s">
        <v>197</v>
      </c>
      <c r="E517" s="26">
        <v>45197</v>
      </c>
      <c r="F517" s="18" t="s">
        <v>1558</v>
      </c>
      <c r="G517" s="18" t="s">
        <v>145</v>
      </c>
      <c r="H517" s="18">
        <v>3.7</v>
      </c>
      <c r="I517" s="18">
        <v>299</v>
      </c>
      <c r="J517" s="18">
        <v>0</v>
      </c>
      <c r="K517" s="18">
        <v>1106.3</v>
      </c>
      <c r="L517" s="18" t="s">
        <v>207</v>
      </c>
      <c r="M517" s="18" t="s">
        <v>119</v>
      </c>
      <c r="N517" s="28">
        <v>45197.599999999999</v>
      </c>
      <c r="O517" s="28">
        <v>45198.642361111109</v>
      </c>
      <c r="P517" s="18">
        <v>3.3</v>
      </c>
      <c r="Q517" s="18" t="b">
        <f>FALSE()</f>
        <v>0</v>
      </c>
      <c r="R517" s="18" t="b">
        <f>FALSE()</f>
        <v>0</v>
      </c>
      <c r="S517" s="19">
        <f t="shared" si="8"/>
        <v>25</v>
      </c>
      <c r="T517">
        <f>COUNTIF('👤 Customers'!$A:$A, B517)</f>
        <v>1</v>
      </c>
      <c r="U517">
        <f>COUNTIF('🚴 Riders'!A516:A576, C517)</f>
        <v>0</v>
      </c>
      <c r="V517">
        <f>COUNTIF('🏭 Facilities'!A516:A524, D517)</f>
        <v>0</v>
      </c>
    </row>
    <row r="518" spans="1:22">
      <c r="A518" s="16" t="s">
        <v>1559</v>
      </c>
      <c r="B518" s="16" t="s">
        <v>1006</v>
      </c>
      <c r="C518" s="16" t="s">
        <v>362</v>
      </c>
      <c r="D518" s="16" t="s">
        <v>130</v>
      </c>
      <c r="E518" s="25">
        <v>44969</v>
      </c>
      <c r="F518" s="16" t="s">
        <v>1560</v>
      </c>
      <c r="G518" s="16" t="s">
        <v>117</v>
      </c>
      <c r="H518" s="16">
        <v>4.2</v>
      </c>
      <c r="I518" s="16">
        <v>149</v>
      </c>
      <c r="J518" s="16">
        <v>0</v>
      </c>
      <c r="K518" s="16">
        <v>625.79999999999995</v>
      </c>
      <c r="L518" s="16" t="s">
        <v>126</v>
      </c>
      <c r="M518" s="16" t="s">
        <v>119</v>
      </c>
      <c r="N518" s="27">
        <v>44969.123611111114</v>
      </c>
      <c r="O518" s="27">
        <v>44969.852083333331</v>
      </c>
      <c r="P518" s="16">
        <v>3.4</v>
      </c>
      <c r="Q518" s="16" t="b">
        <f>FALSE()</f>
        <v>0</v>
      </c>
      <c r="R518" s="16" t="b">
        <f>TRUE()</f>
        <v>1</v>
      </c>
      <c r="S518" s="17">
        <f t="shared" si="8"/>
        <v>17.5</v>
      </c>
      <c r="T518">
        <f>COUNTIF('👤 Customers'!$A:$A, B518)</f>
        <v>1</v>
      </c>
      <c r="U518">
        <f>COUNTIF('🚴 Riders'!A517:A577, C518)</f>
        <v>0</v>
      </c>
      <c r="V518">
        <f>COUNTIF('🏭 Facilities'!A517:A525, D518)</f>
        <v>0</v>
      </c>
    </row>
    <row r="519" spans="1:22">
      <c r="A519" s="18" t="s">
        <v>1561</v>
      </c>
      <c r="B519" s="18" t="s">
        <v>1562</v>
      </c>
      <c r="C519" s="18" t="s">
        <v>213</v>
      </c>
      <c r="D519" s="18" t="s">
        <v>137</v>
      </c>
      <c r="E519" s="26">
        <v>45537</v>
      </c>
      <c r="F519" s="18" t="s">
        <v>1563</v>
      </c>
      <c r="G519" s="18" t="s">
        <v>132</v>
      </c>
      <c r="H519" s="18">
        <v>3.6</v>
      </c>
      <c r="I519" s="18">
        <v>399</v>
      </c>
      <c r="J519" s="18">
        <v>30</v>
      </c>
      <c r="K519" s="18">
        <v>1005.48</v>
      </c>
      <c r="L519" s="18" t="s">
        <v>126</v>
      </c>
      <c r="M519" s="18" t="s">
        <v>140</v>
      </c>
      <c r="N519" s="28">
        <v>45537.258333333331</v>
      </c>
      <c r="O519" s="28">
        <v>45538.25277777778</v>
      </c>
      <c r="P519" s="20"/>
      <c r="Q519" s="18" t="b">
        <f>TRUE()</f>
        <v>1</v>
      </c>
      <c r="R519" s="18" t="b">
        <f>FALSE()</f>
        <v>0</v>
      </c>
      <c r="S519" s="19">
        <f t="shared" si="8"/>
        <v>23.9</v>
      </c>
      <c r="T519">
        <f>COUNTIF('👤 Customers'!$A:$A, B519)</f>
        <v>1</v>
      </c>
      <c r="U519">
        <f>COUNTIF('🚴 Riders'!A518:A578, C519)</f>
        <v>0</v>
      </c>
      <c r="V519">
        <f>COUNTIF('🏭 Facilities'!A518:A526, D519)</f>
        <v>0</v>
      </c>
    </row>
    <row r="520" spans="1:22">
      <c r="A520" s="16" t="s">
        <v>1564</v>
      </c>
      <c r="B520" s="16" t="s">
        <v>113</v>
      </c>
      <c r="C520" s="16" t="s">
        <v>261</v>
      </c>
      <c r="D520" s="16" t="s">
        <v>137</v>
      </c>
      <c r="E520" s="25">
        <v>45189</v>
      </c>
      <c r="F520" s="16" t="s">
        <v>1565</v>
      </c>
      <c r="G520" s="16" t="s">
        <v>176</v>
      </c>
      <c r="H520" s="16">
        <v>4</v>
      </c>
      <c r="I520" s="16">
        <v>599</v>
      </c>
      <c r="J520" s="16">
        <v>0</v>
      </c>
      <c r="K520" s="16">
        <v>2396</v>
      </c>
      <c r="L520" s="16" t="s">
        <v>139</v>
      </c>
      <c r="M520" s="16" t="s">
        <v>140</v>
      </c>
      <c r="N520" s="27">
        <v>45189.988888888889</v>
      </c>
      <c r="O520" s="27">
        <v>45190.326388888891</v>
      </c>
      <c r="P520" s="20"/>
      <c r="Q520" s="16" t="b">
        <f>FALSE()</f>
        <v>0</v>
      </c>
      <c r="R520" s="16" t="b">
        <f>FALSE()</f>
        <v>0</v>
      </c>
      <c r="S520" s="17">
        <f t="shared" si="8"/>
        <v>8.1</v>
      </c>
      <c r="T520">
        <f>COUNTIF('👤 Customers'!$A:$A, B520)</f>
        <v>1</v>
      </c>
      <c r="U520">
        <f>COUNTIF('🚴 Riders'!A519:A579, C520)</f>
        <v>0</v>
      </c>
      <c r="V520">
        <f>COUNTIF('🏭 Facilities'!A519:A527, D520)</f>
        <v>0</v>
      </c>
    </row>
    <row r="521" spans="1:22">
      <c r="A521" s="18" t="s">
        <v>1566</v>
      </c>
      <c r="B521" s="18" t="s">
        <v>1567</v>
      </c>
      <c r="C521" s="18" t="s">
        <v>487</v>
      </c>
      <c r="D521" s="18" t="s">
        <v>197</v>
      </c>
      <c r="E521" s="26">
        <v>45447</v>
      </c>
      <c r="F521" s="18" t="s">
        <v>1568</v>
      </c>
      <c r="G521" s="18" t="s">
        <v>125</v>
      </c>
      <c r="H521" s="18">
        <v>6.4</v>
      </c>
      <c r="I521" s="18">
        <v>199</v>
      </c>
      <c r="J521" s="18">
        <v>20</v>
      </c>
      <c r="K521" s="18">
        <v>1018.88</v>
      </c>
      <c r="L521" s="18" t="s">
        <v>126</v>
      </c>
      <c r="M521" s="18" t="s">
        <v>140</v>
      </c>
      <c r="N521" s="28">
        <v>45448.052083333336</v>
      </c>
      <c r="O521" s="28">
        <v>45448.854861111111</v>
      </c>
      <c r="P521" s="20"/>
      <c r="Q521" s="18" t="b">
        <f>TRUE()</f>
        <v>1</v>
      </c>
      <c r="R521" s="18" t="b">
        <f>FALSE()</f>
        <v>0</v>
      </c>
      <c r="S521" s="19">
        <f t="shared" si="8"/>
        <v>19.3</v>
      </c>
      <c r="T521">
        <f>COUNTIF('👤 Customers'!$A:$A, B521)</f>
        <v>1</v>
      </c>
      <c r="U521">
        <f>COUNTIF('🚴 Riders'!A520:A580, C521)</f>
        <v>0</v>
      </c>
      <c r="V521">
        <f>COUNTIF('🏭 Facilities'!A520:A528, D521)</f>
        <v>0</v>
      </c>
    </row>
    <row r="522" spans="1:22">
      <c r="A522" s="16" t="s">
        <v>1569</v>
      </c>
      <c r="B522" s="16" t="s">
        <v>318</v>
      </c>
      <c r="C522" s="16" t="s">
        <v>536</v>
      </c>
      <c r="D522" s="16" t="s">
        <v>158</v>
      </c>
      <c r="E522" s="25">
        <v>45632</v>
      </c>
      <c r="F522" s="16" t="s">
        <v>1570</v>
      </c>
      <c r="G522" s="16" t="s">
        <v>176</v>
      </c>
      <c r="H522" s="16">
        <v>2.6</v>
      </c>
      <c r="I522" s="16">
        <v>599</v>
      </c>
      <c r="J522" s="16">
        <v>0</v>
      </c>
      <c r="K522" s="16">
        <v>1557.4</v>
      </c>
      <c r="L522" s="16" t="s">
        <v>139</v>
      </c>
      <c r="M522" s="16" t="s">
        <v>133</v>
      </c>
      <c r="N522" s="20"/>
      <c r="O522" s="20"/>
      <c r="P522" s="20"/>
      <c r="Q522" s="16" t="b">
        <f>FALSE()</f>
        <v>0</v>
      </c>
      <c r="R522" s="16" t="b">
        <f>FALSE()</f>
        <v>0</v>
      </c>
      <c r="S522" s="17" t="str">
        <f t="shared" si="8"/>
        <v>N/A</v>
      </c>
      <c r="T522">
        <f>COUNTIF('👤 Customers'!$A:$A, B522)</f>
        <v>1</v>
      </c>
      <c r="U522">
        <f>COUNTIF('🚴 Riders'!A521:A581, C522)</f>
        <v>0</v>
      </c>
      <c r="V522">
        <f>COUNTIF('🏭 Facilities'!A521:A529, D522)</f>
        <v>0</v>
      </c>
    </row>
    <row r="523" spans="1:22">
      <c r="A523" s="18" t="s">
        <v>1571</v>
      </c>
      <c r="B523" s="18" t="s">
        <v>1572</v>
      </c>
      <c r="C523" s="18" t="s">
        <v>224</v>
      </c>
      <c r="D523" s="18" t="s">
        <v>184</v>
      </c>
      <c r="E523" s="26">
        <v>45158</v>
      </c>
      <c r="F523" s="18" t="s">
        <v>1573</v>
      </c>
      <c r="G523" s="18" t="s">
        <v>176</v>
      </c>
      <c r="H523" s="18">
        <v>1.9</v>
      </c>
      <c r="I523" s="18">
        <v>599</v>
      </c>
      <c r="J523" s="18">
        <v>0</v>
      </c>
      <c r="K523" s="18">
        <v>1138.0999999999999</v>
      </c>
      <c r="L523" s="18" t="s">
        <v>139</v>
      </c>
      <c r="M523" s="18" t="s">
        <v>140</v>
      </c>
      <c r="N523" s="28">
        <v>45158.898611111108</v>
      </c>
      <c r="O523" s="28">
        <v>45159.802083333336</v>
      </c>
      <c r="P523" s="20"/>
      <c r="Q523" s="18" t="b">
        <f>FALSE()</f>
        <v>0</v>
      </c>
      <c r="R523" s="18" t="b">
        <f>FALSE()</f>
        <v>0</v>
      </c>
      <c r="S523" s="19">
        <f t="shared" si="8"/>
        <v>21.7</v>
      </c>
      <c r="T523">
        <f>COUNTIF('👤 Customers'!$A:$A, B523)</f>
        <v>1</v>
      </c>
      <c r="U523">
        <f>COUNTIF('🚴 Riders'!A522:A582, C523)</f>
        <v>0</v>
      </c>
      <c r="V523">
        <f>COUNTIF('🏭 Facilities'!A522:A530, D523)</f>
        <v>0</v>
      </c>
    </row>
    <row r="524" spans="1:22">
      <c r="A524" s="16" t="s">
        <v>1574</v>
      </c>
      <c r="B524" s="16" t="s">
        <v>1575</v>
      </c>
      <c r="C524" s="16" t="s">
        <v>196</v>
      </c>
      <c r="D524" s="16" t="s">
        <v>130</v>
      </c>
      <c r="E524" s="25">
        <v>45557</v>
      </c>
      <c r="F524" s="16" t="s">
        <v>1576</v>
      </c>
      <c r="G524" s="16" t="s">
        <v>176</v>
      </c>
      <c r="H524" s="16">
        <v>4.4000000000000004</v>
      </c>
      <c r="I524" s="16">
        <v>599</v>
      </c>
      <c r="J524" s="16">
        <v>0</v>
      </c>
      <c r="K524" s="16">
        <v>2635.6</v>
      </c>
      <c r="L524" s="16" t="s">
        <v>126</v>
      </c>
      <c r="M524" s="16" t="s">
        <v>133</v>
      </c>
      <c r="N524" s="20"/>
      <c r="O524" s="20"/>
      <c r="P524" s="20"/>
      <c r="Q524" s="16" t="b">
        <f>FALSE()</f>
        <v>0</v>
      </c>
      <c r="R524" s="16" t="b">
        <f>FALSE()</f>
        <v>0</v>
      </c>
      <c r="S524" s="17" t="str">
        <f t="shared" si="8"/>
        <v>N/A</v>
      </c>
      <c r="T524">
        <f>COUNTIF('👤 Customers'!$A:$A, B524)</f>
        <v>1</v>
      </c>
      <c r="U524">
        <f>COUNTIF('🚴 Riders'!A523:A583, C524)</f>
        <v>0</v>
      </c>
      <c r="V524">
        <f>COUNTIF('🏭 Facilities'!A523:A531, D524)</f>
        <v>0</v>
      </c>
    </row>
    <row r="525" spans="1:22">
      <c r="A525" s="18" t="s">
        <v>1577</v>
      </c>
      <c r="B525" s="18" t="s">
        <v>1578</v>
      </c>
      <c r="C525" s="18" t="s">
        <v>136</v>
      </c>
      <c r="D525" s="18" t="s">
        <v>123</v>
      </c>
      <c r="E525" s="26">
        <v>45066</v>
      </c>
      <c r="F525" s="18" t="s">
        <v>1579</v>
      </c>
      <c r="G525" s="18" t="s">
        <v>125</v>
      </c>
      <c r="H525" s="18">
        <v>4.9000000000000004</v>
      </c>
      <c r="I525" s="18">
        <v>199</v>
      </c>
      <c r="J525" s="18">
        <v>20</v>
      </c>
      <c r="K525" s="18">
        <v>780.08</v>
      </c>
      <c r="L525" s="18" t="s">
        <v>126</v>
      </c>
      <c r="M525" s="18" t="s">
        <v>119</v>
      </c>
      <c r="N525" s="28">
        <v>45066.787499999999</v>
      </c>
      <c r="O525" s="28">
        <v>45067.56527777778</v>
      </c>
      <c r="P525" s="18">
        <v>2.7</v>
      </c>
      <c r="Q525" s="18" t="b">
        <f>TRUE()</f>
        <v>1</v>
      </c>
      <c r="R525" s="18" t="b">
        <f>FALSE()</f>
        <v>0</v>
      </c>
      <c r="S525" s="19">
        <f t="shared" si="8"/>
        <v>18.7</v>
      </c>
      <c r="T525">
        <f>COUNTIF('👤 Customers'!$A:$A, B525)</f>
        <v>1</v>
      </c>
      <c r="U525">
        <f>COUNTIF('🚴 Riders'!A524:A584, C525)</f>
        <v>0</v>
      </c>
      <c r="V525">
        <f>COUNTIF('🏭 Facilities'!A524:A532, D525)</f>
        <v>0</v>
      </c>
    </row>
    <row r="526" spans="1:22">
      <c r="A526" s="16" t="s">
        <v>1580</v>
      </c>
      <c r="B526" s="16" t="s">
        <v>279</v>
      </c>
      <c r="C526" s="16" t="s">
        <v>272</v>
      </c>
      <c r="D526" s="16" t="s">
        <v>123</v>
      </c>
      <c r="E526" s="25">
        <v>45349</v>
      </c>
      <c r="F526" s="16" t="s">
        <v>1581</v>
      </c>
      <c r="G526" s="16" t="s">
        <v>132</v>
      </c>
      <c r="H526" s="16">
        <v>4</v>
      </c>
      <c r="I526" s="16">
        <v>399</v>
      </c>
      <c r="J526" s="16">
        <v>20</v>
      </c>
      <c r="K526" s="16">
        <v>1276.8</v>
      </c>
      <c r="L526" s="16" t="s">
        <v>146</v>
      </c>
      <c r="M526" s="16" t="s">
        <v>119</v>
      </c>
      <c r="N526" s="27">
        <v>45349.925694444442</v>
      </c>
      <c r="O526" s="27">
        <v>45350.330555555556</v>
      </c>
      <c r="P526" s="16">
        <v>3.6</v>
      </c>
      <c r="Q526" s="16" t="b">
        <f>FALSE()</f>
        <v>0</v>
      </c>
      <c r="R526" s="16" t="b">
        <f>FALSE()</f>
        <v>0</v>
      </c>
      <c r="S526" s="17">
        <f t="shared" si="8"/>
        <v>9.6999999999999993</v>
      </c>
      <c r="T526">
        <f>COUNTIF('👤 Customers'!$A:$A, B526)</f>
        <v>1</v>
      </c>
      <c r="U526">
        <f>COUNTIF('🚴 Riders'!A525:A585, C526)</f>
        <v>0</v>
      </c>
      <c r="V526">
        <f>COUNTIF('🏭 Facilities'!A525:A533, D526)</f>
        <v>0</v>
      </c>
    </row>
    <row r="527" spans="1:22">
      <c r="A527" s="18" t="s">
        <v>1582</v>
      </c>
      <c r="B527" s="18" t="s">
        <v>788</v>
      </c>
      <c r="C527" s="18" t="s">
        <v>842</v>
      </c>
      <c r="D527" s="18" t="s">
        <v>123</v>
      </c>
      <c r="E527" s="26">
        <v>45332</v>
      </c>
      <c r="F527" s="18" t="s">
        <v>1583</v>
      </c>
      <c r="G527" s="18" t="s">
        <v>117</v>
      </c>
      <c r="H527" s="18">
        <v>5.2</v>
      </c>
      <c r="I527" s="18">
        <v>149</v>
      </c>
      <c r="J527" s="18">
        <v>0</v>
      </c>
      <c r="K527" s="18">
        <v>774.8</v>
      </c>
      <c r="L527" s="18" t="s">
        <v>207</v>
      </c>
      <c r="M527" s="18" t="s">
        <v>140</v>
      </c>
      <c r="N527" s="28">
        <v>45333.002083333333</v>
      </c>
      <c r="O527" s="28">
        <v>45333.927777777775</v>
      </c>
      <c r="P527" s="20"/>
      <c r="Q527" s="18" t="b">
        <f>FALSE()</f>
        <v>0</v>
      </c>
      <c r="R527" s="18" t="b">
        <f>FALSE()</f>
        <v>0</v>
      </c>
      <c r="S527" s="19">
        <f t="shared" si="8"/>
        <v>22.2</v>
      </c>
      <c r="T527">
        <f>COUNTIF('👤 Customers'!$A:$A, B527)</f>
        <v>1</v>
      </c>
      <c r="U527">
        <f>COUNTIF('🚴 Riders'!A526:A586, C527)</f>
        <v>0</v>
      </c>
      <c r="V527">
        <f>COUNTIF('🏭 Facilities'!A526:A534, D527)</f>
        <v>0</v>
      </c>
    </row>
    <row r="528" spans="1:22">
      <c r="A528" s="16" t="s">
        <v>1584</v>
      </c>
      <c r="B528" s="16" t="s">
        <v>637</v>
      </c>
      <c r="C528" s="16" t="s">
        <v>580</v>
      </c>
      <c r="D528" s="16" t="s">
        <v>137</v>
      </c>
      <c r="E528" s="25">
        <v>45094</v>
      </c>
      <c r="F528" s="16" t="s">
        <v>1585</v>
      </c>
      <c r="G528" s="16" t="s">
        <v>176</v>
      </c>
      <c r="H528" s="16">
        <v>3.5</v>
      </c>
      <c r="I528" s="16">
        <v>599</v>
      </c>
      <c r="J528" s="16">
        <v>0</v>
      </c>
      <c r="K528" s="16">
        <v>2096.5</v>
      </c>
      <c r="L528" s="16" t="s">
        <v>139</v>
      </c>
      <c r="M528" s="16" t="s">
        <v>133</v>
      </c>
      <c r="N528" s="20"/>
      <c r="O528" s="20"/>
      <c r="P528" s="20"/>
      <c r="Q528" s="16" t="b">
        <f>FALSE()</f>
        <v>0</v>
      </c>
      <c r="R528" s="16" t="b">
        <f>FALSE()</f>
        <v>0</v>
      </c>
      <c r="S528" s="17" t="str">
        <f t="shared" si="8"/>
        <v>N/A</v>
      </c>
      <c r="T528">
        <f>COUNTIF('👤 Customers'!$A:$A, B528)</f>
        <v>1</v>
      </c>
      <c r="U528">
        <f>COUNTIF('🚴 Riders'!A527:A587, C528)</f>
        <v>0</v>
      </c>
      <c r="V528">
        <f>COUNTIF('🏭 Facilities'!A527:A535, D528)</f>
        <v>0</v>
      </c>
    </row>
    <row r="529" spans="1:22">
      <c r="A529" s="18" t="s">
        <v>1586</v>
      </c>
      <c r="B529" s="18" t="s">
        <v>577</v>
      </c>
      <c r="C529" s="18" t="s">
        <v>143</v>
      </c>
      <c r="D529" s="18" t="s">
        <v>130</v>
      </c>
      <c r="E529" s="26">
        <v>45452</v>
      </c>
      <c r="F529" s="18" t="s">
        <v>1587</v>
      </c>
      <c r="G529" s="18" t="s">
        <v>145</v>
      </c>
      <c r="H529" s="18">
        <v>7.6</v>
      </c>
      <c r="I529" s="18">
        <v>299</v>
      </c>
      <c r="J529" s="18">
        <v>0</v>
      </c>
      <c r="K529" s="18">
        <v>2272.4</v>
      </c>
      <c r="L529" s="18" t="s">
        <v>118</v>
      </c>
      <c r="M529" s="18" t="s">
        <v>119</v>
      </c>
      <c r="N529" s="28">
        <v>45452.503472222219</v>
      </c>
      <c r="O529" s="28">
        <v>45453.427777777775</v>
      </c>
      <c r="P529" s="18">
        <v>3.9</v>
      </c>
      <c r="Q529" s="18" t="b">
        <f>FALSE()</f>
        <v>0</v>
      </c>
      <c r="R529" s="18" t="b">
        <f>FALSE()</f>
        <v>0</v>
      </c>
      <c r="S529" s="19">
        <f t="shared" si="8"/>
        <v>22.2</v>
      </c>
      <c r="T529">
        <f>COUNTIF('👤 Customers'!$A:$A, B529)</f>
        <v>1</v>
      </c>
      <c r="U529">
        <f>COUNTIF('🚴 Riders'!A528:A588, C529)</f>
        <v>0</v>
      </c>
      <c r="V529">
        <f>COUNTIF('🏭 Facilities'!A528:A536, D529)</f>
        <v>0</v>
      </c>
    </row>
    <row r="530" spans="1:22">
      <c r="A530" s="16" t="s">
        <v>1588</v>
      </c>
      <c r="B530" s="16" t="s">
        <v>1589</v>
      </c>
      <c r="C530" s="16" t="s">
        <v>487</v>
      </c>
      <c r="D530" s="16" t="s">
        <v>197</v>
      </c>
      <c r="E530" s="25">
        <v>45054</v>
      </c>
      <c r="F530" s="16" t="s">
        <v>1590</v>
      </c>
      <c r="G530" s="16" t="s">
        <v>145</v>
      </c>
      <c r="H530" s="16">
        <v>6.8</v>
      </c>
      <c r="I530" s="16">
        <v>299</v>
      </c>
      <c r="J530" s="16">
        <v>0</v>
      </c>
      <c r="K530" s="16">
        <v>2033.2</v>
      </c>
      <c r="L530" s="16" t="s">
        <v>146</v>
      </c>
      <c r="M530" s="16" t="s">
        <v>119</v>
      </c>
      <c r="N530" s="27">
        <v>45054.491666666669</v>
      </c>
      <c r="O530" s="27">
        <v>45055.527083333334</v>
      </c>
      <c r="P530" s="16">
        <v>3.5</v>
      </c>
      <c r="Q530" s="16" t="b">
        <f>FALSE()</f>
        <v>0</v>
      </c>
      <c r="R530" s="16" t="b">
        <f>TRUE()</f>
        <v>1</v>
      </c>
      <c r="S530" s="17">
        <f t="shared" si="8"/>
        <v>24.8</v>
      </c>
      <c r="T530">
        <f>COUNTIF('👤 Customers'!$A:$A, B530)</f>
        <v>1</v>
      </c>
      <c r="U530">
        <f>COUNTIF('🚴 Riders'!A529:A589, C530)</f>
        <v>0</v>
      </c>
      <c r="V530">
        <f>COUNTIF('🏭 Facilities'!A529:A537, D530)</f>
        <v>0</v>
      </c>
    </row>
    <row r="531" spans="1:22">
      <c r="A531" s="18" t="s">
        <v>1591</v>
      </c>
      <c r="B531" s="18" t="s">
        <v>598</v>
      </c>
      <c r="C531" s="18" t="s">
        <v>188</v>
      </c>
      <c r="D531" s="18" t="s">
        <v>197</v>
      </c>
      <c r="E531" s="26">
        <v>45633</v>
      </c>
      <c r="F531" s="18" t="s">
        <v>1592</v>
      </c>
      <c r="G531" s="18" t="s">
        <v>117</v>
      </c>
      <c r="H531" s="18">
        <v>6.4</v>
      </c>
      <c r="I531" s="18">
        <v>149</v>
      </c>
      <c r="J531" s="18">
        <v>0</v>
      </c>
      <c r="K531" s="18">
        <v>953.6</v>
      </c>
      <c r="L531" s="18" t="s">
        <v>126</v>
      </c>
      <c r="M531" s="18" t="s">
        <v>119</v>
      </c>
      <c r="N531" s="28">
        <v>45633.292361111111</v>
      </c>
      <c r="O531" s="28">
        <v>45633.738888888889</v>
      </c>
      <c r="P531" s="18">
        <v>2.9</v>
      </c>
      <c r="Q531" s="18" t="b">
        <f>FALSE()</f>
        <v>0</v>
      </c>
      <c r="R531" s="18" t="b">
        <f>FALSE()</f>
        <v>0</v>
      </c>
      <c r="S531" s="19">
        <f t="shared" si="8"/>
        <v>10.7</v>
      </c>
      <c r="T531">
        <f>COUNTIF('👤 Customers'!$A:$A, B531)</f>
        <v>1</v>
      </c>
      <c r="U531">
        <f>COUNTIF('🚴 Riders'!A530:A590, C531)</f>
        <v>0</v>
      </c>
      <c r="V531">
        <f>COUNTIF('🏭 Facilities'!A530:A538, D531)</f>
        <v>0</v>
      </c>
    </row>
    <row r="532" spans="1:22">
      <c r="A532" s="16" t="s">
        <v>1593</v>
      </c>
      <c r="B532" s="16" t="s">
        <v>1469</v>
      </c>
      <c r="C532" s="16" t="s">
        <v>174</v>
      </c>
      <c r="D532" s="16" t="s">
        <v>137</v>
      </c>
      <c r="E532" s="25">
        <v>45564</v>
      </c>
      <c r="F532" s="16" t="s">
        <v>1594</v>
      </c>
      <c r="G532" s="16" t="s">
        <v>145</v>
      </c>
      <c r="H532" s="16">
        <v>1.7</v>
      </c>
      <c r="I532" s="16">
        <v>299</v>
      </c>
      <c r="J532" s="16">
        <v>0</v>
      </c>
      <c r="K532" s="16">
        <v>508.3</v>
      </c>
      <c r="L532" s="16" t="s">
        <v>118</v>
      </c>
      <c r="M532" s="16" t="s">
        <v>133</v>
      </c>
      <c r="N532" s="20"/>
      <c r="O532" s="20"/>
      <c r="P532" s="20"/>
      <c r="Q532" s="16" t="b">
        <f>FALSE()</f>
        <v>0</v>
      </c>
      <c r="R532" s="16" t="b">
        <f>FALSE()</f>
        <v>0</v>
      </c>
      <c r="S532" s="17" t="str">
        <f t="shared" si="8"/>
        <v>N/A</v>
      </c>
      <c r="T532">
        <f>COUNTIF('👤 Customers'!$A:$A, B532)</f>
        <v>1</v>
      </c>
      <c r="U532">
        <f>COUNTIF('🚴 Riders'!A531:A591, C532)</f>
        <v>0</v>
      </c>
      <c r="V532">
        <f>COUNTIF('🏭 Facilities'!A531:A539, D532)</f>
        <v>0</v>
      </c>
    </row>
    <row r="533" spans="1:22">
      <c r="A533" s="18" t="s">
        <v>1595</v>
      </c>
      <c r="B533" s="18" t="s">
        <v>275</v>
      </c>
      <c r="C533" s="18" t="s">
        <v>166</v>
      </c>
      <c r="D533" s="18" t="s">
        <v>137</v>
      </c>
      <c r="E533" s="26">
        <v>45195</v>
      </c>
      <c r="F533" s="18" t="s">
        <v>1596</v>
      </c>
      <c r="G533" s="18" t="s">
        <v>176</v>
      </c>
      <c r="H533" s="18">
        <v>4.9000000000000004</v>
      </c>
      <c r="I533" s="18">
        <v>599</v>
      </c>
      <c r="J533" s="18">
        <v>20</v>
      </c>
      <c r="K533" s="18">
        <v>2348.08</v>
      </c>
      <c r="L533" s="18" t="s">
        <v>207</v>
      </c>
      <c r="M533" s="18" t="s">
        <v>119</v>
      </c>
      <c r="N533" s="28">
        <v>45195.193749999999</v>
      </c>
      <c r="O533" s="28">
        <v>45195.581944444442</v>
      </c>
      <c r="P533" s="18">
        <v>2.9</v>
      </c>
      <c r="Q533" s="18" t="b">
        <f>FALSE()</f>
        <v>0</v>
      </c>
      <c r="R533" s="18" t="b">
        <f>FALSE()</f>
        <v>0</v>
      </c>
      <c r="S533" s="19">
        <f t="shared" si="8"/>
        <v>9.3000000000000007</v>
      </c>
      <c r="T533">
        <f>COUNTIF('👤 Customers'!$A:$A, B533)</f>
        <v>1</v>
      </c>
      <c r="U533">
        <f>COUNTIF('🚴 Riders'!A532:A592, C533)</f>
        <v>0</v>
      </c>
      <c r="V533">
        <f>COUNTIF('🏭 Facilities'!A532:A540, D533)</f>
        <v>0</v>
      </c>
    </row>
    <row r="534" spans="1:22">
      <c r="A534" s="16" t="s">
        <v>1597</v>
      </c>
      <c r="B534" s="16" t="s">
        <v>1598</v>
      </c>
      <c r="C534" s="16" t="s">
        <v>326</v>
      </c>
      <c r="D534" s="16" t="s">
        <v>115</v>
      </c>
      <c r="E534" s="25">
        <v>45640</v>
      </c>
      <c r="F534" s="16" t="s">
        <v>1599</v>
      </c>
      <c r="G534" s="16" t="s">
        <v>117</v>
      </c>
      <c r="H534" s="16">
        <v>6</v>
      </c>
      <c r="I534" s="16">
        <v>149</v>
      </c>
      <c r="J534" s="16">
        <v>0</v>
      </c>
      <c r="K534" s="16">
        <v>894</v>
      </c>
      <c r="L534" s="16" t="s">
        <v>146</v>
      </c>
      <c r="M534" s="16" t="s">
        <v>133</v>
      </c>
      <c r="N534" s="20"/>
      <c r="O534" s="20"/>
      <c r="P534" s="20"/>
      <c r="Q534" s="16" t="b">
        <f>FALSE()</f>
        <v>0</v>
      </c>
      <c r="R534" s="16" t="b">
        <f>FALSE()</f>
        <v>0</v>
      </c>
      <c r="S534" s="17" t="str">
        <f t="shared" si="8"/>
        <v>N/A</v>
      </c>
      <c r="T534">
        <f>COUNTIF('👤 Customers'!$A:$A, B534)</f>
        <v>1</v>
      </c>
      <c r="U534">
        <f>COUNTIF('🚴 Riders'!A533:A593, C534)</f>
        <v>0</v>
      </c>
      <c r="V534">
        <f>COUNTIF('🏭 Facilities'!A533:A541, D534)</f>
        <v>0</v>
      </c>
    </row>
    <row r="535" spans="1:22">
      <c r="A535" s="18" t="s">
        <v>1600</v>
      </c>
      <c r="B535" s="18" t="s">
        <v>774</v>
      </c>
      <c r="C535" s="18" t="s">
        <v>183</v>
      </c>
      <c r="D535" s="18" t="s">
        <v>130</v>
      </c>
      <c r="E535" s="26">
        <v>45331</v>
      </c>
      <c r="F535" s="18" t="s">
        <v>1601</v>
      </c>
      <c r="G535" s="18" t="s">
        <v>132</v>
      </c>
      <c r="H535" s="18">
        <v>3.1</v>
      </c>
      <c r="I535" s="18">
        <v>399</v>
      </c>
      <c r="J535" s="18">
        <v>20</v>
      </c>
      <c r="K535" s="18">
        <v>989.52</v>
      </c>
      <c r="L535" s="18" t="s">
        <v>126</v>
      </c>
      <c r="M535" s="18" t="s">
        <v>119</v>
      </c>
      <c r="N535" s="28">
        <v>45331.4375</v>
      </c>
      <c r="O535" s="28">
        <v>45331.97152777778</v>
      </c>
      <c r="P535" s="18">
        <v>2.9</v>
      </c>
      <c r="Q535" s="18" t="b">
        <f>TRUE()</f>
        <v>1</v>
      </c>
      <c r="R535" s="18" t="b">
        <f>FALSE()</f>
        <v>0</v>
      </c>
      <c r="S535" s="19">
        <f t="shared" si="8"/>
        <v>12.8</v>
      </c>
      <c r="T535">
        <f>COUNTIF('👤 Customers'!$A:$A, B535)</f>
        <v>1</v>
      </c>
      <c r="U535">
        <f>COUNTIF('🚴 Riders'!A534:A594, C535)</f>
        <v>0</v>
      </c>
      <c r="V535">
        <f>COUNTIF('🏭 Facilities'!A534:A542, D535)</f>
        <v>0</v>
      </c>
    </row>
    <row r="536" spans="1:22">
      <c r="A536" s="16" t="s">
        <v>1602</v>
      </c>
      <c r="B536" s="16" t="s">
        <v>1603</v>
      </c>
      <c r="C536" s="16" t="s">
        <v>431</v>
      </c>
      <c r="D536" s="16" t="s">
        <v>197</v>
      </c>
      <c r="E536" s="25">
        <v>45357</v>
      </c>
      <c r="F536" s="16" t="s">
        <v>1604</v>
      </c>
      <c r="G536" s="16" t="s">
        <v>145</v>
      </c>
      <c r="H536" s="16">
        <v>6.7</v>
      </c>
      <c r="I536" s="16">
        <v>299</v>
      </c>
      <c r="J536" s="16">
        <v>0</v>
      </c>
      <c r="K536" s="16">
        <v>2003.3</v>
      </c>
      <c r="L536" s="16" t="s">
        <v>139</v>
      </c>
      <c r="M536" s="16" t="s">
        <v>119</v>
      </c>
      <c r="N536" s="27">
        <v>45357.54791666667</v>
      </c>
      <c r="O536" s="27">
        <v>45358.55</v>
      </c>
      <c r="P536" s="16">
        <v>2.5</v>
      </c>
      <c r="Q536" s="16" t="b">
        <f>FALSE()</f>
        <v>0</v>
      </c>
      <c r="R536" s="16" t="b">
        <f>FALSE()</f>
        <v>0</v>
      </c>
      <c r="S536" s="17">
        <f t="shared" si="8"/>
        <v>24</v>
      </c>
      <c r="T536">
        <f>COUNTIF('👤 Customers'!$A:$A, B536)</f>
        <v>1</v>
      </c>
      <c r="U536">
        <f>COUNTIF('🚴 Riders'!A535:A595, C536)</f>
        <v>0</v>
      </c>
      <c r="V536">
        <f>COUNTIF('🏭 Facilities'!A535:A543, D536)</f>
        <v>0</v>
      </c>
    </row>
    <row r="537" spans="1:22">
      <c r="A537" s="18" t="s">
        <v>1605</v>
      </c>
      <c r="B537" s="18" t="s">
        <v>1173</v>
      </c>
      <c r="C537" s="18" t="s">
        <v>750</v>
      </c>
      <c r="D537" s="18" t="s">
        <v>184</v>
      </c>
      <c r="E537" s="26">
        <v>44932</v>
      </c>
      <c r="F537" s="18" t="s">
        <v>1606</v>
      </c>
      <c r="G537" s="18" t="s">
        <v>145</v>
      </c>
      <c r="H537" s="18">
        <v>5.9</v>
      </c>
      <c r="I537" s="18">
        <v>299</v>
      </c>
      <c r="J537" s="18">
        <v>10</v>
      </c>
      <c r="K537" s="18">
        <v>1587.69</v>
      </c>
      <c r="L537" s="18" t="s">
        <v>146</v>
      </c>
      <c r="M537" s="18" t="s">
        <v>119</v>
      </c>
      <c r="N537" s="28">
        <v>44932.827777777777</v>
      </c>
      <c r="O537" s="28">
        <v>44933.692361111112</v>
      </c>
      <c r="P537" s="18">
        <v>3.6</v>
      </c>
      <c r="Q537" s="18" t="b">
        <f>FALSE()</f>
        <v>0</v>
      </c>
      <c r="R537" s="18" t="b">
        <f>FALSE()</f>
        <v>0</v>
      </c>
      <c r="S537" s="19">
        <f t="shared" si="8"/>
        <v>20.8</v>
      </c>
      <c r="T537">
        <f>COUNTIF('👤 Customers'!$A:$A, B537)</f>
        <v>1</v>
      </c>
      <c r="U537">
        <f>COUNTIF('🚴 Riders'!A536:A596, C537)</f>
        <v>0</v>
      </c>
      <c r="V537">
        <f>COUNTIF('🏭 Facilities'!A536:A544, D537)</f>
        <v>0</v>
      </c>
    </row>
    <row r="538" spans="1:22">
      <c r="A538" s="16" t="s">
        <v>1607</v>
      </c>
      <c r="B538" s="16" t="s">
        <v>1356</v>
      </c>
      <c r="C538" s="16" t="s">
        <v>236</v>
      </c>
      <c r="D538" s="16" t="s">
        <v>158</v>
      </c>
      <c r="E538" s="25">
        <v>45520</v>
      </c>
      <c r="F538" s="16" t="s">
        <v>1608</v>
      </c>
      <c r="G538" s="16" t="s">
        <v>176</v>
      </c>
      <c r="H538" s="16">
        <v>7.3</v>
      </c>
      <c r="I538" s="16">
        <v>599</v>
      </c>
      <c r="J538" s="16">
        <v>0</v>
      </c>
      <c r="K538" s="16">
        <v>4372.7</v>
      </c>
      <c r="L538" s="16" t="s">
        <v>207</v>
      </c>
      <c r="M538" s="16" t="s">
        <v>119</v>
      </c>
      <c r="N538" s="27">
        <v>45520.334027777775</v>
      </c>
      <c r="O538" s="27">
        <v>45521.09097222222</v>
      </c>
      <c r="P538" s="16">
        <v>3.4</v>
      </c>
      <c r="Q538" s="16" t="b">
        <f>TRUE()</f>
        <v>1</v>
      </c>
      <c r="R538" s="16" t="b">
        <f>FALSE()</f>
        <v>0</v>
      </c>
      <c r="S538" s="17">
        <f t="shared" si="8"/>
        <v>18.2</v>
      </c>
      <c r="T538">
        <f>COUNTIF('👤 Customers'!$A:$A, B538)</f>
        <v>1</v>
      </c>
      <c r="U538">
        <f>COUNTIF('🚴 Riders'!A537:A597, C538)</f>
        <v>0</v>
      </c>
      <c r="V538">
        <f>COUNTIF('🏭 Facilities'!A537:A545, D538)</f>
        <v>0</v>
      </c>
    </row>
    <row r="539" spans="1:22">
      <c r="A539" s="18" t="s">
        <v>1609</v>
      </c>
      <c r="B539" s="18" t="s">
        <v>610</v>
      </c>
      <c r="C539" s="18" t="s">
        <v>461</v>
      </c>
      <c r="D539" s="18" t="s">
        <v>158</v>
      </c>
      <c r="E539" s="26">
        <v>45120</v>
      </c>
      <c r="F539" s="18" t="s">
        <v>1610</v>
      </c>
      <c r="G539" s="18" t="s">
        <v>176</v>
      </c>
      <c r="H539" s="18">
        <v>7</v>
      </c>
      <c r="I539" s="18">
        <v>599</v>
      </c>
      <c r="J539" s="18">
        <v>20</v>
      </c>
      <c r="K539" s="18">
        <v>3354.4</v>
      </c>
      <c r="L539" s="18" t="s">
        <v>207</v>
      </c>
      <c r="M539" s="18" t="s">
        <v>119</v>
      </c>
      <c r="N539" s="28">
        <v>45121.0625</v>
      </c>
      <c r="O539" s="28">
        <v>45121.592361111114</v>
      </c>
      <c r="P539" s="18">
        <v>4.8</v>
      </c>
      <c r="Q539" s="18" t="b">
        <f>FALSE()</f>
        <v>0</v>
      </c>
      <c r="R539" s="18" t="b">
        <f>FALSE()</f>
        <v>0</v>
      </c>
      <c r="S539" s="19">
        <f t="shared" si="8"/>
        <v>12.7</v>
      </c>
      <c r="T539">
        <f>COUNTIF('👤 Customers'!$A:$A, B539)</f>
        <v>1</v>
      </c>
      <c r="U539">
        <f>COUNTIF('🚴 Riders'!A538:A598, C539)</f>
        <v>0</v>
      </c>
      <c r="V539">
        <f>COUNTIF('🏭 Facilities'!A538:A546, D539)</f>
        <v>0</v>
      </c>
    </row>
    <row r="540" spans="1:22">
      <c r="A540" s="16" t="s">
        <v>1611</v>
      </c>
      <c r="B540" s="16" t="s">
        <v>1612</v>
      </c>
      <c r="C540" s="16" t="s">
        <v>265</v>
      </c>
      <c r="D540" s="16" t="s">
        <v>197</v>
      </c>
      <c r="E540" s="25">
        <v>45327</v>
      </c>
      <c r="F540" s="16" t="s">
        <v>1613</v>
      </c>
      <c r="G540" s="16" t="s">
        <v>125</v>
      </c>
      <c r="H540" s="16">
        <v>7.5</v>
      </c>
      <c r="I540" s="16">
        <v>199</v>
      </c>
      <c r="J540" s="16">
        <v>20</v>
      </c>
      <c r="K540" s="16">
        <v>1194</v>
      </c>
      <c r="L540" s="16" t="s">
        <v>126</v>
      </c>
      <c r="M540" s="16" t="s">
        <v>119</v>
      </c>
      <c r="N540" s="27">
        <v>45327.45208333333</v>
      </c>
      <c r="O540" s="27">
        <v>45327.786805555559</v>
      </c>
      <c r="P540" s="16">
        <v>3.4</v>
      </c>
      <c r="Q540" s="16" t="b">
        <f>FALSE()</f>
        <v>0</v>
      </c>
      <c r="R540" s="16" t="b">
        <f>FALSE()</f>
        <v>0</v>
      </c>
      <c r="S540" s="17">
        <f t="shared" si="8"/>
        <v>8</v>
      </c>
      <c r="T540">
        <f>COUNTIF('👤 Customers'!$A:$A, B540)</f>
        <v>1</v>
      </c>
      <c r="U540">
        <f>COUNTIF('🚴 Riders'!A539:A599, C540)</f>
        <v>0</v>
      </c>
      <c r="V540">
        <f>COUNTIF('🏭 Facilities'!A539:A547, D540)</f>
        <v>0</v>
      </c>
    </row>
    <row r="541" spans="1:22">
      <c r="A541" s="18" t="s">
        <v>1614</v>
      </c>
      <c r="B541" s="18" t="s">
        <v>1615</v>
      </c>
      <c r="C541" s="18" t="s">
        <v>304</v>
      </c>
      <c r="D541" s="18" t="s">
        <v>137</v>
      </c>
      <c r="E541" s="26">
        <v>44933</v>
      </c>
      <c r="F541" s="18" t="s">
        <v>1616</v>
      </c>
      <c r="G541" s="18" t="s">
        <v>125</v>
      </c>
      <c r="H541" s="18">
        <v>4</v>
      </c>
      <c r="I541" s="18">
        <v>199</v>
      </c>
      <c r="J541" s="18">
        <v>0</v>
      </c>
      <c r="K541" s="18">
        <v>796</v>
      </c>
      <c r="L541" s="18" t="s">
        <v>118</v>
      </c>
      <c r="M541" s="18" t="s">
        <v>133</v>
      </c>
      <c r="N541" s="20"/>
      <c r="O541" s="20"/>
      <c r="P541" s="20"/>
      <c r="Q541" s="18" t="b">
        <f>FALSE()</f>
        <v>0</v>
      </c>
      <c r="R541" s="18" t="b">
        <f>FALSE()</f>
        <v>0</v>
      </c>
      <c r="S541" s="19" t="str">
        <f t="shared" si="8"/>
        <v>N/A</v>
      </c>
      <c r="T541">
        <f>COUNTIF('👤 Customers'!$A:$A, B541)</f>
        <v>1</v>
      </c>
      <c r="U541">
        <f>COUNTIF('🚴 Riders'!A540:A600, C541)</f>
        <v>0</v>
      </c>
      <c r="V541">
        <f>COUNTIF('🏭 Facilities'!A540:A548, D541)</f>
        <v>0</v>
      </c>
    </row>
    <row r="542" spans="1:22">
      <c r="A542" s="16" t="s">
        <v>1617</v>
      </c>
      <c r="B542" s="16" t="s">
        <v>692</v>
      </c>
      <c r="C542" s="16" t="s">
        <v>179</v>
      </c>
      <c r="D542" s="16" t="s">
        <v>205</v>
      </c>
      <c r="E542" s="25">
        <v>45159</v>
      </c>
      <c r="F542" s="16" t="s">
        <v>1618</v>
      </c>
      <c r="G542" s="16" t="s">
        <v>117</v>
      </c>
      <c r="H542" s="16">
        <v>4</v>
      </c>
      <c r="I542" s="16">
        <v>149</v>
      </c>
      <c r="J542" s="16">
        <v>0</v>
      </c>
      <c r="K542" s="16">
        <v>596</v>
      </c>
      <c r="L542" s="16" t="s">
        <v>139</v>
      </c>
      <c r="M542" s="16" t="s">
        <v>119</v>
      </c>
      <c r="N542" s="27">
        <v>45159.497916666667</v>
      </c>
      <c r="O542" s="27">
        <v>45160.188194444447</v>
      </c>
      <c r="P542" s="16">
        <v>2.5</v>
      </c>
      <c r="Q542" s="16" t="b">
        <f>FALSE()</f>
        <v>0</v>
      </c>
      <c r="R542" s="16" t="b">
        <f>FALSE()</f>
        <v>0</v>
      </c>
      <c r="S542" s="17">
        <f t="shared" si="8"/>
        <v>16.600000000000001</v>
      </c>
      <c r="T542">
        <f>COUNTIF('👤 Customers'!$A:$A, B542)</f>
        <v>1</v>
      </c>
      <c r="U542">
        <f>COUNTIF('🚴 Riders'!A541:A601, C542)</f>
        <v>0</v>
      </c>
      <c r="V542">
        <f>COUNTIF('🏭 Facilities'!A541:A549, D542)</f>
        <v>0</v>
      </c>
    </row>
    <row r="543" spans="1:22">
      <c r="A543" s="18" t="s">
        <v>1619</v>
      </c>
      <c r="B543" s="18" t="s">
        <v>1064</v>
      </c>
      <c r="C543" s="18" t="s">
        <v>213</v>
      </c>
      <c r="D543" s="18" t="s">
        <v>123</v>
      </c>
      <c r="E543" s="26">
        <v>45012</v>
      </c>
      <c r="F543" s="18" t="s">
        <v>1620</v>
      </c>
      <c r="G543" s="18" t="s">
        <v>132</v>
      </c>
      <c r="H543" s="18">
        <v>3</v>
      </c>
      <c r="I543" s="18">
        <v>399</v>
      </c>
      <c r="J543" s="18">
        <v>0</v>
      </c>
      <c r="K543" s="18">
        <v>1197</v>
      </c>
      <c r="L543" s="18" t="s">
        <v>126</v>
      </c>
      <c r="M543" s="18" t="s">
        <v>119</v>
      </c>
      <c r="N543" s="28">
        <v>45013.085416666669</v>
      </c>
      <c r="O543" s="28">
        <v>45014.065972222219</v>
      </c>
      <c r="P543" s="18">
        <v>3.6</v>
      </c>
      <c r="Q543" s="18" t="b">
        <f>FALSE()</f>
        <v>0</v>
      </c>
      <c r="R543" s="18" t="b">
        <f>FALSE()</f>
        <v>0</v>
      </c>
      <c r="S543" s="19">
        <f t="shared" si="8"/>
        <v>23.5</v>
      </c>
      <c r="T543">
        <f>COUNTIF('👤 Customers'!$A:$A, B543)</f>
        <v>1</v>
      </c>
      <c r="U543">
        <f>COUNTIF('🚴 Riders'!A542:A602, C543)</f>
        <v>0</v>
      </c>
      <c r="V543">
        <f>COUNTIF('🏭 Facilities'!A542:A550, D543)</f>
        <v>0</v>
      </c>
    </row>
    <row r="544" spans="1:22">
      <c r="A544" s="16" t="s">
        <v>1621</v>
      </c>
      <c r="B544" s="16" t="s">
        <v>1622</v>
      </c>
      <c r="C544" s="16" t="s">
        <v>179</v>
      </c>
      <c r="D544" s="16" t="s">
        <v>197</v>
      </c>
      <c r="E544" s="25">
        <v>45481</v>
      </c>
      <c r="F544" s="16" t="s">
        <v>1623</v>
      </c>
      <c r="G544" s="16" t="s">
        <v>132</v>
      </c>
      <c r="H544" s="16">
        <v>3.3</v>
      </c>
      <c r="I544" s="16">
        <v>399</v>
      </c>
      <c r="J544" s="16">
        <v>10</v>
      </c>
      <c r="K544" s="16">
        <v>1185.03</v>
      </c>
      <c r="L544" s="16" t="s">
        <v>126</v>
      </c>
      <c r="M544" s="16" t="s">
        <v>119</v>
      </c>
      <c r="N544" s="27">
        <v>45481.92291666667</v>
      </c>
      <c r="O544" s="27">
        <v>45482.977777777778</v>
      </c>
      <c r="P544" s="16">
        <v>4.5</v>
      </c>
      <c r="Q544" s="16" t="b">
        <f>TRUE()</f>
        <v>1</v>
      </c>
      <c r="R544" s="16" t="b">
        <f>FALSE()</f>
        <v>0</v>
      </c>
      <c r="S544" s="17">
        <f t="shared" si="8"/>
        <v>25.3</v>
      </c>
      <c r="T544">
        <f>COUNTIF('👤 Customers'!$A:$A, B544)</f>
        <v>1</v>
      </c>
      <c r="U544">
        <f>COUNTIF('🚴 Riders'!A543:A603, C544)</f>
        <v>0</v>
      </c>
      <c r="V544">
        <f>COUNTIF('🏭 Facilities'!A543:A551, D544)</f>
        <v>0</v>
      </c>
    </row>
    <row r="545" spans="1:22">
      <c r="A545" s="18" t="s">
        <v>1624</v>
      </c>
      <c r="B545" s="18" t="s">
        <v>121</v>
      </c>
      <c r="C545" s="18" t="s">
        <v>413</v>
      </c>
      <c r="D545" s="18" t="s">
        <v>115</v>
      </c>
      <c r="E545" s="26">
        <v>44937</v>
      </c>
      <c r="F545" s="18" t="s">
        <v>1625</v>
      </c>
      <c r="G545" s="18" t="s">
        <v>132</v>
      </c>
      <c r="H545" s="18">
        <v>1.4</v>
      </c>
      <c r="I545" s="18">
        <v>399</v>
      </c>
      <c r="J545" s="18">
        <v>20</v>
      </c>
      <c r="K545" s="18">
        <v>446.88</v>
      </c>
      <c r="L545" s="18" t="s">
        <v>126</v>
      </c>
      <c r="M545" s="18" t="s">
        <v>119</v>
      </c>
      <c r="N545" s="28">
        <v>44937.76458333333</v>
      </c>
      <c r="O545" s="28">
        <v>44938.645138888889</v>
      </c>
      <c r="P545" s="18">
        <v>4.4000000000000004</v>
      </c>
      <c r="Q545" s="18" t="b">
        <f>FALSE()</f>
        <v>0</v>
      </c>
      <c r="R545" s="18" t="b">
        <f>TRUE()</f>
        <v>1</v>
      </c>
      <c r="S545" s="19">
        <f t="shared" si="8"/>
        <v>21.1</v>
      </c>
      <c r="T545">
        <f>COUNTIF('👤 Customers'!$A:$A, B545)</f>
        <v>1</v>
      </c>
      <c r="U545">
        <f>COUNTIF('🚴 Riders'!A544:A604, C545)</f>
        <v>0</v>
      </c>
      <c r="V545">
        <f>COUNTIF('🏭 Facilities'!A544:A552, D545)</f>
        <v>0</v>
      </c>
    </row>
    <row r="546" spans="1:22">
      <c r="A546" s="16" t="s">
        <v>1626</v>
      </c>
      <c r="B546" s="16" t="s">
        <v>1064</v>
      </c>
      <c r="C546" s="16" t="s">
        <v>213</v>
      </c>
      <c r="D546" s="16" t="s">
        <v>197</v>
      </c>
      <c r="E546" s="25">
        <v>45324</v>
      </c>
      <c r="F546" s="16" t="s">
        <v>1627</v>
      </c>
      <c r="G546" s="16" t="s">
        <v>132</v>
      </c>
      <c r="H546" s="16">
        <v>2.7</v>
      </c>
      <c r="I546" s="16">
        <v>399</v>
      </c>
      <c r="J546" s="16">
        <v>10</v>
      </c>
      <c r="K546" s="16">
        <v>969.57</v>
      </c>
      <c r="L546" s="16" t="s">
        <v>146</v>
      </c>
      <c r="M546" s="16" t="s">
        <v>119</v>
      </c>
      <c r="N546" s="27">
        <v>45324.256944444445</v>
      </c>
      <c r="O546" s="27">
        <v>45324.802777777775</v>
      </c>
      <c r="P546" s="16">
        <v>4</v>
      </c>
      <c r="Q546" s="16" t="b">
        <f>FALSE()</f>
        <v>0</v>
      </c>
      <c r="R546" s="16" t="b">
        <f>FALSE()</f>
        <v>0</v>
      </c>
      <c r="S546" s="17">
        <f t="shared" si="8"/>
        <v>13.1</v>
      </c>
      <c r="T546">
        <f>COUNTIF('👤 Customers'!$A:$A, B546)</f>
        <v>1</v>
      </c>
      <c r="U546">
        <f>COUNTIF('🚴 Riders'!A545:A605, C546)</f>
        <v>0</v>
      </c>
      <c r="V546">
        <f>COUNTIF('🏭 Facilities'!A545:A553, D546)</f>
        <v>0</v>
      </c>
    </row>
    <row r="547" spans="1:22">
      <c r="A547" s="18" t="s">
        <v>1628</v>
      </c>
      <c r="B547" s="18" t="s">
        <v>1272</v>
      </c>
      <c r="C547" s="18" t="s">
        <v>157</v>
      </c>
      <c r="D547" s="18" t="s">
        <v>130</v>
      </c>
      <c r="E547" s="26">
        <v>45415</v>
      </c>
      <c r="F547" s="18" t="s">
        <v>1629</v>
      </c>
      <c r="G547" s="18" t="s">
        <v>132</v>
      </c>
      <c r="H547" s="18">
        <v>2.6</v>
      </c>
      <c r="I547" s="18">
        <v>399</v>
      </c>
      <c r="J547" s="18">
        <v>0</v>
      </c>
      <c r="K547" s="18">
        <v>1037.4000000000001</v>
      </c>
      <c r="L547" s="18" t="s">
        <v>126</v>
      </c>
      <c r="M547" s="18" t="s">
        <v>119</v>
      </c>
      <c r="N547" s="28">
        <v>45415.54791666667</v>
      </c>
      <c r="O547" s="28">
        <v>45415.995833333334</v>
      </c>
      <c r="P547" s="18">
        <v>4.7</v>
      </c>
      <c r="Q547" s="18" t="b">
        <f>FALSE()</f>
        <v>0</v>
      </c>
      <c r="R547" s="18" t="b">
        <f>FALSE()</f>
        <v>0</v>
      </c>
      <c r="S547" s="19">
        <f t="shared" si="8"/>
        <v>10.7</v>
      </c>
      <c r="T547">
        <f>COUNTIF('👤 Customers'!$A:$A, B547)</f>
        <v>1</v>
      </c>
      <c r="U547">
        <f>COUNTIF('🚴 Riders'!A546:A606, C547)</f>
        <v>0</v>
      </c>
      <c r="V547">
        <f>COUNTIF('🏭 Facilities'!A546:A554, D547)</f>
        <v>0</v>
      </c>
    </row>
    <row r="548" spans="1:22">
      <c r="A548" s="16" t="s">
        <v>1630</v>
      </c>
      <c r="B548" s="16" t="s">
        <v>1631</v>
      </c>
      <c r="C548" s="16" t="s">
        <v>358</v>
      </c>
      <c r="D548" s="16" t="s">
        <v>123</v>
      </c>
      <c r="E548" s="25">
        <v>45470</v>
      </c>
      <c r="F548" s="16" t="s">
        <v>1632</v>
      </c>
      <c r="G548" s="16" t="s">
        <v>132</v>
      </c>
      <c r="H548" s="16">
        <v>2.6</v>
      </c>
      <c r="I548" s="16">
        <v>399</v>
      </c>
      <c r="J548" s="16">
        <v>0</v>
      </c>
      <c r="K548" s="16">
        <v>1037.4000000000001</v>
      </c>
      <c r="L548" s="16" t="s">
        <v>118</v>
      </c>
      <c r="M548" s="16" t="s">
        <v>119</v>
      </c>
      <c r="N548" s="27">
        <v>45470.924305555556</v>
      </c>
      <c r="O548" s="27">
        <v>45471.724305555559</v>
      </c>
      <c r="P548" s="16">
        <v>4.3</v>
      </c>
      <c r="Q548" s="16" t="b">
        <f>FALSE()</f>
        <v>0</v>
      </c>
      <c r="R548" s="16" t="b">
        <f>FALSE()</f>
        <v>0</v>
      </c>
      <c r="S548" s="17">
        <f t="shared" si="8"/>
        <v>19.2</v>
      </c>
      <c r="T548">
        <f>COUNTIF('👤 Customers'!$A:$A, B548)</f>
        <v>1</v>
      </c>
      <c r="U548">
        <f>COUNTIF('🚴 Riders'!A547:A607, C548)</f>
        <v>0</v>
      </c>
      <c r="V548">
        <f>COUNTIF('🏭 Facilities'!A547:A555, D548)</f>
        <v>0</v>
      </c>
    </row>
    <row r="549" spans="1:22">
      <c r="A549" s="18" t="s">
        <v>1633</v>
      </c>
      <c r="B549" s="18" t="s">
        <v>1634</v>
      </c>
      <c r="C549" s="18" t="s">
        <v>247</v>
      </c>
      <c r="D549" s="18" t="s">
        <v>137</v>
      </c>
      <c r="E549" s="26">
        <v>45068</v>
      </c>
      <c r="F549" s="18" t="s">
        <v>1635</v>
      </c>
      <c r="G549" s="18" t="s">
        <v>125</v>
      </c>
      <c r="H549" s="18">
        <v>1</v>
      </c>
      <c r="I549" s="18">
        <v>199</v>
      </c>
      <c r="J549" s="18">
        <v>10</v>
      </c>
      <c r="K549" s="18">
        <v>179.1</v>
      </c>
      <c r="L549" s="18" t="s">
        <v>118</v>
      </c>
      <c r="M549" s="18" t="s">
        <v>119</v>
      </c>
      <c r="N549" s="28">
        <v>45068.222222222219</v>
      </c>
      <c r="O549" s="28">
        <v>45068.943749999999</v>
      </c>
      <c r="P549" s="18">
        <v>4.9000000000000004</v>
      </c>
      <c r="Q549" s="18" t="b">
        <f>FALSE()</f>
        <v>0</v>
      </c>
      <c r="R549" s="18" t="b">
        <f>FALSE()</f>
        <v>0</v>
      </c>
      <c r="S549" s="19">
        <f t="shared" si="8"/>
        <v>17.3</v>
      </c>
      <c r="T549">
        <f>COUNTIF('👤 Customers'!$A:$A, B549)</f>
        <v>1</v>
      </c>
      <c r="U549">
        <f>COUNTIF('🚴 Riders'!A548:A608, C549)</f>
        <v>0</v>
      </c>
      <c r="V549">
        <f>COUNTIF('🏭 Facilities'!A548:A556, D549)</f>
        <v>0</v>
      </c>
    </row>
    <row r="550" spans="1:22">
      <c r="A550" s="16" t="s">
        <v>1636</v>
      </c>
      <c r="B550" s="16" t="s">
        <v>1322</v>
      </c>
      <c r="C550" s="16" t="s">
        <v>220</v>
      </c>
      <c r="D550" s="16" t="s">
        <v>205</v>
      </c>
      <c r="E550" s="25">
        <v>45002</v>
      </c>
      <c r="F550" s="16" t="s">
        <v>1637</v>
      </c>
      <c r="G550" s="16" t="s">
        <v>125</v>
      </c>
      <c r="H550" s="16">
        <v>5.8</v>
      </c>
      <c r="I550" s="16">
        <v>199</v>
      </c>
      <c r="J550" s="16">
        <v>10</v>
      </c>
      <c r="K550" s="16">
        <v>1038.78</v>
      </c>
      <c r="L550" s="16" t="s">
        <v>207</v>
      </c>
      <c r="M550" s="16" t="s">
        <v>119</v>
      </c>
      <c r="N550" s="27">
        <v>45002.323611111111</v>
      </c>
      <c r="O550" s="27">
        <v>45003.201388888891</v>
      </c>
      <c r="P550" s="16">
        <v>4.0999999999999996</v>
      </c>
      <c r="Q550" s="16" t="b">
        <f>FALSE()</f>
        <v>0</v>
      </c>
      <c r="R550" s="16" t="b">
        <f>FALSE()</f>
        <v>0</v>
      </c>
      <c r="S550" s="17">
        <f t="shared" si="8"/>
        <v>21.1</v>
      </c>
      <c r="T550">
        <f>COUNTIF('👤 Customers'!$A:$A, B550)</f>
        <v>1</v>
      </c>
      <c r="U550">
        <f>COUNTIF('🚴 Riders'!A549:A609, C550)</f>
        <v>0</v>
      </c>
      <c r="V550">
        <f>COUNTIF('🏭 Facilities'!A549:A557, D550)</f>
        <v>0</v>
      </c>
    </row>
    <row r="551" spans="1:22">
      <c r="A551" s="18" t="s">
        <v>1638</v>
      </c>
      <c r="B551" s="18" t="s">
        <v>646</v>
      </c>
      <c r="C551" s="18" t="s">
        <v>232</v>
      </c>
      <c r="D551" s="18" t="s">
        <v>130</v>
      </c>
      <c r="E551" s="26">
        <v>45616</v>
      </c>
      <c r="F551" s="18" t="s">
        <v>1639</v>
      </c>
      <c r="G551" s="18" t="s">
        <v>125</v>
      </c>
      <c r="H551" s="18">
        <v>1.9</v>
      </c>
      <c r="I551" s="18">
        <v>199</v>
      </c>
      <c r="J551" s="18">
        <v>10</v>
      </c>
      <c r="K551" s="18">
        <v>340.29</v>
      </c>
      <c r="L551" s="18" t="s">
        <v>139</v>
      </c>
      <c r="M551" s="18" t="s">
        <v>119</v>
      </c>
      <c r="N551" s="28">
        <v>45616.130555555559</v>
      </c>
      <c r="O551" s="28">
        <v>45617.22152777778</v>
      </c>
      <c r="P551" s="18">
        <v>4.8</v>
      </c>
      <c r="Q551" s="18" t="b">
        <f>TRUE()</f>
        <v>1</v>
      </c>
      <c r="R551" s="18" t="b">
        <f>FALSE()</f>
        <v>0</v>
      </c>
      <c r="S551" s="19">
        <f t="shared" si="8"/>
        <v>26.2</v>
      </c>
      <c r="T551">
        <f>COUNTIF('👤 Customers'!$A:$A, B551)</f>
        <v>1</v>
      </c>
      <c r="U551">
        <f>COUNTIF('🚴 Riders'!A550:A610, C551)</f>
        <v>0</v>
      </c>
      <c r="V551">
        <f>COUNTIF('🏭 Facilities'!A550:A558, D551)</f>
        <v>0</v>
      </c>
    </row>
    <row r="552" spans="1:22">
      <c r="A552" s="16" t="s">
        <v>1640</v>
      </c>
      <c r="B552" s="16" t="s">
        <v>562</v>
      </c>
      <c r="C552" s="16" t="s">
        <v>136</v>
      </c>
      <c r="D552" s="16" t="s">
        <v>123</v>
      </c>
      <c r="E552" s="25">
        <v>45193</v>
      </c>
      <c r="F552" s="16" t="s">
        <v>1641</v>
      </c>
      <c r="G552" s="16" t="s">
        <v>117</v>
      </c>
      <c r="H552" s="16">
        <v>6.1</v>
      </c>
      <c r="I552" s="16">
        <v>149</v>
      </c>
      <c r="J552" s="16">
        <v>30</v>
      </c>
      <c r="K552" s="16">
        <v>636.23</v>
      </c>
      <c r="L552" s="16" t="s">
        <v>146</v>
      </c>
      <c r="M552" s="16" t="s">
        <v>119</v>
      </c>
      <c r="N552" s="27">
        <v>45193.43472222222</v>
      </c>
      <c r="O552" s="27">
        <v>45193.852777777778</v>
      </c>
      <c r="P552" s="16">
        <v>4.9000000000000004</v>
      </c>
      <c r="Q552" s="16" t="b">
        <f>FALSE()</f>
        <v>0</v>
      </c>
      <c r="R552" s="16" t="b">
        <f>FALSE()</f>
        <v>0</v>
      </c>
      <c r="S552" s="17">
        <f t="shared" si="8"/>
        <v>10</v>
      </c>
      <c r="T552">
        <f>COUNTIF('👤 Customers'!$A:$A, B552)</f>
        <v>1</v>
      </c>
      <c r="U552">
        <f>COUNTIF('🚴 Riders'!A551:A611, C552)</f>
        <v>0</v>
      </c>
      <c r="V552">
        <f>COUNTIF('🏭 Facilities'!A551:A559, D552)</f>
        <v>0</v>
      </c>
    </row>
    <row r="553" spans="1:22">
      <c r="A553" s="18" t="s">
        <v>1642</v>
      </c>
      <c r="B553" s="18" t="s">
        <v>643</v>
      </c>
      <c r="C553" s="18" t="s">
        <v>287</v>
      </c>
      <c r="D553" s="18" t="s">
        <v>123</v>
      </c>
      <c r="E553" s="26">
        <v>45484</v>
      </c>
      <c r="F553" s="18" t="s">
        <v>1643</v>
      </c>
      <c r="G553" s="18" t="s">
        <v>125</v>
      </c>
      <c r="H553" s="18">
        <v>7.4</v>
      </c>
      <c r="I553" s="18">
        <v>199</v>
      </c>
      <c r="J553" s="18">
        <v>0</v>
      </c>
      <c r="K553" s="18">
        <v>1472.6</v>
      </c>
      <c r="L553" s="18" t="s">
        <v>207</v>
      </c>
      <c r="M553" s="18" t="s">
        <v>119</v>
      </c>
      <c r="N553" s="28">
        <v>45484.260416666664</v>
      </c>
      <c r="O553" s="28">
        <v>45485.331944444442</v>
      </c>
      <c r="P553" s="18">
        <v>3.2</v>
      </c>
      <c r="Q553" s="18" t="b">
        <f>FALSE()</f>
        <v>0</v>
      </c>
      <c r="R553" s="18" t="b">
        <f>TRUE()</f>
        <v>1</v>
      </c>
      <c r="S553" s="19">
        <f t="shared" si="8"/>
        <v>25.7</v>
      </c>
      <c r="T553">
        <f>COUNTIF('👤 Customers'!$A:$A, B553)</f>
        <v>1</v>
      </c>
      <c r="U553">
        <f>COUNTIF('🚴 Riders'!A552:A612, C553)</f>
        <v>0</v>
      </c>
      <c r="V553">
        <f>COUNTIF('🏭 Facilities'!A552:A560, D553)</f>
        <v>0</v>
      </c>
    </row>
    <row r="554" spans="1:22">
      <c r="A554" s="16" t="s">
        <v>1644</v>
      </c>
      <c r="B554" s="16" t="s">
        <v>811</v>
      </c>
      <c r="C554" s="16" t="s">
        <v>196</v>
      </c>
      <c r="D554" s="16" t="s">
        <v>158</v>
      </c>
      <c r="E554" s="25">
        <v>45465</v>
      </c>
      <c r="F554" s="16" t="s">
        <v>1645</v>
      </c>
      <c r="G554" s="16" t="s">
        <v>132</v>
      </c>
      <c r="H554" s="16">
        <v>6.2</v>
      </c>
      <c r="I554" s="16">
        <v>399</v>
      </c>
      <c r="J554" s="16">
        <v>0</v>
      </c>
      <c r="K554" s="16">
        <v>2473.8000000000002</v>
      </c>
      <c r="L554" s="16" t="s">
        <v>146</v>
      </c>
      <c r="M554" s="16" t="s">
        <v>140</v>
      </c>
      <c r="N554" s="27">
        <v>45465.990972222222</v>
      </c>
      <c r="O554" s="27">
        <v>45466.674305555556</v>
      </c>
      <c r="P554" s="20"/>
      <c r="Q554" s="16" t="b">
        <f>FALSE()</f>
        <v>0</v>
      </c>
      <c r="R554" s="16" t="b">
        <f>FALSE()</f>
        <v>0</v>
      </c>
      <c r="S554" s="17">
        <f t="shared" si="8"/>
        <v>16.399999999999999</v>
      </c>
      <c r="T554">
        <f>COUNTIF('👤 Customers'!$A:$A, B554)</f>
        <v>1</v>
      </c>
      <c r="U554">
        <f>COUNTIF('🚴 Riders'!A553:A613, C554)</f>
        <v>0</v>
      </c>
      <c r="V554">
        <f>COUNTIF('🏭 Facilities'!A553:A561, D554)</f>
        <v>0</v>
      </c>
    </row>
    <row r="555" spans="1:22">
      <c r="A555" s="18" t="s">
        <v>1646</v>
      </c>
      <c r="B555" s="18" t="s">
        <v>275</v>
      </c>
      <c r="C555" s="18" t="s">
        <v>251</v>
      </c>
      <c r="D555" s="18" t="s">
        <v>123</v>
      </c>
      <c r="E555" s="26">
        <v>45137</v>
      </c>
      <c r="F555" s="18" t="s">
        <v>1647</v>
      </c>
      <c r="G555" s="18" t="s">
        <v>132</v>
      </c>
      <c r="H555" s="18">
        <v>2.2999999999999998</v>
      </c>
      <c r="I555" s="18">
        <v>399</v>
      </c>
      <c r="J555" s="18">
        <v>0</v>
      </c>
      <c r="K555" s="18">
        <v>917.7</v>
      </c>
      <c r="L555" s="18" t="s">
        <v>118</v>
      </c>
      <c r="M555" s="18" t="s">
        <v>119</v>
      </c>
      <c r="N555" s="28">
        <v>45137.982638888891</v>
      </c>
      <c r="O555" s="28">
        <v>45138.35833333333</v>
      </c>
      <c r="P555" s="18">
        <v>4.5999999999999996</v>
      </c>
      <c r="Q555" s="18" t="b">
        <f>FALSE()</f>
        <v>0</v>
      </c>
      <c r="R555" s="18" t="b">
        <f>FALSE()</f>
        <v>0</v>
      </c>
      <c r="S555" s="19">
        <f t="shared" si="8"/>
        <v>9</v>
      </c>
      <c r="T555">
        <f>COUNTIF('👤 Customers'!$A:$A, B555)</f>
        <v>1</v>
      </c>
      <c r="U555">
        <f>COUNTIF('🚴 Riders'!A554:A614, C555)</f>
        <v>0</v>
      </c>
      <c r="V555">
        <f>COUNTIF('🏭 Facilities'!A554:A562, D555)</f>
        <v>0</v>
      </c>
    </row>
    <row r="556" spans="1:22">
      <c r="A556" s="16" t="s">
        <v>1648</v>
      </c>
      <c r="B556" s="16" t="s">
        <v>863</v>
      </c>
      <c r="C556" s="16" t="s">
        <v>179</v>
      </c>
      <c r="D556" s="16" t="s">
        <v>123</v>
      </c>
      <c r="E556" s="25">
        <v>45019</v>
      </c>
      <c r="F556" s="16" t="s">
        <v>1649</v>
      </c>
      <c r="G556" s="16" t="s">
        <v>132</v>
      </c>
      <c r="H556" s="16">
        <v>2.6</v>
      </c>
      <c r="I556" s="16">
        <v>399</v>
      </c>
      <c r="J556" s="16">
        <v>0</v>
      </c>
      <c r="K556" s="16">
        <v>1037.4000000000001</v>
      </c>
      <c r="L556" s="16" t="s">
        <v>126</v>
      </c>
      <c r="M556" s="16" t="s">
        <v>119</v>
      </c>
      <c r="N556" s="27">
        <v>45019.536805555559</v>
      </c>
      <c r="O556" s="27">
        <v>45020.013194444444</v>
      </c>
      <c r="P556" s="16">
        <v>4.0999999999999996</v>
      </c>
      <c r="Q556" s="16" t="b">
        <f>FALSE()</f>
        <v>0</v>
      </c>
      <c r="R556" s="16" t="b">
        <f>FALSE()</f>
        <v>0</v>
      </c>
      <c r="S556" s="17">
        <f t="shared" si="8"/>
        <v>11.4</v>
      </c>
      <c r="T556">
        <f>COUNTIF('👤 Customers'!$A:$A, B556)</f>
        <v>1</v>
      </c>
      <c r="U556">
        <f>COUNTIF('🚴 Riders'!A555:A615, C556)</f>
        <v>0</v>
      </c>
      <c r="V556">
        <f>COUNTIF('🏭 Facilities'!A555:A563, D556)</f>
        <v>0</v>
      </c>
    </row>
    <row r="557" spans="1:22">
      <c r="A557" s="18" t="s">
        <v>1650</v>
      </c>
      <c r="B557" s="18" t="s">
        <v>1651</v>
      </c>
      <c r="C557" s="18" t="s">
        <v>136</v>
      </c>
      <c r="D557" s="18" t="s">
        <v>123</v>
      </c>
      <c r="E557" s="26">
        <v>45342</v>
      </c>
      <c r="F557" s="18" t="s">
        <v>1652</v>
      </c>
      <c r="G557" s="18" t="s">
        <v>125</v>
      </c>
      <c r="H557" s="18">
        <v>1</v>
      </c>
      <c r="I557" s="18">
        <v>199</v>
      </c>
      <c r="J557" s="18">
        <v>0</v>
      </c>
      <c r="K557" s="18">
        <v>199</v>
      </c>
      <c r="L557" s="18" t="s">
        <v>207</v>
      </c>
      <c r="M557" s="18" t="s">
        <v>133</v>
      </c>
      <c r="N557" s="20"/>
      <c r="O557" s="20"/>
      <c r="P557" s="20"/>
      <c r="Q557" s="18" t="b">
        <f>FALSE()</f>
        <v>0</v>
      </c>
      <c r="R557" s="18" t="b">
        <f>FALSE()</f>
        <v>0</v>
      </c>
      <c r="S557" s="19" t="str">
        <f t="shared" si="8"/>
        <v>N/A</v>
      </c>
      <c r="T557">
        <f>COUNTIF('👤 Customers'!$A:$A, B557)</f>
        <v>1</v>
      </c>
      <c r="U557">
        <f>COUNTIF('🚴 Riders'!A556:A616, C557)</f>
        <v>0</v>
      </c>
      <c r="V557">
        <f>COUNTIF('🏭 Facilities'!A556:A564, D557)</f>
        <v>0</v>
      </c>
    </row>
    <row r="558" spans="1:22">
      <c r="A558" s="16" t="s">
        <v>1653</v>
      </c>
      <c r="B558" s="16" t="s">
        <v>1654</v>
      </c>
      <c r="C558" s="16" t="s">
        <v>308</v>
      </c>
      <c r="D558" s="16" t="s">
        <v>197</v>
      </c>
      <c r="E558" s="25">
        <v>45179</v>
      </c>
      <c r="F558" s="16" t="s">
        <v>1655</v>
      </c>
      <c r="G558" s="16" t="s">
        <v>125</v>
      </c>
      <c r="H558" s="16">
        <v>5.4</v>
      </c>
      <c r="I558" s="16">
        <v>199</v>
      </c>
      <c r="J558" s="16">
        <v>0</v>
      </c>
      <c r="K558" s="16">
        <v>1074.5999999999999</v>
      </c>
      <c r="L558" s="16" t="s">
        <v>139</v>
      </c>
      <c r="M558" s="16" t="s">
        <v>119</v>
      </c>
      <c r="N558" s="27">
        <v>45179.20416666667</v>
      </c>
      <c r="O558" s="27">
        <v>45180.234027777777</v>
      </c>
      <c r="P558" s="16">
        <v>4.9000000000000004</v>
      </c>
      <c r="Q558" s="16" t="b">
        <f>FALSE()</f>
        <v>0</v>
      </c>
      <c r="R558" s="16" t="b">
        <f>FALSE()</f>
        <v>0</v>
      </c>
      <c r="S558" s="17">
        <f t="shared" si="8"/>
        <v>24.7</v>
      </c>
      <c r="T558">
        <f>COUNTIF('👤 Customers'!$A:$A, B558)</f>
        <v>1</v>
      </c>
      <c r="U558">
        <f>COUNTIF('🚴 Riders'!A557:A617, C558)</f>
        <v>0</v>
      </c>
      <c r="V558">
        <f>COUNTIF('🏭 Facilities'!A557:A565, D558)</f>
        <v>0</v>
      </c>
    </row>
    <row r="559" spans="1:22">
      <c r="A559" s="18" t="s">
        <v>1656</v>
      </c>
      <c r="B559" s="18" t="s">
        <v>1575</v>
      </c>
      <c r="C559" s="18" t="s">
        <v>354</v>
      </c>
      <c r="D559" s="18" t="s">
        <v>137</v>
      </c>
      <c r="E559" s="26">
        <v>45396</v>
      </c>
      <c r="F559" s="18" t="s">
        <v>1657</v>
      </c>
      <c r="G559" s="18" t="s">
        <v>176</v>
      </c>
      <c r="H559" s="18">
        <v>2.4</v>
      </c>
      <c r="I559" s="18">
        <v>599</v>
      </c>
      <c r="J559" s="18">
        <v>0</v>
      </c>
      <c r="K559" s="18">
        <v>1437.6</v>
      </c>
      <c r="L559" s="18" t="s">
        <v>139</v>
      </c>
      <c r="M559" s="18" t="s">
        <v>119</v>
      </c>
      <c r="N559" s="28">
        <v>45396.46597222222</v>
      </c>
      <c r="O559" s="28">
        <v>45397.261111111111</v>
      </c>
      <c r="P559" s="18">
        <v>3.1</v>
      </c>
      <c r="Q559" s="18" t="b">
        <f>FALSE()</f>
        <v>0</v>
      </c>
      <c r="R559" s="18" t="b">
        <f>FALSE()</f>
        <v>0</v>
      </c>
      <c r="S559" s="19">
        <f t="shared" si="8"/>
        <v>19.100000000000001</v>
      </c>
      <c r="T559">
        <f>COUNTIF('👤 Customers'!$A:$A, B559)</f>
        <v>1</v>
      </c>
      <c r="U559">
        <f>COUNTIF('🚴 Riders'!A558:A618, C559)</f>
        <v>0</v>
      </c>
      <c r="V559">
        <f>COUNTIF('🏭 Facilities'!A558:A566, D559)</f>
        <v>0</v>
      </c>
    </row>
    <row r="560" spans="1:22">
      <c r="A560" s="16" t="s">
        <v>1658</v>
      </c>
      <c r="B560" s="16" t="s">
        <v>1168</v>
      </c>
      <c r="C560" s="16" t="s">
        <v>283</v>
      </c>
      <c r="D560" s="16" t="s">
        <v>137</v>
      </c>
      <c r="E560" s="25">
        <v>45627</v>
      </c>
      <c r="F560" s="16" t="s">
        <v>1659</v>
      </c>
      <c r="G560" s="16" t="s">
        <v>145</v>
      </c>
      <c r="H560" s="16">
        <v>1.7</v>
      </c>
      <c r="I560" s="16">
        <v>299</v>
      </c>
      <c r="J560" s="16">
        <v>0</v>
      </c>
      <c r="K560" s="16">
        <v>508.3</v>
      </c>
      <c r="L560" s="16" t="s">
        <v>118</v>
      </c>
      <c r="M560" s="16" t="s">
        <v>119</v>
      </c>
      <c r="N560" s="27">
        <v>45627.874305555553</v>
      </c>
      <c r="O560" s="27">
        <v>45628.345138888886</v>
      </c>
      <c r="P560" s="16">
        <v>2.6</v>
      </c>
      <c r="Q560" s="16" t="b">
        <f>FALSE()</f>
        <v>0</v>
      </c>
      <c r="R560" s="16" t="b">
        <f>TRUE()</f>
        <v>1</v>
      </c>
      <c r="S560" s="17">
        <f t="shared" si="8"/>
        <v>11.3</v>
      </c>
      <c r="T560">
        <f>COUNTIF('👤 Customers'!$A:$A, B560)</f>
        <v>1</v>
      </c>
      <c r="U560">
        <f>COUNTIF('🚴 Riders'!A559:A619, C560)</f>
        <v>0</v>
      </c>
      <c r="V560">
        <f>COUNTIF('🏭 Facilities'!A559:A567, D560)</f>
        <v>0</v>
      </c>
    </row>
    <row r="561" spans="1:22">
      <c r="A561" s="18" t="s">
        <v>1660</v>
      </c>
      <c r="B561" s="18" t="s">
        <v>1634</v>
      </c>
      <c r="C561" s="18" t="s">
        <v>283</v>
      </c>
      <c r="D561" s="18" t="s">
        <v>137</v>
      </c>
      <c r="E561" s="26">
        <v>45233</v>
      </c>
      <c r="F561" s="18" t="s">
        <v>1661</v>
      </c>
      <c r="G561" s="18" t="s">
        <v>176</v>
      </c>
      <c r="H561" s="18">
        <v>2.2999999999999998</v>
      </c>
      <c r="I561" s="18">
        <v>599</v>
      </c>
      <c r="J561" s="18">
        <v>0</v>
      </c>
      <c r="K561" s="18">
        <v>1377.7</v>
      </c>
      <c r="L561" s="18" t="s">
        <v>126</v>
      </c>
      <c r="M561" s="18" t="s">
        <v>119</v>
      </c>
      <c r="N561" s="28">
        <v>45233.238194444442</v>
      </c>
      <c r="O561" s="28">
        <v>45234.293055555558</v>
      </c>
      <c r="P561" s="18">
        <v>4</v>
      </c>
      <c r="Q561" s="18" t="b">
        <f>FALSE()</f>
        <v>0</v>
      </c>
      <c r="R561" s="18" t="b">
        <f>TRUE()</f>
        <v>1</v>
      </c>
      <c r="S561" s="19">
        <f t="shared" si="8"/>
        <v>25.3</v>
      </c>
      <c r="T561">
        <f>COUNTIF('👤 Customers'!$A:$A, B561)</f>
        <v>1</v>
      </c>
      <c r="U561">
        <f>COUNTIF('🚴 Riders'!A560:A620, C561)</f>
        <v>0</v>
      </c>
      <c r="V561">
        <f>COUNTIF('🏭 Facilities'!A560:A568, D561)</f>
        <v>0</v>
      </c>
    </row>
    <row r="562" spans="1:22">
      <c r="A562" s="16" t="s">
        <v>1662</v>
      </c>
      <c r="B562" s="16" t="s">
        <v>1663</v>
      </c>
      <c r="C562" s="16" t="s">
        <v>461</v>
      </c>
      <c r="D562" s="16" t="s">
        <v>184</v>
      </c>
      <c r="E562" s="25">
        <v>45569</v>
      </c>
      <c r="F562" s="16" t="s">
        <v>1664</v>
      </c>
      <c r="G562" s="16" t="s">
        <v>125</v>
      </c>
      <c r="H562" s="16">
        <v>6.3</v>
      </c>
      <c r="I562" s="16">
        <v>199</v>
      </c>
      <c r="J562" s="16">
        <v>10</v>
      </c>
      <c r="K562" s="16">
        <v>1128.33</v>
      </c>
      <c r="L562" s="16" t="s">
        <v>126</v>
      </c>
      <c r="M562" s="16" t="s">
        <v>119</v>
      </c>
      <c r="N562" s="27">
        <v>45569.049305555556</v>
      </c>
      <c r="O562" s="27">
        <v>45569.940972222219</v>
      </c>
      <c r="P562" s="16">
        <v>4.9000000000000004</v>
      </c>
      <c r="Q562" s="16" t="b">
        <f>TRUE()</f>
        <v>1</v>
      </c>
      <c r="R562" s="16" t="b">
        <f>FALSE()</f>
        <v>0</v>
      </c>
      <c r="S562" s="17">
        <f t="shared" si="8"/>
        <v>21.4</v>
      </c>
      <c r="T562">
        <f>COUNTIF('👤 Customers'!$A:$A, B562)</f>
        <v>1</v>
      </c>
      <c r="U562">
        <f>COUNTIF('🚴 Riders'!A561:A621, C562)</f>
        <v>0</v>
      </c>
      <c r="V562">
        <f>COUNTIF('🏭 Facilities'!A561:A569, D562)</f>
        <v>0</v>
      </c>
    </row>
    <row r="563" spans="1:22">
      <c r="A563" s="18" t="s">
        <v>1665</v>
      </c>
      <c r="B563" s="18" t="s">
        <v>442</v>
      </c>
      <c r="C563" s="18" t="s">
        <v>842</v>
      </c>
      <c r="D563" s="18" t="s">
        <v>130</v>
      </c>
      <c r="E563" s="26">
        <v>45189</v>
      </c>
      <c r="F563" s="18" t="s">
        <v>1666</v>
      </c>
      <c r="G563" s="18" t="s">
        <v>125</v>
      </c>
      <c r="H563" s="18">
        <v>2.4</v>
      </c>
      <c r="I563" s="18">
        <v>199</v>
      </c>
      <c r="J563" s="18">
        <v>0</v>
      </c>
      <c r="K563" s="18">
        <v>477.6</v>
      </c>
      <c r="L563" s="18" t="s">
        <v>126</v>
      </c>
      <c r="M563" s="18" t="s">
        <v>133</v>
      </c>
      <c r="N563" s="20"/>
      <c r="O563" s="20"/>
      <c r="P563" s="20"/>
      <c r="Q563" s="18" t="b">
        <f>FALSE()</f>
        <v>0</v>
      </c>
      <c r="R563" s="18" t="b">
        <f>FALSE()</f>
        <v>0</v>
      </c>
      <c r="S563" s="19" t="str">
        <f t="shared" si="8"/>
        <v>N/A</v>
      </c>
      <c r="T563">
        <f>COUNTIF('👤 Customers'!$A:$A, B563)</f>
        <v>1</v>
      </c>
      <c r="U563">
        <f>COUNTIF('🚴 Riders'!A562:A622, C563)</f>
        <v>0</v>
      </c>
      <c r="V563">
        <f>COUNTIF('🏭 Facilities'!A562:A570, D563)</f>
        <v>0</v>
      </c>
    </row>
    <row r="564" spans="1:22">
      <c r="A564" s="16" t="s">
        <v>1667</v>
      </c>
      <c r="B564" s="16" t="s">
        <v>419</v>
      </c>
      <c r="C564" s="16" t="s">
        <v>304</v>
      </c>
      <c r="D564" s="16" t="s">
        <v>130</v>
      </c>
      <c r="E564" s="25">
        <v>45349</v>
      </c>
      <c r="F564" s="16" t="s">
        <v>1668</v>
      </c>
      <c r="G564" s="16" t="s">
        <v>125</v>
      </c>
      <c r="H564" s="16">
        <v>1.1000000000000001</v>
      </c>
      <c r="I564" s="16">
        <v>199</v>
      </c>
      <c r="J564" s="16">
        <v>0</v>
      </c>
      <c r="K564" s="16">
        <v>218.9</v>
      </c>
      <c r="L564" s="16" t="s">
        <v>126</v>
      </c>
      <c r="M564" s="16" t="s">
        <v>133</v>
      </c>
      <c r="N564" s="20"/>
      <c r="O564" s="20"/>
      <c r="P564" s="20"/>
      <c r="Q564" s="16" t="b">
        <f>FALSE()</f>
        <v>0</v>
      </c>
      <c r="R564" s="16" t="b">
        <f>FALSE()</f>
        <v>0</v>
      </c>
      <c r="S564" s="17" t="str">
        <f t="shared" si="8"/>
        <v>N/A</v>
      </c>
      <c r="T564">
        <f>COUNTIF('👤 Customers'!$A:$A, B564)</f>
        <v>1</v>
      </c>
      <c r="U564">
        <f>COUNTIF('🚴 Riders'!A563:A623, C564)</f>
        <v>0</v>
      </c>
      <c r="V564">
        <f>COUNTIF('🏭 Facilities'!A563:A571, D564)</f>
        <v>0</v>
      </c>
    </row>
    <row r="565" spans="1:22">
      <c r="A565" s="18" t="s">
        <v>1669</v>
      </c>
      <c r="B565" s="18" t="s">
        <v>268</v>
      </c>
      <c r="C565" s="18" t="s">
        <v>315</v>
      </c>
      <c r="D565" s="18" t="s">
        <v>197</v>
      </c>
      <c r="E565" s="26">
        <v>45201</v>
      </c>
      <c r="F565" s="18" t="s">
        <v>1670</v>
      </c>
      <c r="G565" s="18" t="s">
        <v>117</v>
      </c>
      <c r="H565" s="18">
        <v>2.6</v>
      </c>
      <c r="I565" s="18">
        <v>149</v>
      </c>
      <c r="J565" s="18">
        <v>20</v>
      </c>
      <c r="K565" s="18">
        <v>309.92</v>
      </c>
      <c r="L565" s="18" t="s">
        <v>207</v>
      </c>
      <c r="M565" s="18" t="s">
        <v>119</v>
      </c>
      <c r="N565" s="28">
        <v>45201.544444444444</v>
      </c>
      <c r="O565" s="28">
        <v>45202.447222222225</v>
      </c>
      <c r="P565" s="18">
        <v>2.8</v>
      </c>
      <c r="Q565" s="18" t="b">
        <f>FALSE()</f>
        <v>0</v>
      </c>
      <c r="R565" s="18" t="b">
        <f>FALSE()</f>
        <v>0</v>
      </c>
      <c r="S565" s="19">
        <f t="shared" si="8"/>
        <v>21.7</v>
      </c>
      <c r="T565">
        <f>COUNTIF('👤 Customers'!$A:$A, B565)</f>
        <v>1</v>
      </c>
      <c r="U565">
        <f>COUNTIF('🚴 Riders'!A564:A624, C565)</f>
        <v>0</v>
      </c>
      <c r="V565">
        <f>COUNTIF('🏭 Facilities'!A564:A572, D565)</f>
        <v>0</v>
      </c>
    </row>
    <row r="566" spans="1:22">
      <c r="A566" s="16" t="s">
        <v>1671</v>
      </c>
      <c r="B566" s="16" t="s">
        <v>1672</v>
      </c>
      <c r="C566" s="16" t="s">
        <v>162</v>
      </c>
      <c r="D566" s="16" t="s">
        <v>137</v>
      </c>
      <c r="E566" s="25">
        <v>45405</v>
      </c>
      <c r="F566" s="16" t="s">
        <v>1673</v>
      </c>
      <c r="G566" s="16" t="s">
        <v>117</v>
      </c>
      <c r="H566" s="16">
        <v>1.8</v>
      </c>
      <c r="I566" s="16">
        <v>149</v>
      </c>
      <c r="J566" s="16">
        <v>20</v>
      </c>
      <c r="K566" s="16">
        <v>214.56</v>
      </c>
      <c r="L566" s="16" t="s">
        <v>139</v>
      </c>
      <c r="M566" s="16" t="s">
        <v>119</v>
      </c>
      <c r="N566" s="27">
        <v>45405.377083333333</v>
      </c>
      <c r="O566" s="27">
        <v>45406.136805555558</v>
      </c>
      <c r="P566" s="16">
        <v>2.9</v>
      </c>
      <c r="Q566" s="16" t="b">
        <f>FALSE()</f>
        <v>0</v>
      </c>
      <c r="R566" s="16" t="b">
        <f>FALSE()</f>
        <v>0</v>
      </c>
      <c r="S566" s="17">
        <f t="shared" si="8"/>
        <v>18.2</v>
      </c>
      <c r="T566">
        <f>COUNTIF('👤 Customers'!$A:$A, B566)</f>
        <v>1</v>
      </c>
      <c r="U566">
        <f>COUNTIF('🚴 Riders'!A565:A625, C566)</f>
        <v>0</v>
      </c>
      <c r="V566">
        <f>COUNTIF('🏭 Facilities'!A565:A573, D566)</f>
        <v>0</v>
      </c>
    </row>
    <row r="567" spans="1:22">
      <c r="A567" s="18" t="s">
        <v>1674</v>
      </c>
      <c r="B567" s="18" t="s">
        <v>271</v>
      </c>
      <c r="C567" s="18" t="s">
        <v>326</v>
      </c>
      <c r="D567" s="18" t="s">
        <v>197</v>
      </c>
      <c r="E567" s="26">
        <v>45562</v>
      </c>
      <c r="F567" s="18" t="s">
        <v>1675</v>
      </c>
      <c r="G567" s="18" t="s">
        <v>117</v>
      </c>
      <c r="H567" s="18">
        <v>3.4</v>
      </c>
      <c r="I567" s="18">
        <v>149</v>
      </c>
      <c r="J567" s="18">
        <v>0</v>
      </c>
      <c r="K567" s="18">
        <v>506.6</v>
      </c>
      <c r="L567" s="18" t="s">
        <v>126</v>
      </c>
      <c r="M567" s="18" t="s">
        <v>119</v>
      </c>
      <c r="N567" s="28">
        <v>45562.136805555558</v>
      </c>
      <c r="O567" s="28">
        <v>45563.195138888892</v>
      </c>
      <c r="P567" s="18">
        <v>4.7</v>
      </c>
      <c r="Q567" s="18" t="b">
        <f>FALSE()</f>
        <v>0</v>
      </c>
      <c r="R567" s="18" t="b">
        <f>FALSE()</f>
        <v>0</v>
      </c>
      <c r="S567" s="19">
        <f t="shared" si="8"/>
        <v>25.4</v>
      </c>
      <c r="T567">
        <f>COUNTIF('👤 Customers'!$A:$A, B567)</f>
        <v>1</v>
      </c>
      <c r="U567">
        <f>COUNTIF('🚴 Riders'!A566:A626, C567)</f>
        <v>0</v>
      </c>
      <c r="V567">
        <f>COUNTIF('🏭 Facilities'!A566:A574, D567)</f>
        <v>0</v>
      </c>
    </row>
    <row r="568" spans="1:22">
      <c r="A568" s="16" t="s">
        <v>1676</v>
      </c>
      <c r="B568" s="16" t="s">
        <v>191</v>
      </c>
      <c r="C568" s="16" t="s">
        <v>153</v>
      </c>
      <c r="D568" s="16" t="s">
        <v>137</v>
      </c>
      <c r="E568" s="25">
        <v>45040</v>
      </c>
      <c r="F568" s="16" t="s">
        <v>1677</v>
      </c>
      <c r="G568" s="16" t="s">
        <v>117</v>
      </c>
      <c r="H568" s="16">
        <v>2</v>
      </c>
      <c r="I568" s="16">
        <v>149</v>
      </c>
      <c r="J568" s="16">
        <v>0</v>
      </c>
      <c r="K568" s="16">
        <v>298</v>
      </c>
      <c r="L568" s="16" t="s">
        <v>126</v>
      </c>
      <c r="M568" s="16" t="s">
        <v>119</v>
      </c>
      <c r="N568" s="27">
        <v>45040.998611111114</v>
      </c>
      <c r="O568" s="27">
        <v>45041.410416666666</v>
      </c>
      <c r="P568" s="16">
        <v>3.3</v>
      </c>
      <c r="Q568" s="16" t="b">
        <f>TRUE()</f>
        <v>1</v>
      </c>
      <c r="R568" s="16" t="b">
        <f>FALSE()</f>
        <v>0</v>
      </c>
      <c r="S568" s="17">
        <f t="shared" si="8"/>
        <v>9.9</v>
      </c>
      <c r="T568">
        <f>COUNTIF('👤 Customers'!$A:$A, B568)</f>
        <v>1</v>
      </c>
      <c r="U568">
        <f>COUNTIF('🚴 Riders'!A567:A627, C568)</f>
        <v>0</v>
      </c>
      <c r="V568">
        <f>COUNTIF('🏭 Facilities'!A567:A575, D568)</f>
        <v>0</v>
      </c>
    </row>
    <row r="569" spans="1:22">
      <c r="A569" s="18" t="s">
        <v>1678</v>
      </c>
      <c r="B569" s="18" t="s">
        <v>1679</v>
      </c>
      <c r="C569" s="18" t="s">
        <v>143</v>
      </c>
      <c r="D569" s="18" t="s">
        <v>130</v>
      </c>
      <c r="E569" s="26">
        <v>45200</v>
      </c>
      <c r="F569" s="18" t="s">
        <v>1680</v>
      </c>
      <c r="G569" s="18" t="s">
        <v>117</v>
      </c>
      <c r="H569" s="18">
        <v>4.5</v>
      </c>
      <c r="I569" s="18">
        <v>149</v>
      </c>
      <c r="J569" s="18">
        <v>0</v>
      </c>
      <c r="K569" s="18">
        <v>670.5</v>
      </c>
      <c r="L569" s="18" t="s">
        <v>139</v>
      </c>
      <c r="M569" s="18" t="s">
        <v>119</v>
      </c>
      <c r="N569" s="28">
        <v>45200.987500000003</v>
      </c>
      <c r="O569" s="28">
        <v>45201.768055555556</v>
      </c>
      <c r="P569" s="18">
        <v>3.5</v>
      </c>
      <c r="Q569" s="18" t="b">
        <f>FALSE()</f>
        <v>0</v>
      </c>
      <c r="R569" s="18" t="b">
        <f>FALSE()</f>
        <v>0</v>
      </c>
      <c r="S569" s="19">
        <f t="shared" si="8"/>
        <v>18.7</v>
      </c>
      <c r="T569">
        <f>COUNTIF('👤 Customers'!$A:$A, B569)</f>
        <v>1</v>
      </c>
      <c r="U569">
        <f>COUNTIF('🚴 Riders'!A568:A628, C569)</f>
        <v>0</v>
      </c>
      <c r="V569">
        <f>COUNTIF('🏭 Facilities'!A568:A576, D569)</f>
        <v>0</v>
      </c>
    </row>
    <row r="570" spans="1:22">
      <c r="A570" s="16" t="s">
        <v>1681</v>
      </c>
      <c r="B570" s="16" t="s">
        <v>1682</v>
      </c>
      <c r="C570" s="16" t="s">
        <v>149</v>
      </c>
      <c r="D570" s="16" t="s">
        <v>130</v>
      </c>
      <c r="E570" s="25">
        <v>45340</v>
      </c>
      <c r="F570" s="16" t="s">
        <v>1683</v>
      </c>
      <c r="G570" s="16" t="s">
        <v>176</v>
      </c>
      <c r="H570" s="16">
        <v>6.7</v>
      </c>
      <c r="I570" s="16">
        <v>599</v>
      </c>
      <c r="J570" s="16">
        <v>0</v>
      </c>
      <c r="K570" s="16">
        <v>4013.3</v>
      </c>
      <c r="L570" s="16" t="s">
        <v>126</v>
      </c>
      <c r="M570" s="16" t="s">
        <v>133</v>
      </c>
      <c r="N570" s="20"/>
      <c r="O570" s="20"/>
      <c r="P570" s="20"/>
      <c r="Q570" s="16" t="b">
        <f>FALSE()</f>
        <v>0</v>
      </c>
      <c r="R570" s="16" t="b">
        <f>TRUE()</f>
        <v>1</v>
      </c>
      <c r="S570" s="17" t="str">
        <f t="shared" si="8"/>
        <v>N/A</v>
      </c>
      <c r="T570">
        <f>COUNTIF('👤 Customers'!$A:$A, B570)</f>
        <v>1</v>
      </c>
      <c r="U570">
        <f>COUNTIF('🚴 Riders'!A569:A629, C570)</f>
        <v>0</v>
      </c>
      <c r="V570">
        <f>COUNTIF('🏭 Facilities'!A569:A577, D570)</f>
        <v>0</v>
      </c>
    </row>
    <row r="571" spans="1:22">
      <c r="A571" s="18" t="s">
        <v>1684</v>
      </c>
      <c r="B571" s="18" t="s">
        <v>383</v>
      </c>
      <c r="C571" s="18" t="s">
        <v>350</v>
      </c>
      <c r="D571" s="18" t="s">
        <v>137</v>
      </c>
      <c r="E571" s="26">
        <v>45587</v>
      </c>
      <c r="F571" s="18" t="s">
        <v>1685</v>
      </c>
      <c r="G571" s="18" t="s">
        <v>125</v>
      </c>
      <c r="H571" s="18">
        <v>3.5</v>
      </c>
      <c r="I571" s="18">
        <v>199</v>
      </c>
      <c r="J571" s="18">
        <v>0</v>
      </c>
      <c r="K571" s="18">
        <v>696.5</v>
      </c>
      <c r="L571" s="18" t="s">
        <v>118</v>
      </c>
      <c r="M571" s="18" t="s">
        <v>119</v>
      </c>
      <c r="N571" s="28">
        <v>45587.831250000003</v>
      </c>
      <c r="O571" s="28">
        <v>45588.197222222225</v>
      </c>
      <c r="P571" s="18">
        <v>3.7</v>
      </c>
      <c r="Q571" s="18" t="b">
        <f>FALSE()</f>
        <v>0</v>
      </c>
      <c r="R571" s="18" t="b">
        <f>FALSE()</f>
        <v>0</v>
      </c>
      <c r="S571" s="19">
        <f t="shared" si="8"/>
        <v>8.8000000000000007</v>
      </c>
      <c r="T571">
        <f>COUNTIF('👤 Customers'!$A:$A, B571)</f>
        <v>1</v>
      </c>
      <c r="U571">
        <f>COUNTIF('🚴 Riders'!A570:A630, C571)</f>
        <v>0</v>
      </c>
      <c r="V571">
        <f>COUNTIF('🏭 Facilities'!A570:A578, D571)</f>
        <v>0</v>
      </c>
    </row>
    <row r="572" spans="1:22">
      <c r="A572" s="16" t="s">
        <v>1686</v>
      </c>
      <c r="B572" s="16" t="s">
        <v>1533</v>
      </c>
      <c r="C572" s="16" t="s">
        <v>188</v>
      </c>
      <c r="D572" s="16" t="s">
        <v>184</v>
      </c>
      <c r="E572" s="25">
        <v>45650</v>
      </c>
      <c r="F572" s="16" t="s">
        <v>1687</v>
      </c>
      <c r="G572" s="16" t="s">
        <v>145</v>
      </c>
      <c r="H572" s="16">
        <v>2.7</v>
      </c>
      <c r="I572" s="16">
        <v>299</v>
      </c>
      <c r="J572" s="16">
        <v>20</v>
      </c>
      <c r="K572" s="16">
        <v>645.84</v>
      </c>
      <c r="L572" s="16" t="s">
        <v>139</v>
      </c>
      <c r="M572" s="16" t="s">
        <v>119</v>
      </c>
      <c r="N572" s="27">
        <v>45650.523611111108</v>
      </c>
      <c r="O572" s="27">
        <v>45650.961805555555</v>
      </c>
      <c r="P572" s="16">
        <v>3.4</v>
      </c>
      <c r="Q572" s="16" t="b">
        <f>FALSE()</f>
        <v>0</v>
      </c>
      <c r="R572" s="16" t="b">
        <f>FALSE()</f>
        <v>0</v>
      </c>
      <c r="S572" s="17">
        <f t="shared" si="8"/>
        <v>10.5</v>
      </c>
      <c r="T572">
        <f>COUNTIF('👤 Customers'!$A:$A, B572)</f>
        <v>1</v>
      </c>
      <c r="U572">
        <f>COUNTIF('🚴 Riders'!A571:A631, C572)</f>
        <v>0</v>
      </c>
      <c r="V572">
        <f>COUNTIF('🏭 Facilities'!A571:A579, D572)</f>
        <v>0</v>
      </c>
    </row>
    <row r="573" spans="1:22">
      <c r="A573" s="18" t="s">
        <v>1688</v>
      </c>
      <c r="B573" s="18" t="s">
        <v>397</v>
      </c>
      <c r="C573" s="18" t="s">
        <v>483</v>
      </c>
      <c r="D573" s="18" t="s">
        <v>158</v>
      </c>
      <c r="E573" s="26">
        <v>44984</v>
      </c>
      <c r="F573" s="18" t="s">
        <v>1689</v>
      </c>
      <c r="G573" s="18" t="s">
        <v>145</v>
      </c>
      <c r="H573" s="18">
        <v>6.9</v>
      </c>
      <c r="I573" s="18">
        <v>299</v>
      </c>
      <c r="J573" s="18">
        <v>20</v>
      </c>
      <c r="K573" s="18">
        <v>1650.48</v>
      </c>
      <c r="L573" s="18" t="s">
        <v>207</v>
      </c>
      <c r="M573" s="18" t="s">
        <v>119</v>
      </c>
      <c r="N573" s="28">
        <v>44984.34097222222</v>
      </c>
      <c r="O573" s="28">
        <v>44984.759027777778</v>
      </c>
      <c r="P573" s="18">
        <v>4.4000000000000004</v>
      </c>
      <c r="Q573" s="18" t="b">
        <f>FALSE()</f>
        <v>0</v>
      </c>
      <c r="R573" s="18" t="b">
        <f>TRUE()</f>
        <v>1</v>
      </c>
      <c r="S573" s="19">
        <f t="shared" si="8"/>
        <v>10</v>
      </c>
      <c r="T573">
        <f>COUNTIF('👤 Customers'!$A:$A, B573)</f>
        <v>1</v>
      </c>
      <c r="U573">
        <f>COUNTIF('🚴 Riders'!A572:A632, C573)</f>
        <v>0</v>
      </c>
      <c r="V573">
        <f>COUNTIF('🏭 Facilities'!A572:A580, D573)</f>
        <v>0</v>
      </c>
    </row>
    <row r="574" spans="1:22">
      <c r="A574" s="16" t="s">
        <v>1690</v>
      </c>
      <c r="B574" s="16" t="s">
        <v>1691</v>
      </c>
      <c r="C574" s="16" t="s">
        <v>174</v>
      </c>
      <c r="D574" s="16" t="s">
        <v>184</v>
      </c>
      <c r="E574" s="25">
        <v>45336</v>
      </c>
      <c r="F574" s="16" t="s">
        <v>1692</v>
      </c>
      <c r="G574" s="16" t="s">
        <v>117</v>
      </c>
      <c r="H574" s="16">
        <v>4.3</v>
      </c>
      <c r="I574" s="16">
        <v>149</v>
      </c>
      <c r="J574" s="16">
        <v>10</v>
      </c>
      <c r="K574" s="16">
        <v>576.63</v>
      </c>
      <c r="L574" s="16" t="s">
        <v>146</v>
      </c>
      <c r="M574" s="16" t="s">
        <v>119</v>
      </c>
      <c r="N574" s="27">
        <v>45336.816666666666</v>
      </c>
      <c r="O574" s="27">
        <v>45337.654166666667</v>
      </c>
      <c r="P574" s="16">
        <v>4.4000000000000004</v>
      </c>
      <c r="Q574" s="16" t="b">
        <f>FALSE()</f>
        <v>0</v>
      </c>
      <c r="R574" s="16" t="b">
        <f>TRUE()</f>
        <v>1</v>
      </c>
      <c r="S574" s="17">
        <f t="shared" si="8"/>
        <v>20.100000000000001</v>
      </c>
      <c r="T574">
        <f>COUNTIF('👤 Customers'!$A:$A, B574)</f>
        <v>1</v>
      </c>
      <c r="U574">
        <f>COUNTIF('🚴 Riders'!A573:A633, C574)</f>
        <v>0</v>
      </c>
      <c r="V574">
        <f>COUNTIF('🏭 Facilities'!A573:A581, D574)</f>
        <v>0</v>
      </c>
    </row>
    <row r="575" spans="1:22">
      <c r="A575" s="18" t="s">
        <v>1693</v>
      </c>
      <c r="B575" s="18" t="s">
        <v>1694</v>
      </c>
      <c r="C575" s="18" t="s">
        <v>166</v>
      </c>
      <c r="D575" s="18" t="s">
        <v>130</v>
      </c>
      <c r="E575" s="26">
        <v>45573</v>
      </c>
      <c r="F575" s="18" t="s">
        <v>1695</v>
      </c>
      <c r="G575" s="18" t="s">
        <v>145</v>
      </c>
      <c r="H575" s="18">
        <v>5.8</v>
      </c>
      <c r="I575" s="18">
        <v>299</v>
      </c>
      <c r="J575" s="18">
        <v>20</v>
      </c>
      <c r="K575" s="18">
        <v>1387.36</v>
      </c>
      <c r="L575" s="18" t="s">
        <v>139</v>
      </c>
      <c r="M575" s="18" t="s">
        <v>133</v>
      </c>
      <c r="N575" s="20"/>
      <c r="O575" s="20"/>
      <c r="P575" s="20"/>
      <c r="Q575" s="18" t="b">
        <f>FALSE()</f>
        <v>0</v>
      </c>
      <c r="R575" s="18" t="b">
        <f>FALSE()</f>
        <v>0</v>
      </c>
      <c r="S575" s="19" t="str">
        <f t="shared" si="8"/>
        <v>N/A</v>
      </c>
      <c r="T575">
        <f>COUNTIF('👤 Customers'!$A:$A, B575)</f>
        <v>1</v>
      </c>
      <c r="U575">
        <f>COUNTIF('🚴 Riders'!A574:A634, C575)</f>
        <v>0</v>
      </c>
      <c r="V575">
        <f>COUNTIF('🏭 Facilities'!A574:A582, D575)</f>
        <v>0</v>
      </c>
    </row>
    <row r="576" spans="1:22">
      <c r="A576" s="16" t="s">
        <v>1696</v>
      </c>
      <c r="B576" s="16" t="s">
        <v>1697</v>
      </c>
      <c r="C576" s="16" t="s">
        <v>240</v>
      </c>
      <c r="D576" s="16" t="s">
        <v>197</v>
      </c>
      <c r="E576" s="25">
        <v>44998</v>
      </c>
      <c r="F576" s="16" t="s">
        <v>1698</v>
      </c>
      <c r="G576" s="16" t="s">
        <v>176</v>
      </c>
      <c r="H576" s="16">
        <v>3.6</v>
      </c>
      <c r="I576" s="16">
        <v>599</v>
      </c>
      <c r="J576" s="16">
        <v>30</v>
      </c>
      <c r="K576" s="16">
        <v>1509.48</v>
      </c>
      <c r="L576" s="16" t="s">
        <v>139</v>
      </c>
      <c r="M576" s="16" t="s">
        <v>140</v>
      </c>
      <c r="N576" s="27">
        <v>44998.460416666669</v>
      </c>
      <c r="O576" s="27">
        <v>44999.234722222223</v>
      </c>
      <c r="P576" s="20"/>
      <c r="Q576" s="16" t="b">
        <f>FALSE()</f>
        <v>0</v>
      </c>
      <c r="R576" s="16" t="b">
        <f>FALSE()</f>
        <v>0</v>
      </c>
      <c r="S576" s="17">
        <f t="shared" si="8"/>
        <v>18.600000000000001</v>
      </c>
      <c r="T576">
        <f>COUNTIF('👤 Customers'!$A:$A, B576)</f>
        <v>1</v>
      </c>
      <c r="U576">
        <f>COUNTIF('🚴 Riders'!A575:A635, C576)</f>
        <v>0</v>
      </c>
      <c r="V576">
        <f>COUNTIF('🏭 Facilities'!A575:A583, D576)</f>
        <v>0</v>
      </c>
    </row>
    <row r="577" spans="1:22">
      <c r="A577" s="18" t="s">
        <v>1699</v>
      </c>
      <c r="B577" s="18" t="s">
        <v>1137</v>
      </c>
      <c r="C577" s="18" t="s">
        <v>287</v>
      </c>
      <c r="D577" s="18" t="s">
        <v>205</v>
      </c>
      <c r="E577" s="26">
        <v>45241</v>
      </c>
      <c r="F577" s="18" t="s">
        <v>1700</v>
      </c>
      <c r="G577" s="18" t="s">
        <v>145</v>
      </c>
      <c r="H577" s="18">
        <v>2.2000000000000002</v>
      </c>
      <c r="I577" s="18">
        <v>299</v>
      </c>
      <c r="J577" s="18">
        <v>20</v>
      </c>
      <c r="K577" s="18">
        <v>526.24</v>
      </c>
      <c r="L577" s="18" t="s">
        <v>126</v>
      </c>
      <c r="M577" s="18" t="s">
        <v>140</v>
      </c>
      <c r="N577" s="28">
        <v>45241.732638888891</v>
      </c>
      <c r="O577" s="28">
        <v>45242.23541666667</v>
      </c>
      <c r="P577" s="20"/>
      <c r="Q577" s="18" t="b">
        <f>FALSE()</f>
        <v>0</v>
      </c>
      <c r="R577" s="18" t="b">
        <f>TRUE()</f>
        <v>1</v>
      </c>
      <c r="S577" s="19">
        <f t="shared" si="8"/>
        <v>12.1</v>
      </c>
      <c r="T577">
        <f>COUNTIF('👤 Customers'!$A:$A, B577)</f>
        <v>1</v>
      </c>
      <c r="U577">
        <f>COUNTIF('🚴 Riders'!A576:A636, C577)</f>
        <v>0</v>
      </c>
      <c r="V577">
        <f>COUNTIF('🏭 Facilities'!A576:A584, D577)</f>
        <v>0</v>
      </c>
    </row>
    <row r="578" spans="1:22">
      <c r="A578" s="16" t="s">
        <v>1701</v>
      </c>
      <c r="B578" s="16" t="s">
        <v>516</v>
      </c>
      <c r="C578" s="16" t="s">
        <v>153</v>
      </c>
      <c r="D578" s="16" t="s">
        <v>197</v>
      </c>
      <c r="E578" s="25">
        <v>45009</v>
      </c>
      <c r="F578" s="16" t="s">
        <v>1702</v>
      </c>
      <c r="G578" s="16" t="s">
        <v>125</v>
      </c>
      <c r="H578" s="16">
        <v>2.5</v>
      </c>
      <c r="I578" s="16">
        <v>199</v>
      </c>
      <c r="J578" s="16">
        <v>0</v>
      </c>
      <c r="K578" s="16">
        <v>497.5</v>
      </c>
      <c r="L578" s="16" t="s">
        <v>146</v>
      </c>
      <c r="M578" s="16" t="s">
        <v>119</v>
      </c>
      <c r="N578" s="27">
        <v>45009.740972222222</v>
      </c>
      <c r="O578" s="27">
        <v>45010.261805555558</v>
      </c>
      <c r="P578" s="16">
        <v>3.9</v>
      </c>
      <c r="Q578" s="16" t="b">
        <f>FALSE()</f>
        <v>0</v>
      </c>
      <c r="R578" s="16" t="b">
        <f>FALSE()</f>
        <v>0</v>
      </c>
      <c r="S578" s="17">
        <f t="shared" ref="S578:S641" si="9">IF(OR(N578="",O578=""),"N/A",ROUND(((O578-N578)*24),1))</f>
        <v>12.5</v>
      </c>
      <c r="T578">
        <f>COUNTIF('👤 Customers'!$A:$A, B578)</f>
        <v>1</v>
      </c>
      <c r="U578">
        <f>COUNTIF('🚴 Riders'!A577:A637, C578)</f>
        <v>0</v>
      </c>
      <c r="V578">
        <f>COUNTIF('🏭 Facilities'!A577:A585, D578)</f>
        <v>0</v>
      </c>
    </row>
    <row r="579" spans="1:22">
      <c r="A579" s="18" t="s">
        <v>1703</v>
      </c>
      <c r="B579" s="18" t="s">
        <v>1704</v>
      </c>
      <c r="C579" s="18" t="s">
        <v>232</v>
      </c>
      <c r="D579" s="18" t="s">
        <v>205</v>
      </c>
      <c r="E579" s="26">
        <v>44962</v>
      </c>
      <c r="F579" s="18" t="s">
        <v>1705</v>
      </c>
      <c r="G579" s="18" t="s">
        <v>125</v>
      </c>
      <c r="H579" s="18">
        <v>3.2</v>
      </c>
      <c r="I579" s="18">
        <v>199</v>
      </c>
      <c r="J579" s="18">
        <v>20</v>
      </c>
      <c r="K579" s="18">
        <v>509.44</v>
      </c>
      <c r="L579" s="18" t="s">
        <v>139</v>
      </c>
      <c r="M579" s="18" t="s">
        <v>119</v>
      </c>
      <c r="N579" s="28">
        <v>44962.644444444442</v>
      </c>
      <c r="O579" s="28">
        <v>44963.579861111109</v>
      </c>
      <c r="P579" s="18">
        <v>4.3</v>
      </c>
      <c r="Q579" s="18" t="b">
        <f>FALSE()</f>
        <v>0</v>
      </c>
      <c r="R579" s="18" t="b">
        <f>FALSE()</f>
        <v>0</v>
      </c>
      <c r="S579" s="19">
        <f t="shared" si="9"/>
        <v>22.5</v>
      </c>
      <c r="T579">
        <f>COUNTIF('👤 Customers'!$A:$A, B579)</f>
        <v>1</v>
      </c>
      <c r="U579">
        <f>COUNTIF('🚴 Riders'!A578:A638, C579)</f>
        <v>0</v>
      </c>
      <c r="V579">
        <f>COUNTIF('🏭 Facilities'!A578:A586, D579)</f>
        <v>0</v>
      </c>
    </row>
    <row r="580" spans="1:22">
      <c r="A580" s="16" t="s">
        <v>1706</v>
      </c>
      <c r="B580" s="16" t="s">
        <v>1416</v>
      </c>
      <c r="C580" s="16" t="s">
        <v>188</v>
      </c>
      <c r="D580" s="16" t="s">
        <v>115</v>
      </c>
      <c r="E580" s="25">
        <v>45002</v>
      </c>
      <c r="F580" s="16" t="s">
        <v>1707</v>
      </c>
      <c r="G580" s="16" t="s">
        <v>117</v>
      </c>
      <c r="H580" s="16">
        <v>3.9</v>
      </c>
      <c r="I580" s="16">
        <v>149</v>
      </c>
      <c r="J580" s="16">
        <v>10</v>
      </c>
      <c r="K580" s="16">
        <v>522.99</v>
      </c>
      <c r="L580" s="16" t="s">
        <v>146</v>
      </c>
      <c r="M580" s="16" t="s">
        <v>119</v>
      </c>
      <c r="N580" s="27">
        <v>45002.730555555558</v>
      </c>
      <c r="O580" s="27">
        <v>45003.605555555558</v>
      </c>
      <c r="P580" s="16">
        <v>4.7</v>
      </c>
      <c r="Q580" s="16" t="b">
        <f>TRUE()</f>
        <v>1</v>
      </c>
      <c r="R580" s="16" t="b">
        <f>TRUE()</f>
        <v>1</v>
      </c>
      <c r="S580" s="17">
        <f t="shared" si="9"/>
        <v>21</v>
      </c>
      <c r="T580">
        <f>COUNTIF('👤 Customers'!$A:$A, B580)</f>
        <v>1</v>
      </c>
      <c r="U580">
        <f>COUNTIF('🚴 Riders'!A579:A639, C580)</f>
        <v>0</v>
      </c>
      <c r="V580">
        <f>COUNTIF('🏭 Facilities'!A579:A587, D580)</f>
        <v>0</v>
      </c>
    </row>
    <row r="581" spans="1:22">
      <c r="A581" s="18" t="s">
        <v>1708</v>
      </c>
      <c r="B581" s="18" t="s">
        <v>419</v>
      </c>
      <c r="C581" s="18" t="s">
        <v>204</v>
      </c>
      <c r="D581" s="18" t="s">
        <v>137</v>
      </c>
      <c r="E581" s="26">
        <v>45457</v>
      </c>
      <c r="F581" s="18" t="s">
        <v>1709</v>
      </c>
      <c r="G581" s="18" t="s">
        <v>145</v>
      </c>
      <c r="H581" s="18">
        <v>1.6</v>
      </c>
      <c r="I581" s="18">
        <v>299</v>
      </c>
      <c r="J581" s="18">
        <v>10</v>
      </c>
      <c r="K581" s="18">
        <v>430.56</v>
      </c>
      <c r="L581" s="18" t="s">
        <v>146</v>
      </c>
      <c r="M581" s="18" t="s">
        <v>140</v>
      </c>
      <c r="N581" s="28">
        <v>45457.069444444445</v>
      </c>
      <c r="O581" s="28">
        <v>45457.579861111109</v>
      </c>
      <c r="P581" s="20"/>
      <c r="Q581" s="18" t="b">
        <f>FALSE()</f>
        <v>0</v>
      </c>
      <c r="R581" s="18" t="b">
        <f>FALSE()</f>
        <v>0</v>
      </c>
      <c r="S581" s="19">
        <f t="shared" si="9"/>
        <v>12.2</v>
      </c>
      <c r="T581">
        <f>COUNTIF('👤 Customers'!$A:$A, B581)</f>
        <v>1</v>
      </c>
      <c r="U581">
        <f>COUNTIF('🚴 Riders'!A580:A640, C581)</f>
        <v>0</v>
      </c>
      <c r="V581">
        <f>COUNTIF('🏭 Facilities'!A580:A588, D581)</f>
        <v>0</v>
      </c>
    </row>
    <row r="582" spans="1:22">
      <c r="A582" s="16" t="s">
        <v>1710</v>
      </c>
      <c r="B582" s="16" t="s">
        <v>858</v>
      </c>
      <c r="C582" s="16" t="s">
        <v>122</v>
      </c>
      <c r="D582" s="16" t="s">
        <v>158</v>
      </c>
      <c r="E582" s="25">
        <v>45432</v>
      </c>
      <c r="F582" s="16" t="s">
        <v>1711</v>
      </c>
      <c r="G582" s="16" t="s">
        <v>176</v>
      </c>
      <c r="H582" s="16">
        <v>7.5</v>
      </c>
      <c r="I582" s="16">
        <v>599</v>
      </c>
      <c r="J582" s="16">
        <v>0</v>
      </c>
      <c r="K582" s="16">
        <v>4492.5</v>
      </c>
      <c r="L582" s="16" t="s">
        <v>207</v>
      </c>
      <c r="M582" s="16" t="s">
        <v>119</v>
      </c>
      <c r="N582" s="27">
        <v>45433.023611111108</v>
      </c>
      <c r="O582" s="27">
        <v>45433.65625</v>
      </c>
      <c r="P582" s="16">
        <v>3</v>
      </c>
      <c r="Q582" s="16" t="b">
        <f>FALSE()</f>
        <v>0</v>
      </c>
      <c r="R582" s="16" t="b">
        <f>TRUE()</f>
        <v>1</v>
      </c>
      <c r="S582" s="17">
        <f t="shared" si="9"/>
        <v>15.2</v>
      </c>
      <c r="T582">
        <f>COUNTIF('👤 Customers'!$A:$A, B582)</f>
        <v>1</v>
      </c>
      <c r="U582">
        <f>COUNTIF('🚴 Riders'!A581:A641, C582)</f>
        <v>0</v>
      </c>
      <c r="V582">
        <f>COUNTIF('🏭 Facilities'!A581:A589, D582)</f>
        <v>0</v>
      </c>
    </row>
    <row r="583" spans="1:22">
      <c r="A583" s="18" t="s">
        <v>1712</v>
      </c>
      <c r="B583" s="18" t="s">
        <v>1713</v>
      </c>
      <c r="C583" s="18" t="s">
        <v>326</v>
      </c>
      <c r="D583" s="18" t="s">
        <v>197</v>
      </c>
      <c r="E583" s="26">
        <v>45045</v>
      </c>
      <c r="F583" s="18" t="s">
        <v>1714</v>
      </c>
      <c r="G583" s="18" t="s">
        <v>176</v>
      </c>
      <c r="H583" s="18">
        <v>5.4</v>
      </c>
      <c r="I583" s="18">
        <v>599</v>
      </c>
      <c r="J583" s="18">
        <v>0</v>
      </c>
      <c r="K583" s="18">
        <v>3234.6</v>
      </c>
      <c r="L583" s="18" t="s">
        <v>139</v>
      </c>
      <c r="M583" s="18" t="s">
        <v>119</v>
      </c>
      <c r="N583" s="28">
        <v>45045.415277777778</v>
      </c>
      <c r="O583" s="28">
        <v>45046.404861111114</v>
      </c>
      <c r="P583" s="18">
        <v>2.7</v>
      </c>
      <c r="Q583" s="18" t="b">
        <f>FALSE()</f>
        <v>0</v>
      </c>
      <c r="R583" s="18" t="b">
        <f>FALSE()</f>
        <v>0</v>
      </c>
      <c r="S583" s="19">
        <f t="shared" si="9"/>
        <v>23.8</v>
      </c>
      <c r="T583">
        <f>COUNTIF('👤 Customers'!$A:$A, B583)</f>
        <v>1</v>
      </c>
      <c r="U583">
        <f>COUNTIF('🚴 Riders'!A582:A642, C583)</f>
        <v>0</v>
      </c>
      <c r="V583">
        <f>COUNTIF('🏭 Facilities'!A582:A590, D583)</f>
        <v>0</v>
      </c>
    </row>
    <row r="584" spans="1:22">
      <c r="A584" s="16" t="s">
        <v>1715</v>
      </c>
      <c r="B584" s="16" t="s">
        <v>522</v>
      </c>
      <c r="C584" s="16" t="s">
        <v>343</v>
      </c>
      <c r="D584" s="16" t="s">
        <v>115</v>
      </c>
      <c r="E584" s="25">
        <v>45052</v>
      </c>
      <c r="F584" s="16" t="s">
        <v>1716</v>
      </c>
      <c r="G584" s="16" t="s">
        <v>125</v>
      </c>
      <c r="H584" s="16">
        <v>3</v>
      </c>
      <c r="I584" s="16">
        <v>199</v>
      </c>
      <c r="J584" s="16">
        <v>0</v>
      </c>
      <c r="K584" s="16">
        <v>597</v>
      </c>
      <c r="L584" s="16" t="s">
        <v>207</v>
      </c>
      <c r="M584" s="16" t="s">
        <v>119</v>
      </c>
      <c r="N584" s="27">
        <v>45052.45</v>
      </c>
      <c r="O584" s="27">
        <v>45053.313194444447</v>
      </c>
      <c r="P584" s="16">
        <v>4.8</v>
      </c>
      <c r="Q584" s="16" t="b">
        <f>FALSE()</f>
        <v>0</v>
      </c>
      <c r="R584" s="16" t="b">
        <f>FALSE()</f>
        <v>0</v>
      </c>
      <c r="S584" s="17">
        <f t="shared" si="9"/>
        <v>20.7</v>
      </c>
      <c r="T584">
        <f>COUNTIF('👤 Customers'!$A:$A, B584)</f>
        <v>1</v>
      </c>
      <c r="U584">
        <f>COUNTIF('🚴 Riders'!A583:A643, C584)</f>
        <v>0</v>
      </c>
      <c r="V584">
        <f>COUNTIF('🏭 Facilities'!A583:A591, D584)</f>
        <v>0</v>
      </c>
    </row>
    <row r="585" spans="1:22">
      <c r="A585" s="18" t="s">
        <v>1717</v>
      </c>
      <c r="B585" s="18" t="s">
        <v>1434</v>
      </c>
      <c r="C585" s="18" t="s">
        <v>114</v>
      </c>
      <c r="D585" s="18" t="s">
        <v>205</v>
      </c>
      <c r="E585" s="26">
        <v>45209</v>
      </c>
      <c r="F585" s="18" t="s">
        <v>1718</v>
      </c>
      <c r="G585" s="18" t="s">
        <v>117</v>
      </c>
      <c r="H585" s="18">
        <v>3.8</v>
      </c>
      <c r="I585" s="18">
        <v>149</v>
      </c>
      <c r="J585" s="18">
        <v>20</v>
      </c>
      <c r="K585" s="18">
        <v>452.96</v>
      </c>
      <c r="L585" s="18" t="s">
        <v>126</v>
      </c>
      <c r="M585" s="18" t="s">
        <v>140</v>
      </c>
      <c r="N585" s="28">
        <v>45209.356249999997</v>
      </c>
      <c r="O585" s="28">
        <v>45209.993750000001</v>
      </c>
      <c r="P585" s="20"/>
      <c r="Q585" s="18" t="b">
        <f>FALSE()</f>
        <v>0</v>
      </c>
      <c r="R585" s="18" t="b">
        <f>FALSE()</f>
        <v>0</v>
      </c>
      <c r="S585" s="19">
        <f t="shared" si="9"/>
        <v>15.3</v>
      </c>
      <c r="T585">
        <f>COUNTIF('👤 Customers'!$A:$A, B585)</f>
        <v>1</v>
      </c>
      <c r="U585">
        <f>COUNTIF('🚴 Riders'!A584:A644, C585)</f>
        <v>0</v>
      </c>
      <c r="V585">
        <f>COUNTIF('🏭 Facilities'!A584:A592, D585)</f>
        <v>0</v>
      </c>
    </row>
    <row r="586" spans="1:22">
      <c r="A586" s="16" t="s">
        <v>1719</v>
      </c>
      <c r="B586" s="16" t="s">
        <v>1691</v>
      </c>
      <c r="C586" s="16" t="s">
        <v>350</v>
      </c>
      <c r="D586" s="16" t="s">
        <v>197</v>
      </c>
      <c r="E586" s="25">
        <v>45131</v>
      </c>
      <c r="F586" s="16" t="s">
        <v>1720</v>
      </c>
      <c r="G586" s="16" t="s">
        <v>125</v>
      </c>
      <c r="H586" s="16">
        <v>5.3</v>
      </c>
      <c r="I586" s="16">
        <v>199</v>
      </c>
      <c r="J586" s="16">
        <v>10</v>
      </c>
      <c r="K586" s="16">
        <v>949.23</v>
      </c>
      <c r="L586" s="16" t="s">
        <v>118</v>
      </c>
      <c r="M586" s="16" t="s">
        <v>140</v>
      </c>
      <c r="N586" s="27">
        <v>45131.279861111114</v>
      </c>
      <c r="O586" s="27">
        <v>45132.143055555556</v>
      </c>
      <c r="P586" s="20"/>
      <c r="Q586" s="16" t="b">
        <f>FALSE()</f>
        <v>0</v>
      </c>
      <c r="R586" s="16" t="b">
        <f>FALSE()</f>
        <v>0</v>
      </c>
      <c r="S586" s="17">
        <f t="shared" si="9"/>
        <v>20.7</v>
      </c>
      <c r="T586">
        <f>COUNTIF('👤 Customers'!$A:$A, B586)</f>
        <v>1</v>
      </c>
      <c r="U586">
        <f>COUNTIF('🚴 Riders'!A585:A645, C586)</f>
        <v>0</v>
      </c>
      <c r="V586">
        <f>COUNTIF('🏭 Facilities'!A585:A593, D586)</f>
        <v>0</v>
      </c>
    </row>
    <row r="587" spans="1:22">
      <c r="A587" s="18" t="s">
        <v>1721</v>
      </c>
      <c r="B587" s="18" t="s">
        <v>530</v>
      </c>
      <c r="C587" s="18" t="s">
        <v>240</v>
      </c>
      <c r="D587" s="18" t="s">
        <v>115</v>
      </c>
      <c r="E587" s="26">
        <v>45590</v>
      </c>
      <c r="F587" s="18" t="s">
        <v>1722</v>
      </c>
      <c r="G587" s="18" t="s">
        <v>125</v>
      </c>
      <c r="H587" s="18">
        <v>2.6</v>
      </c>
      <c r="I587" s="18">
        <v>199</v>
      </c>
      <c r="J587" s="18">
        <v>20</v>
      </c>
      <c r="K587" s="18">
        <v>413.92</v>
      </c>
      <c r="L587" s="18" t="s">
        <v>126</v>
      </c>
      <c r="M587" s="18" t="s">
        <v>140</v>
      </c>
      <c r="N587" s="28">
        <v>45590.222916666666</v>
      </c>
      <c r="O587" s="28">
        <v>45590.917361111111</v>
      </c>
      <c r="P587" s="20"/>
      <c r="Q587" s="18" t="b">
        <f>TRUE()</f>
        <v>1</v>
      </c>
      <c r="R587" s="18" t="b">
        <f>FALSE()</f>
        <v>0</v>
      </c>
      <c r="S587" s="19">
        <f t="shared" si="9"/>
        <v>16.7</v>
      </c>
      <c r="T587">
        <f>COUNTIF('👤 Customers'!$A:$A, B587)</f>
        <v>1</v>
      </c>
      <c r="U587">
        <f>COUNTIF('🚴 Riders'!A586:A646, C587)</f>
        <v>0</v>
      </c>
      <c r="V587">
        <f>COUNTIF('🏭 Facilities'!A586:A594, D587)</f>
        <v>0</v>
      </c>
    </row>
    <row r="588" spans="1:22">
      <c r="A588" s="16" t="s">
        <v>1723</v>
      </c>
      <c r="B588" s="16" t="s">
        <v>1724</v>
      </c>
      <c r="C588" s="16" t="s">
        <v>224</v>
      </c>
      <c r="D588" s="16" t="s">
        <v>115</v>
      </c>
      <c r="E588" s="25">
        <v>45639</v>
      </c>
      <c r="F588" s="16" t="s">
        <v>1725</v>
      </c>
      <c r="G588" s="16" t="s">
        <v>145</v>
      </c>
      <c r="H588" s="16">
        <v>6.4</v>
      </c>
      <c r="I588" s="16">
        <v>299</v>
      </c>
      <c r="J588" s="16">
        <v>0</v>
      </c>
      <c r="K588" s="16">
        <v>1913.6</v>
      </c>
      <c r="L588" s="16" t="s">
        <v>126</v>
      </c>
      <c r="M588" s="16" t="s">
        <v>119</v>
      </c>
      <c r="N588" s="27">
        <v>45639.642361111109</v>
      </c>
      <c r="O588" s="27">
        <v>45640.240972222222</v>
      </c>
      <c r="P588" s="16">
        <v>3.2</v>
      </c>
      <c r="Q588" s="16" t="b">
        <f>TRUE()</f>
        <v>1</v>
      </c>
      <c r="R588" s="16" t="b">
        <f>TRUE()</f>
        <v>1</v>
      </c>
      <c r="S588" s="17">
        <f t="shared" si="9"/>
        <v>14.4</v>
      </c>
      <c r="T588">
        <f>COUNTIF('👤 Customers'!$A:$A, B588)</f>
        <v>1</v>
      </c>
      <c r="U588">
        <f>COUNTIF('🚴 Riders'!A587:A647, C588)</f>
        <v>0</v>
      </c>
      <c r="V588">
        <f>COUNTIF('🏭 Facilities'!A587:A595, D588)</f>
        <v>0</v>
      </c>
    </row>
    <row r="589" spans="1:22">
      <c r="A589" s="18" t="s">
        <v>1726</v>
      </c>
      <c r="B589" s="18" t="s">
        <v>791</v>
      </c>
      <c r="C589" s="18" t="s">
        <v>358</v>
      </c>
      <c r="D589" s="18" t="s">
        <v>158</v>
      </c>
      <c r="E589" s="26">
        <v>45292</v>
      </c>
      <c r="F589" s="18" t="s">
        <v>1727</v>
      </c>
      <c r="G589" s="18" t="s">
        <v>132</v>
      </c>
      <c r="H589" s="18">
        <v>5.5</v>
      </c>
      <c r="I589" s="18">
        <v>399</v>
      </c>
      <c r="J589" s="18">
        <v>0</v>
      </c>
      <c r="K589" s="18">
        <v>2194.5</v>
      </c>
      <c r="L589" s="18" t="s">
        <v>139</v>
      </c>
      <c r="M589" s="18" t="s">
        <v>119</v>
      </c>
      <c r="N589" s="28">
        <v>45292.199305555558</v>
      </c>
      <c r="O589" s="28">
        <v>45293.076388888891</v>
      </c>
      <c r="P589" s="18">
        <v>3</v>
      </c>
      <c r="Q589" s="18" t="b">
        <f>FALSE()</f>
        <v>0</v>
      </c>
      <c r="R589" s="18" t="b">
        <f>TRUE()</f>
        <v>1</v>
      </c>
      <c r="S589" s="19">
        <f t="shared" si="9"/>
        <v>21</v>
      </c>
      <c r="T589">
        <f>COUNTIF('👤 Customers'!$A:$A, B589)</f>
        <v>1</v>
      </c>
      <c r="U589">
        <f>COUNTIF('🚴 Riders'!A588:A648, C589)</f>
        <v>0</v>
      </c>
      <c r="V589">
        <f>COUNTIF('🏭 Facilities'!A588:A596, D589)</f>
        <v>0</v>
      </c>
    </row>
    <row r="590" spans="1:22">
      <c r="A590" s="16" t="s">
        <v>1728</v>
      </c>
      <c r="B590" s="16" t="s">
        <v>657</v>
      </c>
      <c r="C590" s="16" t="s">
        <v>166</v>
      </c>
      <c r="D590" s="16" t="s">
        <v>115</v>
      </c>
      <c r="E590" s="25">
        <v>45516</v>
      </c>
      <c r="F590" s="16" t="s">
        <v>1729</v>
      </c>
      <c r="G590" s="16" t="s">
        <v>145</v>
      </c>
      <c r="H590" s="16">
        <v>2.9</v>
      </c>
      <c r="I590" s="16">
        <v>299</v>
      </c>
      <c r="J590" s="16">
        <v>10</v>
      </c>
      <c r="K590" s="16">
        <v>780.39</v>
      </c>
      <c r="L590" s="16" t="s">
        <v>139</v>
      </c>
      <c r="M590" s="16" t="s">
        <v>119</v>
      </c>
      <c r="N590" s="27">
        <v>45516.275694444441</v>
      </c>
      <c r="O590" s="27">
        <v>45516.779861111114</v>
      </c>
      <c r="P590" s="16">
        <v>3.8</v>
      </c>
      <c r="Q590" s="16" t="b">
        <f>FALSE()</f>
        <v>0</v>
      </c>
      <c r="R590" s="16" t="b">
        <f>FALSE()</f>
        <v>0</v>
      </c>
      <c r="S590" s="17">
        <f t="shared" si="9"/>
        <v>12.1</v>
      </c>
      <c r="T590">
        <f>COUNTIF('👤 Customers'!$A:$A, B590)</f>
        <v>1</v>
      </c>
      <c r="U590">
        <f>COUNTIF('🚴 Riders'!A589:A649, C590)</f>
        <v>0</v>
      </c>
      <c r="V590">
        <f>COUNTIF('🏭 Facilities'!A589:A597, D590)</f>
        <v>0</v>
      </c>
    </row>
    <row r="591" spans="1:22">
      <c r="A591" s="18" t="s">
        <v>1730</v>
      </c>
      <c r="B591" s="18" t="s">
        <v>1168</v>
      </c>
      <c r="C591" s="18" t="s">
        <v>276</v>
      </c>
      <c r="D591" s="18" t="s">
        <v>115</v>
      </c>
      <c r="E591" s="26">
        <v>45572</v>
      </c>
      <c r="F591" s="18" t="s">
        <v>1731</v>
      </c>
      <c r="G591" s="18" t="s">
        <v>125</v>
      </c>
      <c r="H591" s="18">
        <v>1.6</v>
      </c>
      <c r="I591" s="18">
        <v>199</v>
      </c>
      <c r="J591" s="18">
        <v>20</v>
      </c>
      <c r="K591" s="18">
        <v>254.72</v>
      </c>
      <c r="L591" s="18" t="s">
        <v>139</v>
      </c>
      <c r="M591" s="18" t="s">
        <v>119</v>
      </c>
      <c r="N591" s="28">
        <v>45572.267361111109</v>
      </c>
      <c r="O591" s="28">
        <v>45572.798611111109</v>
      </c>
      <c r="P591" s="18">
        <v>3.8</v>
      </c>
      <c r="Q591" s="18" t="b">
        <f>FALSE()</f>
        <v>0</v>
      </c>
      <c r="R591" s="18" t="b">
        <f>FALSE()</f>
        <v>0</v>
      </c>
      <c r="S591" s="19">
        <f t="shared" si="9"/>
        <v>12.8</v>
      </c>
      <c r="T591">
        <f>COUNTIF('👤 Customers'!$A:$A, B591)</f>
        <v>1</v>
      </c>
      <c r="U591">
        <f>COUNTIF('🚴 Riders'!A590:A650, C591)</f>
        <v>0</v>
      </c>
      <c r="V591">
        <f>COUNTIF('🏭 Facilities'!A590:A598, D591)</f>
        <v>0</v>
      </c>
    </row>
    <row r="592" spans="1:22">
      <c r="A592" s="16" t="s">
        <v>1732</v>
      </c>
      <c r="B592" s="16" t="s">
        <v>583</v>
      </c>
      <c r="C592" s="16" t="s">
        <v>322</v>
      </c>
      <c r="D592" s="16" t="s">
        <v>137</v>
      </c>
      <c r="E592" s="25">
        <v>45266</v>
      </c>
      <c r="F592" s="16" t="s">
        <v>1733</v>
      </c>
      <c r="G592" s="16" t="s">
        <v>117</v>
      </c>
      <c r="H592" s="16">
        <v>7.4</v>
      </c>
      <c r="I592" s="16">
        <v>149</v>
      </c>
      <c r="J592" s="16">
        <v>0</v>
      </c>
      <c r="K592" s="16">
        <v>1102.5999999999999</v>
      </c>
      <c r="L592" s="16" t="s">
        <v>118</v>
      </c>
      <c r="M592" s="16" t="s">
        <v>119</v>
      </c>
      <c r="N592" s="27">
        <v>45266.362500000003</v>
      </c>
      <c r="O592" s="27">
        <v>45267.34097222222</v>
      </c>
      <c r="P592" s="16">
        <v>4.2</v>
      </c>
      <c r="Q592" s="16" t="b">
        <f>FALSE()</f>
        <v>0</v>
      </c>
      <c r="R592" s="16" t="b">
        <f>FALSE()</f>
        <v>0</v>
      </c>
      <c r="S592" s="17">
        <f t="shared" si="9"/>
        <v>23.5</v>
      </c>
      <c r="T592">
        <f>COUNTIF('👤 Customers'!$A:$A, B592)</f>
        <v>1</v>
      </c>
      <c r="U592">
        <f>COUNTIF('🚴 Riders'!A591:A651, C592)</f>
        <v>0</v>
      </c>
      <c r="V592">
        <f>COUNTIF('🏭 Facilities'!A591:A599, D592)</f>
        <v>0</v>
      </c>
    </row>
    <row r="593" spans="1:22">
      <c r="A593" s="18" t="s">
        <v>1734</v>
      </c>
      <c r="B593" s="18" t="s">
        <v>246</v>
      </c>
      <c r="C593" s="18" t="s">
        <v>276</v>
      </c>
      <c r="D593" s="18" t="s">
        <v>123</v>
      </c>
      <c r="E593" s="26">
        <v>45567</v>
      </c>
      <c r="F593" s="18" t="s">
        <v>1735</v>
      </c>
      <c r="G593" s="18" t="s">
        <v>117</v>
      </c>
      <c r="H593" s="18">
        <v>1.1000000000000001</v>
      </c>
      <c r="I593" s="18">
        <v>149</v>
      </c>
      <c r="J593" s="18">
        <v>20</v>
      </c>
      <c r="K593" s="18">
        <v>131.12</v>
      </c>
      <c r="L593" s="18" t="s">
        <v>146</v>
      </c>
      <c r="M593" s="18" t="s">
        <v>119</v>
      </c>
      <c r="N593" s="28">
        <v>45568.072222222225</v>
      </c>
      <c r="O593" s="28">
        <v>45568.667361111111</v>
      </c>
      <c r="P593" s="18">
        <v>4.3</v>
      </c>
      <c r="Q593" s="18" t="b">
        <f>FALSE()</f>
        <v>0</v>
      </c>
      <c r="R593" s="18" t="b">
        <f>FALSE()</f>
        <v>0</v>
      </c>
      <c r="S593" s="19">
        <f t="shared" si="9"/>
        <v>14.3</v>
      </c>
      <c r="T593">
        <f>COUNTIF('👤 Customers'!$A:$A, B593)</f>
        <v>1</v>
      </c>
      <c r="U593">
        <f>COUNTIF('🚴 Riders'!A592:A652, C593)</f>
        <v>0</v>
      </c>
      <c r="V593">
        <f>COUNTIF('🏭 Facilities'!A592:A600, D593)</f>
        <v>0</v>
      </c>
    </row>
    <row r="594" spans="1:22">
      <c r="A594" s="16" t="s">
        <v>1736</v>
      </c>
      <c r="B594" s="16" t="s">
        <v>1737</v>
      </c>
      <c r="C594" s="16" t="s">
        <v>224</v>
      </c>
      <c r="D594" s="16" t="s">
        <v>137</v>
      </c>
      <c r="E594" s="25">
        <v>45592</v>
      </c>
      <c r="F594" s="16" t="s">
        <v>1738</v>
      </c>
      <c r="G594" s="16" t="s">
        <v>132</v>
      </c>
      <c r="H594" s="16">
        <v>5.4</v>
      </c>
      <c r="I594" s="16">
        <v>399</v>
      </c>
      <c r="J594" s="16">
        <v>10</v>
      </c>
      <c r="K594" s="16">
        <v>1939.14</v>
      </c>
      <c r="L594" s="16" t="s">
        <v>146</v>
      </c>
      <c r="M594" s="16" t="s">
        <v>133</v>
      </c>
      <c r="N594" s="20"/>
      <c r="O594" s="20"/>
      <c r="P594" s="20"/>
      <c r="Q594" s="16" t="b">
        <f>FALSE()</f>
        <v>0</v>
      </c>
      <c r="R594" s="16" t="b">
        <f>FALSE()</f>
        <v>0</v>
      </c>
      <c r="S594" s="17" t="str">
        <f t="shared" si="9"/>
        <v>N/A</v>
      </c>
      <c r="T594">
        <f>COUNTIF('👤 Customers'!$A:$A, B594)</f>
        <v>1</v>
      </c>
      <c r="U594">
        <f>COUNTIF('🚴 Riders'!A593:A653, C594)</f>
        <v>0</v>
      </c>
      <c r="V594">
        <f>COUNTIF('🏭 Facilities'!A593:A601, D594)</f>
        <v>0</v>
      </c>
    </row>
    <row r="595" spans="1:22">
      <c r="A595" s="18" t="s">
        <v>1739</v>
      </c>
      <c r="B595" s="18" t="s">
        <v>1740</v>
      </c>
      <c r="C595" s="18" t="s">
        <v>487</v>
      </c>
      <c r="D595" s="18" t="s">
        <v>115</v>
      </c>
      <c r="E595" s="26">
        <v>45075</v>
      </c>
      <c r="F595" s="18" t="s">
        <v>1741</v>
      </c>
      <c r="G595" s="18" t="s">
        <v>176</v>
      </c>
      <c r="H595" s="18">
        <v>7.7</v>
      </c>
      <c r="I595" s="18">
        <v>599</v>
      </c>
      <c r="J595" s="18">
        <v>0</v>
      </c>
      <c r="K595" s="18">
        <v>4612.3</v>
      </c>
      <c r="L595" s="18" t="s">
        <v>139</v>
      </c>
      <c r="M595" s="18" t="s">
        <v>119</v>
      </c>
      <c r="N595" s="28">
        <v>45075.500694444447</v>
      </c>
      <c r="O595" s="28">
        <v>45076.506249999999</v>
      </c>
      <c r="P595" s="18">
        <v>3.5</v>
      </c>
      <c r="Q595" s="18" t="b">
        <f>FALSE()</f>
        <v>0</v>
      </c>
      <c r="R595" s="18" t="b">
        <f>FALSE()</f>
        <v>0</v>
      </c>
      <c r="S595" s="19">
        <f t="shared" si="9"/>
        <v>24.1</v>
      </c>
      <c r="T595">
        <f>COUNTIF('👤 Customers'!$A:$A, B595)</f>
        <v>1</v>
      </c>
      <c r="U595">
        <f>COUNTIF('🚴 Riders'!A594:A654, C595)</f>
        <v>0</v>
      </c>
      <c r="V595">
        <f>COUNTIF('🏭 Facilities'!A594:A602, D595)</f>
        <v>0</v>
      </c>
    </row>
    <row r="596" spans="1:22">
      <c r="A596" s="16" t="s">
        <v>1742</v>
      </c>
      <c r="B596" s="16" t="s">
        <v>1743</v>
      </c>
      <c r="C596" s="16" t="s">
        <v>339</v>
      </c>
      <c r="D596" s="16" t="s">
        <v>158</v>
      </c>
      <c r="E596" s="25">
        <v>45257</v>
      </c>
      <c r="F596" s="16" t="s">
        <v>1744</v>
      </c>
      <c r="G596" s="16" t="s">
        <v>176</v>
      </c>
      <c r="H596" s="16">
        <v>7.8</v>
      </c>
      <c r="I596" s="16">
        <v>599</v>
      </c>
      <c r="J596" s="16">
        <v>0</v>
      </c>
      <c r="K596" s="16">
        <v>4672.2</v>
      </c>
      <c r="L596" s="16" t="s">
        <v>139</v>
      </c>
      <c r="M596" s="16" t="s">
        <v>119</v>
      </c>
      <c r="N596" s="27">
        <v>45257.854166666664</v>
      </c>
      <c r="O596" s="27">
        <v>45258.47152777778</v>
      </c>
      <c r="P596" s="16">
        <v>3.2</v>
      </c>
      <c r="Q596" s="16" t="b">
        <f>FALSE()</f>
        <v>0</v>
      </c>
      <c r="R596" s="16" t="b">
        <f>FALSE()</f>
        <v>0</v>
      </c>
      <c r="S596" s="17">
        <f t="shared" si="9"/>
        <v>14.8</v>
      </c>
      <c r="T596">
        <f>COUNTIF('👤 Customers'!$A:$A, B596)</f>
        <v>1</v>
      </c>
      <c r="U596">
        <f>COUNTIF('🚴 Riders'!A595:A655, C596)</f>
        <v>0</v>
      </c>
      <c r="V596">
        <f>COUNTIF('🏭 Facilities'!A595:A603, D596)</f>
        <v>0</v>
      </c>
    </row>
    <row r="597" spans="1:22">
      <c r="A597" s="18" t="s">
        <v>1745</v>
      </c>
      <c r="B597" s="18" t="s">
        <v>637</v>
      </c>
      <c r="C597" s="18" t="s">
        <v>308</v>
      </c>
      <c r="D597" s="18" t="s">
        <v>158</v>
      </c>
      <c r="E597" s="26">
        <v>45419</v>
      </c>
      <c r="F597" s="18" t="s">
        <v>1746</v>
      </c>
      <c r="G597" s="18" t="s">
        <v>117</v>
      </c>
      <c r="H597" s="18">
        <v>5.9</v>
      </c>
      <c r="I597" s="18">
        <v>149</v>
      </c>
      <c r="J597" s="18">
        <v>20</v>
      </c>
      <c r="K597" s="18">
        <v>703.28</v>
      </c>
      <c r="L597" s="18" t="s">
        <v>126</v>
      </c>
      <c r="M597" s="18" t="s">
        <v>119</v>
      </c>
      <c r="N597" s="28">
        <v>45419.690972222219</v>
      </c>
      <c r="O597" s="28">
        <v>45420.595833333333</v>
      </c>
      <c r="P597" s="18">
        <v>3.7</v>
      </c>
      <c r="Q597" s="18" t="b">
        <f>FALSE()</f>
        <v>0</v>
      </c>
      <c r="R597" s="18" t="b">
        <f>FALSE()</f>
        <v>0</v>
      </c>
      <c r="S597" s="19">
        <f t="shared" si="9"/>
        <v>21.7</v>
      </c>
      <c r="T597">
        <f>COUNTIF('👤 Customers'!$A:$A, B597)</f>
        <v>1</v>
      </c>
      <c r="U597">
        <f>COUNTIF('🚴 Riders'!A596:A656, C597)</f>
        <v>0</v>
      </c>
      <c r="V597">
        <f>COUNTIF('🏭 Facilities'!A596:A604, D597)</f>
        <v>0</v>
      </c>
    </row>
    <row r="598" spans="1:22">
      <c r="A598" s="16" t="s">
        <v>1747</v>
      </c>
      <c r="B598" s="16" t="s">
        <v>178</v>
      </c>
      <c r="C598" s="16" t="s">
        <v>136</v>
      </c>
      <c r="D598" s="16" t="s">
        <v>158</v>
      </c>
      <c r="E598" s="25">
        <v>45004</v>
      </c>
      <c r="F598" s="16" t="s">
        <v>1748</v>
      </c>
      <c r="G598" s="16" t="s">
        <v>145</v>
      </c>
      <c r="H598" s="16">
        <v>4.5</v>
      </c>
      <c r="I598" s="16">
        <v>299</v>
      </c>
      <c r="J598" s="16">
        <v>20</v>
      </c>
      <c r="K598" s="16">
        <v>1076.4000000000001</v>
      </c>
      <c r="L598" s="16" t="s">
        <v>126</v>
      </c>
      <c r="M598" s="16" t="s">
        <v>140</v>
      </c>
      <c r="N598" s="27">
        <v>45004.503472222219</v>
      </c>
      <c r="O598" s="27">
        <v>45005.129166666666</v>
      </c>
      <c r="P598" s="20"/>
      <c r="Q598" s="16" t="b">
        <f>FALSE()</f>
        <v>0</v>
      </c>
      <c r="R598" s="16" t="b">
        <f>FALSE()</f>
        <v>0</v>
      </c>
      <c r="S598" s="17">
        <f t="shared" si="9"/>
        <v>15</v>
      </c>
      <c r="T598">
        <f>COUNTIF('👤 Customers'!$A:$A, B598)</f>
        <v>1</v>
      </c>
      <c r="U598">
        <f>COUNTIF('🚴 Riders'!A597:A657, C598)</f>
        <v>0</v>
      </c>
      <c r="V598">
        <f>COUNTIF('🏭 Facilities'!A597:A605, D598)</f>
        <v>0</v>
      </c>
    </row>
    <row r="599" spans="1:22">
      <c r="A599" s="18" t="s">
        <v>1749</v>
      </c>
      <c r="B599" s="18" t="s">
        <v>430</v>
      </c>
      <c r="C599" s="18" t="s">
        <v>304</v>
      </c>
      <c r="D599" s="18" t="s">
        <v>205</v>
      </c>
      <c r="E599" s="26">
        <v>45023</v>
      </c>
      <c r="F599" s="18" t="s">
        <v>1750</v>
      </c>
      <c r="G599" s="18" t="s">
        <v>117</v>
      </c>
      <c r="H599" s="18">
        <v>7.8</v>
      </c>
      <c r="I599" s="18">
        <v>149</v>
      </c>
      <c r="J599" s="18">
        <v>20</v>
      </c>
      <c r="K599" s="18">
        <v>929.76</v>
      </c>
      <c r="L599" s="18" t="s">
        <v>207</v>
      </c>
      <c r="M599" s="18" t="s">
        <v>119</v>
      </c>
      <c r="N599" s="28">
        <v>45023.809027777781</v>
      </c>
      <c r="O599" s="28">
        <v>45024.649305555555</v>
      </c>
      <c r="P599" s="18">
        <v>3.8</v>
      </c>
      <c r="Q599" s="18" t="b">
        <f>FALSE()</f>
        <v>0</v>
      </c>
      <c r="R599" s="18" t="b">
        <f>FALSE()</f>
        <v>0</v>
      </c>
      <c r="S599" s="19">
        <f t="shared" si="9"/>
        <v>20.2</v>
      </c>
      <c r="T599">
        <f>COUNTIF('👤 Customers'!$A:$A, B599)</f>
        <v>1</v>
      </c>
      <c r="U599">
        <f>COUNTIF('🚴 Riders'!A598:A658, C599)</f>
        <v>0</v>
      </c>
      <c r="V599">
        <f>COUNTIF('🏭 Facilities'!A598:A606, D599)</f>
        <v>0</v>
      </c>
    </row>
    <row r="600" spans="1:22">
      <c r="A600" s="16" t="s">
        <v>1751</v>
      </c>
      <c r="B600" s="16" t="s">
        <v>492</v>
      </c>
      <c r="C600" s="16" t="s">
        <v>240</v>
      </c>
      <c r="D600" s="16" t="s">
        <v>205</v>
      </c>
      <c r="E600" s="25">
        <v>45165</v>
      </c>
      <c r="F600" s="16" t="s">
        <v>1752</v>
      </c>
      <c r="G600" s="16" t="s">
        <v>145</v>
      </c>
      <c r="H600" s="16">
        <v>5.7</v>
      </c>
      <c r="I600" s="16">
        <v>299</v>
      </c>
      <c r="J600" s="16">
        <v>0</v>
      </c>
      <c r="K600" s="16">
        <v>1704.3</v>
      </c>
      <c r="L600" s="16" t="s">
        <v>118</v>
      </c>
      <c r="M600" s="16" t="s">
        <v>119</v>
      </c>
      <c r="N600" s="27">
        <v>45165.787499999999</v>
      </c>
      <c r="O600" s="27">
        <v>45166.164583333331</v>
      </c>
      <c r="P600" s="16">
        <v>2.9</v>
      </c>
      <c r="Q600" s="16" t="b">
        <f>FALSE()</f>
        <v>0</v>
      </c>
      <c r="R600" s="16" t="b">
        <f>FALSE()</f>
        <v>0</v>
      </c>
      <c r="S600" s="17">
        <f t="shared" si="9"/>
        <v>9</v>
      </c>
      <c r="T600">
        <f>COUNTIF('👤 Customers'!$A:$A, B600)</f>
        <v>1</v>
      </c>
      <c r="U600">
        <f>COUNTIF('🚴 Riders'!A599:A659, C600)</f>
        <v>0</v>
      </c>
      <c r="V600">
        <f>COUNTIF('🏭 Facilities'!A599:A607, D600)</f>
        <v>0</v>
      </c>
    </row>
    <row r="601" spans="1:22">
      <c r="A601" s="18" t="s">
        <v>1753</v>
      </c>
      <c r="B601" s="18" t="s">
        <v>1754</v>
      </c>
      <c r="C601" s="18" t="s">
        <v>188</v>
      </c>
      <c r="D601" s="18" t="s">
        <v>137</v>
      </c>
      <c r="E601" s="26">
        <v>45358</v>
      </c>
      <c r="F601" s="18" t="s">
        <v>1755</v>
      </c>
      <c r="G601" s="18" t="s">
        <v>145</v>
      </c>
      <c r="H601" s="18">
        <v>2.2999999999999998</v>
      </c>
      <c r="I601" s="18">
        <v>299</v>
      </c>
      <c r="J601" s="18">
        <v>10</v>
      </c>
      <c r="K601" s="18">
        <v>618.92999999999995</v>
      </c>
      <c r="L601" s="18" t="s">
        <v>139</v>
      </c>
      <c r="M601" s="18" t="s">
        <v>119</v>
      </c>
      <c r="N601" s="28">
        <v>45358.793055555558</v>
      </c>
      <c r="O601" s="28">
        <v>45359.529166666667</v>
      </c>
      <c r="P601" s="18">
        <v>4.8</v>
      </c>
      <c r="Q601" s="18" t="b">
        <f>FALSE()</f>
        <v>0</v>
      </c>
      <c r="R601" s="18" t="b">
        <f>FALSE()</f>
        <v>0</v>
      </c>
      <c r="S601" s="19">
        <f t="shared" si="9"/>
        <v>17.7</v>
      </c>
      <c r="T601">
        <f>COUNTIF('👤 Customers'!$A:$A, B601)</f>
        <v>1</v>
      </c>
      <c r="U601">
        <f>COUNTIF('🚴 Riders'!A600:A660, C601)</f>
        <v>0</v>
      </c>
      <c r="V601">
        <f>COUNTIF('🏭 Facilities'!A600:A608, D601)</f>
        <v>0</v>
      </c>
    </row>
    <row r="602" spans="1:22">
      <c r="A602" s="16" t="s">
        <v>1756</v>
      </c>
      <c r="B602" s="16" t="s">
        <v>1073</v>
      </c>
      <c r="C602" s="16" t="s">
        <v>315</v>
      </c>
      <c r="D602" s="16" t="s">
        <v>205</v>
      </c>
      <c r="E602" s="25">
        <v>45004</v>
      </c>
      <c r="F602" s="16" t="s">
        <v>1757</v>
      </c>
      <c r="G602" s="16" t="s">
        <v>132</v>
      </c>
      <c r="H602" s="16">
        <v>4.5</v>
      </c>
      <c r="I602" s="16">
        <v>399</v>
      </c>
      <c r="J602" s="16">
        <v>10</v>
      </c>
      <c r="K602" s="16">
        <v>1615.95</v>
      </c>
      <c r="L602" s="16" t="s">
        <v>207</v>
      </c>
      <c r="M602" s="16" t="s">
        <v>119</v>
      </c>
      <c r="N602" s="27">
        <v>45004.488194444442</v>
      </c>
      <c r="O602" s="27">
        <v>45005.271527777775</v>
      </c>
      <c r="P602" s="16">
        <v>2.7</v>
      </c>
      <c r="Q602" s="16" t="b">
        <f>TRUE()</f>
        <v>1</v>
      </c>
      <c r="R602" s="16" t="b">
        <f>TRUE()</f>
        <v>1</v>
      </c>
      <c r="S602" s="17">
        <f t="shared" si="9"/>
        <v>18.8</v>
      </c>
      <c r="T602">
        <f>COUNTIF('👤 Customers'!$A:$A, B602)</f>
        <v>1</v>
      </c>
      <c r="U602">
        <f>COUNTIF('🚴 Riders'!A601:A661, C602)</f>
        <v>0</v>
      </c>
      <c r="V602">
        <f>COUNTIF('🏭 Facilities'!A601:A609, D602)</f>
        <v>0</v>
      </c>
    </row>
    <row r="603" spans="1:22">
      <c r="A603" s="18" t="s">
        <v>1758</v>
      </c>
      <c r="B603" s="18" t="s">
        <v>1540</v>
      </c>
      <c r="C603" s="18" t="s">
        <v>283</v>
      </c>
      <c r="D603" s="18" t="s">
        <v>137</v>
      </c>
      <c r="E603" s="26">
        <v>45525</v>
      </c>
      <c r="F603" s="18" t="s">
        <v>1759</v>
      </c>
      <c r="G603" s="18" t="s">
        <v>176</v>
      </c>
      <c r="H603" s="18">
        <v>2.1</v>
      </c>
      <c r="I603" s="18">
        <v>599</v>
      </c>
      <c r="J603" s="18">
        <v>10</v>
      </c>
      <c r="K603" s="18">
        <v>1132.1099999999999</v>
      </c>
      <c r="L603" s="18" t="s">
        <v>139</v>
      </c>
      <c r="M603" s="18" t="s">
        <v>133</v>
      </c>
      <c r="N603" s="20"/>
      <c r="O603" s="20"/>
      <c r="P603" s="20"/>
      <c r="Q603" s="18" t="b">
        <f>FALSE()</f>
        <v>0</v>
      </c>
      <c r="R603" s="18" t="b">
        <f>FALSE()</f>
        <v>0</v>
      </c>
      <c r="S603" s="19" t="str">
        <f t="shared" si="9"/>
        <v>N/A</v>
      </c>
      <c r="T603">
        <f>COUNTIF('👤 Customers'!$A:$A, B603)</f>
        <v>1</v>
      </c>
      <c r="U603">
        <f>COUNTIF('🚴 Riders'!A602:A662, C603)</f>
        <v>0</v>
      </c>
      <c r="V603">
        <f>COUNTIF('🏭 Facilities'!A602:A610, D603)</f>
        <v>0</v>
      </c>
    </row>
    <row r="604" spans="1:22">
      <c r="A604" s="16" t="s">
        <v>1760</v>
      </c>
      <c r="B604" s="16" t="s">
        <v>667</v>
      </c>
      <c r="C604" s="16" t="s">
        <v>188</v>
      </c>
      <c r="D604" s="16" t="s">
        <v>123</v>
      </c>
      <c r="E604" s="25">
        <v>45071</v>
      </c>
      <c r="F604" s="16" t="s">
        <v>1761</v>
      </c>
      <c r="G604" s="16" t="s">
        <v>132</v>
      </c>
      <c r="H604" s="16">
        <v>5.6</v>
      </c>
      <c r="I604" s="16">
        <v>399</v>
      </c>
      <c r="J604" s="16">
        <v>0</v>
      </c>
      <c r="K604" s="16">
        <v>2234.4</v>
      </c>
      <c r="L604" s="16" t="s">
        <v>126</v>
      </c>
      <c r="M604" s="16" t="s">
        <v>119</v>
      </c>
      <c r="N604" s="27">
        <v>45072</v>
      </c>
      <c r="O604" s="27">
        <v>45072.540972222225</v>
      </c>
      <c r="P604" s="16">
        <v>3.2</v>
      </c>
      <c r="Q604" s="16" t="b">
        <f>FALSE()</f>
        <v>0</v>
      </c>
      <c r="R604" s="16" t="b">
        <f>FALSE()</f>
        <v>0</v>
      </c>
      <c r="S604" s="17">
        <f t="shared" si="9"/>
        <v>13</v>
      </c>
      <c r="T604">
        <f>COUNTIF('👤 Customers'!$A:$A, B604)</f>
        <v>1</v>
      </c>
      <c r="U604">
        <f>COUNTIF('🚴 Riders'!A603:A663, C604)</f>
        <v>0</v>
      </c>
      <c r="V604">
        <f>COUNTIF('🏭 Facilities'!A603:A611, D604)</f>
        <v>0</v>
      </c>
    </row>
    <row r="605" spans="1:22">
      <c r="A605" s="18" t="s">
        <v>1762</v>
      </c>
      <c r="B605" s="18" t="s">
        <v>1348</v>
      </c>
      <c r="C605" s="18" t="s">
        <v>300</v>
      </c>
      <c r="D605" s="18" t="s">
        <v>197</v>
      </c>
      <c r="E605" s="26">
        <v>45422</v>
      </c>
      <c r="F605" s="18" t="s">
        <v>1763</v>
      </c>
      <c r="G605" s="18" t="s">
        <v>176</v>
      </c>
      <c r="H605" s="18">
        <v>7.1</v>
      </c>
      <c r="I605" s="18">
        <v>599</v>
      </c>
      <c r="J605" s="18">
        <v>0</v>
      </c>
      <c r="K605" s="18">
        <v>4252.8999999999996</v>
      </c>
      <c r="L605" s="18" t="s">
        <v>139</v>
      </c>
      <c r="M605" s="18" t="s">
        <v>133</v>
      </c>
      <c r="N605" s="20"/>
      <c r="O605" s="20"/>
      <c r="P605" s="20"/>
      <c r="Q605" s="18" t="b">
        <f>FALSE()</f>
        <v>0</v>
      </c>
      <c r="R605" s="18" t="b">
        <f>FALSE()</f>
        <v>0</v>
      </c>
      <c r="S605" s="19" t="str">
        <f t="shared" si="9"/>
        <v>N/A</v>
      </c>
      <c r="T605">
        <f>COUNTIF('👤 Customers'!$A:$A, B605)</f>
        <v>1</v>
      </c>
      <c r="U605">
        <f>COUNTIF('🚴 Riders'!A604:A664, C605)</f>
        <v>0</v>
      </c>
      <c r="V605">
        <f>COUNTIF('🏭 Facilities'!A604:A612, D605)</f>
        <v>0</v>
      </c>
    </row>
    <row r="606" spans="1:22">
      <c r="A606" s="16" t="s">
        <v>1764</v>
      </c>
      <c r="B606" s="16" t="s">
        <v>698</v>
      </c>
      <c r="C606" s="16" t="s">
        <v>276</v>
      </c>
      <c r="D606" s="16" t="s">
        <v>158</v>
      </c>
      <c r="E606" s="25">
        <v>45088</v>
      </c>
      <c r="F606" s="16" t="s">
        <v>1765</v>
      </c>
      <c r="G606" s="16" t="s">
        <v>145</v>
      </c>
      <c r="H606" s="16">
        <v>1.7</v>
      </c>
      <c r="I606" s="16">
        <v>299</v>
      </c>
      <c r="J606" s="16">
        <v>10</v>
      </c>
      <c r="K606" s="16">
        <v>457.47</v>
      </c>
      <c r="L606" s="16" t="s">
        <v>118</v>
      </c>
      <c r="M606" s="16" t="s">
        <v>119</v>
      </c>
      <c r="N606" s="27">
        <v>45088.568055555559</v>
      </c>
      <c r="O606" s="27">
        <v>45089.585416666669</v>
      </c>
      <c r="P606" s="16">
        <v>4.0999999999999996</v>
      </c>
      <c r="Q606" s="16" t="b">
        <f>FALSE()</f>
        <v>0</v>
      </c>
      <c r="R606" s="16" t="b">
        <f>TRUE()</f>
        <v>1</v>
      </c>
      <c r="S606" s="17">
        <f t="shared" si="9"/>
        <v>24.4</v>
      </c>
      <c r="T606">
        <f>COUNTIF('👤 Customers'!$A:$A, B606)</f>
        <v>1</v>
      </c>
      <c r="U606">
        <f>COUNTIF('🚴 Riders'!A605:A665, C606)</f>
        <v>0</v>
      </c>
      <c r="V606">
        <f>COUNTIF('🏭 Facilities'!A605:A613, D606)</f>
        <v>0</v>
      </c>
    </row>
    <row r="607" spans="1:22">
      <c r="A607" s="18" t="s">
        <v>1766</v>
      </c>
      <c r="B607" s="18" t="s">
        <v>1767</v>
      </c>
      <c r="C607" s="18" t="s">
        <v>213</v>
      </c>
      <c r="D607" s="18" t="s">
        <v>184</v>
      </c>
      <c r="E607" s="26">
        <v>45159</v>
      </c>
      <c r="F607" s="18" t="s">
        <v>1768</v>
      </c>
      <c r="G607" s="18" t="s">
        <v>125</v>
      </c>
      <c r="H607" s="18">
        <v>7.3</v>
      </c>
      <c r="I607" s="18">
        <v>199</v>
      </c>
      <c r="J607" s="18">
        <v>10</v>
      </c>
      <c r="K607" s="18">
        <v>1307.43</v>
      </c>
      <c r="L607" s="18" t="s">
        <v>207</v>
      </c>
      <c r="M607" s="18" t="s">
        <v>140</v>
      </c>
      <c r="N607" s="28">
        <v>45159.15902777778</v>
      </c>
      <c r="O607" s="28">
        <v>45159.555555555555</v>
      </c>
      <c r="P607" s="20"/>
      <c r="Q607" s="18" t="b">
        <f>FALSE()</f>
        <v>0</v>
      </c>
      <c r="R607" s="18" t="b">
        <f>FALSE()</f>
        <v>0</v>
      </c>
      <c r="S607" s="19">
        <f t="shared" si="9"/>
        <v>9.5</v>
      </c>
      <c r="T607">
        <f>COUNTIF('👤 Customers'!$A:$A, B607)</f>
        <v>1</v>
      </c>
      <c r="U607">
        <f>COUNTIF('🚴 Riders'!A606:A666, C607)</f>
        <v>0</v>
      </c>
      <c r="V607">
        <f>COUNTIF('🏭 Facilities'!A606:A614, D607)</f>
        <v>0</v>
      </c>
    </row>
    <row r="608" spans="1:22">
      <c r="A608" s="16" t="s">
        <v>1769</v>
      </c>
      <c r="B608" s="16" t="s">
        <v>1405</v>
      </c>
      <c r="C608" s="16" t="s">
        <v>580</v>
      </c>
      <c r="D608" s="16" t="s">
        <v>130</v>
      </c>
      <c r="E608" s="25">
        <v>45021</v>
      </c>
      <c r="F608" s="16" t="s">
        <v>1770</v>
      </c>
      <c r="G608" s="16" t="s">
        <v>132</v>
      </c>
      <c r="H608" s="16">
        <v>5.2</v>
      </c>
      <c r="I608" s="16">
        <v>399</v>
      </c>
      <c r="J608" s="16">
        <v>0</v>
      </c>
      <c r="K608" s="16">
        <v>2074.8000000000002</v>
      </c>
      <c r="L608" s="16" t="s">
        <v>126</v>
      </c>
      <c r="M608" s="16" t="s">
        <v>133</v>
      </c>
      <c r="N608" s="20"/>
      <c r="O608" s="20"/>
      <c r="P608" s="20"/>
      <c r="Q608" s="16" t="b">
        <f>FALSE()</f>
        <v>0</v>
      </c>
      <c r="R608" s="16" t="b">
        <f>FALSE()</f>
        <v>0</v>
      </c>
      <c r="S608" s="17" t="str">
        <f t="shared" si="9"/>
        <v>N/A</v>
      </c>
      <c r="T608">
        <f>COUNTIF('👤 Customers'!$A:$A, B608)</f>
        <v>1</v>
      </c>
      <c r="U608">
        <f>COUNTIF('🚴 Riders'!A607:A667, C608)</f>
        <v>0</v>
      </c>
      <c r="V608">
        <f>COUNTIF('🏭 Facilities'!A607:A615, D608)</f>
        <v>0</v>
      </c>
    </row>
    <row r="609" spans="1:22">
      <c r="A609" s="18" t="s">
        <v>1771</v>
      </c>
      <c r="B609" s="18" t="s">
        <v>264</v>
      </c>
      <c r="C609" s="18" t="s">
        <v>326</v>
      </c>
      <c r="D609" s="18" t="s">
        <v>115</v>
      </c>
      <c r="E609" s="26">
        <v>45492</v>
      </c>
      <c r="F609" s="18" t="s">
        <v>1772</v>
      </c>
      <c r="G609" s="18" t="s">
        <v>132</v>
      </c>
      <c r="H609" s="18">
        <v>2.9</v>
      </c>
      <c r="I609" s="18">
        <v>399</v>
      </c>
      <c r="J609" s="18">
        <v>0</v>
      </c>
      <c r="K609" s="18">
        <v>1157.0999999999999</v>
      </c>
      <c r="L609" s="18" t="s">
        <v>139</v>
      </c>
      <c r="M609" s="18" t="s">
        <v>119</v>
      </c>
      <c r="N609" s="28">
        <v>45492.326388888891</v>
      </c>
      <c r="O609" s="28">
        <v>45493.056250000001</v>
      </c>
      <c r="P609" s="18">
        <v>3.8</v>
      </c>
      <c r="Q609" s="18" t="b">
        <f>FALSE()</f>
        <v>0</v>
      </c>
      <c r="R609" s="18" t="b">
        <f>TRUE()</f>
        <v>1</v>
      </c>
      <c r="S609" s="19">
        <f t="shared" si="9"/>
        <v>17.5</v>
      </c>
      <c r="T609">
        <f>COUNTIF('👤 Customers'!$A:$A, B609)</f>
        <v>1</v>
      </c>
      <c r="U609">
        <f>COUNTIF('🚴 Riders'!A608:A668, C609)</f>
        <v>0</v>
      </c>
      <c r="V609">
        <f>COUNTIF('🏭 Facilities'!A608:A616, D609)</f>
        <v>0</v>
      </c>
    </row>
    <row r="610" spans="1:22">
      <c r="A610" s="16" t="s">
        <v>1773</v>
      </c>
      <c r="B610" s="16" t="s">
        <v>128</v>
      </c>
      <c r="C610" s="16" t="s">
        <v>261</v>
      </c>
      <c r="D610" s="16" t="s">
        <v>137</v>
      </c>
      <c r="E610" s="25">
        <v>45061</v>
      </c>
      <c r="F610" s="16" t="s">
        <v>1774</v>
      </c>
      <c r="G610" s="16" t="s">
        <v>132</v>
      </c>
      <c r="H610" s="16">
        <v>5.8</v>
      </c>
      <c r="I610" s="16">
        <v>399</v>
      </c>
      <c r="J610" s="16">
        <v>20</v>
      </c>
      <c r="K610" s="16">
        <v>1851.36</v>
      </c>
      <c r="L610" s="16" t="s">
        <v>207</v>
      </c>
      <c r="M610" s="16" t="s">
        <v>119</v>
      </c>
      <c r="N610" s="27">
        <v>45061.502083333333</v>
      </c>
      <c r="O610" s="27">
        <v>45061.9375</v>
      </c>
      <c r="P610" s="16">
        <v>4.9000000000000004</v>
      </c>
      <c r="Q610" s="16" t="b">
        <f>FALSE()</f>
        <v>0</v>
      </c>
      <c r="R610" s="16" t="b">
        <f>FALSE()</f>
        <v>0</v>
      </c>
      <c r="S610" s="17">
        <f t="shared" si="9"/>
        <v>10.5</v>
      </c>
      <c r="T610">
        <f>COUNTIF('👤 Customers'!$A:$A, B610)</f>
        <v>1</v>
      </c>
      <c r="U610">
        <f>COUNTIF('🚴 Riders'!A609:A669, C610)</f>
        <v>0</v>
      </c>
      <c r="V610">
        <f>COUNTIF('🏭 Facilities'!A609:A617, D610)</f>
        <v>0</v>
      </c>
    </row>
    <row r="611" spans="1:22">
      <c r="A611" s="18" t="s">
        <v>1775</v>
      </c>
      <c r="B611" s="18" t="s">
        <v>1776</v>
      </c>
      <c r="C611" s="18" t="s">
        <v>358</v>
      </c>
      <c r="D611" s="18" t="s">
        <v>197</v>
      </c>
      <c r="E611" s="26">
        <v>45256</v>
      </c>
      <c r="F611" s="18" t="s">
        <v>1777</v>
      </c>
      <c r="G611" s="18" t="s">
        <v>176</v>
      </c>
      <c r="H611" s="18">
        <v>6.2</v>
      </c>
      <c r="I611" s="18">
        <v>599</v>
      </c>
      <c r="J611" s="18">
        <v>20</v>
      </c>
      <c r="K611" s="18">
        <v>2971.04</v>
      </c>
      <c r="L611" s="18" t="s">
        <v>139</v>
      </c>
      <c r="M611" s="18" t="s">
        <v>133</v>
      </c>
      <c r="N611" s="20"/>
      <c r="O611" s="20"/>
      <c r="P611" s="20"/>
      <c r="Q611" s="18" t="b">
        <f>FALSE()</f>
        <v>0</v>
      </c>
      <c r="R611" s="18" t="b">
        <f>TRUE()</f>
        <v>1</v>
      </c>
      <c r="S611" s="19" t="str">
        <f t="shared" si="9"/>
        <v>N/A</v>
      </c>
      <c r="T611">
        <f>COUNTIF('👤 Customers'!$A:$A, B611)</f>
        <v>1</v>
      </c>
      <c r="U611">
        <f>COUNTIF('🚴 Riders'!A610:A670, C611)</f>
        <v>0</v>
      </c>
      <c r="V611">
        <f>COUNTIF('🏭 Facilities'!A610:A618, D611)</f>
        <v>0</v>
      </c>
    </row>
    <row r="612" spans="1:22">
      <c r="A612" s="16" t="s">
        <v>1778</v>
      </c>
      <c r="B612" s="16" t="s">
        <v>1405</v>
      </c>
      <c r="C612" s="16" t="s">
        <v>536</v>
      </c>
      <c r="D612" s="16" t="s">
        <v>205</v>
      </c>
      <c r="E612" s="25">
        <v>45324</v>
      </c>
      <c r="F612" s="16" t="s">
        <v>1779</v>
      </c>
      <c r="G612" s="16" t="s">
        <v>117</v>
      </c>
      <c r="H612" s="16">
        <v>5.0999999999999996</v>
      </c>
      <c r="I612" s="16">
        <v>149</v>
      </c>
      <c r="J612" s="16">
        <v>0</v>
      </c>
      <c r="K612" s="16">
        <v>759.9</v>
      </c>
      <c r="L612" s="16" t="s">
        <v>139</v>
      </c>
      <c r="M612" s="16" t="s">
        <v>140</v>
      </c>
      <c r="N612" s="27">
        <v>45324.341666666667</v>
      </c>
      <c r="O612" s="27">
        <v>45325.064583333333</v>
      </c>
      <c r="P612" s="20"/>
      <c r="Q612" s="16" t="b">
        <f>FALSE()</f>
        <v>0</v>
      </c>
      <c r="R612" s="16" t="b">
        <f>FALSE()</f>
        <v>0</v>
      </c>
      <c r="S612" s="17">
        <f t="shared" si="9"/>
        <v>17.3</v>
      </c>
      <c r="T612">
        <f>COUNTIF('👤 Customers'!$A:$A, B612)</f>
        <v>1</v>
      </c>
      <c r="U612">
        <f>COUNTIF('🚴 Riders'!A611:A671, C612)</f>
        <v>0</v>
      </c>
      <c r="V612">
        <f>COUNTIF('🏭 Facilities'!A611:A619, D612)</f>
        <v>0</v>
      </c>
    </row>
    <row r="613" spans="1:22">
      <c r="A613" s="18" t="s">
        <v>1780</v>
      </c>
      <c r="B613" s="18" t="s">
        <v>1781</v>
      </c>
      <c r="C613" s="18" t="s">
        <v>362</v>
      </c>
      <c r="D613" s="18" t="s">
        <v>115</v>
      </c>
      <c r="E613" s="26">
        <v>44983</v>
      </c>
      <c r="F613" s="18" t="s">
        <v>1782</v>
      </c>
      <c r="G613" s="18" t="s">
        <v>132</v>
      </c>
      <c r="H613" s="18">
        <v>5.6</v>
      </c>
      <c r="I613" s="18">
        <v>399</v>
      </c>
      <c r="J613" s="18">
        <v>0</v>
      </c>
      <c r="K613" s="18">
        <v>2234.4</v>
      </c>
      <c r="L613" s="18" t="s">
        <v>146</v>
      </c>
      <c r="M613" s="18" t="s">
        <v>119</v>
      </c>
      <c r="N613" s="28">
        <v>44983.459722222222</v>
      </c>
      <c r="O613" s="28">
        <v>44983.990972222222</v>
      </c>
      <c r="P613" s="18">
        <v>4.5</v>
      </c>
      <c r="Q613" s="18" t="b">
        <f>FALSE()</f>
        <v>0</v>
      </c>
      <c r="R613" s="18" t="b">
        <f>FALSE()</f>
        <v>0</v>
      </c>
      <c r="S613" s="19">
        <f t="shared" si="9"/>
        <v>12.8</v>
      </c>
      <c r="T613">
        <f>COUNTIF('👤 Customers'!$A:$A, B613)</f>
        <v>1</v>
      </c>
      <c r="U613">
        <f>COUNTIF('🚴 Riders'!A612:A672, C613)</f>
        <v>0</v>
      </c>
      <c r="V613">
        <f>COUNTIF('🏭 Facilities'!A612:A620, D613)</f>
        <v>0</v>
      </c>
    </row>
    <row r="614" spans="1:22">
      <c r="A614" s="16" t="s">
        <v>1783</v>
      </c>
      <c r="B614" s="16" t="s">
        <v>791</v>
      </c>
      <c r="C614" s="16" t="s">
        <v>1092</v>
      </c>
      <c r="D614" s="16" t="s">
        <v>197</v>
      </c>
      <c r="E614" s="25">
        <v>45226</v>
      </c>
      <c r="F614" s="16" t="s">
        <v>1784</v>
      </c>
      <c r="G614" s="16" t="s">
        <v>117</v>
      </c>
      <c r="H614" s="16">
        <v>5.2</v>
      </c>
      <c r="I614" s="16">
        <v>149</v>
      </c>
      <c r="J614" s="16">
        <v>0</v>
      </c>
      <c r="K614" s="16">
        <v>774.8</v>
      </c>
      <c r="L614" s="16" t="s">
        <v>146</v>
      </c>
      <c r="M614" s="16" t="s">
        <v>119</v>
      </c>
      <c r="N614" s="27">
        <v>45226.599305555559</v>
      </c>
      <c r="O614" s="27">
        <v>45227.507638888892</v>
      </c>
      <c r="P614" s="16">
        <v>4.7</v>
      </c>
      <c r="Q614" s="16" t="b">
        <f>FALSE()</f>
        <v>0</v>
      </c>
      <c r="R614" s="16" t="b">
        <f>FALSE()</f>
        <v>0</v>
      </c>
      <c r="S614" s="17">
        <f t="shared" si="9"/>
        <v>21.8</v>
      </c>
      <c r="T614">
        <f>COUNTIF('👤 Customers'!$A:$A, B614)</f>
        <v>1</v>
      </c>
      <c r="U614">
        <f>COUNTIF('🚴 Riders'!A613:A673, C614)</f>
        <v>0</v>
      </c>
      <c r="V614">
        <f>COUNTIF('🏭 Facilities'!A613:A621, D614)</f>
        <v>0</v>
      </c>
    </row>
    <row r="615" spans="1:22">
      <c r="A615" s="18" t="s">
        <v>1785</v>
      </c>
      <c r="B615" s="18" t="s">
        <v>1503</v>
      </c>
      <c r="C615" s="18" t="s">
        <v>717</v>
      </c>
      <c r="D615" s="18" t="s">
        <v>137</v>
      </c>
      <c r="E615" s="26">
        <v>45173</v>
      </c>
      <c r="F615" s="18" t="s">
        <v>1786</v>
      </c>
      <c r="G615" s="18" t="s">
        <v>117</v>
      </c>
      <c r="H615" s="18">
        <v>2.4</v>
      </c>
      <c r="I615" s="18">
        <v>149</v>
      </c>
      <c r="J615" s="18">
        <v>0</v>
      </c>
      <c r="K615" s="18">
        <v>357.6</v>
      </c>
      <c r="L615" s="18" t="s">
        <v>146</v>
      </c>
      <c r="M615" s="18" t="s">
        <v>119</v>
      </c>
      <c r="N615" s="28">
        <v>45173.92291666667</v>
      </c>
      <c r="O615" s="28">
        <v>45174.992361111108</v>
      </c>
      <c r="P615" s="18">
        <v>3.3</v>
      </c>
      <c r="Q615" s="18" t="b">
        <f>FALSE()</f>
        <v>0</v>
      </c>
      <c r="R615" s="18" t="b">
        <f>FALSE()</f>
        <v>0</v>
      </c>
      <c r="S615" s="19">
        <f t="shared" si="9"/>
        <v>25.7</v>
      </c>
      <c r="T615">
        <f>COUNTIF('👤 Customers'!$A:$A, B615)</f>
        <v>1</v>
      </c>
      <c r="U615">
        <f>COUNTIF('🚴 Riders'!A614:A674, C615)</f>
        <v>0</v>
      </c>
      <c r="V615">
        <f>COUNTIF('🏭 Facilities'!A614:A622, D615)</f>
        <v>0</v>
      </c>
    </row>
    <row r="616" spans="1:22">
      <c r="A616" s="16" t="s">
        <v>1787</v>
      </c>
      <c r="B616" s="16" t="s">
        <v>1788</v>
      </c>
      <c r="C616" s="16" t="s">
        <v>122</v>
      </c>
      <c r="D616" s="16" t="s">
        <v>184</v>
      </c>
      <c r="E616" s="25">
        <v>45148</v>
      </c>
      <c r="F616" s="16" t="s">
        <v>1789</v>
      </c>
      <c r="G616" s="16" t="s">
        <v>125</v>
      </c>
      <c r="H616" s="16">
        <v>5.5</v>
      </c>
      <c r="I616" s="16">
        <v>199</v>
      </c>
      <c r="J616" s="16">
        <v>20</v>
      </c>
      <c r="K616" s="16">
        <v>875.6</v>
      </c>
      <c r="L616" s="16" t="s">
        <v>118</v>
      </c>
      <c r="M616" s="16" t="s">
        <v>119</v>
      </c>
      <c r="N616" s="27">
        <v>45148.54791666667</v>
      </c>
      <c r="O616" s="27">
        <v>45149.122916666667</v>
      </c>
      <c r="P616" s="16">
        <v>4.0999999999999996</v>
      </c>
      <c r="Q616" s="16" t="b">
        <f>TRUE()</f>
        <v>1</v>
      </c>
      <c r="R616" s="16" t="b">
        <f>TRUE()</f>
        <v>1</v>
      </c>
      <c r="S616" s="17">
        <f t="shared" si="9"/>
        <v>13.8</v>
      </c>
      <c r="T616">
        <f>COUNTIF('👤 Customers'!$A:$A, B616)</f>
        <v>1</v>
      </c>
      <c r="U616">
        <f>COUNTIF('🚴 Riders'!A615:A675, C616)</f>
        <v>0</v>
      </c>
      <c r="V616">
        <f>COUNTIF('🏭 Facilities'!A615:A623, D616)</f>
        <v>0</v>
      </c>
    </row>
    <row r="617" spans="1:22">
      <c r="A617" s="18" t="s">
        <v>1790</v>
      </c>
      <c r="B617" s="18" t="s">
        <v>925</v>
      </c>
      <c r="C617" s="18" t="s">
        <v>174</v>
      </c>
      <c r="D617" s="18" t="s">
        <v>158</v>
      </c>
      <c r="E617" s="26">
        <v>45550</v>
      </c>
      <c r="F617" s="18" t="s">
        <v>1791</v>
      </c>
      <c r="G617" s="18" t="s">
        <v>145</v>
      </c>
      <c r="H617" s="18">
        <v>6.1</v>
      </c>
      <c r="I617" s="18">
        <v>299</v>
      </c>
      <c r="J617" s="18">
        <v>0</v>
      </c>
      <c r="K617" s="18">
        <v>1823.9</v>
      </c>
      <c r="L617" s="18" t="s">
        <v>118</v>
      </c>
      <c r="M617" s="18" t="s">
        <v>119</v>
      </c>
      <c r="N617" s="28">
        <v>45550.40902777778</v>
      </c>
      <c r="O617" s="28">
        <v>45551.144444444442</v>
      </c>
      <c r="P617" s="18">
        <v>4.2</v>
      </c>
      <c r="Q617" s="18" t="b">
        <f>FALSE()</f>
        <v>0</v>
      </c>
      <c r="R617" s="18" t="b">
        <f>FALSE()</f>
        <v>0</v>
      </c>
      <c r="S617" s="19">
        <f t="shared" si="9"/>
        <v>17.600000000000001</v>
      </c>
      <c r="T617">
        <f>COUNTIF('👤 Customers'!$A:$A, B617)</f>
        <v>1</v>
      </c>
      <c r="U617">
        <f>COUNTIF('🚴 Riders'!A616:A676, C617)</f>
        <v>0</v>
      </c>
      <c r="V617">
        <f>COUNTIF('🏭 Facilities'!A616:A624, D617)</f>
        <v>0</v>
      </c>
    </row>
    <row r="618" spans="1:22">
      <c r="A618" s="16" t="s">
        <v>1792</v>
      </c>
      <c r="B618" s="16" t="s">
        <v>1793</v>
      </c>
      <c r="C618" s="16" t="s">
        <v>114</v>
      </c>
      <c r="D618" s="16" t="s">
        <v>158</v>
      </c>
      <c r="E618" s="25">
        <v>45634</v>
      </c>
      <c r="F618" s="16" t="s">
        <v>1794</v>
      </c>
      <c r="G618" s="16" t="s">
        <v>125</v>
      </c>
      <c r="H618" s="16">
        <v>6.9</v>
      </c>
      <c r="I618" s="16">
        <v>199</v>
      </c>
      <c r="J618" s="16">
        <v>20</v>
      </c>
      <c r="K618" s="16">
        <v>1098.48</v>
      </c>
      <c r="L618" s="16" t="s">
        <v>207</v>
      </c>
      <c r="M618" s="16" t="s">
        <v>119</v>
      </c>
      <c r="N618" s="27">
        <v>45634.209027777775</v>
      </c>
      <c r="O618" s="27">
        <v>45634.537499999999</v>
      </c>
      <c r="P618" s="16">
        <v>2.9</v>
      </c>
      <c r="Q618" s="16" t="b">
        <f>FALSE()</f>
        <v>0</v>
      </c>
      <c r="R618" s="16" t="b">
        <f>FALSE()</f>
        <v>0</v>
      </c>
      <c r="S618" s="17">
        <f t="shared" si="9"/>
        <v>7.9</v>
      </c>
      <c r="T618">
        <f>COUNTIF('👤 Customers'!$A:$A, B618)</f>
        <v>1</v>
      </c>
      <c r="U618">
        <f>COUNTIF('🚴 Riders'!A617:A677, C618)</f>
        <v>0</v>
      </c>
      <c r="V618">
        <f>COUNTIF('🏭 Facilities'!A617:A625, D618)</f>
        <v>0</v>
      </c>
    </row>
    <row r="619" spans="1:22">
      <c r="A619" s="18" t="s">
        <v>1795</v>
      </c>
      <c r="B619" s="18" t="s">
        <v>695</v>
      </c>
      <c r="C619" s="18" t="s">
        <v>261</v>
      </c>
      <c r="D619" s="18" t="s">
        <v>197</v>
      </c>
      <c r="E619" s="26">
        <v>45213</v>
      </c>
      <c r="F619" s="18" t="s">
        <v>1796</v>
      </c>
      <c r="G619" s="18" t="s">
        <v>176</v>
      </c>
      <c r="H619" s="18">
        <v>7.9</v>
      </c>
      <c r="I619" s="18">
        <v>599</v>
      </c>
      <c r="J619" s="18">
        <v>20</v>
      </c>
      <c r="K619" s="18">
        <v>3785.68</v>
      </c>
      <c r="L619" s="18" t="s">
        <v>118</v>
      </c>
      <c r="M619" s="18" t="s">
        <v>119</v>
      </c>
      <c r="N619" s="28">
        <v>45213.575694444444</v>
      </c>
      <c r="O619" s="28">
        <v>45214.465277777781</v>
      </c>
      <c r="P619" s="18">
        <v>3.3</v>
      </c>
      <c r="Q619" s="18" t="b">
        <f>FALSE()</f>
        <v>0</v>
      </c>
      <c r="R619" s="18" t="b">
        <f>FALSE()</f>
        <v>0</v>
      </c>
      <c r="S619" s="19">
        <f t="shared" si="9"/>
        <v>21.4</v>
      </c>
      <c r="T619">
        <f>COUNTIF('👤 Customers'!$A:$A, B619)</f>
        <v>1</v>
      </c>
      <c r="U619">
        <f>COUNTIF('🚴 Riders'!A618:A678, C619)</f>
        <v>0</v>
      </c>
      <c r="V619">
        <f>COUNTIF('🏭 Facilities'!A618:A626, D619)</f>
        <v>0</v>
      </c>
    </row>
    <row r="620" spans="1:22">
      <c r="A620" s="16" t="s">
        <v>1797</v>
      </c>
      <c r="B620" s="16" t="s">
        <v>165</v>
      </c>
      <c r="C620" s="16" t="s">
        <v>350</v>
      </c>
      <c r="D620" s="16" t="s">
        <v>158</v>
      </c>
      <c r="E620" s="25">
        <v>45136</v>
      </c>
      <c r="F620" s="16" t="s">
        <v>1798</v>
      </c>
      <c r="G620" s="16" t="s">
        <v>132</v>
      </c>
      <c r="H620" s="16">
        <v>7.5</v>
      </c>
      <c r="I620" s="16">
        <v>399</v>
      </c>
      <c r="J620" s="16">
        <v>0</v>
      </c>
      <c r="K620" s="16">
        <v>2992.5</v>
      </c>
      <c r="L620" s="16" t="s">
        <v>139</v>
      </c>
      <c r="M620" s="16" t="s">
        <v>119</v>
      </c>
      <c r="N620" s="27">
        <v>45136.686111111114</v>
      </c>
      <c r="O620" s="27">
        <v>45137.686805555553</v>
      </c>
      <c r="P620" s="16">
        <v>4.2</v>
      </c>
      <c r="Q620" s="16" t="b">
        <f>FALSE()</f>
        <v>0</v>
      </c>
      <c r="R620" s="16" t="b">
        <f>FALSE()</f>
        <v>0</v>
      </c>
      <c r="S620" s="17">
        <f t="shared" si="9"/>
        <v>24</v>
      </c>
      <c r="T620">
        <f>COUNTIF('👤 Customers'!$A:$A, B620)</f>
        <v>1</v>
      </c>
      <c r="U620">
        <f>COUNTIF('🚴 Riders'!A619:A679, C620)</f>
        <v>0</v>
      </c>
      <c r="V620">
        <f>COUNTIF('🏭 Facilities'!A619:A627, D620)</f>
        <v>0</v>
      </c>
    </row>
    <row r="621" spans="1:22">
      <c r="A621" s="18" t="s">
        <v>1799</v>
      </c>
      <c r="B621" s="18" t="s">
        <v>271</v>
      </c>
      <c r="C621" s="18" t="s">
        <v>300</v>
      </c>
      <c r="D621" s="18" t="s">
        <v>205</v>
      </c>
      <c r="E621" s="26">
        <v>45298</v>
      </c>
      <c r="F621" s="18" t="s">
        <v>1800</v>
      </c>
      <c r="G621" s="18" t="s">
        <v>145</v>
      </c>
      <c r="H621" s="18">
        <v>7.8</v>
      </c>
      <c r="I621" s="18">
        <v>299</v>
      </c>
      <c r="J621" s="18">
        <v>0</v>
      </c>
      <c r="K621" s="18">
        <v>2332.1999999999998</v>
      </c>
      <c r="L621" s="18" t="s">
        <v>146</v>
      </c>
      <c r="M621" s="18" t="s">
        <v>140</v>
      </c>
      <c r="N621" s="28">
        <v>45298.307638888888</v>
      </c>
      <c r="O621" s="28">
        <v>45298.731944444444</v>
      </c>
      <c r="P621" s="20"/>
      <c r="Q621" s="18" t="b">
        <f>FALSE()</f>
        <v>0</v>
      </c>
      <c r="R621" s="18" t="b">
        <f>FALSE()</f>
        <v>0</v>
      </c>
      <c r="S621" s="19">
        <f t="shared" si="9"/>
        <v>10.199999999999999</v>
      </c>
      <c r="T621">
        <f>COUNTIF('👤 Customers'!$A:$A, B621)</f>
        <v>1</v>
      </c>
      <c r="U621">
        <f>COUNTIF('🚴 Riders'!A620:A680, C621)</f>
        <v>0</v>
      </c>
      <c r="V621">
        <f>COUNTIF('🏭 Facilities'!A620:A628, D621)</f>
        <v>0</v>
      </c>
    </row>
    <row r="622" spans="1:22">
      <c r="A622" s="16" t="s">
        <v>1801</v>
      </c>
      <c r="B622" s="16" t="s">
        <v>1802</v>
      </c>
      <c r="C622" s="16" t="s">
        <v>188</v>
      </c>
      <c r="D622" s="16" t="s">
        <v>130</v>
      </c>
      <c r="E622" s="25">
        <v>45429</v>
      </c>
      <c r="F622" s="16" t="s">
        <v>1803</v>
      </c>
      <c r="G622" s="16" t="s">
        <v>132</v>
      </c>
      <c r="H622" s="16">
        <v>5.9</v>
      </c>
      <c r="I622" s="16">
        <v>399</v>
      </c>
      <c r="J622" s="16">
        <v>0</v>
      </c>
      <c r="K622" s="16">
        <v>2354.1</v>
      </c>
      <c r="L622" s="16" t="s">
        <v>139</v>
      </c>
      <c r="M622" s="16" t="s">
        <v>119</v>
      </c>
      <c r="N622" s="27">
        <v>45429.673611111109</v>
      </c>
      <c r="O622" s="27">
        <v>45429.993055555555</v>
      </c>
      <c r="P622" s="16">
        <v>2.8</v>
      </c>
      <c r="Q622" s="16" t="b">
        <f>FALSE()</f>
        <v>0</v>
      </c>
      <c r="R622" s="16" t="b">
        <f>FALSE()</f>
        <v>0</v>
      </c>
      <c r="S622" s="17">
        <f t="shared" si="9"/>
        <v>7.7</v>
      </c>
      <c r="T622">
        <f>COUNTIF('👤 Customers'!$A:$A, B622)</f>
        <v>1</v>
      </c>
      <c r="U622">
        <f>COUNTIF('🚴 Riders'!A621:A681, C622)</f>
        <v>0</v>
      </c>
      <c r="V622">
        <f>COUNTIF('🏭 Facilities'!A621:A629, D622)</f>
        <v>0</v>
      </c>
    </row>
    <row r="623" spans="1:22">
      <c r="A623" s="18" t="s">
        <v>1804</v>
      </c>
      <c r="B623" s="18" t="s">
        <v>303</v>
      </c>
      <c r="C623" s="18" t="s">
        <v>170</v>
      </c>
      <c r="D623" s="18" t="s">
        <v>137</v>
      </c>
      <c r="E623" s="26">
        <v>45336</v>
      </c>
      <c r="F623" s="18" t="s">
        <v>1805</v>
      </c>
      <c r="G623" s="18" t="s">
        <v>176</v>
      </c>
      <c r="H623" s="18">
        <v>7</v>
      </c>
      <c r="I623" s="18">
        <v>599</v>
      </c>
      <c r="J623" s="18">
        <v>10</v>
      </c>
      <c r="K623" s="18">
        <v>3773.7</v>
      </c>
      <c r="L623" s="18" t="s">
        <v>207</v>
      </c>
      <c r="M623" s="18" t="s">
        <v>119</v>
      </c>
      <c r="N623" s="28">
        <v>45336.957638888889</v>
      </c>
      <c r="O623" s="28">
        <v>45337.811111111114</v>
      </c>
      <c r="P623" s="18">
        <v>4.8</v>
      </c>
      <c r="Q623" s="18" t="b">
        <f>FALSE()</f>
        <v>0</v>
      </c>
      <c r="R623" s="18" t="b">
        <f>FALSE()</f>
        <v>0</v>
      </c>
      <c r="S623" s="19">
        <f t="shared" si="9"/>
        <v>20.5</v>
      </c>
      <c r="T623">
        <f>COUNTIF('👤 Customers'!$A:$A, B623)</f>
        <v>1</v>
      </c>
      <c r="U623">
        <f>COUNTIF('🚴 Riders'!A622:A682, C623)</f>
        <v>0</v>
      </c>
      <c r="V623">
        <f>COUNTIF('🏭 Facilities'!A622:A630, D623)</f>
        <v>0</v>
      </c>
    </row>
    <row r="624" spans="1:22">
      <c r="A624" s="16" t="s">
        <v>1806</v>
      </c>
      <c r="B624" s="16" t="s">
        <v>1807</v>
      </c>
      <c r="C624" s="16" t="s">
        <v>483</v>
      </c>
      <c r="D624" s="16" t="s">
        <v>197</v>
      </c>
      <c r="E624" s="25">
        <v>45408</v>
      </c>
      <c r="F624" s="16" t="s">
        <v>1808</v>
      </c>
      <c r="G624" s="16" t="s">
        <v>176</v>
      </c>
      <c r="H624" s="16">
        <v>2.4</v>
      </c>
      <c r="I624" s="16">
        <v>599</v>
      </c>
      <c r="J624" s="16">
        <v>0</v>
      </c>
      <c r="K624" s="16">
        <v>1437.6</v>
      </c>
      <c r="L624" s="16" t="s">
        <v>207</v>
      </c>
      <c r="M624" s="16" t="s">
        <v>119</v>
      </c>
      <c r="N624" s="27">
        <v>45409.000694444447</v>
      </c>
      <c r="O624" s="27">
        <v>45409.440972222219</v>
      </c>
      <c r="P624" s="16">
        <v>3.7</v>
      </c>
      <c r="Q624" s="16" t="b">
        <f>TRUE()</f>
        <v>1</v>
      </c>
      <c r="R624" s="16" t="b">
        <f>TRUE()</f>
        <v>1</v>
      </c>
      <c r="S624" s="17">
        <f t="shared" si="9"/>
        <v>10.6</v>
      </c>
      <c r="T624">
        <f>COUNTIF('👤 Customers'!$A:$A, B624)</f>
        <v>1</v>
      </c>
      <c r="U624">
        <f>COUNTIF('🚴 Riders'!A623:A683, C624)</f>
        <v>0</v>
      </c>
      <c r="V624">
        <f>COUNTIF('🏭 Facilities'!A623:A631, D624)</f>
        <v>0</v>
      </c>
    </row>
    <row r="625" spans="1:22">
      <c r="A625" s="18" t="s">
        <v>1809</v>
      </c>
      <c r="B625" s="18" t="s">
        <v>169</v>
      </c>
      <c r="C625" s="18" t="s">
        <v>300</v>
      </c>
      <c r="D625" s="18" t="s">
        <v>205</v>
      </c>
      <c r="E625" s="26">
        <v>44939</v>
      </c>
      <c r="F625" s="18" t="s">
        <v>1810</v>
      </c>
      <c r="G625" s="18" t="s">
        <v>145</v>
      </c>
      <c r="H625" s="18">
        <v>2.2999999999999998</v>
      </c>
      <c r="I625" s="18">
        <v>299</v>
      </c>
      <c r="J625" s="18">
        <v>0</v>
      </c>
      <c r="K625" s="18">
        <v>687.7</v>
      </c>
      <c r="L625" s="18" t="s">
        <v>139</v>
      </c>
      <c r="M625" s="18" t="s">
        <v>140</v>
      </c>
      <c r="N625" s="28">
        <v>44939.981944444444</v>
      </c>
      <c r="O625" s="28">
        <v>44940.54791666667</v>
      </c>
      <c r="P625" s="20"/>
      <c r="Q625" s="18" t="b">
        <f>FALSE()</f>
        <v>0</v>
      </c>
      <c r="R625" s="18" t="b">
        <f>FALSE()</f>
        <v>0</v>
      </c>
      <c r="S625" s="19">
        <f t="shared" si="9"/>
        <v>13.6</v>
      </c>
      <c r="T625">
        <f>COUNTIF('👤 Customers'!$A:$A, B625)</f>
        <v>1</v>
      </c>
      <c r="U625">
        <f>COUNTIF('🚴 Riders'!A624:A684, C625)</f>
        <v>0</v>
      </c>
      <c r="V625">
        <f>COUNTIF('🏭 Facilities'!A624:A632, D625)</f>
        <v>0</v>
      </c>
    </row>
    <row r="626" spans="1:22">
      <c r="A626" s="16" t="s">
        <v>1811</v>
      </c>
      <c r="B626" s="16" t="s">
        <v>1356</v>
      </c>
      <c r="C626" s="16" t="s">
        <v>232</v>
      </c>
      <c r="D626" s="16" t="s">
        <v>123</v>
      </c>
      <c r="E626" s="25">
        <v>45261</v>
      </c>
      <c r="F626" s="16" t="s">
        <v>1812</v>
      </c>
      <c r="G626" s="16" t="s">
        <v>176</v>
      </c>
      <c r="H626" s="16">
        <v>3.3</v>
      </c>
      <c r="I626" s="16">
        <v>599</v>
      </c>
      <c r="J626" s="16">
        <v>0</v>
      </c>
      <c r="K626" s="16">
        <v>1976.7</v>
      </c>
      <c r="L626" s="16" t="s">
        <v>207</v>
      </c>
      <c r="M626" s="16" t="s">
        <v>119</v>
      </c>
      <c r="N626" s="27">
        <v>45261.68472222222</v>
      </c>
      <c r="O626" s="27">
        <v>45262.523611111108</v>
      </c>
      <c r="P626" s="16">
        <v>3.5</v>
      </c>
      <c r="Q626" s="16" t="b">
        <f>FALSE()</f>
        <v>0</v>
      </c>
      <c r="R626" s="16" t="b">
        <f>FALSE()</f>
        <v>0</v>
      </c>
      <c r="S626" s="17">
        <f t="shared" si="9"/>
        <v>20.100000000000001</v>
      </c>
      <c r="T626">
        <f>COUNTIF('👤 Customers'!$A:$A, B626)</f>
        <v>1</v>
      </c>
      <c r="U626">
        <f>COUNTIF('🚴 Riders'!A625:A685, C626)</f>
        <v>0</v>
      </c>
      <c r="V626">
        <f>COUNTIF('🏭 Facilities'!A625:A633, D626)</f>
        <v>0</v>
      </c>
    </row>
    <row r="627" spans="1:22">
      <c r="A627" s="18" t="s">
        <v>1813</v>
      </c>
      <c r="B627" s="18" t="s">
        <v>1295</v>
      </c>
      <c r="C627" s="18" t="s">
        <v>122</v>
      </c>
      <c r="D627" s="18" t="s">
        <v>123</v>
      </c>
      <c r="E627" s="26">
        <v>45310</v>
      </c>
      <c r="F627" s="18" t="s">
        <v>1814</v>
      </c>
      <c r="G627" s="18" t="s">
        <v>176</v>
      </c>
      <c r="H627" s="18">
        <v>4</v>
      </c>
      <c r="I627" s="18">
        <v>599</v>
      </c>
      <c r="J627" s="18">
        <v>10</v>
      </c>
      <c r="K627" s="18">
        <v>2156.4</v>
      </c>
      <c r="L627" s="18" t="s">
        <v>207</v>
      </c>
      <c r="M627" s="18" t="s">
        <v>140</v>
      </c>
      <c r="N627" s="28">
        <v>45310.459722222222</v>
      </c>
      <c r="O627" s="28">
        <v>45310.844444444447</v>
      </c>
      <c r="P627" s="20"/>
      <c r="Q627" s="18" t="b">
        <f>TRUE()</f>
        <v>1</v>
      </c>
      <c r="R627" s="18" t="b">
        <f>TRUE()</f>
        <v>1</v>
      </c>
      <c r="S627" s="19">
        <f t="shared" si="9"/>
        <v>9.1999999999999993</v>
      </c>
      <c r="T627">
        <f>COUNTIF('👤 Customers'!$A:$A, B627)</f>
        <v>1</v>
      </c>
      <c r="U627">
        <f>COUNTIF('🚴 Riders'!A626:A686, C627)</f>
        <v>0</v>
      </c>
      <c r="V627">
        <f>COUNTIF('🏭 Facilities'!A626:A634, D627)</f>
        <v>0</v>
      </c>
    </row>
    <row r="628" spans="1:22">
      <c r="A628" s="16" t="s">
        <v>1815</v>
      </c>
      <c r="B628" s="16" t="s">
        <v>1631</v>
      </c>
      <c r="C628" s="16" t="s">
        <v>236</v>
      </c>
      <c r="D628" s="16" t="s">
        <v>130</v>
      </c>
      <c r="E628" s="25">
        <v>45102</v>
      </c>
      <c r="F628" s="16" t="s">
        <v>1816</v>
      </c>
      <c r="G628" s="16" t="s">
        <v>176</v>
      </c>
      <c r="H628" s="16">
        <v>5.9</v>
      </c>
      <c r="I628" s="16">
        <v>599</v>
      </c>
      <c r="J628" s="16">
        <v>0</v>
      </c>
      <c r="K628" s="16">
        <v>3534.1</v>
      </c>
      <c r="L628" s="16" t="s">
        <v>207</v>
      </c>
      <c r="M628" s="16" t="s">
        <v>119</v>
      </c>
      <c r="N628" s="27">
        <v>45102.936111111114</v>
      </c>
      <c r="O628" s="27">
        <v>45103.851388888892</v>
      </c>
      <c r="P628" s="16">
        <v>4.5</v>
      </c>
      <c r="Q628" s="16" t="b">
        <f>FALSE()</f>
        <v>0</v>
      </c>
      <c r="R628" s="16" t="b">
        <f>FALSE()</f>
        <v>0</v>
      </c>
      <c r="S628" s="17">
        <f t="shared" si="9"/>
        <v>22</v>
      </c>
      <c r="T628">
        <f>COUNTIF('👤 Customers'!$A:$A, B628)</f>
        <v>1</v>
      </c>
      <c r="U628">
        <f>COUNTIF('🚴 Riders'!A627:A687, C628)</f>
        <v>0</v>
      </c>
      <c r="V628">
        <f>COUNTIF('🏭 Facilities'!A627:A635, D628)</f>
        <v>0</v>
      </c>
    </row>
    <row r="629" spans="1:22">
      <c r="A629" s="18" t="s">
        <v>1817</v>
      </c>
      <c r="B629" s="18" t="s">
        <v>1033</v>
      </c>
      <c r="C629" s="18" t="s">
        <v>170</v>
      </c>
      <c r="D629" s="18" t="s">
        <v>130</v>
      </c>
      <c r="E629" s="26">
        <v>45390</v>
      </c>
      <c r="F629" s="18" t="s">
        <v>1818</v>
      </c>
      <c r="G629" s="18" t="s">
        <v>117</v>
      </c>
      <c r="H629" s="18">
        <v>6.1</v>
      </c>
      <c r="I629" s="18">
        <v>149</v>
      </c>
      <c r="J629" s="18">
        <v>0</v>
      </c>
      <c r="K629" s="18">
        <v>908.9</v>
      </c>
      <c r="L629" s="18" t="s">
        <v>207</v>
      </c>
      <c r="M629" s="18" t="s">
        <v>133</v>
      </c>
      <c r="N629" s="20"/>
      <c r="O629" s="20"/>
      <c r="P629" s="20"/>
      <c r="Q629" s="18" t="b">
        <f>FALSE()</f>
        <v>0</v>
      </c>
      <c r="R629" s="18" t="b">
        <f>TRUE()</f>
        <v>1</v>
      </c>
      <c r="S629" s="19" t="str">
        <f t="shared" si="9"/>
        <v>N/A</v>
      </c>
      <c r="T629">
        <f>COUNTIF('👤 Customers'!$A:$A, B629)</f>
        <v>1</v>
      </c>
      <c r="U629">
        <f>COUNTIF('🚴 Riders'!A628:A688, C629)</f>
        <v>0</v>
      </c>
      <c r="V629">
        <f>COUNTIF('🏭 Facilities'!A628:A636, D629)</f>
        <v>0</v>
      </c>
    </row>
    <row r="630" spans="1:22">
      <c r="A630" s="16" t="s">
        <v>1819</v>
      </c>
      <c r="B630" s="16" t="s">
        <v>1562</v>
      </c>
      <c r="C630" s="16" t="s">
        <v>343</v>
      </c>
      <c r="D630" s="16" t="s">
        <v>197</v>
      </c>
      <c r="E630" s="25">
        <v>45072</v>
      </c>
      <c r="F630" s="16" t="s">
        <v>1820</v>
      </c>
      <c r="G630" s="16" t="s">
        <v>117</v>
      </c>
      <c r="H630" s="16">
        <v>7.3</v>
      </c>
      <c r="I630" s="16">
        <v>149</v>
      </c>
      <c r="J630" s="16">
        <v>0</v>
      </c>
      <c r="K630" s="16">
        <v>1087.7</v>
      </c>
      <c r="L630" s="16" t="s">
        <v>207</v>
      </c>
      <c r="M630" s="16" t="s">
        <v>119</v>
      </c>
      <c r="N630" s="27">
        <v>45072.632638888892</v>
      </c>
      <c r="O630" s="27">
        <v>45073.246527777781</v>
      </c>
      <c r="P630" s="16">
        <v>4.2</v>
      </c>
      <c r="Q630" s="16" t="b">
        <f>FALSE()</f>
        <v>0</v>
      </c>
      <c r="R630" s="16" t="b">
        <f>FALSE()</f>
        <v>0</v>
      </c>
      <c r="S630" s="17">
        <f t="shared" si="9"/>
        <v>14.7</v>
      </c>
      <c r="T630">
        <f>COUNTIF('👤 Customers'!$A:$A, B630)</f>
        <v>1</v>
      </c>
      <c r="U630">
        <f>COUNTIF('🚴 Riders'!A629:A689, C630)</f>
        <v>0</v>
      </c>
      <c r="V630">
        <f>COUNTIF('🏭 Facilities'!A629:A637, D630)</f>
        <v>0</v>
      </c>
    </row>
    <row r="631" spans="1:22">
      <c r="A631" s="18" t="s">
        <v>1821</v>
      </c>
      <c r="B631" s="18" t="s">
        <v>121</v>
      </c>
      <c r="C631" s="18" t="s">
        <v>563</v>
      </c>
      <c r="D631" s="18" t="s">
        <v>130</v>
      </c>
      <c r="E631" s="26">
        <v>45295</v>
      </c>
      <c r="F631" s="18" t="s">
        <v>1822</v>
      </c>
      <c r="G631" s="18" t="s">
        <v>176</v>
      </c>
      <c r="H631" s="18">
        <v>1</v>
      </c>
      <c r="I631" s="18">
        <v>599</v>
      </c>
      <c r="J631" s="18">
        <v>20</v>
      </c>
      <c r="K631" s="18">
        <v>479.2</v>
      </c>
      <c r="L631" s="18" t="s">
        <v>146</v>
      </c>
      <c r="M631" s="18" t="s">
        <v>119</v>
      </c>
      <c r="N631" s="28">
        <v>45295.071527777778</v>
      </c>
      <c r="O631" s="28">
        <v>45296.024305555555</v>
      </c>
      <c r="P631" s="18">
        <v>3.8</v>
      </c>
      <c r="Q631" s="18" t="b">
        <f>FALSE()</f>
        <v>0</v>
      </c>
      <c r="R631" s="18" t="b">
        <f>FALSE()</f>
        <v>0</v>
      </c>
      <c r="S631" s="19">
        <f t="shared" si="9"/>
        <v>22.9</v>
      </c>
      <c r="T631">
        <f>COUNTIF('👤 Customers'!$A:$A, B631)</f>
        <v>1</v>
      </c>
      <c r="U631">
        <f>COUNTIF('🚴 Riders'!A630:A690, C631)</f>
        <v>0</v>
      </c>
      <c r="V631">
        <f>COUNTIF('🏭 Facilities'!A630:A638, D631)</f>
        <v>0</v>
      </c>
    </row>
    <row r="632" spans="1:22">
      <c r="A632" s="16" t="s">
        <v>1823</v>
      </c>
      <c r="B632" s="16" t="s">
        <v>1615</v>
      </c>
      <c r="C632" s="16" t="s">
        <v>343</v>
      </c>
      <c r="D632" s="16" t="s">
        <v>205</v>
      </c>
      <c r="E632" s="25">
        <v>45004</v>
      </c>
      <c r="F632" s="16" t="s">
        <v>1824</v>
      </c>
      <c r="G632" s="16" t="s">
        <v>117</v>
      </c>
      <c r="H632" s="16">
        <v>6.6</v>
      </c>
      <c r="I632" s="16">
        <v>149</v>
      </c>
      <c r="J632" s="16">
        <v>0</v>
      </c>
      <c r="K632" s="16">
        <v>983.4</v>
      </c>
      <c r="L632" s="16" t="s">
        <v>139</v>
      </c>
      <c r="M632" s="16" t="s">
        <v>119</v>
      </c>
      <c r="N632" s="27">
        <v>45004.793749999997</v>
      </c>
      <c r="O632" s="27">
        <v>45005.849305555559</v>
      </c>
      <c r="P632" s="16">
        <v>2.5</v>
      </c>
      <c r="Q632" s="16" t="b">
        <f>FALSE()</f>
        <v>0</v>
      </c>
      <c r="R632" s="16" t="b">
        <f>FALSE()</f>
        <v>0</v>
      </c>
      <c r="S632" s="17">
        <f t="shared" si="9"/>
        <v>25.3</v>
      </c>
      <c r="T632">
        <f>COUNTIF('👤 Customers'!$A:$A, B632)</f>
        <v>1</v>
      </c>
      <c r="U632">
        <f>COUNTIF('🚴 Riders'!A631:A691, C632)</f>
        <v>0</v>
      </c>
      <c r="V632">
        <f>COUNTIF('🏭 Facilities'!A631:A639, D632)</f>
        <v>0</v>
      </c>
    </row>
    <row r="633" spans="1:22">
      <c r="A633" s="18" t="s">
        <v>1825</v>
      </c>
      <c r="B633" s="18" t="s">
        <v>769</v>
      </c>
      <c r="C633" s="18" t="s">
        <v>308</v>
      </c>
      <c r="D633" s="18" t="s">
        <v>137</v>
      </c>
      <c r="E633" s="26">
        <v>45619</v>
      </c>
      <c r="F633" s="18" t="s">
        <v>1826</v>
      </c>
      <c r="G633" s="18" t="s">
        <v>176</v>
      </c>
      <c r="H633" s="18">
        <v>6.4</v>
      </c>
      <c r="I633" s="18">
        <v>599</v>
      </c>
      <c r="J633" s="18">
        <v>20</v>
      </c>
      <c r="K633" s="18">
        <v>3066.88</v>
      </c>
      <c r="L633" s="18" t="s">
        <v>139</v>
      </c>
      <c r="M633" s="18" t="s">
        <v>133</v>
      </c>
      <c r="N633" s="20"/>
      <c r="O633" s="20"/>
      <c r="P633" s="20"/>
      <c r="Q633" s="18" t="b">
        <f>FALSE()</f>
        <v>0</v>
      </c>
      <c r="R633" s="18" t="b">
        <f>FALSE()</f>
        <v>0</v>
      </c>
      <c r="S633" s="19" t="str">
        <f t="shared" si="9"/>
        <v>N/A</v>
      </c>
      <c r="T633">
        <f>COUNTIF('👤 Customers'!$A:$A, B633)</f>
        <v>1</v>
      </c>
      <c r="U633">
        <f>COUNTIF('🚴 Riders'!A632:A692, C633)</f>
        <v>0</v>
      </c>
      <c r="V633">
        <f>COUNTIF('🏭 Facilities'!A632:A640, D633)</f>
        <v>0</v>
      </c>
    </row>
    <row r="634" spans="1:22">
      <c r="A634" s="16" t="s">
        <v>1827</v>
      </c>
      <c r="B634" s="16" t="s">
        <v>142</v>
      </c>
      <c r="C634" s="16" t="s">
        <v>232</v>
      </c>
      <c r="D634" s="16" t="s">
        <v>158</v>
      </c>
      <c r="E634" s="25">
        <v>45037</v>
      </c>
      <c r="F634" s="16" t="s">
        <v>1828</v>
      </c>
      <c r="G634" s="16" t="s">
        <v>117</v>
      </c>
      <c r="H634" s="16">
        <v>4.5</v>
      </c>
      <c r="I634" s="16">
        <v>149</v>
      </c>
      <c r="J634" s="16">
        <v>0</v>
      </c>
      <c r="K634" s="16">
        <v>670.5</v>
      </c>
      <c r="L634" s="16" t="s">
        <v>126</v>
      </c>
      <c r="M634" s="16" t="s">
        <v>140</v>
      </c>
      <c r="N634" s="27">
        <v>45037.131944444445</v>
      </c>
      <c r="O634" s="27">
        <v>45037.763888888891</v>
      </c>
      <c r="P634" s="20"/>
      <c r="Q634" s="16" t="b">
        <f>FALSE()</f>
        <v>0</v>
      </c>
      <c r="R634" s="16" t="b">
        <f>FALSE()</f>
        <v>0</v>
      </c>
      <c r="S634" s="17">
        <f t="shared" si="9"/>
        <v>15.2</v>
      </c>
      <c r="T634">
        <f>COUNTIF('👤 Customers'!$A:$A, B634)</f>
        <v>1</v>
      </c>
      <c r="U634">
        <f>COUNTIF('🚴 Riders'!A633:A693, C634)</f>
        <v>0</v>
      </c>
      <c r="V634">
        <f>COUNTIF('🏭 Facilities'!A633:A641, D634)</f>
        <v>0</v>
      </c>
    </row>
    <row r="635" spans="1:22">
      <c r="A635" s="18" t="s">
        <v>1829</v>
      </c>
      <c r="B635" s="18" t="s">
        <v>216</v>
      </c>
      <c r="C635" s="18" t="s">
        <v>354</v>
      </c>
      <c r="D635" s="18" t="s">
        <v>158</v>
      </c>
      <c r="E635" s="26">
        <v>45454</v>
      </c>
      <c r="F635" s="18" t="s">
        <v>1830</v>
      </c>
      <c r="G635" s="18" t="s">
        <v>176</v>
      </c>
      <c r="H635" s="18">
        <v>7.3</v>
      </c>
      <c r="I635" s="18">
        <v>599</v>
      </c>
      <c r="J635" s="18">
        <v>0</v>
      </c>
      <c r="K635" s="18">
        <v>4372.7</v>
      </c>
      <c r="L635" s="18" t="s">
        <v>118</v>
      </c>
      <c r="M635" s="18" t="s">
        <v>133</v>
      </c>
      <c r="N635" s="20"/>
      <c r="O635" s="20"/>
      <c r="P635" s="20"/>
      <c r="Q635" s="18" t="b">
        <f>FALSE()</f>
        <v>0</v>
      </c>
      <c r="R635" s="18" t="b">
        <f>TRUE()</f>
        <v>1</v>
      </c>
      <c r="S635" s="19" t="str">
        <f t="shared" si="9"/>
        <v>N/A</v>
      </c>
      <c r="T635">
        <f>COUNTIF('👤 Customers'!$A:$A, B635)</f>
        <v>1</v>
      </c>
      <c r="U635">
        <f>COUNTIF('🚴 Riders'!A634:A694, C635)</f>
        <v>0</v>
      </c>
      <c r="V635">
        <f>COUNTIF('🏭 Facilities'!A634:A642, D635)</f>
        <v>0</v>
      </c>
    </row>
    <row r="636" spans="1:22">
      <c r="A636" s="16" t="s">
        <v>1831</v>
      </c>
      <c r="B636" s="16" t="s">
        <v>1832</v>
      </c>
      <c r="C636" s="16" t="s">
        <v>304</v>
      </c>
      <c r="D636" s="16" t="s">
        <v>115</v>
      </c>
      <c r="E636" s="25">
        <v>45330</v>
      </c>
      <c r="F636" s="16" t="s">
        <v>1833</v>
      </c>
      <c r="G636" s="16" t="s">
        <v>117</v>
      </c>
      <c r="H636" s="16">
        <v>6.8</v>
      </c>
      <c r="I636" s="16">
        <v>149</v>
      </c>
      <c r="J636" s="16">
        <v>0</v>
      </c>
      <c r="K636" s="16">
        <v>1013.2</v>
      </c>
      <c r="L636" s="16" t="s">
        <v>207</v>
      </c>
      <c r="M636" s="16" t="s">
        <v>119</v>
      </c>
      <c r="N636" s="27">
        <v>45331.05972222222</v>
      </c>
      <c r="O636" s="27">
        <v>45331.974305555559</v>
      </c>
      <c r="P636" s="16">
        <v>3.7</v>
      </c>
      <c r="Q636" s="16" t="b">
        <f>FALSE()</f>
        <v>0</v>
      </c>
      <c r="R636" s="16" t="b">
        <f>FALSE()</f>
        <v>0</v>
      </c>
      <c r="S636" s="17">
        <f t="shared" si="9"/>
        <v>22</v>
      </c>
      <c r="T636">
        <f>COUNTIF('👤 Customers'!$A:$A, B636)</f>
        <v>1</v>
      </c>
      <c r="U636">
        <f>COUNTIF('🚴 Riders'!A635:A695, C636)</f>
        <v>0</v>
      </c>
      <c r="V636">
        <f>COUNTIF('🏭 Facilities'!A635:A643, D636)</f>
        <v>0</v>
      </c>
    </row>
    <row r="637" spans="1:22">
      <c r="A637" s="18" t="s">
        <v>1834</v>
      </c>
      <c r="B637" s="18" t="s">
        <v>1207</v>
      </c>
      <c r="C637" s="18" t="s">
        <v>413</v>
      </c>
      <c r="D637" s="18" t="s">
        <v>197</v>
      </c>
      <c r="E637" s="26">
        <v>45411</v>
      </c>
      <c r="F637" s="18" t="s">
        <v>1835</v>
      </c>
      <c r="G637" s="18" t="s">
        <v>176</v>
      </c>
      <c r="H637" s="18">
        <v>5.7</v>
      </c>
      <c r="I637" s="18">
        <v>599</v>
      </c>
      <c r="J637" s="18">
        <v>0</v>
      </c>
      <c r="K637" s="18">
        <v>3414.3</v>
      </c>
      <c r="L637" s="18" t="s">
        <v>126</v>
      </c>
      <c r="M637" s="18" t="s">
        <v>119</v>
      </c>
      <c r="N637" s="28">
        <v>45411.54583333333</v>
      </c>
      <c r="O637" s="28">
        <v>45412.09652777778</v>
      </c>
      <c r="P637" s="18">
        <v>3.7</v>
      </c>
      <c r="Q637" s="18" t="b">
        <f>TRUE()</f>
        <v>1</v>
      </c>
      <c r="R637" s="18" t="b">
        <f>FALSE()</f>
        <v>0</v>
      </c>
      <c r="S637" s="19">
        <f t="shared" si="9"/>
        <v>13.2</v>
      </c>
      <c r="T637">
        <f>COUNTIF('👤 Customers'!$A:$A, B637)</f>
        <v>1</v>
      </c>
      <c r="U637">
        <f>COUNTIF('🚴 Riders'!A636:A696, C637)</f>
        <v>0</v>
      </c>
      <c r="V637">
        <f>COUNTIF('🏭 Facilities'!A636:A644, D637)</f>
        <v>0</v>
      </c>
    </row>
    <row r="638" spans="1:22">
      <c r="A638" s="16" t="s">
        <v>1836</v>
      </c>
      <c r="B638" s="16" t="s">
        <v>1837</v>
      </c>
      <c r="C638" s="16" t="s">
        <v>842</v>
      </c>
      <c r="D638" s="16" t="s">
        <v>197</v>
      </c>
      <c r="E638" s="25">
        <v>45574</v>
      </c>
      <c r="F638" s="16" t="s">
        <v>1838</v>
      </c>
      <c r="G638" s="16" t="s">
        <v>125</v>
      </c>
      <c r="H638" s="16">
        <v>1.3</v>
      </c>
      <c r="I638" s="16">
        <v>199</v>
      </c>
      <c r="J638" s="16">
        <v>0</v>
      </c>
      <c r="K638" s="16">
        <v>258.7</v>
      </c>
      <c r="L638" s="16" t="s">
        <v>118</v>
      </c>
      <c r="M638" s="16" t="s">
        <v>119</v>
      </c>
      <c r="N638" s="27">
        <v>45575.007638888892</v>
      </c>
      <c r="O638" s="27">
        <v>45575.755555555559</v>
      </c>
      <c r="P638" s="16">
        <v>2.9</v>
      </c>
      <c r="Q638" s="16" t="b">
        <f>FALSE()</f>
        <v>0</v>
      </c>
      <c r="R638" s="16" t="b">
        <f>FALSE()</f>
        <v>0</v>
      </c>
      <c r="S638" s="17">
        <f t="shared" si="9"/>
        <v>18</v>
      </c>
      <c r="T638">
        <f>COUNTIF('👤 Customers'!$A:$A, B638)</f>
        <v>1</v>
      </c>
      <c r="U638">
        <f>COUNTIF('🚴 Riders'!A637:A697, C638)</f>
        <v>0</v>
      </c>
      <c r="V638">
        <f>COUNTIF('🏭 Facilities'!A637:A645, D638)</f>
        <v>0</v>
      </c>
    </row>
    <row r="639" spans="1:22">
      <c r="A639" s="18" t="s">
        <v>1839</v>
      </c>
      <c r="B639" s="18" t="s">
        <v>1840</v>
      </c>
      <c r="C639" s="18" t="s">
        <v>580</v>
      </c>
      <c r="D639" s="18" t="s">
        <v>197</v>
      </c>
      <c r="E639" s="26">
        <v>45640</v>
      </c>
      <c r="F639" s="18" t="s">
        <v>1841</v>
      </c>
      <c r="G639" s="18" t="s">
        <v>125</v>
      </c>
      <c r="H639" s="18">
        <v>3</v>
      </c>
      <c r="I639" s="18">
        <v>199</v>
      </c>
      <c r="J639" s="18">
        <v>0</v>
      </c>
      <c r="K639" s="18">
        <v>597</v>
      </c>
      <c r="L639" s="18" t="s">
        <v>118</v>
      </c>
      <c r="M639" s="18" t="s">
        <v>119</v>
      </c>
      <c r="N639" s="28">
        <v>45640.290277777778</v>
      </c>
      <c r="O639" s="28">
        <v>45641.122916666667</v>
      </c>
      <c r="P639" s="18">
        <v>4.8</v>
      </c>
      <c r="Q639" s="18" t="b">
        <f>FALSE()</f>
        <v>0</v>
      </c>
      <c r="R639" s="18" t="b">
        <f>TRUE()</f>
        <v>1</v>
      </c>
      <c r="S639" s="19">
        <f t="shared" si="9"/>
        <v>20</v>
      </c>
      <c r="T639">
        <f>COUNTIF('👤 Customers'!$A:$A, B639)</f>
        <v>1</v>
      </c>
      <c r="U639">
        <f>COUNTIF('🚴 Riders'!A638:A698, C639)</f>
        <v>0</v>
      </c>
      <c r="V639">
        <f>COUNTIF('🏭 Facilities'!A638:A646, D639)</f>
        <v>0</v>
      </c>
    </row>
    <row r="640" spans="1:22">
      <c r="A640" s="16" t="s">
        <v>1842</v>
      </c>
      <c r="B640" s="16" t="s">
        <v>1694</v>
      </c>
      <c r="C640" s="16" t="s">
        <v>300</v>
      </c>
      <c r="D640" s="16" t="s">
        <v>123</v>
      </c>
      <c r="E640" s="25">
        <v>45265</v>
      </c>
      <c r="F640" s="16" t="s">
        <v>1843</v>
      </c>
      <c r="G640" s="16" t="s">
        <v>117</v>
      </c>
      <c r="H640" s="16">
        <v>6.6</v>
      </c>
      <c r="I640" s="16">
        <v>149</v>
      </c>
      <c r="J640" s="16">
        <v>0</v>
      </c>
      <c r="K640" s="16">
        <v>983.4</v>
      </c>
      <c r="L640" s="16" t="s">
        <v>146</v>
      </c>
      <c r="M640" s="16" t="s">
        <v>119</v>
      </c>
      <c r="N640" s="27">
        <v>45265.56527777778</v>
      </c>
      <c r="O640" s="27">
        <v>45266.186111111114</v>
      </c>
      <c r="P640" s="16">
        <v>4.8</v>
      </c>
      <c r="Q640" s="16" t="b">
        <f>FALSE()</f>
        <v>0</v>
      </c>
      <c r="R640" s="16" t="b">
        <f>TRUE()</f>
        <v>1</v>
      </c>
      <c r="S640" s="17">
        <f t="shared" si="9"/>
        <v>14.9</v>
      </c>
      <c r="T640">
        <f>COUNTIF('👤 Customers'!$A:$A, B640)</f>
        <v>1</v>
      </c>
      <c r="U640">
        <f>COUNTIF('🚴 Riders'!A639:A699, C640)</f>
        <v>0</v>
      </c>
      <c r="V640">
        <f>COUNTIF('🏭 Facilities'!A639:A647, D640)</f>
        <v>0</v>
      </c>
    </row>
    <row r="641" spans="1:22">
      <c r="A641" s="18" t="s">
        <v>1844</v>
      </c>
      <c r="B641" s="18" t="s">
        <v>152</v>
      </c>
      <c r="C641" s="18" t="s">
        <v>265</v>
      </c>
      <c r="D641" s="18" t="s">
        <v>158</v>
      </c>
      <c r="E641" s="26">
        <v>45534</v>
      </c>
      <c r="F641" s="18" t="s">
        <v>1845</v>
      </c>
      <c r="G641" s="18" t="s">
        <v>145</v>
      </c>
      <c r="H641" s="18">
        <v>1.7</v>
      </c>
      <c r="I641" s="18">
        <v>299</v>
      </c>
      <c r="J641" s="18">
        <v>0</v>
      </c>
      <c r="K641" s="18">
        <v>508.3</v>
      </c>
      <c r="L641" s="18" t="s">
        <v>139</v>
      </c>
      <c r="M641" s="18" t="s">
        <v>140</v>
      </c>
      <c r="N641" s="28">
        <v>45534.77847222222</v>
      </c>
      <c r="O641" s="28">
        <v>45535.830555555556</v>
      </c>
      <c r="P641" s="20"/>
      <c r="Q641" s="18" t="b">
        <f>FALSE()</f>
        <v>0</v>
      </c>
      <c r="R641" s="18" t="b">
        <f>FALSE()</f>
        <v>0</v>
      </c>
      <c r="S641" s="19">
        <f t="shared" si="9"/>
        <v>25.3</v>
      </c>
      <c r="T641">
        <f>COUNTIF('👤 Customers'!$A:$A, B641)</f>
        <v>1</v>
      </c>
      <c r="U641">
        <f>COUNTIF('🚴 Riders'!A640:A700, C641)</f>
        <v>0</v>
      </c>
      <c r="V641">
        <f>COUNTIF('🏭 Facilities'!A640:A648, D641)</f>
        <v>0</v>
      </c>
    </row>
    <row r="642" spans="1:22">
      <c r="A642" s="16" t="s">
        <v>1846</v>
      </c>
      <c r="B642" s="16" t="s">
        <v>223</v>
      </c>
      <c r="C642" s="16" t="s">
        <v>220</v>
      </c>
      <c r="D642" s="16" t="s">
        <v>205</v>
      </c>
      <c r="E642" s="25">
        <v>44948</v>
      </c>
      <c r="F642" s="16" t="s">
        <v>1074</v>
      </c>
      <c r="G642" s="16" t="s">
        <v>176</v>
      </c>
      <c r="H642" s="16">
        <v>1.2</v>
      </c>
      <c r="I642" s="16">
        <v>599</v>
      </c>
      <c r="J642" s="16">
        <v>10</v>
      </c>
      <c r="K642" s="16">
        <v>646.91999999999996</v>
      </c>
      <c r="L642" s="16" t="s">
        <v>207</v>
      </c>
      <c r="M642" s="16" t="s">
        <v>119</v>
      </c>
      <c r="N642" s="27">
        <v>44948.625</v>
      </c>
      <c r="O642" s="27">
        <v>44949.40347222222</v>
      </c>
      <c r="P642" s="16">
        <v>4.0999999999999996</v>
      </c>
      <c r="Q642" s="16" t="b">
        <f>FALSE()</f>
        <v>0</v>
      </c>
      <c r="R642" s="16" t="b">
        <f>FALSE()</f>
        <v>0</v>
      </c>
      <c r="S642" s="17">
        <f t="shared" ref="S642:S705" si="10">IF(OR(N642="",O642=""),"N/A",ROUND(((O642-N642)*24),1))</f>
        <v>18.7</v>
      </c>
      <c r="T642">
        <f>COUNTIF('👤 Customers'!$A:$A, B642)</f>
        <v>1</v>
      </c>
      <c r="U642">
        <f>COUNTIF('🚴 Riders'!A641:A701, C642)</f>
        <v>0</v>
      </c>
      <c r="V642">
        <f>COUNTIF('🏭 Facilities'!A641:A649, D642)</f>
        <v>0</v>
      </c>
    </row>
    <row r="643" spans="1:22">
      <c r="A643" s="18" t="s">
        <v>1847</v>
      </c>
      <c r="B643" s="18" t="s">
        <v>749</v>
      </c>
      <c r="C643" s="18" t="s">
        <v>300</v>
      </c>
      <c r="D643" s="18" t="s">
        <v>184</v>
      </c>
      <c r="E643" s="26">
        <v>44968</v>
      </c>
      <c r="F643" s="18" t="s">
        <v>1848</v>
      </c>
      <c r="G643" s="18" t="s">
        <v>145</v>
      </c>
      <c r="H643" s="18">
        <v>1.9</v>
      </c>
      <c r="I643" s="18">
        <v>299</v>
      </c>
      <c r="J643" s="18">
        <v>10</v>
      </c>
      <c r="K643" s="18">
        <v>511.29</v>
      </c>
      <c r="L643" s="18" t="s">
        <v>118</v>
      </c>
      <c r="M643" s="18" t="s">
        <v>119</v>
      </c>
      <c r="N643" s="28">
        <v>44968.720833333333</v>
      </c>
      <c r="O643" s="28">
        <v>44969.706944444442</v>
      </c>
      <c r="P643" s="18">
        <v>4.5999999999999996</v>
      </c>
      <c r="Q643" s="18" t="b">
        <f>FALSE()</f>
        <v>0</v>
      </c>
      <c r="R643" s="18" t="b">
        <f>FALSE()</f>
        <v>0</v>
      </c>
      <c r="S643" s="19">
        <f t="shared" si="10"/>
        <v>23.7</v>
      </c>
      <c r="T643">
        <f>COUNTIF('👤 Customers'!$A:$A, B643)</f>
        <v>1</v>
      </c>
      <c r="U643">
        <f>COUNTIF('🚴 Riders'!A642:A702, C643)</f>
        <v>0</v>
      </c>
      <c r="V643">
        <f>COUNTIF('🏭 Facilities'!A642:A650, D643)</f>
        <v>0</v>
      </c>
    </row>
    <row r="644" spans="1:22">
      <c r="A644" s="16" t="s">
        <v>1849</v>
      </c>
      <c r="B644" s="16" t="s">
        <v>1850</v>
      </c>
      <c r="C644" s="16" t="s">
        <v>174</v>
      </c>
      <c r="D644" s="16" t="s">
        <v>130</v>
      </c>
      <c r="E644" s="25">
        <v>45002</v>
      </c>
      <c r="F644" s="16" t="s">
        <v>1851</v>
      </c>
      <c r="G644" s="16" t="s">
        <v>117</v>
      </c>
      <c r="H644" s="16">
        <v>5</v>
      </c>
      <c r="I644" s="16">
        <v>149</v>
      </c>
      <c r="J644" s="16">
        <v>10</v>
      </c>
      <c r="K644" s="16">
        <v>670.5</v>
      </c>
      <c r="L644" s="16" t="s">
        <v>146</v>
      </c>
      <c r="M644" s="16" t="s">
        <v>119</v>
      </c>
      <c r="N644" s="27">
        <v>45002.69027777778</v>
      </c>
      <c r="O644" s="27">
        <v>45003.463194444441</v>
      </c>
      <c r="P644" s="16">
        <v>2.9</v>
      </c>
      <c r="Q644" s="16" t="b">
        <f>FALSE()</f>
        <v>0</v>
      </c>
      <c r="R644" s="16" t="b">
        <f>FALSE()</f>
        <v>0</v>
      </c>
      <c r="S644" s="17">
        <f t="shared" si="10"/>
        <v>18.5</v>
      </c>
      <c r="T644">
        <f>COUNTIF('👤 Customers'!$A:$A, B644)</f>
        <v>1</v>
      </c>
      <c r="U644">
        <f>COUNTIF('🚴 Riders'!A643:A703, C644)</f>
        <v>0</v>
      </c>
      <c r="V644">
        <f>COUNTIF('🏭 Facilities'!A643:A651, D644)</f>
        <v>0</v>
      </c>
    </row>
    <row r="645" spans="1:22">
      <c r="A645" s="18" t="s">
        <v>1852</v>
      </c>
      <c r="B645" s="18" t="s">
        <v>389</v>
      </c>
      <c r="C645" s="18" t="s">
        <v>304</v>
      </c>
      <c r="D645" s="18" t="s">
        <v>137</v>
      </c>
      <c r="E645" s="26">
        <v>45100</v>
      </c>
      <c r="F645" s="18" t="s">
        <v>1853</v>
      </c>
      <c r="G645" s="18" t="s">
        <v>132</v>
      </c>
      <c r="H645" s="18">
        <v>3.1</v>
      </c>
      <c r="I645" s="18">
        <v>399</v>
      </c>
      <c r="J645" s="18">
        <v>0</v>
      </c>
      <c r="K645" s="18">
        <v>1236.9000000000001</v>
      </c>
      <c r="L645" s="18" t="s">
        <v>146</v>
      </c>
      <c r="M645" s="18" t="s">
        <v>119</v>
      </c>
      <c r="N645" s="28">
        <v>45100.769444444442</v>
      </c>
      <c r="O645" s="28">
        <v>45101.54583333333</v>
      </c>
      <c r="P645" s="18">
        <v>4.7</v>
      </c>
      <c r="Q645" s="18" t="b">
        <f>FALSE()</f>
        <v>0</v>
      </c>
      <c r="R645" s="18" t="b">
        <f>FALSE()</f>
        <v>0</v>
      </c>
      <c r="S645" s="19">
        <f t="shared" si="10"/>
        <v>18.600000000000001</v>
      </c>
      <c r="T645">
        <f>COUNTIF('👤 Customers'!$A:$A, B645)</f>
        <v>1</v>
      </c>
      <c r="U645">
        <f>COUNTIF('🚴 Riders'!A644:A704, C645)</f>
        <v>0</v>
      </c>
      <c r="V645">
        <f>COUNTIF('🏭 Facilities'!A644:A652, D645)</f>
        <v>0</v>
      </c>
    </row>
    <row r="646" spans="1:22">
      <c r="A646" s="16" t="s">
        <v>1854</v>
      </c>
      <c r="B646" s="16" t="s">
        <v>1697</v>
      </c>
      <c r="C646" s="16" t="s">
        <v>240</v>
      </c>
      <c r="D646" s="16" t="s">
        <v>130</v>
      </c>
      <c r="E646" s="25">
        <v>45007</v>
      </c>
      <c r="F646" s="16" t="s">
        <v>1855</v>
      </c>
      <c r="G646" s="16" t="s">
        <v>145</v>
      </c>
      <c r="H646" s="16">
        <v>1.2</v>
      </c>
      <c r="I646" s="16">
        <v>299</v>
      </c>
      <c r="J646" s="16">
        <v>0</v>
      </c>
      <c r="K646" s="16">
        <v>358.8</v>
      </c>
      <c r="L646" s="16" t="s">
        <v>146</v>
      </c>
      <c r="M646" s="16" t="s">
        <v>119</v>
      </c>
      <c r="N646" s="27">
        <v>45007.50277777778</v>
      </c>
      <c r="O646" s="27">
        <v>45007.919444444444</v>
      </c>
      <c r="P646" s="16">
        <v>3.2</v>
      </c>
      <c r="Q646" s="16" t="b">
        <f>FALSE()</f>
        <v>0</v>
      </c>
      <c r="R646" s="16" t="b">
        <f>FALSE()</f>
        <v>0</v>
      </c>
      <c r="S646" s="17">
        <f t="shared" si="10"/>
        <v>10</v>
      </c>
      <c r="T646">
        <f>COUNTIF('👤 Customers'!$A:$A, B646)</f>
        <v>1</v>
      </c>
      <c r="U646">
        <f>COUNTIF('🚴 Riders'!A645:A705, C646)</f>
        <v>0</v>
      </c>
      <c r="V646">
        <f>COUNTIF('🏭 Facilities'!A645:A653, D646)</f>
        <v>0</v>
      </c>
    </row>
    <row r="647" spans="1:22">
      <c r="A647" s="18" t="s">
        <v>1856</v>
      </c>
      <c r="B647" s="18" t="s">
        <v>1444</v>
      </c>
      <c r="C647" s="18" t="s">
        <v>431</v>
      </c>
      <c r="D647" s="18" t="s">
        <v>130</v>
      </c>
      <c r="E647" s="26">
        <v>45438</v>
      </c>
      <c r="F647" s="18" t="s">
        <v>1857</v>
      </c>
      <c r="G647" s="18" t="s">
        <v>176</v>
      </c>
      <c r="H647" s="18">
        <v>1.9</v>
      </c>
      <c r="I647" s="18">
        <v>599</v>
      </c>
      <c r="J647" s="18">
        <v>0</v>
      </c>
      <c r="K647" s="18">
        <v>1138.0999999999999</v>
      </c>
      <c r="L647" s="18" t="s">
        <v>139</v>
      </c>
      <c r="M647" s="18" t="s">
        <v>119</v>
      </c>
      <c r="N647" s="28">
        <v>45438.254861111112</v>
      </c>
      <c r="O647" s="28">
        <v>45439.215277777781</v>
      </c>
      <c r="P647" s="18">
        <v>3.7</v>
      </c>
      <c r="Q647" s="18" t="b">
        <f>FALSE()</f>
        <v>0</v>
      </c>
      <c r="R647" s="18" t="b">
        <f>TRUE()</f>
        <v>1</v>
      </c>
      <c r="S647" s="19">
        <f t="shared" si="10"/>
        <v>23.1</v>
      </c>
      <c r="T647">
        <f>COUNTIF('👤 Customers'!$A:$A, B647)</f>
        <v>1</v>
      </c>
      <c r="U647">
        <f>COUNTIF('🚴 Riders'!A646:A706, C647)</f>
        <v>0</v>
      </c>
      <c r="V647">
        <f>COUNTIF('🏭 Facilities'!A646:A654, D647)</f>
        <v>0</v>
      </c>
    </row>
    <row r="648" spans="1:22">
      <c r="A648" s="16" t="s">
        <v>1858</v>
      </c>
      <c r="B648" s="16" t="s">
        <v>1144</v>
      </c>
      <c r="C648" s="16" t="s">
        <v>842</v>
      </c>
      <c r="D648" s="16" t="s">
        <v>184</v>
      </c>
      <c r="E648" s="25">
        <v>45384</v>
      </c>
      <c r="F648" s="16" t="s">
        <v>1859</v>
      </c>
      <c r="G648" s="16" t="s">
        <v>145</v>
      </c>
      <c r="H648" s="16">
        <v>3.6</v>
      </c>
      <c r="I648" s="16">
        <v>299</v>
      </c>
      <c r="J648" s="16">
        <v>0</v>
      </c>
      <c r="K648" s="16">
        <v>1076.4000000000001</v>
      </c>
      <c r="L648" s="16" t="s">
        <v>118</v>
      </c>
      <c r="M648" s="16" t="s">
        <v>119</v>
      </c>
      <c r="N648" s="27">
        <v>45384.428472222222</v>
      </c>
      <c r="O648" s="27">
        <v>45384.835416666669</v>
      </c>
      <c r="P648" s="16">
        <v>3.6</v>
      </c>
      <c r="Q648" s="16" t="b">
        <f>FALSE()</f>
        <v>0</v>
      </c>
      <c r="R648" s="16" t="b">
        <f>TRUE()</f>
        <v>1</v>
      </c>
      <c r="S648" s="17">
        <f t="shared" si="10"/>
        <v>9.8000000000000007</v>
      </c>
      <c r="T648">
        <f>COUNTIF('👤 Customers'!$A:$A, B648)</f>
        <v>1</v>
      </c>
      <c r="U648">
        <f>COUNTIF('🚴 Riders'!A647:A707, C648)</f>
        <v>0</v>
      </c>
      <c r="V648">
        <f>COUNTIF('🏭 Facilities'!A647:A655, D648)</f>
        <v>0</v>
      </c>
    </row>
    <row r="649" spans="1:22">
      <c r="A649" s="18" t="s">
        <v>1860</v>
      </c>
      <c r="B649" s="18" t="s">
        <v>1361</v>
      </c>
      <c r="C649" s="18" t="s">
        <v>251</v>
      </c>
      <c r="D649" s="18" t="s">
        <v>115</v>
      </c>
      <c r="E649" s="26">
        <v>45162</v>
      </c>
      <c r="F649" s="18" t="s">
        <v>1861</v>
      </c>
      <c r="G649" s="18" t="s">
        <v>125</v>
      </c>
      <c r="H649" s="18">
        <v>5.5</v>
      </c>
      <c r="I649" s="18">
        <v>199</v>
      </c>
      <c r="J649" s="18">
        <v>20</v>
      </c>
      <c r="K649" s="18">
        <v>875.6</v>
      </c>
      <c r="L649" s="18" t="s">
        <v>118</v>
      </c>
      <c r="M649" s="18" t="s">
        <v>133</v>
      </c>
      <c r="N649" s="20"/>
      <c r="O649" s="20"/>
      <c r="P649" s="20"/>
      <c r="Q649" s="18" t="b">
        <f>TRUE()</f>
        <v>1</v>
      </c>
      <c r="R649" s="18" t="b">
        <f>TRUE()</f>
        <v>1</v>
      </c>
      <c r="S649" s="19" t="str">
        <f t="shared" si="10"/>
        <v>N/A</v>
      </c>
      <c r="T649">
        <f>COUNTIF('👤 Customers'!$A:$A, B649)</f>
        <v>1</v>
      </c>
      <c r="U649">
        <f>COUNTIF('🚴 Riders'!A648:A708, C649)</f>
        <v>0</v>
      </c>
      <c r="V649">
        <f>COUNTIF('🏭 Facilities'!A648:A656, D649)</f>
        <v>0</v>
      </c>
    </row>
    <row r="650" spans="1:22">
      <c r="A650" s="16" t="s">
        <v>1862</v>
      </c>
      <c r="B650" s="16" t="s">
        <v>1776</v>
      </c>
      <c r="C650" s="16" t="s">
        <v>143</v>
      </c>
      <c r="D650" s="16" t="s">
        <v>205</v>
      </c>
      <c r="E650" s="25">
        <v>45315</v>
      </c>
      <c r="F650" s="16" t="s">
        <v>1863</v>
      </c>
      <c r="G650" s="16" t="s">
        <v>176</v>
      </c>
      <c r="H650" s="16">
        <v>2.5</v>
      </c>
      <c r="I650" s="16">
        <v>599</v>
      </c>
      <c r="J650" s="16">
        <v>20</v>
      </c>
      <c r="K650" s="16">
        <v>1198</v>
      </c>
      <c r="L650" s="16" t="s">
        <v>139</v>
      </c>
      <c r="M650" s="16" t="s">
        <v>133</v>
      </c>
      <c r="N650" s="20"/>
      <c r="O650" s="20"/>
      <c r="P650" s="20"/>
      <c r="Q650" s="16" t="b">
        <f>FALSE()</f>
        <v>0</v>
      </c>
      <c r="R650" s="16" t="b">
        <f>FALSE()</f>
        <v>0</v>
      </c>
      <c r="S650" s="17" t="str">
        <f t="shared" si="10"/>
        <v>N/A</v>
      </c>
      <c r="T650">
        <f>COUNTIF('👤 Customers'!$A:$A, B650)</f>
        <v>1</v>
      </c>
      <c r="U650">
        <f>COUNTIF('🚴 Riders'!A649:A709, C650)</f>
        <v>0</v>
      </c>
      <c r="V650">
        <f>COUNTIF('🏭 Facilities'!A649:A657, D650)</f>
        <v>0</v>
      </c>
    </row>
    <row r="651" spans="1:22">
      <c r="A651" s="18" t="s">
        <v>1864</v>
      </c>
      <c r="B651" s="18" t="s">
        <v>1348</v>
      </c>
      <c r="C651" s="18" t="s">
        <v>483</v>
      </c>
      <c r="D651" s="18" t="s">
        <v>123</v>
      </c>
      <c r="E651" s="26">
        <v>45143</v>
      </c>
      <c r="F651" s="18" t="s">
        <v>1865</v>
      </c>
      <c r="G651" s="18" t="s">
        <v>117</v>
      </c>
      <c r="H651" s="18">
        <v>7.5</v>
      </c>
      <c r="I651" s="18">
        <v>149</v>
      </c>
      <c r="J651" s="18">
        <v>0</v>
      </c>
      <c r="K651" s="18">
        <v>1117.5</v>
      </c>
      <c r="L651" s="18" t="s">
        <v>207</v>
      </c>
      <c r="M651" s="18" t="s">
        <v>140</v>
      </c>
      <c r="N651" s="28">
        <v>45143.28402777778</v>
      </c>
      <c r="O651" s="28">
        <v>45144.348611111112</v>
      </c>
      <c r="P651" s="20"/>
      <c r="Q651" s="18" t="b">
        <f>FALSE()</f>
        <v>0</v>
      </c>
      <c r="R651" s="18" t="b">
        <f>FALSE()</f>
        <v>0</v>
      </c>
      <c r="S651" s="19">
        <f t="shared" si="10"/>
        <v>25.5</v>
      </c>
      <c r="T651">
        <f>COUNTIF('👤 Customers'!$A:$A, B651)</f>
        <v>1</v>
      </c>
      <c r="U651">
        <f>COUNTIF('🚴 Riders'!A650:A710, C651)</f>
        <v>0</v>
      </c>
      <c r="V651">
        <f>COUNTIF('🏭 Facilities'!A650:A658, D651)</f>
        <v>0</v>
      </c>
    </row>
    <row r="652" spans="1:22">
      <c r="A652" s="16" t="s">
        <v>1866</v>
      </c>
      <c r="B652" s="16" t="s">
        <v>1867</v>
      </c>
      <c r="C652" s="16" t="s">
        <v>322</v>
      </c>
      <c r="D652" s="16" t="s">
        <v>197</v>
      </c>
      <c r="E652" s="25">
        <v>45378</v>
      </c>
      <c r="F652" s="16" t="s">
        <v>1868</v>
      </c>
      <c r="G652" s="16" t="s">
        <v>117</v>
      </c>
      <c r="H652" s="16">
        <v>5.0999999999999996</v>
      </c>
      <c r="I652" s="16">
        <v>149</v>
      </c>
      <c r="J652" s="16">
        <v>20</v>
      </c>
      <c r="K652" s="16">
        <v>607.91999999999996</v>
      </c>
      <c r="L652" s="16" t="s">
        <v>139</v>
      </c>
      <c r="M652" s="16" t="s">
        <v>119</v>
      </c>
      <c r="N652" s="27">
        <v>45378.089583333334</v>
      </c>
      <c r="O652" s="27">
        <v>45379.033333333333</v>
      </c>
      <c r="P652" s="16">
        <v>4.8</v>
      </c>
      <c r="Q652" s="16" t="b">
        <f>FALSE()</f>
        <v>0</v>
      </c>
      <c r="R652" s="16" t="b">
        <f>FALSE()</f>
        <v>0</v>
      </c>
      <c r="S652" s="17">
        <f t="shared" si="10"/>
        <v>22.6</v>
      </c>
      <c r="T652">
        <f>COUNTIF('👤 Customers'!$A:$A, B652)</f>
        <v>1</v>
      </c>
      <c r="U652">
        <f>COUNTIF('🚴 Riders'!A651:A711, C652)</f>
        <v>0</v>
      </c>
      <c r="V652">
        <f>COUNTIF('🏭 Facilities'!A651:A659, D652)</f>
        <v>0</v>
      </c>
    </row>
    <row r="653" spans="1:22">
      <c r="A653" s="18" t="s">
        <v>1869</v>
      </c>
      <c r="B653" s="18" t="s">
        <v>1870</v>
      </c>
      <c r="C653" s="18" t="s">
        <v>174</v>
      </c>
      <c r="D653" s="18" t="s">
        <v>123</v>
      </c>
      <c r="E653" s="26">
        <v>45526</v>
      </c>
      <c r="F653" s="18" t="s">
        <v>1871</v>
      </c>
      <c r="G653" s="18" t="s">
        <v>132</v>
      </c>
      <c r="H653" s="18">
        <v>1.7</v>
      </c>
      <c r="I653" s="18">
        <v>399</v>
      </c>
      <c r="J653" s="18">
        <v>20</v>
      </c>
      <c r="K653" s="18">
        <v>542.64</v>
      </c>
      <c r="L653" s="18" t="s">
        <v>126</v>
      </c>
      <c r="M653" s="18" t="s">
        <v>140</v>
      </c>
      <c r="N653" s="28">
        <v>45526.581250000003</v>
      </c>
      <c r="O653" s="28">
        <v>45527.474999999999</v>
      </c>
      <c r="P653" s="20"/>
      <c r="Q653" s="18" t="b">
        <f>TRUE()</f>
        <v>1</v>
      </c>
      <c r="R653" s="18" t="b">
        <f>FALSE()</f>
        <v>0</v>
      </c>
      <c r="S653" s="19">
        <f t="shared" si="10"/>
        <v>21.4</v>
      </c>
      <c r="T653">
        <f>COUNTIF('👤 Customers'!$A:$A, B653)</f>
        <v>1</v>
      </c>
      <c r="U653">
        <f>COUNTIF('🚴 Riders'!A652:A712, C653)</f>
        <v>0</v>
      </c>
      <c r="V653">
        <f>COUNTIF('🏭 Facilities'!A652:A660, D653)</f>
        <v>0</v>
      </c>
    </row>
    <row r="654" spans="1:22">
      <c r="A654" s="16" t="s">
        <v>1872</v>
      </c>
      <c r="B654" s="16" t="s">
        <v>1873</v>
      </c>
      <c r="C654" s="16" t="s">
        <v>483</v>
      </c>
      <c r="D654" s="16" t="s">
        <v>130</v>
      </c>
      <c r="E654" s="25">
        <v>45269</v>
      </c>
      <c r="F654" s="16" t="s">
        <v>1874</v>
      </c>
      <c r="G654" s="16" t="s">
        <v>117</v>
      </c>
      <c r="H654" s="16">
        <v>5.2</v>
      </c>
      <c r="I654" s="16">
        <v>149</v>
      </c>
      <c r="J654" s="16">
        <v>20</v>
      </c>
      <c r="K654" s="16">
        <v>619.84</v>
      </c>
      <c r="L654" s="16" t="s">
        <v>207</v>
      </c>
      <c r="M654" s="16" t="s">
        <v>119</v>
      </c>
      <c r="N654" s="27">
        <v>45270.012499999997</v>
      </c>
      <c r="O654" s="27">
        <v>45270.859722222223</v>
      </c>
      <c r="P654" s="16">
        <v>3.1</v>
      </c>
      <c r="Q654" s="16" t="b">
        <f>FALSE()</f>
        <v>0</v>
      </c>
      <c r="R654" s="16" t="b">
        <f>FALSE()</f>
        <v>0</v>
      </c>
      <c r="S654" s="17">
        <f t="shared" si="10"/>
        <v>20.3</v>
      </c>
      <c r="T654">
        <f>COUNTIF('👤 Customers'!$A:$A, B654)</f>
        <v>1</v>
      </c>
      <c r="U654">
        <f>COUNTIF('🚴 Riders'!A653:A713, C654)</f>
        <v>0</v>
      </c>
      <c r="V654">
        <f>COUNTIF('🏭 Facilities'!A653:A661, D654)</f>
        <v>0</v>
      </c>
    </row>
    <row r="655" spans="1:22">
      <c r="A655" s="18" t="s">
        <v>1875</v>
      </c>
      <c r="B655" s="18" t="s">
        <v>1867</v>
      </c>
      <c r="C655" s="18" t="s">
        <v>362</v>
      </c>
      <c r="D655" s="18" t="s">
        <v>184</v>
      </c>
      <c r="E655" s="26">
        <v>45083</v>
      </c>
      <c r="F655" s="18" t="s">
        <v>1876</v>
      </c>
      <c r="G655" s="18" t="s">
        <v>132</v>
      </c>
      <c r="H655" s="18">
        <v>4</v>
      </c>
      <c r="I655" s="18">
        <v>399</v>
      </c>
      <c r="J655" s="18">
        <v>0</v>
      </c>
      <c r="K655" s="18">
        <v>1596</v>
      </c>
      <c r="L655" s="18" t="s">
        <v>207</v>
      </c>
      <c r="M655" s="18" t="s">
        <v>119</v>
      </c>
      <c r="N655" s="28">
        <v>45083.304166666669</v>
      </c>
      <c r="O655" s="28">
        <v>45083.693749999999</v>
      </c>
      <c r="P655" s="18">
        <v>4.7</v>
      </c>
      <c r="Q655" s="18" t="b">
        <f>FALSE()</f>
        <v>0</v>
      </c>
      <c r="R655" s="18" t="b">
        <f>FALSE()</f>
        <v>0</v>
      </c>
      <c r="S655" s="19">
        <f t="shared" si="10"/>
        <v>9.3000000000000007</v>
      </c>
      <c r="T655">
        <f>COUNTIF('👤 Customers'!$A:$A, B655)</f>
        <v>1</v>
      </c>
      <c r="U655">
        <f>COUNTIF('🚴 Riders'!A654:A714, C655)</f>
        <v>0</v>
      </c>
      <c r="V655">
        <f>COUNTIF('🏭 Facilities'!A654:A662, D655)</f>
        <v>0</v>
      </c>
    </row>
    <row r="656" spans="1:22">
      <c r="A656" s="16" t="s">
        <v>1877</v>
      </c>
      <c r="B656" s="16" t="s">
        <v>495</v>
      </c>
      <c r="C656" s="16" t="s">
        <v>240</v>
      </c>
      <c r="D656" s="16" t="s">
        <v>115</v>
      </c>
      <c r="E656" s="25">
        <v>45351</v>
      </c>
      <c r="F656" s="16" t="s">
        <v>1878</v>
      </c>
      <c r="G656" s="16" t="s">
        <v>125</v>
      </c>
      <c r="H656" s="16">
        <v>3.4</v>
      </c>
      <c r="I656" s="16">
        <v>199</v>
      </c>
      <c r="J656" s="16">
        <v>10</v>
      </c>
      <c r="K656" s="16">
        <v>608.94000000000005</v>
      </c>
      <c r="L656" s="16" t="s">
        <v>146</v>
      </c>
      <c r="M656" s="16" t="s">
        <v>140</v>
      </c>
      <c r="N656" s="27">
        <v>45351.65625</v>
      </c>
      <c r="O656" s="27">
        <v>45352.388888888891</v>
      </c>
      <c r="P656" s="20"/>
      <c r="Q656" s="16" t="b">
        <f>FALSE()</f>
        <v>0</v>
      </c>
      <c r="R656" s="16" t="b">
        <f>FALSE()</f>
        <v>0</v>
      </c>
      <c r="S656" s="17">
        <f t="shared" si="10"/>
        <v>17.600000000000001</v>
      </c>
      <c r="T656">
        <f>COUNTIF('👤 Customers'!$A:$A, B656)</f>
        <v>1</v>
      </c>
      <c r="U656">
        <f>COUNTIF('🚴 Riders'!A655:A715, C656)</f>
        <v>0</v>
      </c>
      <c r="V656">
        <f>COUNTIF('🏭 Facilities'!A655:A663, D656)</f>
        <v>0</v>
      </c>
    </row>
    <row r="657" spans="1:22">
      <c r="A657" s="18" t="s">
        <v>1879</v>
      </c>
      <c r="B657" s="18" t="s">
        <v>290</v>
      </c>
      <c r="C657" s="18" t="s">
        <v>750</v>
      </c>
      <c r="D657" s="18" t="s">
        <v>123</v>
      </c>
      <c r="E657" s="26">
        <v>45360</v>
      </c>
      <c r="F657" s="18" t="s">
        <v>1880</v>
      </c>
      <c r="G657" s="18" t="s">
        <v>132</v>
      </c>
      <c r="H657" s="18">
        <v>6.6</v>
      </c>
      <c r="I657" s="18">
        <v>399</v>
      </c>
      <c r="J657" s="18">
        <v>0</v>
      </c>
      <c r="K657" s="18">
        <v>2633.4</v>
      </c>
      <c r="L657" s="18" t="s">
        <v>126</v>
      </c>
      <c r="M657" s="18" t="s">
        <v>140</v>
      </c>
      <c r="N657" s="28">
        <v>45361.02847222222</v>
      </c>
      <c r="O657" s="28">
        <v>45361.379861111112</v>
      </c>
      <c r="P657" s="20"/>
      <c r="Q657" s="18" t="b">
        <f>TRUE()</f>
        <v>1</v>
      </c>
      <c r="R657" s="18" t="b">
        <f>FALSE()</f>
        <v>0</v>
      </c>
      <c r="S657" s="19">
        <f t="shared" si="10"/>
        <v>8.4</v>
      </c>
      <c r="T657">
        <f>COUNTIF('👤 Customers'!$A:$A, B657)</f>
        <v>1</v>
      </c>
      <c r="U657">
        <f>COUNTIF('🚴 Riders'!A656:A716, C657)</f>
        <v>0</v>
      </c>
      <c r="V657">
        <f>COUNTIF('🏭 Facilities'!A656:A664, D657)</f>
        <v>0</v>
      </c>
    </row>
    <row r="658" spans="1:22">
      <c r="A658" s="16" t="s">
        <v>1881</v>
      </c>
      <c r="B658" s="16" t="s">
        <v>389</v>
      </c>
      <c r="C658" s="16" t="s">
        <v>1092</v>
      </c>
      <c r="D658" s="16" t="s">
        <v>137</v>
      </c>
      <c r="E658" s="25">
        <v>45394</v>
      </c>
      <c r="F658" s="16" t="s">
        <v>1882</v>
      </c>
      <c r="G658" s="16" t="s">
        <v>176</v>
      </c>
      <c r="H658" s="16">
        <v>3.3</v>
      </c>
      <c r="I658" s="16">
        <v>599</v>
      </c>
      <c r="J658" s="16">
        <v>0</v>
      </c>
      <c r="K658" s="16">
        <v>1976.7</v>
      </c>
      <c r="L658" s="16" t="s">
        <v>118</v>
      </c>
      <c r="M658" s="16" t="s">
        <v>119</v>
      </c>
      <c r="N658" s="27">
        <v>45394.345833333333</v>
      </c>
      <c r="O658" s="27">
        <v>45394.884722222225</v>
      </c>
      <c r="P658" s="16">
        <v>2.7</v>
      </c>
      <c r="Q658" s="16" t="b">
        <f>FALSE()</f>
        <v>0</v>
      </c>
      <c r="R658" s="16" t="b">
        <f>FALSE()</f>
        <v>0</v>
      </c>
      <c r="S658" s="17">
        <f t="shared" si="10"/>
        <v>12.9</v>
      </c>
      <c r="T658">
        <f>COUNTIF('👤 Customers'!$A:$A, B658)</f>
        <v>1</v>
      </c>
      <c r="U658">
        <f>COUNTIF('🚴 Riders'!A657:A717, C658)</f>
        <v>0</v>
      </c>
      <c r="V658">
        <f>COUNTIF('🏭 Facilities'!A657:A665, D658)</f>
        <v>0</v>
      </c>
    </row>
    <row r="659" spans="1:22">
      <c r="A659" s="18" t="s">
        <v>1883</v>
      </c>
      <c r="B659" s="18" t="s">
        <v>148</v>
      </c>
      <c r="C659" s="18" t="s">
        <v>170</v>
      </c>
      <c r="D659" s="18" t="s">
        <v>123</v>
      </c>
      <c r="E659" s="26">
        <v>45650</v>
      </c>
      <c r="F659" s="18" t="s">
        <v>1884</v>
      </c>
      <c r="G659" s="18" t="s">
        <v>176</v>
      </c>
      <c r="H659" s="18">
        <v>4.5</v>
      </c>
      <c r="I659" s="18">
        <v>599</v>
      </c>
      <c r="J659" s="18">
        <v>0</v>
      </c>
      <c r="K659" s="18">
        <v>2695.5</v>
      </c>
      <c r="L659" s="18" t="s">
        <v>126</v>
      </c>
      <c r="M659" s="18" t="s">
        <v>119</v>
      </c>
      <c r="N659" s="28">
        <v>45650.857638888891</v>
      </c>
      <c r="O659" s="28">
        <v>45651.866666666669</v>
      </c>
      <c r="P659" s="18">
        <v>2.6</v>
      </c>
      <c r="Q659" s="18" t="b">
        <f>FALSE()</f>
        <v>0</v>
      </c>
      <c r="R659" s="18" t="b">
        <f>FALSE()</f>
        <v>0</v>
      </c>
      <c r="S659" s="19">
        <f t="shared" si="10"/>
        <v>24.2</v>
      </c>
      <c r="T659">
        <f>COUNTIF('👤 Customers'!$A:$A, B659)</f>
        <v>1</v>
      </c>
      <c r="U659">
        <f>COUNTIF('🚴 Riders'!A658:A718, C659)</f>
        <v>0</v>
      </c>
      <c r="V659">
        <f>COUNTIF('🏭 Facilities'!A658:A666, D659)</f>
        <v>0</v>
      </c>
    </row>
    <row r="660" spans="1:22">
      <c r="A660" s="16" t="s">
        <v>1885</v>
      </c>
      <c r="B660" s="16" t="s">
        <v>1886</v>
      </c>
      <c r="C660" s="16" t="s">
        <v>129</v>
      </c>
      <c r="D660" s="16" t="s">
        <v>115</v>
      </c>
      <c r="E660" s="25">
        <v>45616</v>
      </c>
      <c r="F660" s="16" t="s">
        <v>1887</v>
      </c>
      <c r="G660" s="16" t="s">
        <v>125</v>
      </c>
      <c r="H660" s="16">
        <v>2</v>
      </c>
      <c r="I660" s="16">
        <v>199</v>
      </c>
      <c r="J660" s="16">
        <v>0</v>
      </c>
      <c r="K660" s="16">
        <v>398</v>
      </c>
      <c r="L660" s="16" t="s">
        <v>126</v>
      </c>
      <c r="M660" s="16" t="s">
        <v>140</v>
      </c>
      <c r="N660" s="27">
        <v>45616.820138888892</v>
      </c>
      <c r="O660" s="27">
        <v>45617.756249999999</v>
      </c>
      <c r="P660" s="20"/>
      <c r="Q660" s="16" t="b">
        <f>FALSE()</f>
        <v>0</v>
      </c>
      <c r="R660" s="16" t="b">
        <f>FALSE()</f>
        <v>0</v>
      </c>
      <c r="S660" s="17">
        <f t="shared" si="10"/>
        <v>22.5</v>
      </c>
      <c r="T660">
        <f>COUNTIF('👤 Customers'!$A:$A, B660)</f>
        <v>1</v>
      </c>
      <c r="U660">
        <f>COUNTIF('🚴 Riders'!A659:A719, C660)</f>
        <v>0</v>
      </c>
      <c r="V660">
        <f>COUNTIF('🏭 Facilities'!A659:A667, D660)</f>
        <v>0</v>
      </c>
    </row>
    <row r="661" spans="1:22">
      <c r="A661" s="18" t="s">
        <v>1888</v>
      </c>
      <c r="B661" s="18" t="s">
        <v>314</v>
      </c>
      <c r="C661" s="18" t="s">
        <v>213</v>
      </c>
      <c r="D661" s="18" t="s">
        <v>137</v>
      </c>
      <c r="E661" s="26">
        <v>45400</v>
      </c>
      <c r="F661" s="18" t="s">
        <v>1889</v>
      </c>
      <c r="G661" s="18" t="s">
        <v>125</v>
      </c>
      <c r="H661" s="18">
        <v>3.4</v>
      </c>
      <c r="I661" s="18">
        <v>199</v>
      </c>
      <c r="J661" s="18">
        <v>0</v>
      </c>
      <c r="K661" s="18">
        <v>676.6</v>
      </c>
      <c r="L661" s="18" t="s">
        <v>118</v>
      </c>
      <c r="M661" s="18" t="s">
        <v>119</v>
      </c>
      <c r="N661" s="28">
        <v>45400.909722222219</v>
      </c>
      <c r="O661" s="28">
        <v>45401.668055555558</v>
      </c>
      <c r="P661" s="18">
        <v>4.3</v>
      </c>
      <c r="Q661" s="18" t="b">
        <f>TRUE()</f>
        <v>1</v>
      </c>
      <c r="R661" s="18" t="b">
        <f>FALSE()</f>
        <v>0</v>
      </c>
      <c r="S661" s="19">
        <f t="shared" si="10"/>
        <v>18.2</v>
      </c>
      <c r="T661">
        <f>COUNTIF('👤 Customers'!$A:$A, B661)</f>
        <v>1</v>
      </c>
      <c r="U661">
        <f>COUNTIF('🚴 Riders'!A660:A720, C661)</f>
        <v>0</v>
      </c>
      <c r="V661">
        <f>COUNTIF('🏭 Facilities'!A660:A668, D661)</f>
        <v>0</v>
      </c>
    </row>
    <row r="662" spans="1:22">
      <c r="A662" s="16" t="s">
        <v>1890</v>
      </c>
      <c r="B662" s="16" t="s">
        <v>1682</v>
      </c>
      <c r="C662" s="16" t="s">
        <v>232</v>
      </c>
      <c r="D662" s="16" t="s">
        <v>158</v>
      </c>
      <c r="E662" s="25">
        <v>45101</v>
      </c>
      <c r="F662" s="16" t="s">
        <v>1891</v>
      </c>
      <c r="G662" s="16" t="s">
        <v>117</v>
      </c>
      <c r="H662" s="16">
        <v>4</v>
      </c>
      <c r="I662" s="16">
        <v>149</v>
      </c>
      <c r="J662" s="16">
        <v>0</v>
      </c>
      <c r="K662" s="16">
        <v>596</v>
      </c>
      <c r="L662" s="16" t="s">
        <v>126</v>
      </c>
      <c r="M662" s="16" t="s">
        <v>119</v>
      </c>
      <c r="N662" s="27">
        <v>45101.976388888892</v>
      </c>
      <c r="O662" s="27">
        <v>45102.374305555553</v>
      </c>
      <c r="P662" s="16">
        <v>3.9</v>
      </c>
      <c r="Q662" s="16" t="b">
        <f>TRUE()</f>
        <v>1</v>
      </c>
      <c r="R662" s="16" t="b">
        <f>FALSE()</f>
        <v>0</v>
      </c>
      <c r="S662" s="17">
        <f t="shared" si="10"/>
        <v>9.5</v>
      </c>
      <c r="T662">
        <f>COUNTIF('👤 Customers'!$A:$A, B662)</f>
        <v>1</v>
      </c>
      <c r="U662">
        <f>COUNTIF('🚴 Riders'!A661:A721, C662)</f>
        <v>0</v>
      </c>
      <c r="V662">
        <f>COUNTIF('🏭 Facilities'!A661:A669, D662)</f>
        <v>0</v>
      </c>
    </row>
    <row r="663" spans="1:22">
      <c r="A663" s="18" t="s">
        <v>1892</v>
      </c>
      <c r="B663" s="18" t="s">
        <v>974</v>
      </c>
      <c r="C663" s="18" t="s">
        <v>358</v>
      </c>
      <c r="D663" s="18" t="s">
        <v>205</v>
      </c>
      <c r="E663" s="26">
        <v>45467</v>
      </c>
      <c r="F663" s="18" t="s">
        <v>1893</v>
      </c>
      <c r="G663" s="18" t="s">
        <v>132</v>
      </c>
      <c r="H663" s="18">
        <v>4</v>
      </c>
      <c r="I663" s="18">
        <v>399</v>
      </c>
      <c r="J663" s="18">
        <v>0</v>
      </c>
      <c r="K663" s="18">
        <v>1596</v>
      </c>
      <c r="L663" s="18" t="s">
        <v>207</v>
      </c>
      <c r="M663" s="18" t="s">
        <v>119</v>
      </c>
      <c r="N663" s="28">
        <v>45467.20208333333</v>
      </c>
      <c r="O663" s="28">
        <v>45467.633333333331</v>
      </c>
      <c r="P663" s="18">
        <v>3.4</v>
      </c>
      <c r="Q663" s="18" t="b">
        <f>FALSE()</f>
        <v>0</v>
      </c>
      <c r="R663" s="18" t="b">
        <f>FALSE()</f>
        <v>0</v>
      </c>
      <c r="S663" s="19">
        <f t="shared" si="10"/>
        <v>10.4</v>
      </c>
      <c r="T663">
        <f>COUNTIF('👤 Customers'!$A:$A, B663)</f>
        <v>1</v>
      </c>
      <c r="U663">
        <f>COUNTIF('🚴 Riders'!A662:A722, C663)</f>
        <v>0</v>
      </c>
      <c r="V663">
        <f>COUNTIF('🏭 Facilities'!A662:A670, D663)</f>
        <v>0</v>
      </c>
    </row>
    <row r="664" spans="1:22">
      <c r="A664" s="16" t="s">
        <v>1894</v>
      </c>
      <c r="B664" s="16" t="s">
        <v>1895</v>
      </c>
      <c r="C664" s="16" t="s">
        <v>129</v>
      </c>
      <c r="D664" s="16" t="s">
        <v>184</v>
      </c>
      <c r="E664" s="25">
        <v>44998</v>
      </c>
      <c r="F664" s="16" t="s">
        <v>1896</v>
      </c>
      <c r="G664" s="16" t="s">
        <v>176</v>
      </c>
      <c r="H664" s="16">
        <v>1.1000000000000001</v>
      </c>
      <c r="I664" s="16">
        <v>599</v>
      </c>
      <c r="J664" s="16">
        <v>0</v>
      </c>
      <c r="K664" s="16">
        <v>658.9</v>
      </c>
      <c r="L664" s="16" t="s">
        <v>126</v>
      </c>
      <c r="M664" s="16" t="s">
        <v>133</v>
      </c>
      <c r="N664" s="20"/>
      <c r="O664" s="20"/>
      <c r="P664" s="20"/>
      <c r="Q664" s="16" t="b">
        <f>TRUE()</f>
        <v>1</v>
      </c>
      <c r="R664" s="16" t="b">
        <f>FALSE()</f>
        <v>0</v>
      </c>
      <c r="S664" s="17" t="str">
        <f t="shared" si="10"/>
        <v>N/A</v>
      </c>
      <c r="T664">
        <f>COUNTIF('👤 Customers'!$A:$A, B664)</f>
        <v>1</v>
      </c>
      <c r="U664">
        <f>COUNTIF('🚴 Riders'!A663:A723, C664)</f>
        <v>0</v>
      </c>
      <c r="V664">
        <f>COUNTIF('🏭 Facilities'!A663:A671, D664)</f>
        <v>0</v>
      </c>
    </row>
    <row r="665" spans="1:22">
      <c r="A665" s="18" t="s">
        <v>1897</v>
      </c>
      <c r="B665" s="18" t="s">
        <v>1245</v>
      </c>
      <c r="C665" s="18" t="s">
        <v>487</v>
      </c>
      <c r="D665" s="18" t="s">
        <v>197</v>
      </c>
      <c r="E665" s="26">
        <v>45146</v>
      </c>
      <c r="F665" s="18" t="s">
        <v>1898</v>
      </c>
      <c r="G665" s="18" t="s">
        <v>125</v>
      </c>
      <c r="H665" s="18">
        <v>3.2</v>
      </c>
      <c r="I665" s="18">
        <v>199</v>
      </c>
      <c r="J665" s="18">
        <v>10</v>
      </c>
      <c r="K665" s="18">
        <v>573.12</v>
      </c>
      <c r="L665" s="18" t="s">
        <v>126</v>
      </c>
      <c r="M665" s="18" t="s">
        <v>119</v>
      </c>
      <c r="N665" s="28">
        <v>45146.664583333331</v>
      </c>
      <c r="O665" s="28">
        <v>45147.086805555555</v>
      </c>
      <c r="P665" s="18">
        <v>3.1</v>
      </c>
      <c r="Q665" s="18" t="b">
        <f>FALSE()</f>
        <v>0</v>
      </c>
      <c r="R665" s="18" t="b">
        <f>FALSE()</f>
        <v>0</v>
      </c>
      <c r="S665" s="19">
        <f t="shared" si="10"/>
        <v>10.1</v>
      </c>
      <c r="T665">
        <f>COUNTIF('👤 Customers'!$A:$A, B665)</f>
        <v>1</v>
      </c>
      <c r="U665">
        <f>COUNTIF('🚴 Riders'!A664:A724, C665)</f>
        <v>0</v>
      </c>
      <c r="V665">
        <f>COUNTIF('🏭 Facilities'!A664:A672, D665)</f>
        <v>0</v>
      </c>
    </row>
    <row r="666" spans="1:22">
      <c r="A666" s="16" t="s">
        <v>1899</v>
      </c>
      <c r="B666" s="16" t="s">
        <v>1900</v>
      </c>
      <c r="C666" s="16" t="s">
        <v>1092</v>
      </c>
      <c r="D666" s="16" t="s">
        <v>130</v>
      </c>
      <c r="E666" s="25">
        <v>45498</v>
      </c>
      <c r="F666" s="16" t="s">
        <v>1901</v>
      </c>
      <c r="G666" s="16" t="s">
        <v>117</v>
      </c>
      <c r="H666" s="16">
        <v>7.3</v>
      </c>
      <c r="I666" s="16">
        <v>149</v>
      </c>
      <c r="J666" s="16">
        <v>20</v>
      </c>
      <c r="K666" s="16">
        <v>870.16</v>
      </c>
      <c r="L666" s="16" t="s">
        <v>146</v>
      </c>
      <c r="M666" s="16" t="s">
        <v>119</v>
      </c>
      <c r="N666" s="27">
        <v>45498.185416666667</v>
      </c>
      <c r="O666" s="27">
        <v>45499.248611111114</v>
      </c>
      <c r="P666" s="16">
        <v>4.7</v>
      </c>
      <c r="Q666" s="16" t="b">
        <f>FALSE()</f>
        <v>0</v>
      </c>
      <c r="R666" s="16" t="b">
        <f>FALSE()</f>
        <v>0</v>
      </c>
      <c r="S666" s="17">
        <f t="shared" si="10"/>
        <v>25.5</v>
      </c>
      <c r="T666">
        <f>COUNTIF('👤 Customers'!$A:$A, B666)</f>
        <v>1</v>
      </c>
      <c r="U666">
        <f>COUNTIF('🚴 Riders'!A665:A725, C666)</f>
        <v>0</v>
      </c>
      <c r="V666">
        <f>COUNTIF('🏭 Facilities'!A665:A673, D666)</f>
        <v>0</v>
      </c>
    </row>
    <row r="667" spans="1:22">
      <c r="A667" s="18" t="s">
        <v>1902</v>
      </c>
      <c r="B667" s="18" t="s">
        <v>492</v>
      </c>
      <c r="C667" s="18" t="s">
        <v>750</v>
      </c>
      <c r="D667" s="18" t="s">
        <v>130</v>
      </c>
      <c r="E667" s="26">
        <v>45008</v>
      </c>
      <c r="F667" s="18" t="s">
        <v>1903</v>
      </c>
      <c r="G667" s="18" t="s">
        <v>125</v>
      </c>
      <c r="H667" s="18">
        <v>3.4</v>
      </c>
      <c r="I667" s="18">
        <v>199</v>
      </c>
      <c r="J667" s="18">
        <v>0</v>
      </c>
      <c r="K667" s="18">
        <v>676.6</v>
      </c>
      <c r="L667" s="18" t="s">
        <v>118</v>
      </c>
      <c r="M667" s="18" t="s">
        <v>133</v>
      </c>
      <c r="N667" s="20"/>
      <c r="O667" s="20"/>
      <c r="P667" s="20"/>
      <c r="Q667" s="18" t="b">
        <f>FALSE()</f>
        <v>0</v>
      </c>
      <c r="R667" s="18" t="b">
        <f>FALSE()</f>
        <v>0</v>
      </c>
      <c r="S667" s="19" t="str">
        <f t="shared" si="10"/>
        <v>N/A</v>
      </c>
      <c r="T667">
        <f>COUNTIF('👤 Customers'!$A:$A, B667)</f>
        <v>1</v>
      </c>
      <c r="U667">
        <f>COUNTIF('🚴 Riders'!A666:A726, C667)</f>
        <v>0</v>
      </c>
      <c r="V667">
        <f>COUNTIF('🏭 Facilities'!A666:A674, D667)</f>
        <v>0</v>
      </c>
    </row>
    <row r="668" spans="1:22">
      <c r="A668" s="16" t="s">
        <v>1904</v>
      </c>
      <c r="B668" s="16" t="s">
        <v>756</v>
      </c>
      <c r="C668" s="16" t="s">
        <v>563</v>
      </c>
      <c r="D668" s="16" t="s">
        <v>184</v>
      </c>
      <c r="E668" s="25">
        <v>45216</v>
      </c>
      <c r="F668" s="16" t="s">
        <v>1905</v>
      </c>
      <c r="G668" s="16" t="s">
        <v>132</v>
      </c>
      <c r="H668" s="16">
        <v>1.3</v>
      </c>
      <c r="I668" s="16">
        <v>399</v>
      </c>
      <c r="J668" s="16">
        <v>0</v>
      </c>
      <c r="K668" s="16">
        <v>518.70000000000005</v>
      </c>
      <c r="L668" s="16" t="s">
        <v>118</v>
      </c>
      <c r="M668" s="16" t="s">
        <v>119</v>
      </c>
      <c r="N668" s="27">
        <v>45216.359027777777</v>
      </c>
      <c r="O668" s="27">
        <v>45217.000694444447</v>
      </c>
      <c r="P668" s="16">
        <v>3.2</v>
      </c>
      <c r="Q668" s="16" t="b">
        <f>FALSE()</f>
        <v>0</v>
      </c>
      <c r="R668" s="16" t="b">
        <f>FALSE()</f>
        <v>0</v>
      </c>
      <c r="S668" s="17">
        <f t="shared" si="10"/>
        <v>15.4</v>
      </c>
      <c r="T668">
        <f>COUNTIF('👤 Customers'!$A:$A, B668)</f>
        <v>1</v>
      </c>
      <c r="U668">
        <f>COUNTIF('🚴 Riders'!A667:A727, C668)</f>
        <v>0</v>
      </c>
      <c r="V668">
        <f>COUNTIF('🏭 Facilities'!A667:A675, D668)</f>
        <v>0</v>
      </c>
    </row>
    <row r="669" spans="1:22">
      <c r="A669" s="18" t="s">
        <v>1906</v>
      </c>
      <c r="B669" s="18" t="s">
        <v>539</v>
      </c>
      <c r="C669" s="18" t="s">
        <v>362</v>
      </c>
      <c r="D669" s="18" t="s">
        <v>158</v>
      </c>
      <c r="E669" s="26">
        <v>44992</v>
      </c>
      <c r="F669" s="18" t="s">
        <v>1907</v>
      </c>
      <c r="G669" s="18" t="s">
        <v>125</v>
      </c>
      <c r="H669" s="18">
        <v>3</v>
      </c>
      <c r="I669" s="18">
        <v>199</v>
      </c>
      <c r="J669" s="18">
        <v>10</v>
      </c>
      <c r="K669" s="18">
        <v>537.29999999999995</v>
      </c>
      <c r="L669" s="18" t="s">
        <v>207</v>
      </c>
      <c r="M669" s="18" t="s">
        <v>119</v>
      </c>
      <c r="N669" s="28">
        <v>44992.651388888888</v>
      </c>
      <c r="O669" s="28">
        <v>44993.26666666667</v>
      </c>
      <c r="P669" s="18">
        <v>4.0999999999999996</v>
      </c>
      <c r="Q669" s="18" t="b">
        <f>FALSE()</f>
        <v>0</v>
      </c>
      <c r="R669" s="18" t="b">
        <f>FALSE()</f>
        <v>0</v>
      </c>
      <c r="S669" s="19">
        <f t="shared" si="10"/>
        <v>14.8</v>
      </c>
      <c r="T669">
        <f>COUNTIF('👤 Customers'!$A:$A, B669)</f>
        <v>1</v>
      </c>
      <c r="U669">
        <f>COUNTIF('🚴 Riders'!A668:A728, C669)</f>
        <v>0</v>
      </c>
      <c r="V669">
        <f>COUNTIF('🏭 Facilities'!A668:A676, D669)</f>
        <v>0</v>
      </c>
    </row>
    <row r="670" spans="1:22">
      <c r="A670" s="16" t="s">
        <v>1908</v>
      </c>
      <c r="B670" s="16" t="s">
        <v>321</v>
      </c>
      <c r="C670" s="16" t="s">
        <v>326</v>
      </c>
      <c r="D670" s="16" t="s">
        <v>130</v>
      </c>
      <c r="E670" s="25">
        <v>44951</v>
      </c>
      <c r="F670" s="16" t="s">
        <v>1909</v>
      </c>
      <c r="G670" s="16" t="s">
        <v>176</v>
      </c>
      <c r="H670" s="16">
        <v>6.3</v>
      </c>
      <c r="I670" s="16">
        <v>599</v>
      </c>
      <c r="J670" s="16">
        <v>20</v>
      </c>
      <c r="K670" s="16">
        <v>3018.96</v>
      </c>
      <c r="L670" s="16" t="s">
        <v>126</v>
      </c>
      <c r="M670" s="16" t="s">
        <v>133</v>
      </c>
      <c r="N670" s="20"/>
      <c r="O670" s="20"/>
      <c r="P670" s="20"/>
      <c r="Q670" s="16" t="b">
        <f>FALSE()</f>
        <v>0</v>
      </c>
      <c r="R670" s="16" t="b">
        <f>FALSE()</f>
        <v>0</v>
      </c>
      <c r="S670" s="17" t="str">
        <f t="shared" si="10"/>
        <v>N/A</v>
      </c>
      <c r="T670">
        <f>COUNTIF('👤 Customers'!$A:$A, B670)</f>
        <v>1</v>
      </c>
      <c r="U670">
        <f>COUNTIF('🚴 Riders'!A669:A729, C670)</f>
        <v>0</v>
      </c>
      <c r="V670">
        <f>COUNTIF('🏭 Facilities'!A669:A677, D670)</f>
        <v>0</v>
      </c>
    </row>
    <row r="671" spans="1:22">
      <c r="A671" s="18" t="s">
        <v>1910</v>
      </c>
      <c r="B671" s="18" t="s">
        <v>1911</v>
      </c>
      <c r="C671" s="18" t="s">
        <v>257</v>
      </c>
      <c r="D671" s="18" t="s">
        <v>123</v>
      </c>
      <c r="E671" s="26">
        <v>45264</v>
      </c>
      <c r="F671" s="18" t="s">
        <v>1912</v>
      </c>
      <c r="G671" s="18" t="s">
        <v>145</v>
      </c>
      <c r="H671" s="18">
        <v>6.5</v>
      </c>
      <c r="I671" s="18">
        <v>299</v>
      </c>
      <c r="J671" s="18">
        <v>20</v>
      </c>
      <c r="K671" s="18">
        <v>1554.8</v>
      </c>
      <c r="L671" s="18" t="s">
        <v>146</v>
      </c>
      <c r="M671" s="18" t="s">
        <v>119</v>
      </c>
      <c r="N671" s="28">
        <v>45264.295138888891</v>
      </c>
      <c r="O671" s="28">
        <v>45265.081250000003</v>
      </c>
      <c r="P671" s="18">
        <v>3.7</v>
      </c>
      <c r="Q671" s="18" t="b">
        <f>FALSE()</f>
        <v>0</v>
      </c>
      <c r="R671" s="18" t="b">
        <f>FALSE()</f>
        <v>0</v>
      </c>
      <c r="S671" s="19">
        <f t="shared" si="10"/>
        <v>18.899999999999999</v>
      </c>
      <c r="T671">
        <f>COUNTIF('👤 Customers'!$A:$A, B671)</f>
        <v>1</v>
      </c>
      <c r="U671">
        <f>COUNTIF('🚴 Riders'!A670:A730, C671)</f>
        <v>0</v>
      </c>
      <c r="V671">
        <f>COUNTIF('🏭 Facilities'!A670:A678, D671)</f>
        <v>0</v>
      </c>
    </row>
    <row r="672" spans="1:22">
      <c r="A672" s="16" t="s">
        <v>1913</v>
      </c>
      <c r="B672" s="16" t="s">
        <v>1070</v>
      </c>
      <c r="C672" s="16" t="s">
        <v>326</v>
      </c>
      <c r="D672" s="16" t="s">
        <v>123</v>
      </c>
      <c r="E672" s="25">
        <v>45330</v>
      </c>
      <c r="F672" s="16" t="s">
        <v>1914</v>
      </c>
      <c r="G672" s="16" t="s">
        <v>117</v>
      </c>
      <c r="H672" s="16">
        <v>2.1</v>
      </c>
      <c r="I672" s="16">
        <v>149</v>
      </c>
      <c r="J672" s="16">
        <v>0</v>
      </c>
      <c r="K672" s="16">
        <v>312.89999999999998</v>
      </c>
      <c r="L672" s="16" t="s">
        <v>126</v>
      </c>
      <c r="M672" s="16" t="s">
        <v>140</v>
      </c>
      <c r="N672" s="27">
        <v>45330.216666666667</v>
      </c>
      <c r="O672" s="27">
        <v>45330.762499999997</v>
      </c>
      <c r="P672" s="20"/>
      <c r="Q672" s="16" t="b">
        <f>FALSE()</f>
        <v>0</v>
      </c>
      <c r="R672" s="16" t="b">
        <f>FALSE()</f>
        <v>0</v>
      </c>
      <c r="S672" s="17">
        <f t="shared" si="10"/>
        <v>13.1</v>
      </c>
      <c r="T672">
        <f>COUNTIF('👤 Customers'!$A:$A, B672)</f>
        <v>1</v>
      </c>
      <c r="U672">
        <f>COUNTIF('🚴 Riders'!A671:A731, C672)</f>
        <v>0</v>
      </c>
      <c r="V672">
        <f>COUNTIF('🏭 Facilities'!A671:A679, D672)</f>
        <v>0</v>
      </c>
    </row>
    <row r="673" spans="1:22">
      <c r="A673" s="18" t="s">
        <v>1915</v>
      </c>
      <c r="B673" s="18" t="s">
        <v>447</v>
      </c>
      <c r="C673" s="18" t="s">
        <v>204</v>
      </c>
      <c r="D673" s="18" t="s">
        <v>184</v>
      </c>
      <c r="E673" s="26">
        <v>45156</v>
      </c>
      <c r="F673" s="18" t="s">
        <v>1916</v>
      </c>
      <c r="G673" s="18" t="s">
        <v>117</v>
      </c>
      <c r="H673" s="18">
        <v>5</v>
      </c>
      <c r="I673" s="18">
        <v>149</v>
      </c>
      <c r="J673" s="18">
        <v>0</v>
      </c>
      <c r="K673" s="18">
        <v>745</v>
      </c>
      <c r="L673" s="18" t="s">
        <v>126</v>
      </c>
      <c r="M673" s="18" t="s">
        <v>119</v>
      </c>
      <c r="N673" s="28">
        <v>45156.847222222219</v>
      </c>
      <c r="O673" s="28">
        <v>45157.698611111111</v>
      </c>
      <c r="P673" s="18">
        <v>3.3</v>
      </c>
      <c r="Q673" s="18" t="b">
        <f>FALSE()</f>
        <v>0</v>
      </c>
      <c r="R673" s="18" t="b">
        <f>FALSE()</f>
        <v>0</v>
      </c>
      <c r="S673" s="19">
        <f t="shared" si="10"/>
        <v>20.399999999999999</v>
      </c>
      <c r="T673">
        <f>COUNTIF('👤 Customers'!$A:$A, B673)</f>
        <v>1</v>
      </c>
      <c r="U673">
        <f>COUNTIF('🚴 Riders'!A672:A732, C673)</f>
        <v>0</v>
      </c>
      <c r="V673">
        <f>COUNTIF('🏭 Facilities'!A672:A680, D673)</f>
        <v>0</v>
      </c>
    </row>
    <row r="674" spans="1:22">
      <c r="A674" s="16" t="s">
        <v>1917</v>
      </c>
      <c r="B674" s="16" t="s">
        <v>486</v>
      </c>
      <c r="C674" s="16" t="s">
        <v>136</v>
      </c>
      <c r="D674" s="16" t="s">
        <v>130</v>
      </c>
      <c r="E674" s="25">
        <v>45585</v>
      </c>
      <c r="F674" s="16" t="s">
        <v>1918</v>
      </c>
      <c r="G674" s="16" t="s">
        <v>132</v>
      </c>
      <c r="H674" s="16">
        <v>4.0999999999999996</v>
      </c>
      <c r="I674" s="16">
        <v>399</v>
      </c>
      <c r="J674" s="16">
        <v>0</v>
      </c>
      <c r="K674" s="16">
        <v>1635.9</v>
      </c>
      <c r="L674" s="16" t="s">
        <v>139</v>
      </c>
      <c r="M674" s="16" t="s">
        <v>119</v>
      </c>
      <c r="N674" s="27">
        <v>45585.433333333334</v>
      </c>
      <c r="O674" s="27">
        <v>45586.489583333336</v>
      </c>
      <c r="P674" s="16">
        <v>2.6</v>
      </c>
      <c r="Q674" s="16" t="b">
        <f>FALSE()</f>
        <v>0</v>
      </c>
      <c r="R674" s="16" t="b">
        <f>FALSE()</f>
        <v>0</v>
      </c>
      <c r="S674" s="17">
        <f t="shared" si="10"/>
        <v>25.4</v>
      </c>
      <c r="T674">
        <f>COUNTIF('👤 Customers'!$A:$A, B674)</f>
        <v>1</v>
      </c>
      <c r="U674">
        <f>COUNTIF('🚴 Riders'!A673:A733, C674)</f>
        <v>0</v>
      </c>
      <c r="V674">
        <f>COUNTIF('🏭 Facilities'!A673:A681, D674)</f>
        <v>0</v>
      </c>
    </row>
    <row r="675" spans="1:22">
      <c r="A675" s="18" t="s">
        <v>1919</v>
      </c>
      <c r="B675" s="18" t="s">
        <v>1920</v>
      </c>
      <c r="C675" s="18" t="s">
        <v>179</v>
      </c>
      <c r="D675" s="18" t="s">
        <v>130</v>
      </c>
      <c r="E675" s="26">
        <v>45401</v>
      </c>
      <c r="F675" s="18" t="s">
        <v>1921</v>
      </c>
      <c r="G675" s="18" t="s">
        <v>176</v>
      </c>
      <c r="H675" s="18">
        <v>3.2</v>
      </c>
      <c r="I675" s="18">
        <v>599</v>
      </c>
      <c r="J675" s="18">
        <v>0</v>
      </c>
      <c r="K675" s="18">
        <v>1916.8</v>
      </c>
      <c r="L675" s="18" t="s">
        <v>207</v>
      </c>
      <c r="M675" s="18" t="s">
        <v>119</v>
      </c>
      <c r="N675" s="28">
        <v>45401.114583333336</v>
      </c>
      <c r="O675" s="28">
        <v>45402.017361111109</v>
      </c>
      <c r="P675" s="18">
        <v>2.9</v>
      </c>
      <c r="Q675" s="18" t="b">
        <f>FALSE()</f>
        <v>0</v>
      </c>
      <c r="R675" s="18" t="b">
        <f>TRUE()</f>
        <v>1</v>
      </c>
      <c r="S675" s="19">
        <f t="shared" si="10"/>
        <v>21.7</v>
      </c>
      <c r="T675">
        <f>COUNTIF('👤 Customers'!$A:$A, B675)</f>
        <v>1</v>
      </c>
      <c r="U675">
        <f>COUNTIF('🚴 Riders'!A674:A734, C675)</f>
        <v>0</v>
      </c>
      <c r="V675">
        <f>COUNTIF('🏭 Facilities'!A674:A682, D675)</f>
        <v>0</v>
      </c>
    </row>
    <row r="676" spans="1:22">
      <c r="A676" s="16" t="s">
        <v>1922</v>
      </c>
      <c r="B676" s="16" t="s">
        <v>1886</v>
      </c>
      <c r="C676" s="16" t="s">
        <v>166</v>
      </c>
      <c r="D676" s="16" t="s">
        <v>123</v>
      </c>
      <c r="E676" s="25">
        <v>45015</v>
      </c>
      <c r="F676" s="16" t="s">
        <v>1923</v>
      </c>
      <c r="G676" s="16" t="s">
        <v>125</v>
      </c>
      <c r="H676" s="16">
        <v>2.2999999999999998</v>
      </c>
      <c r="I676" s="16">
        <v>199</v>
      </c>
      <c r="J676" s="16">
        <v>0</v>
      </c>
      <c r="K676" s="16">
        <v>457.7</v>
      </c>
      <c r="L676" s="16" t="s">
        <v>118</v>
      </c>
      <c r="M676" s="16" t="s">
        <v>119</v>
      </c>
      <c r="N676" s="27">
        <v>45015.998611111114</v>
      </c>
      <c r="O676" s="27">
        <v>45016.381249999999</v>
      </c>
      <c r="P676" s="16">
        <v>2.5</v>
      </c>
      <c r="Q676" s="16" t="b">
        <f>FALSE()</f>
        <v>0</v>
      </c>
      <c r="R676" s="16" t="b">
        <f>FALSE()</f>
        <v>0</v>
      </c>
      <c r="S676" s="17">
        <f t="shared" si="10"/>
        <v>9.1999999999999993</v>
      </c>
      <c r="T676">
        <f>COUNTIF('👤 Customers'!$A:$A, B676)</f>
        <v>1</v>
      </c>
      <c r="U676">
        <f>COUNTIF('🚴 Riders'!A675:A735, C676)</f>
        <v>0</v>
      </c>
      <c r="V676">
        <f>COUNTIF('🏭 Facilities'!A675:A683, D676)</f>
        <v>0</v>
      </c>
    </row>
    <row r="677" spans="1:22">
      <c r="A677" s="18" t="s">
        <v>1924</v>
      </c>
      <c r="B677" s="18" t="s">
        <v>713</v>
      </c>
      <c r="C677" s="18" t="s">
        <v>114</v>
      </c>
      <c r="D677" s="18" t="s">
        <v>205</v>
      </c>
      <c r="E677" s="26">
        <v>45346</v>
      </c>
      <c r="F677" s="18" t="s">
        <v>1925</v>
      </c>
      <c r="G677" s="18" t="s">
        <v>125</v>
      </c>
      <c r="H677" s="18">
        <v>5.2</v>
      </c>
      <c r="I677" s="18">
        <v>199</v>
      </c>
      <c r="J677" s="18">
        <v>0</v>
      </c>
      <c r="K677" s="18">
        <v>1034.8</v>
      </c>
      <c r="L677" s="18" t="s">
        <v>139</v>
      </c>
      <c r="M677" s="18" t="s">
        <v>119</v>
      </c>
      <c r="N677" s="28">
        <v>45346.867361111108</v>
      </c>
      <c r="O677" s="28">
        <v>45347.250694444447</v>
      </c>
      <c r="P677" s="18">
        <v>2.7</v>
      </c>
      <c r="Q677" s="18" t="b">
        <f>FALSE()</f>
        <v>0</v>
      </c>
      <c r="R677" s="18" t="b">
        <f>FALSE()</f>
        <v>0</v>
      </c>
      <c r="S677" s="19">
        <f t="shared" si="10"/>
        <v>9.1999999999999993</v>
      </c>
      <c r="T677">
        <f>COUNTIF('👤 Customers'!$A:$A, B677)</f>
        <v>1</v>
      </c>
      <c r="U677">
        <f>COUNTIF('🚴 Riders'!A676:A736, C677)</f>
        <v>0</v>
      </c>
      <c r="V677">
        <f>COUNTIF('🏭 Facilities'!A676:A684, D677)</f>
        <v>0</v>
      </c>
    </row>
    <row r="678" spans="1:22">
      <c r="A678" s="16" t="s">
        <v>1926</v>
      </c>
      <c r="B678" s="16" t="s">
        <v>464</v>
      </c>
      <c r="C678" s="16" t="s">
        <v>157</v>
      </c>
      <c r="D678" s="16" t="s">
        <v>184</v>
      </c>
      <c r="E678" s="25">
        <v>44946</v>
      </c>
      <c r="F678" s="16" t="s">
        <v>1927</v>
      </c>
      <c r="G678" s="16" t="s">
        <v>117</v>
      </c>
      <c r="H678" s="16">
        <v>5.2</v>
      </c>
      <c r="I678" s="16">
        <v>149</v>
      </c>
      <c r="J678" s="16">
        <v>0</v>
      </c>
      <c r="K678" s="16">
        <v>774.8</v>
      </c>
      <c r="L678" s="16" t="s">
        <v>207</v>
      </c>
      <c r="M678" s="16" t="s">
        <v>119</v>
      </c>
      <c r="N678" s="27">
        <v>44946.331944444442</v>
      </c>
      <c r="O678" s="27">
        <v>44946.98333333333</v>
      </c>
      <c r="P678" s="16">
        <v>3.4</v>
      </c>
      <c r="Q678" s="16" t="b">
        <f>FALSE()</f>
        <v>0</v>
      </c>
      <c r="R678" s="16" t="b">
        <f>TRUE()</f>
        <v>1</v>
      </c>
      <c r="S678" s="17">
        <f t="shared" si="10"/>
        <v>15.6</v>
      </c>
      <c r="T678">
        <f>COUNTIF('👤 Customers'!$A:$A, B678)</f>
        <v>1</v>
      </c>
      <c r="U678">
        <f>COUNTIF('🚴 Riders'!A677:A737, C678)</f>
        <v>0</v>
      </c>
      <c r="V678">
        <f>COUNTIF('🏭 Facilities'!A677:A685, D678)</f>
        <v>0</v>
      </c>
    </row>
    <row r="679" spans="1:22">
      <c r="A679" s="18" t="s">
        <v>1928</v>
      </c>
      <c r="B679" s="18" t="s">
        <v>1091</v>
      </c>
      <c r="C679" s="18" t="s">
        <v>166</v>
      </c>
      <c r="D679" s="18" t="s">
        <v>205</v>
      </c>
      <c r="E679" s="26">
        <v>45386</v>
      </c>
      <c r="F679" s="18" t="s">
        <v>1929</v>
      </c>
      <c r="G679" s="18" t="s">
        <v>125</v>
      </c>
      <c r="H679" s="18">
        <v>1.7</v>
      </c>
      <c r="I679" s="18">
        <v>199</v>
      </c>
      <c r="J679" s="18">
        <v>0</v>
      </c>
      <c r="K679" s="18">
        <v>338.3</v>
      </c>
      <c r="L679" s="18" t="s">
        <v>207</v>
      </c>
      <c r="M679" s="18" t="s">
        <v>119</v>
      </c>
      <c r="N679" s="28">
        <v>45386.314583333333</v>
      </c>
      <c r="O679" s="28">
        <v>45387.234722222223</v>
      </c>
      <c r="P679" s="18">
        <v>3.4</v>
      </c>
      <c r="Q679" s="18" t="b">
        <f>FALSE()</f>
        <v>0</v>
      </c>
      <c r="R679" s="18" t="b">
        <f>FALSE()</f>
        <v>0</v>
      </c>
      <c r="S679" s="19">
        <f t="shared" si="10"/>
        <v>22.1</v>
      </c>
      <c r="T679">
        <f>COUNTIF('👤 Customers'!$A:$A, B679)</f>
        <v>1</v>
      </c>
      <c r="U679">
        <f>COUNTIF('🚴 Riders'!A678:A738, C679)</f>
        <v>0</v>
      </c>
      <c r="V679">
        <f>COUNTIF('🏭 Facilities'!A678:A686, D679)</f>
        <v>0</v>
      </c>
    </row>
    <row r="680" spans="1:22">
      <c r="A680" s="16" t="s">
        <v>1930</v>
      </c>
      <c r="B680" s="16" t="s">
        <v>734</v>
      </c>
      <c r="C680" s="16" t="s">
        <v>461</v>
      </c>
      <c r="D680" s="16" t="s">
        <v>158</v>
      </c>
      <c r="E680" s="25">
        <v>45043</v>
      </c>
      <c r="F680" s="16" t="s">
        <v>1931</v>
      </c>
      <c r="G680" s="16" t="s">
        <v>145</v>
      </c>
      <c r="H680" s="16">
        <v>6.3</v>
      </c>
      <c r="I680" s="16">
        <v>299</v>
      </c>
      <c r="J680" s="16">
        <v>10</v>
      </c>
      <c r="K680" s="16">
        <v>1695.33</v>
      </c>
      <c r="L680" s="16" t="s">
        <v>146</v>
      </c>
      <c r="M680" s="16" t="s">
        <v>119</v>
      </c>
      <c r="N680" s="27">
        <v>45043.726388888892</v>
      </c>
      <c r="O680" s="27">
        <v>45044.80972222222</v>
      </c>
      <c r="P680" s="16">
        <v>4.3</v>
      </c>
      <c r="Q680" s="16" t="b">
        <f>FALSE()</f>
        <v>0</v>
      </c>
      <c r="R680" s="16" t="b">
        <f>FALSE()</f>
        <v>0</v>
      </c>
      <c r="S680" s="17">
        <f t="shared" si="10"/>
        <v>26</v>
      </c>
      <c r="T680">
        <f>COUNTIF('👤 Customers'!$A:$A, B680)</f>
        <v>1</v>
      </c>
      <c r="U680">
        <f>COUNTIF('🚴 Riders'!A679:A739, C680)</f>
        <v>0</v>
      </c>
      <c r="V680">
        <f>COUNTIF('🏭 Facilities'!A679:A687, D680)</f>
        <v>0</v>
      </c>
    </row>
    <row r="681" spans="1:22">
      <c r="A681" s="18" t="s">
        <v>1932</v>
      </c>
      <c r="B681" s="18" t="s">
        <v>1933</v>
      </c>
      <c r="C681" s="18" t="s">
        <v>129</v>
      </c>
      <c r="D681" s="18" t="s">
        <v>205</v>
      </c>
      <c r="E681" s="26">
        <v>44966</v>
      </c>
      <c r="F681" s="18" t="s">
        <v>1934</v>
      </c>
      <c r="G681" s="18" t="s">
        <v>176</v>
      </c>
      <c r="H681" s="18">
        <v>4.3</v>
      </c>
      <c r="I681" s="18">
        <v>599</v>
      </c>
      <c r="J681" s="18">
        <v>0</v>
      </c>
      <c r="K681" s="18">
        <v>2575.6999999999998</v>
      </c>
      <c r="L681" s="18" t="s">
        <v>207</v>
      </c>
      <c r="M681" s="18" t="s">
        <v>119</v>
      </c>
      <c r="N681" s="28">
        <v>44967.01458333333</v>
      </c>
      <c r="O681" s="28">
        <v>44967.500694444447</v>
      </c>
      <c r="P681" s="18">
        <v>4.5</v>
      </c>
      <c r="Q681" s="18" t="b">
        <f>FALSE()</f>
        <v>0</v>
      </c>
      <c r="R681" s="18" t="b">
        <f>FALSE()</f>
        <v>0</v>
      </c>
      <c r="S681" s="19">
        <f t="shared" si="10"/>
        <v>11.7</v>
      </c>
      <c r="T681">
        <f>COUNTIF('👤 Customers'!$A:$A, B681)</f>
        <v>1</v>
      </c>
      <c r="U681">
        <f>COUNTIF('🚴 Riders'!A680:A740, C681)</f>
        <v>0</v>
      </c>
      <c r="V681">
        <f>COUNTIF('🏭 Facilities'!A680:A688, D681)</f>
        <v>0</v>
      </c>
    </row>
    <row r="682" spans="1:22">
      <c r="A682" s="16" t="s">
        <v>1935</v>
      </c>
      <c r="B682" s="16" t="s">
        <v>299</v>
      </c>
      <c r="C682" s="16" t="s">
        <v>358</v>
      </c>
      <c r="D682" s="16" t="s">
        <v>115</v>
      </c>
      <c r="E682" s="25">
        <v>45171</v>
      </c>
      <c r="F682" s="16" t="s">
        <v>1936</v>
      </c>
      <c r="G682" s="16" t="s">
        <v>125</v>
      </c>
      <c r="H682" s="16">
        <v>5.9</v>
      </c>
      <c r="I682" s="16">
        <v>199</v>
      </c>
      <c r="J682" s="16">
        <v>0</v>
      </c>
      <c r="K682" s="16">
        <v>1174.0999999999999</v>
      </c>
      <c r="L682" s="16" t="s">
        <v>146</v>
      </c>
      <c r="M682" s="16" t="s">
        <v>119</v>
      </c>
      <c r="N682" s="27">
        <v>45171.598611111112</v>
      </c>
      <c r="O682" s="27">
        <v>45172.195833333331</v>
      </c>
      <c r="P682" s="16">
        <v>3.1</v>
      </c>
      <c r="Q682" s="16" t="b">
        <f>FALSE()</f>
        <v>0</v>
      </c>
      <c r="R682" s="16" t="b">
        <f>FALSE()</f>
        <v>0</v>
      </c>
      <c r="S682" s="17">
        <f t="shared" si="10"/>
        <v>14.3</v>
      </c>
      <c r="T682">
        <f>COUNTIF('👤 Customers'!$A:$A, B682)</f>
        <v>1</v>
      </c>
      <c r="U682">
        <f>COUNTIF('🚴 Riders'!A681:A741, C682)</f>
        <v>0</v>
      </c>
      <c r="V682">
        <f>COUNTIF('🏭 Facilities'!A681:A689, D682)</f>
        <v>0</v>
      </c>
    </row>
    <row r="683" spans="1:22">
      <c r="A683" s="18" t="s">
        <v>1937</v>
      </c>
      <c r="B683" s="18" t="s">
        <v>1416</v>
      </c>
      <c r="C683" s="18" t="s">
        <v>413</v>
      </c>
      <c r="D683" s="18" t="s">
        <v>205</v>
      </c>
      <c r="E683" s="26">
        <v>45569</v>
      </c>
      <c r="F683" s="18" t="s">
        <v>1938</v>
      </c>
      <c r="G683" s="18" t="s">
        <v>132</v>
      </c>
      <c r="H683" s="18">
        <v>7.5</v>
      </c>
      <c r="I683" s="18">
        <v>399</v>
      </c>
      <c r="J683" s="18">
        <v>0</v>
      </c>
      <c r="K683" s="18">
        <v>2992.5</v>
      </c>
      <c r="L683" s="18" t="s">
        <v>118</v>
      </c>
      <c r="M683" s="18" t="s">
        <v>119</v>
      </c>
      <c r="N683" s="28">
        <v>45570.106249999997</v>
      </c>
      <c r="O683" s="28">
        <v>45570.947916666664</v>
      </c>
      <c r="P683" s="18">
        <v>2.8</v>
      </c>
      <c r="Q683" s="18" t="b">
        <f>FALSE()</f>
        <v>0</v>
      </c>
      <c r="R683" s="18" t="b">
        <f>FALSE()</f>
        <v>0</v>
      </c>
      <c r="S683" s="19">
        <f t="shared" si="10"/>
        <v>20.2</v>
      </c>
      <c r="T683">
        <f>COUNTIF('👤 Customers'!$A:$A, B683)</f>
        <v>1</v>
      </c>
      <c r="U683">
        <f>COUNTIF('🚴 Riders'!A682:A742, C683)</f>
        <v>0</v>
      </c>
      <c r="V683">
        <f>COUNTIF('🏭 Facilities'!A682:A690, D683)</f>
        <v>0</v>
      </c>
    </row>
    <row r="684" spans="1:22">
      <c r="A684" s="16" t="s">
        <v>1939</v>
      </c>
      <c r="B684" s="16" t="s">
        <v>806</v>
      </c>
      <c r="C684" s="16" t="s">
        <v>276</v>
      </c>
      <c r="D684" s="16" t="s">
        <v>123</v>
      </c>
      <c r="E684" s="25">
        <v>45042</v>
      </c>
      <c r="F684" s="16" t="s">
        <v>1940</v>
      </c>
      <c r="G684" s="16" t="s">
        <v>176</v>
      </c>
      <c r="H684" s="16">
        <v>4.5</v>
      </c>
      <c r="I684" s="16">
        <v>599</v>
      </c>
      <c r="J684" s="16">
        <v>20</v>
      </c>
      <c r="K684" s="16">
        <v>2156.4</v>
      </c>
      <c r="L684" s="16" t="s">
        <v>146</v>
      </c>
      <c r="M684" s="16" t="s">
        <v>119</v>
      </c>
      <c r="N684" s="27">
        <v>45042.415972222225</v>
      </c>
      <c r="O684" s="27">
        <v>45043.366666666669</v>
      </c>
      <c r="P684" s="16">
        <v>4.3</v>
      </c>
      <c r="Q684" s="16" t="b">
        <f>FALSE()</f>
        <v>0</v>
      </c>
      <c r="R684" s="16" t="b">
        <f>TRUE()</f>
        <v>1</v>
      </c>
      <c r="S684" s="17">
        <f t="shared" si="10"/>
        <v>22.8</v>
      </c>
      <c r="T684">
        <f>COUNTIF('👤 Customers'!$A:$A, B684)</f>
        <v>1</v>
      </c>
      <c r="U684">
        <f>COUNTIF('🚴 Riders'!A683:A743, C684)</f>
        <v>0</v>
      </c>
      <c r="V684">
        <f>COUNTIF('🏭 Facilities'!A683:A691, D684)</f>
        <v>0</v>
      </c>
    </row>
    <row r="685" spans="1:22">
      <c r="A685" s="18" t="s">
        <v>1941</v>
      </c>
      <c r="B685" s="18" t="s">
        <v>977</v>
      </c>
      <c r="C685" s="18" t="s">
        <v>188</v>
      </c>
      <c r="D685" s="18" t="s">
        <v>158</v>
      </c>
      <c r="E685" s="26">
        <v>45602</v>
      </c>
      <c r="F685" s="18" t="s">
        <v>1942</v>
      </c>
      <c r="G685" s="18" t="s">
        <v>125</v>
      </c>
      <c r="H685" s="18">
        <v>6.8</v>
      </c>
      <c r="I685" s="18">
        <v>199</v>
      </c>
      <c r="J685" s="18">
        <v>0</v>
      </c>
      <c r="K685" s="18">
        <v>1353.2</v>
      </c>
      <c r="L685" s="18" t="s">
        <v>118</v>
      </c>
      <c r="M685" s="18" t="s">
        <v>119</v>
      </c>
      <c r="N685" s="28">
        <v>45602.493750000001</v>
      </c>
      <c r="O685" s="28">
        <v>45602.956944444442</v>
      </c>
      <c r="P685" s="18">
        <v>2.8</v>
      </c>
      <c r="Q685" s="18" t="b">
        <f>FALSE()</f>
        <v>0</v>
      </c>
      <c r="R685" s="18" t="b">
        <f>FALSE()</f>
        <v>0</v>
      </c>
      <c r="S685" s="19">
        <f t="shared" si="10"/>
        <v>11.1</v>
      </c>
      <c r="T685">
        <f>COUNTIF('👤 Customers'!$A:$A, B685)</f>
        <v>1</v>
      </c>
      <c r="U685">
        <f>COUNTIF('🚴 Riders'!A684:A744, C685)</f>
        <v>0</v>
      </c>
      <c r="V685">
        <f>COUNTIF('🏭 Facilities'!A684:A692, D685)</f>
        <v>0</v>
      </c>
    </row>
    <row r="686" spans="1:22">
      <c r="A686" s="16" t="s">
        <v>1943</v>
      </c>
      <c r="B686" s="16" t="s">
        <v>365</v>
      </c>
      <c r="C686" s="16" t="s">
        <v>183</v>
      </c>
      <c r="D686" s="16" t="s">
        <v>205</v>
      </c>
      <c r="E686" s="25">
        <v>45154</v>
      </c>
      <c r="F686" s="16" t="s">
        <v>1944</v>
      </c>
      <c r="G686" s="16" t="s">
        <v>125</v>
      </c>
      <c r="H686" s="16">
        <v>3.4</v>
      </c>
      <c r="I686" s="16">
        <v>199</v>
      </c>
      <c r="J686" s="16">
        <v>20</v>
      </c>
      <c r="K686" s="16">
        <v>541.28</v>
      </c>
      <c r="L686" s="16" t="s">
        <v>139</v>
      </c>
      <c r="M686" s="16" t="s">
        <v>119</v>
      </c>
      <c r="N686" s="27">
        <v>45154.990972222222</v>
      </c>
      <c r="O686" s="27">
        <v>45155.827777777777</v>
      </c>
      <c r="P686" s="16">
        <v>4.8</v>
      </c>
      <c r="Q686" s="16" t="b">
        <f>FALSE()</f>
        <v>0</v>
      </c>
      <c r="R686" s="16" t="b">
        <f>FALSE()</f>
        <v>0</v>
      </c>
      <c r="S686" s="17">
        <f t="shared" si="10"/>
        <v>20.100000000000001</v>
      </c>
      <c r="T686">
        <f>COUNTIF('👤 Customers'!$A:$A, B686)</f>
        <v>1</v>
      </c>
      <c r="U686">
        <f>COUNTIF('🚴 Riders'!A685:A745, C686)</f>
        <v>0</v>
      </c>
      <c r="V686">
        <f>COUNTIF('🏭 Facilities'!A685:A693, D686)</f>
        <v>0</v>
      </c>
    </row>
    <row r="687" spans="1:22">
      <c r="A687" s="18" t="s">
        <v>1945</v>
      </c>
      <c r="B687" s="18" t="s">
        <v>148</v>
      </c>
      <c r="C687" s="18" t="s">
        <v>431</v>
      </c>
      <c r="D687" s="18" t="s">
        <v>197</v>
      </c>
      <c r="E687" s="26">
        <v>45265</v>
      </c>
      <c r="F687" s="18" t="s">
        <v>1946</v>
      </c>
      <c r="G687" s="18" t="s">
        <v>117</v>
      </c>
      <c r="H687" s="18">
        <v>6.3</v>
      </c>
      <c r="I687" s="18">
        <v>149</v>
      </c>
      <c r="J687" s="18">
        <v>10</v>
      </c>
      <c r="K687" s="18">
        <v>844.83</v>
      </c>
      <c r="L687" s="18" t="s">
        <v>207</v>
      </c>
      <c r="M687" s="18" t="s">
        <v>140</v>
      </c>
      <c r="N687" s="28">
        <v>45265.457638888889</v>
      </c>
      <c r="O687" s="28">
        <v>45266.400000000001</v>
      </c>
      <c r="P687" s="20"/>
      <c r="Q687" s="18" t="b">
        <f>FALSE()</f>
        <v>0</v>
      </c>
      <c r="R687" s="18" t="b">
        <f>FALSE()</f>
        <v>0</v>
      </c>
      <c r="S687" s="19">
        <f t="shared" si="10"/>
        <v>22.6</v>
      </c>
      <c r="T687">
        <f>COUNTIF('👤 Customers'!$A:$A, B687)</f>
        <v>1</v>
      </c>
      <c r="U687">
        <f>COUNTIF('🚴 Riders'!A686:A746, C687)</f>
        <v>0</v>
      </c>
      <c r="V687">
        <f>COUNTIF('🏭 Facilities'!A686:A694, D687)</f>
        <v>0</v>
      </c>
    </row>
    <row r="688" spans="1:22">
      <c r="A688" s="16" t="s">
        <v>1947</v>
      </c>
      <c r="B688" s="16" t="s">
        <v>1948</v>
      </c>
      <c r="C688" s="16" t="s">
        <v>261</v>
      </c>
      <c r="D688" s="16" t="s">
        <v>115</v>
      </c>
      <c r="E688" s="25">
        <v>45214</v>
      </c>
      <c r="F688" s="16" t="s">
        <v>1949</v>
      </c>
      <c r="G688" s="16" t="s">
        <v>145</v>
      </c>
      <c r="H688" s="16">
        <v>3.7</v>
      </c>
      <c r="I688" s="16">
        <v>299</v>
      </c>
      <c r="J688" s="16">
        <v>0</v>
      </c>
      <c r="K688" s="16">
        <v>1106.3</v>
      </c>
      <c r="L688" s="16" t="s">
        <v>118</v>
      </c>
      <c r="M688" s="16" t="s">
        <v>133</v>
      </c>
      <c r="N688" s="20"/>
      <c r="O688" s="20"/>
      <c r="P688" s="20"/>
      <c r="Q688" s="16" t="b">
        <f>TRUE()</f>
        <v>1</v>
      </c>
      <c r="R688" s="16" t="b">
        <f>FALSE()</f>
        <v>0</v>
      </c>
      <c r="S688" s="17" t="str">
        <f t="shared" si="10"/>
        <v>N/A</v>
      </c>
      <c r="T688">
        <f>COUNTIF('👤 Customers'!$A:$A, B688)</f>
        <v>1</v>
      </c>
      <c r="U688">
        <f>COUNTIF('🚴 Riders'!A687:A747, C688)</f>
        <v>0</v>
      </c>
      <c r="V688">
        <f>COUNTIF('🏭 Facilities'!A687:A695, D688)</f>
        <v>0</v>
      </c>
    </row>
    <row r="689" spans="1:22">
      <c r="A689" s="18" t="s">
        <v>1950</v>
      </c>
      <c r="B689" s="18" t="s">
        <v>1533</v>
      </c>
      <c r="C689" s="18" t="s">
        <v>122</v>
      </c>
      <c r="D689" s="18" t="s">
        <v>130</v>
      </c>
      <c r="E689" s="26">
        <v>45334</v>
      </c>
      <c r="F689" s="18" t="s">
        <v>1951</v>
      </c>
      <c r="G689" s="18" t="s">
        <v>176</v>
      </c>
      <c r="H689" s="18">
        <v>4.5999999999999996</v>
      </c>
      <c r="I689" s="18">
        <v>599</v>
      </c>
      <c r="J689" s="18">
        <v>20</v>
      </c>
      <c r="K689" s="18">
        <v>2204.3200000000002</v>
      </c>
      <c r="L689" s="18" t="s">
        <v>139</v>
      </c>
      <c r="M689" s="18" t="s">
        <v>119</v>
      </c>
      <c r="N689" s="28">
        <v>45334.99722222222</v>
      </c>
      <c r="O689" s="28">
        <v>45335.543055555558</v>
      </c>
      <c r="P689" s="18">
        <v>3.8</v>
      </c>
      <c r="Q689" s="18" t="b">
        <f>FALSE()</f>
        <v>0</v>
      </c>
      <c r="R689" s="18" t="b">
        <f>FALSE()</f>
        <v>0</v>
      </c>
      <c r="S689" s="19">
        <f t="shared" si="10"/>
        <v>13.1</v>
      </c>
      <c r="T689">
        <f>COUNTIF('👤 Customers'!$A:$A, B689)</f>
        <v>1</v>
      </c>
      <c r="U689">
        <f>COUNTIF('🚴 Riders'!A688:A748, C689)</f>
        <v>0</v>
      </c>
      <c r="V689">
        <f>COUNTIF('🏭 Facilities'!A688:A696, D689)</f>
        <v>0</v>
      </c>
    </row>
    <row r="690" spans="1:22">
      <c r="A690" s="16" t="s">
        <v>1952</v>
      </c>
      <c r="B690" s="16" t="s">
        <v>1663</v>
      </c>
      <c r="C690" s="16" t="s">
        <v>170</v>
      </c>
      <c r="D690" s="16" t="s">
        <v>123</v>
      </c>
      <c r="E690" s="25">
        <v>45004</v>
      </c>
      <c r="F690" s="16" t="s">
        <v>1953</v>
      </c>
      <c r="G690" s="16" t="s">
        <v>117</v>
      </c>
      <c r="H690" s="16">
        <v>3</v>
      </c>
      <c r="I690" s="16">
        <v>149</v>
      </c>
      <c r="J690" s="16">
        <v>0</v>
      </c>
      <c r="K690" s="16">
        <v>447</v>
      </c>
      <c r="L690" s="16" t="s">
        <v>146</v>
      </c>
      <c r="M690" s="16" t="s">
        <v>119</v>
      </c>
      <c r="N690" s="27">
        <v>45004.349305555559</v>
      </c>
      <c r="O690" s="27">
        <v>45004.822916666664</v>
      </c>
      <c r="P690" s="16">
        <v>4.4000000000000004</v>
      </c>
      <c r="Q690" s="16" t="b">
        <f>FALSE()</f>
        <v>0</v>
      </c>
      <c r="R690" s="16" t="b">
        <f>FALSE()</f>
        <v>0</v>
      </c>
      <c r="S690" s="17">
        <f t="shared" si="10"/>
        <v>11.4</v>
      </c>
      <c r="T690">
        <f>COUNTIF('👤 Customers'!$A:$A, B690)</f>
        <v>1</v>
      </c>
      <c r="U690">
        <f>COUNTIF('🚴 Riders'!A689:A749, C690)</f>
        <v>0</v>
      </c>
      <c r="V690">
        <f>COUNTIF('🏭 Facilities'!A689:A697, D690)</f>
        <v>0</v>
      </c>
    </row>
    <row r="691" spans="1:22">
      <c r="A691" s="18" t="s">
        <v>1954</v>
      </c>
      <c r="B691" s="18" t="s">
        <v>1336</v>
      </c>
      <c r="C691" s="18" t="s">
        <v>339</v>
      </c>
      <c r="D691" s="18" t="s">
        <v>130</v>
      </c>
      <c r="E691" s="26">
        <v>45036</v>
      </c>
      <c r="F691" s="18" t="s">
        <v>1955</v>
      </c>
      <c r="G691" s="18" t="s">
        <v>125</v>
      </c>
      <c r="H691" s="18">
        <v>2.4</v>
      </c>
      <c r="I691" s="18">
        <v>199</v>
      </c>
      <c r="J691" s="18">
        <v>20</v>
      </c>
      <c r="K691" s="18">
        <v>382.08</v>
      </c>
      <c r="L691" s="18" t="s">
        <v>126</v>
      </c>
      <c r="M691" s="18" t="s">
        <v>119</v>
      </c>
      <c r="N691" s="28">
        <v>45036.545138888891</v>
      </c>
      <c r="O691" s="28">
        <v>45037.593055555553</v>
      </c>
      <c r="P691" s="18">
        <v>3.7</v>
      </c>
      <c r="Q691" s="18" t="b">
        <f>FALSE()</f>
        <v>0</v>
      </c>
      <c r="R691" s="18" t="b">
        <f>FALSE()</f>
        <v>0</v>
      </c>
      <c r="S691" s="19">
        <f t="shared" si="10"/>
        <v>25.1</v>
      </c>
      <c r="T691">
        <f>COUNTIF('👤 Customers'!$A:$A, B691)</f>
        <v>1</v>
      </c>
      <c r="U691">
        <f>COUNTIF('🚴 Riders'!A690:A750, C691)</f>
        <v>0</v>
      </c>
      <c r="V691">
        <f>COUNTIF('🏭 Facilities'!A690:A698, D691)</f>
        <v>0</v>
      </c>
    </row>
    <row r="692" spans="1:22">
      <c r="A692" s="16" t="s">
        <v>1956</v>
      </c>
      <c r="B692" s="16" t="s">
        <v>325</v>
      </c>
      <c r="C692" s="16" t="s">
        <v>170</v>
      </c>
      <c r="D692" s="16" t="s">
        <v>197</v>
      </c>
      <c r="E692" s="25">
        <v>45145</v>
      </c>
      <c r="F692" s="16" t="s">
        <v>1957</v>
      </c>
      <c r="G692" s="16" t="s">
        <v>176</v>
      </c>
      <c r="H692" s="16">
        <v>4</v>
      </c>
      <c r="I692" s="16">
        <v>599</v>
      </c>
      <c r="J692" s="16">
        <v>0</v>
      </c>
      <c r="K692" s="16">
        <v>2396</v>
      </c>
      <c r="L692" s="16" t="s">
        <v>139</v>
      </c>
      <c r="M692" s="16" t="s">
        <v>119</v>
      </c>
      <c r="N692" s="27">
        <v>45146.051388888889</v>
      </c>
      <c r="O692" s="27">
        <v>45146.573611111111</v>
      </c>
      <c r="P692" s="16">
        <v>4.7</v>
      </c>
      <c r="Q692" s="16" t="b">
        <f>FALSE()</f>
        <v>0</v>
      </c>
      <c r="R692" s="16" t="b">
        <f>TRUE()</f>
        <v>1</v>
      </c>
      <c r="S692" s="17">
        <f t="shared" si="10"/>
        <v>12.5</v>
      </c>
      <c r="T692">
        <f>COUNTIF('👤 Customers'!$A:$A, B692)</f>
        <v>1</v>
      </c>
      <c r="U692">
        <f>COUNTIF('🚴 Riders'!A691:A751, C692)</f>
        <v>0</v>
      </c>
      <c r="V692">
        <f>COUNTIF('🏭 Facilities'!A691:A699, D692)</f>
        <v>0</v>
      </c>
    </row>
    <row r="693" spans="1:22">
      <c r="A693" s="18" t="s">
        <v>1958</v>
      </c>
      <c r="B693" s="18" t="s">
        <v>239</v>
      </c>
      <c r="C693" s="18" t="s">
        <v>114</v>
      </c>
      <c r="D693" s="18" t="s">
        <v>137</v>
      </c>
      <c r="E693" s="26">
        <v>45033</v>
      </c>
      <c r="F693" s="18" t="s">
        <v>1959</v>
      </c>
      <c r="G693" s="18" t="s">
        <v>117</v>
      </c>
      <c r="H693" s="18">
        <v>6.1</v>
      </c>
      <c r="I693" s="18">
        <v>149</v>
      </c>
      <c r="J693" s="18">
        <v>0</v>
      </c>
      <c r="K693" s="18">
        <v>908.9</v>
      </c>
      <c r="L693" s="18" t="s">
        <v>146</v>
      </c>
      <c r="M693" s="18" t="s">
        <v>119</v>
      </c>
      <c r="N693" s="28">
        <v>45033.407638888886</v>
      </c>
      <c r="O693" s="28">
        <v>45034.275694444441</v>
      </c>
      <c r="P693" s="18">
        <v>3.3</v>
      </c>
      <c r="Q693" s="18" t="b">
        <f>FALSE()</f>
        <v>0</v>
      </c>
      <c r="R693" s="18" t="b">
        <f>FALSE()</f>
        <v>0</v>
      </c>
      <c r="S693" s="19">
        <f t="shared" si="10"/>
        <v>20.8</v>
      </c>
      <c r="T693">
        <f>COUNTIF('👤 Customers'!$A:$A, B693)</f>
        <v>1</v>
      </c>
      <c r="U693">
        <f>COUNTIF('🚴 Riders'!A692:A752, C693)</f>
        <v>0</v>
      </c>
      <c r="V693">
        <f>COUNTIF('🏭 Facilities'!A692:A700, D693)</f>
        <v>0</v>
      </c>
    </row>
    <row r="694" spans="1:22">
      <c r="A694" s="16" t="s">
        <v>1960</v>
      </c>
      <c r="B694" s="16" t="s">
        <v>1961</v>
      </c>
      <c r="C694" s="16" t="s">
        <v>232</v>
      </c>
      <c r="D694" s="16" t="s">
        <v>184</v>
      </c>
      <c r="E694" s="25">
        <v>45449</v>
      </c>
      <c r="F694" s="16" t="s">
        <v>1962</v>
      </c>
      <c r="G694" s="16" t="s">
        <v>125</v>
      </c>
      <c r="H694" s="16">
        <v>5.9</v>
      </c>
      <c r="I694" s="16">
        <v>199</v>
      </c>
      <c r="J694" s="16">
        <v>0</v>
      </c>
      <c r="K694" s="16">
        <v>1174.0999999999999</v>
      </c>
      <c r="L694" s="16" t="s">
        <v>126</v>
      </c>
      <c r="M694" s="16" t="s">
        <v>119</v>
      </c>
      <c r="N694" s="27">
        <v>45449.104861111111</v>
      </c>
      <c r="O694" s="27">
        <v>45450.161805555559</v>
      </c>
      <c r="P694" s="16">
        <v>3.1</v>
      </c>
      <c r="Q694" s="16" t="b">
        <f>FALSE()</f>
        <v>0</v>
      </c>
      <c r="R694" s="16" t="b">
        <f>FALSE()</f>
        <v>0</v>
      </c>
      <c r="S694" s="17">
        <f t="shared" si="10"/>
        <v>25.4</v>
      </c>
      <c r="T694">
        <f>COUNTIF('👤 Customers'!$A:$A, B694)</f>
        <v>1</v>
      </c>
      <c r="U694">
        <f>COUNTIF('🚴 Riders'!A693:A753, C694)</f>
        <v>0</v>
      </c>
      <c r="V694">
        <f>COUNTIF('🏭 Facilities'!A693:A701, D694)</f>
        <v>0</v>
      </c>
    </row>
    <row r="695" spans="1:22">
      <c r="A695" s="18" t="s">
        <v>1963</v>
      </c>
      <c r="B695" s="18" t="s">
        <v>368</v>
      </c>
      <c r="C695" s="18" t="s">
        <v>300</v>
      </c>
      <c r="D695" s="18" t="s">
        <v>130</v>
      </c>
      <c r="E695" s="26">
        <v>45098</v>
      </c>
      <c r="F695" s="18" t="s">
        <v>1964</v>
      </c>
      <c r="G695" s="18" t="s">
        <v>132</v>
      </c>
      <c r="H695" s="18">
        <v>2.9</v>
      </c>
      <c r="I695" s="18">
        <v>399</v>
      </c>
      <c r="J695" s="18">
        <v>0</v>
      </c>
      <c r="K695" s="18">
        <v>1157.0999999999999</v>
      </c>
      <c r="L695" s="18" t="s">
        <v>126</v>
      </c>
      <c r="M695" s="18" t="s">
        <v>119</v>
      </c>
      <c r="N695" s="28">
        <v>45098.169444444444</v>
      </c>
      <c r="O695" s="28">
        <v>45098.689583333333</v>
      </c>
      <c r="P695" s="18">
        <v>3.6</v>
      </c>
      <c r="Q695" s="18" t="b">
        <f>FALSE()</f>
        <v>0</v>
      </c>
      <c r="R695" s="18" t="b">
        <f>FALSE()</f>
        <v>0</v>
      </c>
      <c r="S695" s="19">
        <f t="shared" si="10"/>
        <v>12.5</v>
      </c>
      <c r="T695">
        <f>COUNTIF('👤 Customers'!$A:$A, B695)</f>
        <v>1</v>
      </c>
      <c r="U695">
        <f>COUNTIF('🚴 Riders'!A694:A754, C695)</f>
        <v>0</v>
      </c>
      <c r="V695">
        <f>COUNTIF('🏭 Facilities'!A694:A702, D695)</f>
        <v>0</v>
      </c>
    </row>
    <row r="696" spans="1:22">
      <c r="A696" s="16" t="s">
        <v>1965</v>
      </c>
      <c r="B696" s="16" t="s">
        <v>866</v>
      </c>
      <c r="C696" s="16" t="s">
        <v>750</v>
      </c>
      <c r="D696" s="16" t="s">
        <v>137</v>
      </c>
      <c r="E696" s="25">
        <v>45478</v>
      </c>
      <c r="F696" s="16" t="s">
        <v>1966</v>
      </c>
      <c r="G696" s="16" t="s">
        <v>132</v>
      </c>
      <c r="H696" s="16">
        <v>1.3</v>
      </c>
      <c r="I696" s="16">
        <v>399</v>
      </c>
      <c r="J696" s="16">
        <v>10</v>
      </c>
      <c r="K696" s="16">
        <v>466.83</v>
      </c>
      <c r="L696" s="16" t="s">
        <v>118</v>
      </c>
      <c r="M696" s="16" t="s">
        <v>133</v>
      </c>
      <c r="N696" s="20"/>
      <c r="O696" s="20"/>
      <c r="P696" s="20"/>
      <c r="Q696" s="16" t="b">
        <f>FALSE()</f>
        <v>0</v>
      </c>
      <c r="R696" s="16" t="b">
        <f>FALSE()</f>
        <v>0</v>
      </c>
      <c r="S696" s="17" t="str">
        <f t="shared" si="10"/>
        <v>N/A</v>
      </c>
      <c r="T696">
        <f>COUNTIF('👤 Customers'!$A:$A, B696)</f>
        <v>1</v>
      </c>
      <c r="U696">
        <f>COUNTIF('🚴 Riders'!A695:A755, C696)</f>
        <v>0</v>
      </c>
      <c r="V696">
        <f>COUNTIF('🏭 Facilities'!A695:A703, D696)</f>
        <v>0</v>
      </c>
    </row>
    <row r="697" spans="1:22">
      <c r="A697" s="18" t="s">
        <v>1967</v>
      </c>
      <c r="B697" s="18" t="s">
        <v>173</v>
      </c>
      <c r="C697" s="18" t="s">
        <v>479</v>
      </c>
      <c r="D697" s="18" t="s">
        <v>123</v>
      </c>
      <c r="E697" s="26">
        <v>45445</v>
      </c>
      <c r="F697" s="18" t="s">
        <v>1968</v>
      </c>
      <c r="G697" s="18" t="s">
        <v>145</v>
      </c>
      <c r="H697" s="18">
        <v>4.4000000000000004</v>
      </c>
      <c r="I697" s="18">
        <v>299</v>
      </c>
      <c r="J697" s="18">
        <v>10</v>
      </c>
      <c r="K697" s="18">
        <v>1184.04</v>
      </c>
      <c r="L697" s="18" t="s">
        <v>139</v>
      </c>
      <c r="M697" s="18" t="s">
        <v>133</v>
      </c>
      <c r="N697" s="20"/>
      <c r="O697" s="20"/>
      <c r="P697" s="20"/>
      <c r="Q697" s="18" t="b">
        <f>FALSE()</f>
        <v>0</v>
      </c>
      <c r="R697" s="18" t="b">
        <f>FALSE()</f>
        <v>0</v>
      </c>
      <c r="S697" s="19" t="str">
        <f t="shared" si="10"/>
        <v>N/A</v>
      </c>
      <c r="T697">
        <f>COUNTIF('👤 Customers'!$A:$A, B697)</f>
        <v>1</v>
      </c>
      <c r="U697">
        <f>COUNTIF('🚴 Riders'!A696:A756, C697)</f>
        <v>0</v>
      </c>
      <c r="V697">
        <f>COUNTIF('🏭 Facilities'!A696:A704, D697)</f>
        <v>0</v>
      </c>
    </row>
    <row r="698" spans="1:22">
      <c r="A698" s="16" t="s">
        <v>1969</v>
      </c>
      <c r="B698" s="16" t="s">
        <v>1970</v>
      </c>
      <c r="C698" s="16" t="s">
        <v>204</v>
      </c>
      <c r="D698" s="16" t="s">
        <v>115</v>
      </c>
      <c r="E698" s="25">
        <v>45441</v>
      </c>
      <c r="F698" s="16" t="s">
        <v>1971</v>
      </c>
      <c r="G698" s="16" t="s">
        <v>145</v>
      </c>
      <c r="H698" s="16">
        <v>1.8</v>
      </c>
      <c r="I698" s="16">
        <v>299</v>
      </c>
      <c r="J698" s="16">
        <v>0</v>
      </c>
      <c r="K698" s="16">
        <v>538.20000000000005</v>
      </c>
      <c r="L698" s="16" t="s">
        <v>139</v>
      </c>
      <c r="M698" s="16" t="s">
        <v>119</v>
      </c>
      <c r="N698" s="27">
        <v>45441.631944444445</v>
      </c>
      <c r="O698" s="27">
        <v>45442.218055555553</v>
      </c>
      <c r="P698" s="16">
        <v>4</v>
      </c>
      <c r="Q698" s="16" t="b">
        <f>FALSE()</f>
        <v>0</v>
      </c>
      <c r="R698" s="16" t="b">
        <f>TRUE()</f>
        <v>1</v>
      </c>
      <c r="S698" s="17">
        <f t="shared" si="10"/>
        <v>14.1</v>
      </c>
      <c r="T698">
        <f>COUNTIF('👤 Customers'!$A:$A, B698)</f>
        <v>1</v>
      </c>
      <c r="U698">
        <f>COUNTIF('🚴 Riders'!A697:A757, C698)</f>
        <v>0</v>
      </c>
      <c r="V698">
        <f>COUNTIF('🏭 Facilities'!A697:A705, D698)</f>
        <v>0</v>
      </c>
    </row>
    <row r="699" spans="1:22">
      <c r="A699" s="18" t="s">
        <v>1972</v>
      </c>
      <c r="B699" s="18" t="s">
        <v>1961</v>
      </c>
      <c r="C699" s="18" t="s">
        <v>276</v>
      </c>
      <c r="D699" s="18" t="s">
        <v>158</v>
      </c>
      <c r="E699" s="26">
        <v>45135</v>
      </c>
      <c r="F699" s="18" t="s">
        <v>1973</v>
      </c>
      <c r="G699" s="18" t="s">
        <v>176</v>
      </c>
      <c r="H699" s="18">
        <v>2.5</v>
      </c>
      <c r="I699" s="18">
        <v>599</v>
      </c>
      <c r="J699" s="18">
        <v>20</v>
      </c>
      <c r="K699" s="18">
        <v>1198</v>
      </c>
      <c r="L699" s="18" t="s">
        <v>139</v>
      </c>
      <c r="M699" s="18" t="s">
        <v>119</v>
      </c>
      <c r="N699" s="28">
        <v>45135.131944444445</v>
      </c>
      <c r="O699" s="28">
        <v>45136.024305555555</v>
      </c>
      <c r="P699" s="18">
        <v>3.6</v>
      </c>
      <c r="Q699" s="18" t="b">
        <f>FALSE()</f>
        <v>0</v>
      </c>
      <c r="R699" s="18" t="b">
        <f>TRUE()</f>
        <v>1</v>
      </c>
      <c r="S699" s="19">
        <f t="shared" si="10"/>
        <v>21.4</v>
      </c>
      <c r="T699">
        <f>COUNTIF('👤 Customers'!$A:$A, B699)</f>
        <v>1</v>
      </c>
      <c r="U699">
        <f>COUNTIF('🚴 Riders'!A698:A758, C699)</f>
        <v>0</v>
      </c>
      <c r="V699">
        <f>COUNTIF('🏭 Facilities'!A698:A706, D699)</f>
        <v>0</v>
      </c>
    </row>
    <row r="700" spans="1:22">
      <c r="A700" s="16" t="s">
        <v>1974</v>
      </c>
      <c r="B700" s="16" t="s">
        <v>634</v>
      </c>
      <c r="C700" s="16" t="s">
        <v>362</v>
      </c>
      <c r="D700" s="16" t="s">
        <v>197</v>
      </c>
      <c r="E700" s="25">
        <v>45304</v>
      </c>
      <c r="F700" s="16" t="s">
        <v>1975</v>
      </c>
      <c r="G700" s="16" t="s">
        <v>132</v>
      </c>
      <c r="H700" s="16">
        <v>3.4</v>
      </c>
      <c r="I700" s="16">
        <v>399</v>
      </c>
      <c r="J700" s="16">
        <v>20</v>
      </c>
      <c r="K700" s="16">
        <v>1085.28</v>
      </c>
      <c r="L700" s="16" t="s">
        <v>146</v>
      </c>
      <c r="M700" s="16" t="s">
        <v>119</v>
      </c>
      <c r="N700" s="27">
        <v>45304.188888888886</v>
      </c>
      <c r="O700" s="27">
        <v>45304.719444444447</v>
      </c>
      <c r="P700" s="16">
        <v>4</v>
      </c>
      <c r="Q700" s="16" t="b">
        <f>TRUE()</f>
        <v>1</v>
      </c>
      <c r="R700" s="16" t="b">
        <f>FALSE()</f>
        <v>0</v>
      </c>
      <c r="S700" s="17">
        <f t="shared" si="10"/>
        <v>12.7</v>
      </c>
      <c r="T700">
        <f>COUNTIF('👤 Customers'!$A:$A, B700)</f>
        <v>1</v>
      </c>
      <c r="U700">
        <f>COUNTIF('🚴 Riders'!A699:A759, C700)</f>
        <v>0</v>
      </c>
      <c r="V700">
        <f>COUNTIF('🏭 Facilities'!A699:A707, D700)</f>
        <v>0</v>
      </c>
    </row>
    <row r="701" spans="1:22">
      <c r="A701" s="18" t="s">
        <v>1976</v>
      </c>
      <c r="B701" s="18" t="s">
        <v>1870</v>
      </c>
      <c r="C701" s="18" t="s">
        <v>143</v>
      </c>
      <c r="D701" s="18" t="s">
        <v>184</v>
      </c>
      <c r="E701" s="26">
        <v>45487</v>
      </c>
      <c r="F701" s="18" t="s">
        <v>1977</v>
      </c>
      <c r="G701" s="18" t="s">
        <v>125</v>
      </c>
      <c r="H701" s="18">
        <v>6.6</v>
      </c>
      <c r="I701" s="18">
        <v>199</v>
      </c>
      <c r="J701" s="18">
        <v>0</v>
      </c>
      <c r="K701" s="18">
        <v>1313.4</v>
      </c>
      <c r="L701" s="18" t="s">
        <v>146</v>
      </c>
      <c r="M701" s="18" t="s">
        <v>140</v>
      </c>
      <c r="N701" s="28">
        <v>45488.040972222225</v>
      </c>
      <c r="O701" s="28">
        <v>45488.660416666666</v>
      </c>
      <c r="P701" s="20"/>
      <c r="Q701" s="18" t="b">
        <f>FALSE()</f>
        <v>0</v>
      </c>
      <c r="R701" s="18" t="b">
        <f>FALSE()</f>
        <v>0</v>
      </c>
      <c r="S701" s="19">
        <f t="shared" si="10"/>
        <v>14.9</v>
      </c>
      <c r="T701">
        <f>COUNTIF('👤 Customers'!$A:$A, B701)</f>
        <v>1</v>
      </c>
      <c r="U701">
        <f>COUNTIF('🚴 Riders'!A700:A760, C701)</f>
        <v>0</v>
      </c>
      <c r="V701">
        <f>COUNTIF('🏭 Facilities'!A700:A708, D701)</f>
        <v>0</v>
      </c>
    </row>
    <row r="702" spans="1:22">
      <c r="A702" s="16" t="s">
        <v>1978</v>
      </c>
      <c r="B702" s="16" t="s">
        <v>1979</v>
      </c>
      <c r="C702" s="16" t="s">
        <v>136</v>
      </c>
      <c r="D702" s="16" t="s">
        <v>130</v>
      </c>
      <c r="E702" s="25">
        <v>45048</v>
      </c>
      <c r="F702" s="16" t="s">
        <v>1980</v>
      </c>
      <c r="G702" s="16" t="s">
        <v>176</v>
      </c>
      <c r="H702" s="16">
        <v>3.8</v>
      </c>
      <c r="I702" s="16">
        <v>599</v>
      </c>
      <c r="J702" s="16">
        <v>10</v>
      </c>
      <c r="K702" s="16">
        <v>2048.58</v>
      </c>
      <c r="L702" s="16" t="s">
        <v>126</v>
      </c>
      <c r="M702" s="16" t="s">
        <v>119</v>
      </c>
      <c r="N702" s="27">
        <v>45049.07708333333</v>
      </c>
      <c r="O702" s="27">
        <v>45050.079861111109</v>
      </c>
      <c r="P702" s="16">
        <v>2.6</v>
      </c>
      <c r="Q702" s="16" t="b">
        <f>TRUE()</f>
        <v>1</v>
      </c>
      <c r="R702" s="16" t="b">
        <f>FALSE()</f>
        <v>0</v>
      </c>
      <c r="S702" s="17">
        <f t="shared" si="10"/>
        <v>24.1</v>
      </c>
      <c r="T702">
        <f>COUNTIF('👤 Customers'!$A:$A, B702)</f>
        <v>1</v>
      </c>
      <c r="U702">
        <f>COUNTIF('🚴 Riders'!A701:A761, C702)</f>
        <v>0</v>
      </c>
      <c r="V702">
        <f>COUNTIF('🏭 Facilities'!A701:A709, D702)</f>
        <v>0</v>
      </c>
    </row>
    <row r="703" spans="1:22">
      <c r="A703" s="18" t="s">
        <v>1981</v>
      </c>
      <c r="B703" s="18" t="s">
        <v>753</v>
      </c>
      <c r="C703" s="18" t="s">
        <v>129</v>
      </c>
      <c r="D703" s="18" t="s">
        <v>184</v>
      </c>
      <c r="E703" s="26">
        <v>45006</v>
      </c>
      <c r="F703" s="18" t="s">
        <v>1982</v>
      </c>
      <c r="G703" s="18" t="s">
        <v>176</v>
      </c>
      <c r="H703" s="18">
        <v>3.8</v>
      </c>
      <c r="I703" s="18">
        <v>599</v>
      </c>
      <c r="J703" s="18">
        <v>0</v>
      </c>
      <c r="K703" s="18">
        <v>2276.1999999999998</v>
      </c>
      <c r="L703" s="18" t="s">
        <v>118</v>
      </c>
      <c r="M703" s="18" t="s">
        <v>119</v>
      </c>
      <c r="N703" s="28">
        <v>45006.691666666666</v>
      </c>
      <c r="O703" s="28">
        <v>45007.054166666669</v>
      </c>
      <c r="P703" s="18">
        <v>4.4000000000000004</v>
      </c>
      <c r="Q703" s="18" t="b">
        <f>FALSE()</f>
        <v>0</v>
      </c>
      <c r="R703" s="18" t="b">
        <f>FALSE()</f>
        <v>0</v>
      </c>
      <c r="S703" s="19">
        <f t="shared" si="10"/>
        <v>8.6999999999999993</v>
      </c>
      <c r="T703">
        <f>COUNTIF('👤 Customers'!$A:$A, B703)</f>
        <v>1</v>
      </c>
      <c r="U703">
        <f>COUNTIF('🚴 Riders'!A702:A762, C703)</f>
        <v>0</v>
      </c>
      <c r="V703">
        <f>COUNTIF('🏭 Facilities'!A702:A710, D703)</f>
        <v>0</v>
      </c>
    </row>
    <row r="704" spans="1:22">
      <c r="A704" s="16" t="s">
        <v>1983</v>
      </c>
      <c r="B704" s="16" t="s">
        <v>574</v>
      </c>
      <c r="C704" s="16" t="s">
        <v>276</v>
      </c>
      <c r="D704" s="16" t="s">
        <v>184</v>
      </c>
      <c r="E704" s="25">
        <v>45238</v>
      </c>
      <c r="F704" s="16" t="s">
        <v>1984</v>
      </c>
      <c r="G704" s="16" t="s">
        <v>132</v>
      </c>
      <c r="H704" s="16">
        <v>6.7</v>
      </c>
      <c r="I704" s="16">
        <v>399</v>
      </c>
      <c r="J704" s="16">
        <v>20</v>
      </c>
      <c r="K704" s="16">
        <v>2138.64</v>
      </c>
      <c r="L704" s="16" t="s">
        <v>126</v>
      </c>
      <c r="M704" s="16" t="s">
        <v>119</v>
      </c>
      <c r="N704" s="27">
        <v>45238.304166666669</v>
      </c>
      <c r="O704" s="27">
        <v>45239.032638888886</v>
      </c>
      <c r="P704" s="16">
        <v>4.4000000000000004</v>
      </c>
      <c r="Q704" s="16" t="b">
        <f>FALSE()</f>
        <v>0</v>
      </c>
      <c r="R704" s="16" t="b">
        <f>FALSE()</f>
        <v>0</v>
      </c>
      <c r="S704" s="17">
        <f t="shared" si="10"/>
        <v>17.5</v>
      </c>
      <c r="T704">
        <f>COUNTIF('👤 Customers'!$A:$A, B704)</f>
        <v>1</v>
      </c>
      <c r="U704">
        <f>COUNTIF('🚴 Riders'!A703:A763, C704)</f>
        <v>0</v>
      </c>
      <c r="V704">
        <f>COUNTIF('🏭 Facilities'!A703:A711, D704)</f>
        <v>0</v>
      </c>
    </row>
    <row r="705" spans="1:22">
      <c r="A705" s="18" t="s">
        <v>1985</v>
      </c>
      <c r="B705" s="18" t="s">
        <v>1540</v>
      </c>
      <c r="C705" s="18" t="s">
        <v>308</v>
      </c>
      <c r="D705" s="18" t="s">
        <v>123</v>
      </c>
      <c r="E705" s="26">
        <v>45001</v>
      </c>
      <c r="F705" s="18" t="s">
        <v>1986</v>
      </c>
      <c r="G705" s="18" t="s">
        <v>176</v>
      </c>
      <c r="H705" s="18">
        <v>6.5</v>
      </c>
      <c r="I705" s="18">
        <v>599</v>
      </c>
      <c r="J705" s="18">
        <v>0</v>
      </c>
      <c r="K705" s="18">
        <v>3893.5</v>
      </c>
      <c r="L705" s="18" t="s">
        <v>118</v>
      </c>
      <c r="M705" s="18" t="s">
        <v>133</v>
      </c>
      <c r="N705" s="20"/>
      <c r="O705" s="20"/>
      <c r="P705" s="20"/>
      <c r="Q705" s="18" t="b">
        <f>FALSE()</f>
        <v>0</v>
      </c>
      <c r="R705" s="18" t="b">
        <f>TRUE()</f>
        <v>1</v>
      </c>
      <c r="S705" s="19" t="str">
        <f t="shared" si="10"/>
        <v>N/A</v>
      </c>
      <c r="T705">
        <f>COUNTIF('👤 Customers'!$A:$A, B705)</f>
        <v>1</v>
      </c>
      <c r="U705">
        <f>COUNTIF('🚴 Riders'!A704:A764, C705)</f>
        <v>0</v>
      </c>
      <c r="V705">
        <f>COUNTIF('🏭 Facilities'!A704:A712, D705)</f>
        <v>0</v>
      </c>
    </row>
    <row r="706" spans="1:22">
      <c r="A706" s="16" t="s">
        <v>1987</v>
      </c>
      <c r="B706" s="16" t="s">
        <v>1988</v>
      </c>
      <c r="C706" s="16" t="s">
        <v>170</v>
      </c>
      <c r="D706" s="16" t="s">
        <v>130</v>
      </c>
      <c r="E706" s="25">
        <v>45436</v>
      </c>
      <c r="F706" s="16" t="s">
        <v>1989</v>
      </c>
      <c r="G706" s="16" t="s">
        <v>176</v>
      </c>
      <c r="H706" s="16">
        <v>4.3</v>
      </c>
      <c r="I706" s="16">
        <v>599</v>
      </c>
      <c r="J706" s="16">
        <v>0</v>
      </c>
      <c r="K706" s="16">
        <v>2575.6999999999998</v>
      </c>
      <c r="L706" s="16" t="s">
        <v>139</v>
      </c>
      <c r="M706" s="16" t="s">
        <v>119</v>
      </c>
      <c r="N706" s="27">
        <v>45436.62222222222</v>
      </c>
      <c r="O706" s="27">
        <v>45437.242361111108</v>
      </c>
      <c r="P706" s="16">
        <v>2.5</v>
      </c>
      <c r="Q706" s="16" t="b">
        <f>FALSE()</f>
        <v>0</v>
      </c>
      <c r="R706" s="16" t="b">
        <f>FALSE()</f>
        <v>0</v>
      </c>
      <c r="S706" s="17">
        <f t="shared" ref="S706:S769" si="11">IF(OR(N706="",O706=""),"N/A",ROUND(((O706-N706)*24),1))</f>
        <v>14.9</v>
      </c>
      <c r="T706">
        <f>COUNTIF('👤 Customers'!$A:$A, B706)</f>
        <v>1</v>
      </c>
      <c r="U706">
        <f>COUNTIF('🚴 Riders'!A705:A765, C706)</f>
        <v>0</v>
      </c>
      <c r="V706">
        <f>COUNTIF('🏭 Facilities'!A705:A713, D706)</f>
        <v>0</v>
      </c>
    </row>
    <row r="707" spans="1:22">
      <c r="A707" s="18" t="s">
        <v>1990</v>
      </c>
      <c r="B707" s="18" t="s">
        <v>1410</v>
      </c>
      <c r="C707" s="18" t="s">
        <v>213</v>
      </c>
      <c r="D707" s="18" t="s">
        <v>197</v>
      </c>
      <c r="E707" s="26">
        <v>45216</v>
      </c>
      <c r="F707" s="18" t="s">
        <v>1991</v>
      </c>
      <c r="G707" s="18" t="s">
        <v>176</v>
      </c>
      <c r="H707" s="18">
        <v>6</v>
      </c>
      <c r="I707" s="18">
        <v>599</v>
      </c>
      <c r="J707" s="18">
        <v>0</v>
      </c>
      <c r="K707" s="18">
        <v>3594</v>
      </c>
      <c r="L707" s="18" t="s">
        <v>118</v>
      </c>
      <c r="M707" s="18" t="s">
        <v>133</v>
      </c>
      <c r="N707" s="20"/>
      <c r="O707" s="20"/>
      <c r="P707" s="20"/>
      <c r="Q707" s="18" t="b">
        <f>FALSE()</f>
        <v>0</v>
      </c>
      <c r="R707" s="18" t="b">
        <f>FALSE()</f>
        <v>0</v>
      </c>
      <c r="S707" s="19" t="str">
        <f t="shared" si="11"/>
        <v>N/A</v>
      </c>
      <c r="T707">
        <f>COUNTIF('👤 Customers'!$A:$A, B707)</f>
        <v>1</v>
      </c>
      <c r="U707">
        <f>COUNTIF('🚴 Riders'!A706:A766, C707)</f>
        <v>0</v>
      </c>
      <c r="V707">
        <f>COUNTIF('🏭 Facilities'!A706:A714, D707)</f>
        <v>0</v>
      </c>
    </row>
    <row r="708" spans="1:22">
      <c r="A708" s="16" t="s">
        <v>1992</v>
      </c>
      <c r="B708" s="16" t="s">
        <v>586</v>
      </c>
      <c r="C708" s="16" t="s">
        <v>213</v>
      </c>
      <c r="D708" s="16" t="s">
        <v>130</v>
      </c>
      <c r="E708" s="25">
        <v>44991</v>
      </c>
      <c r="F708" s="16" t="s">
        <v>1993</v>
      </c>
      <c r="G708" s="16" t="s">
        <v>125</v>
      </c>
      <c r="H708" s="16">
        <v>4.9000000000000004</v>
      </c>
      <c r="I708" s="16">
        <v>199</v>
      </c>
      <c r="J708" s="16">
        <v>0</v>
      </c>
      <c r="K708" s="16">
        <v>975.1</v>
      </c>
      <c r="L708" s="16" t="s">
        <v>126</v>
      </c>
      <c r="M708" s="16" t="s">
        <v>119</v>
      </c>
      <c r="N708" s="27">
        <v>44992.068055555559</v>
      </c>
      <c r="O708" s="27">
        <v>44992.456250000003</v>
      </c>
      <c r="P708" s="16">
        <v>4.4000000000000004</v>
      </c>
      <c r="Q708" s="16" t="b">
        <f>FALSE()</f>
        <v>0</v>
      </c>
      <c r="R708" s="16" t="b">
        <f>FALSE()</f>
        <v>0</v>
      </c>
      <c r="S708" s="17">
        <f t="shared" si="11"/>
        <v>9.3000000000000007</v>
      </c>
      <c r="T708">
        <f>COUNTIF('👤 Customers'!$A:$A, B708)</f>
        <v>1</v>
      </c>
      <c r="U708">
        <f>COUNTIF('🚴 Riders'!A707:A767, C708)</f>
        <v>0</v>
      </c>
      <c r="V708">
        <f>COUNTIF('🏭 Facilities'!A707:A715, D708)</f>
        <v>0</v>
      </c>
    </row>
    <row r="709" spans="1:22">
      <c r="A709" s="18" t="s">
        <v>1994</v>
      </c>
      <c r="B709" s="18" t="s">
        <v>1995</v>
      </c>
      <c r="C709" s="18" t="s">
        <v>136</v>
      </c>
      <c r="D709" s="18" t="s">
        <v>115</v>
      </c>
      <c r="E709" s="26">
        <v>45189</v>
      </c>
      <c r="F709" s="18" t="s">
        <v>1996</v>
      </c>
      <c r="G709" s="18" t="s">
        <v>132</v>
      </c>
      <c r="H709" s="18">
        <v>1.3</v>
      </c>
      <c r="I709" s="18">
        <v>399</v>
      </c>
      <c r="J709" s="18">
        <v>10</v>
      </c>
      <c r="K709" s="18">
        <v>466.83</v>
      </c>
      <c r="L709" s="18" t="s">
        <v>146</v>
      </c>
      <c r="M709" s="18" t="s">
        <v>133</v>
      </c>
      <c r="N709" s="20"/>
      <c r="O709" s="20"/>
      <c r="P709" s="20"/>
      <c r="Q709" s="18" t="b">
        <f>FALSE()</f>
        <v>0</v>
      </c>
      <c r="R709" s="18" t="b">
        <f>FALSE()</f>
        <v>0</v>
      </c>
      <c r="S709" s="19" t="str">
        <f t="shared" si="11"/>
        <v>N/A</v>
      </c>
      <c r="T709">
        <f>COUNTIF('👤 Customers'!$A:$A, B709)</f>
        <v>1</v>
      </c>
      <c r="U709">
        <f>COUNTIF('🚴 Riders'!A708:A768, C709)</f>
        <v>0</v>
      </c>
      <c r="V709">
        <f>COUNTIF('🏭 Facilities'!A708:A716, D709)</f>
        <v>0</v>
      </c>
    </row>
    <row r="710" spans="1:22">
      <c r="A710" s="16" t="s">
        <v>1997</v>
      </c>
      <c r="B710" s="16" t="s">
        <v>1793</v>
      </c>
      <c r="C710" s="16" t="s">
        <v>247</v>
      </c>
      <c r="D710" s="16" t="s">
        <v>197</v>
      </c>
      <c r="E710" s="25">
        <v>45110</v>
      </c>
      <c r="F710" s="16" t="s">
        <v>1998</v>
      </c>
      <c r="G710" s="16" t="s">
        <v>117</v>
      </c>
      <c r="H710" s="16">
        <v>4.2</v>
      </c>
      <c r="I710" s="16">
        <v>149</v>
      </c>
      <c r="J710" s="16">
        <v>0</v>
      </c>
      <c r="K710" s="16">
        <v>625.79999999999995</v>
      </c>
      <c r="L710" s="16" t="s">
        <v>139</v>
      </c>
      <c r="M710" s="16" t="s">
        <v>133</v>
      </c>
      <c r="N710" s="20"/>
      <c r="O710" s="20"/>
      <c r="P710" s="20"/>
      <c r="Q710" s="16" t="b">
        <f>TRUE()</f>
        <v>1</v>
      </c>
      <c r="R710" s="16" t="b">
        <f>TRUE()</f>
        <v>1</v>
      </c>
      <c r="S710" s="17" t="str">
        <f t="shared" si="11"/>
        <v>N/A</v>
      </c>
      <c r="T710">
        <f>COUNTIF('👤 Customers'!$A:$A, B710)</f>
        <v>1</v>
      </c>
      <c r="U710">
        <f>COUNTIF('🚴 Riders'!A709:A769, C710)</f>
        <v>0</v>
      </c>
      <c r="V710">
        <f>COUNTIF('🏭 Facilities'!A709:A717, D710)</f>
        <v>0</v>
      </c>
    </row>
    <row r="711" spans="1:22">
      <c r="A711" s="18" t="s">
        <v>1999</v>
      </c>
      <c r="B711" s="18" t="s">
        <v>759</v>
      </c>
      <c r="C711" s="18" t="s">
        <v>750</v>
      </c>
      <c r="D711" s="18" t="s">
        <v>115</v>
      </c>
      <c r="E711" s="26">
        <v>45330</v>
      </c>
      <c r="F711" s="18" t="s">
        <v>2000</v>
      </c>
      <c r="G711" s="18" t="s">
        <v>125</v>
      </c>
      <c r="H711" s="18">
        <v>2.2000000000000002</v>
      </c>
      <c r="I711" s="18">
        <v>199</v>
      </c>
      <c r="J711" s="18">
        <v>0</v>
      </c>
      <c r="K711" s="18">
        <v>437.8</v>
      </c>
      <c r="L711" s="18" t="s">
        <v>207</v>
      </c>
      <c r="M711" s="18" t="s">
        <v>119</v>
      </c>
      <c r="N711" s="28">
        <v>45330.875</v>
      </c>
      <c r="O711" s="28">
        <v>45331.498611111114</v>
      </c>
      <c r="P711" s="18">
        <v>4.4000000000000004</v>
      </c>
      <c r="Q711" s="18" t="b">
        <f>FALSE()</f>
        <v>0</v>
      </c>
      <c r="R711" s="18" t="b">
        <f>FALSE()</f>
        <v>0</v>
      </c>
      <c r="S711" s="19">
        <f t="shared" si="11"/>
        <v>15</v>
      </c>
      <c r="T711">
        <f>COUNTIF('👤 Customers'!$A:$A, B711)</f>
        <v>1</v>
      </c>
      <c r="U711">
        <f>COUNTIF('🚴 Riders'!A710:A770, C711)</f>
        <v>0</v>
      </c>
      <c r="V711">
        <f>COUNTIF('🏭 Facilities'!A710:A718, D711)</f>
        <v>0</v>
      </c>
    </row>
    <row r="712" spans="1:22">
      <c r="A712" s="16" t="s">
        <v>2001</v>
      </c>
      <c r="B712" s="16" t="s">
        <v>377</v>
      </c>
      <c r="C712" s="16" t="s">
        <v>143</v>
      </c>
      <c r="D712" s="16" t="s">
        <v>137</v>
      </c>
      <c r="E712" s="25">
        <v>45157</v>
      </c>
      <c r="F712" s="16" t="s">
        <v>2002</v>
      </c>
      <c r="G712" s="16" t="s">
        <v>125</v>
      </c>
      <c r="H712" s="16">
        <v>4</v>
      </c>
      <c r="I712" s="16">
        <v>199</v>
      </c>
      <c r="J712" s="16">
        <v>0</v>
      </c>
      <c r="K712" s="16">
        <v>796</v>
      </c>
      <c r="L712" s="16" t="s">
        <v>207</v>
      </c>
      <c r="M712" s="16" t="s">
        <v>140</v>
      </c>
      <c r="N712" s="27">
        <v>45157.553472222222</v>
      </c>
      <c r="O712" s="27">
        <v>45158.161111111112</v>
      </c>
      <c r="P712" s="20"/>
      <c r="Q712" s="16" t="b">
        <f>FALSE()</f>
        <v>0</v>
      </c>
      <c r="R712" s="16" t="b">
        <f>FALSE()</f>
        <v>0</v>
      </c>
      <c r="S712" s="17">
        <f t="shared" si="11"/>
        <v>14.6</v>
      </c>
      <c r="T712">
        <f>COUNTIF('👤 Customers'!$A:$A, B712)</f>
        <v>1</v>
      </c>
      <c r="U712">
        <f>COUNTIF('🚴 Riders'!A711:A771, C712)</f>
        <v>0</v>
      </c>
      <c r="V712">
        <f>COUNTIF('🏭 Facilities'!A711:A719, D712)</f>
        <v>0</v>
      </c>
    </row>
    <row r="713" spans="1:22">
      <c r="A713" s="18" t="s">
        <v>2003</v>
      </c>
      <c r="B713" s="18" t="s">
        <v>863</v>
      </c>
      <c r="C713" s="18" t="s">
        <v>149</v>
      </c>
      <c r="D713" s="18" t="s">
        <v>137</v>
      </c>
      <c r="E713" s="26">
        <v>45550</v>
      </c>
      <c r="F713" s="18" t="s">
        <v>2004</v>
      </c>
      <c r="G713" s="18" t="s">
        <v>176</v>
      </c>
      <c r="H713" s="18">
        <v>7.7</v>
      </c>
      <c r="I713" s="18">
        <v>599</v>
      </c>
      <c r="J713" s="18">
        <v>0</v>
      </c>
      <c r="K713" s="18">
        <v>4612.3</v>
      </c>
      <c r="L713" s="18" t="s">
        <v>207</v>
      </c>
      <c r="M713" s="18" t="s">
        <v>133</v>
      </c>
      <c r="N713" s="20"/>
      <c r="O713" s="20"/>
      <c r="P713" s="20"/>
      <c r="Q713" s="18" t="b">
        <f>FALSE()</f>
        <v>0</v>
      </c>
      <c r="R713" s="18" t="b">
        <f>FALSE()</f>
        <v>0</v>
      </c>
      <c r="S713" s="19" t="str">
        <f t="shared" si="11"/>
        <v>N/A</v>
      </c>
      <c r="T713">
        <f>COUNTIF('👤 Customers'!$A:$A, B713)</f>
        <v>1</v>
      </c>
      <c r="U713">
        <f>COUNTIF('🚴 Riders'!A712:A772, C713)</f>
        <v>0</v>
      </c>
      <c r="V713">
        <f>COUNTIF('🏭 Facilities'!A712:A720, D713)</f>
        <v>0</v>
      </c>
    </row>
    <row r="714" spans="1:22">
      <c r="A714" s="16" t="s">
        <v>2005</v>
      </c>
      <c r="B714" s="16" t="s">
        <v>412</v>
      </c>
      <c r="C714" s="16" t="s">
        <v>224</v>
      </c>
      <c r="D714" s="16" t="s">
        <v>197</v>
      </c>
      <c r="E714" s="25">
        <v>44934</v>
      </c>
      <c r="F714" s="16" t="s">
        <v>2006</v>
      </c>
      <c r="G714" s="16" t="s">
        <v>117</v>
      </c>
      <c r="H714" s="16">
        <v>3.9</v>
      </c>
      <c r="I714" s="16">
        <v>149</v>
      </c>
      <c r="J714" s="16">
        <v>0</v>
      </c>
      <c r="K714" s="16">
        <v>581.1</v>
      </c>
      <c r="L714" s="16" t="s">
        <v>146</v>
      </c>
      <c r="M714" s="16" t="s">
        <v>119</v>
      </c>
      <c r="N714" s="27">
        <v>44934.793749999997</v>
      </c>
      <c r="O714" s="27">
        <v>44935.147916666669</v>
      </c>
      <c r="P714" s="16">
        <v>3.6</v>
      </c>
      <c r="Q714" s="16" t="b">
        <f>TRUE()</f>
        <v>1</v>
      </c>
      <c r="R714" s="16" t="b">
        <f>FALSE()</f>
        <v>0</v>
      </c>
      <c r="S714" s="17">
        <f t="shared" si="11"/>
        <v>8.5</v>
      </c>
      <c r="T714">
        <f>COUNTIF('👤 Customers'!$A:$A, B714)</f>
        <v>1</v>
      </c>
      <c r="U714">
        <f>COUNTIF('🚴 Riders'!A713:A773, C714)</f>
        <v>0</v>
      </c>
      <c r="V714">
        <f>COUNTIF('🏭 Facilities'!A713:A721, D714)</f>
        <v>0</v>
      </c>
    </row>
    <row r="715" spans="1:22">
      <c r="A715" s="18" t="s">
        <v>2007</v>
      </c>
      <c r="B715" s="18" t="s">
        <v>1988</v>
      </c>
      <c r="C715" s="18" t="s">
        <v>240</v>
      </c>
      <c r="D715" s="18" t="s">
        <v>158</v>
      </c>
      <c r="E715" s="26">
        <v>45388</v>
      </c>
      <c r="F715" s="18" t="s">
        <v>2008</v>
      </c>
      <c r="G715" s="18" t="s">
        <v>132</v>
      </c>
      <c r="H715" s="18">
        <v>1.5</v>
      </c>
      <c r="I715" s="18">
        <v>399</v>
      </c>
      <c r="J715" s="18">
        <v>10</v>
      </c>
      <c r="K715" s="18">
        <v>538.65</v>
      </c>
      <c r="L715" s="18" t="s">
        <v>146</v>
      </c>
      <c r="M715" s="18" t="s">
        <v>119</v>
      </c>
      <c r="N715" s="28">
        <v>45388.797222222223</v>
      </c>
      <c r="O715" s="28">
        <v>45389.115277777775</v>
      </c>
      <c r="P715" s="18">
        <v>4.3</v>
      </c>
      <c r="Q715" s="18" t="b">
        <f>FALSE()</f>
        <v>0</v>
      </c>
      <c r="R715" s="18" t="b">
        <f>FALSE()</f>
        <v>0</v>
      </c>
      <c r="S715" s="19">
        <f t="shared" si="11"/>
        <v>7.6</v>
      </c>
      <c r="T715">
        <f>COUNTIF('👤 Customers'!$A:$A, B715)</f>
        <v>1</v>
      </c>
      <c r="U715">
        <f>COUNTIF('🚴 Riders'!A714:A774, C715)</f>
        <v>0</v>
      </c>
      <c r="V715">
        <f>COUNTIF('🏭 Facilities'!A714:A722, D715)</f>
        <v>0</v>
      </c>
    </row>
    <row r="716" spans="1:22">
      <c r="A716" s="16" t="s">
        <v>2009</v>
      </c>
      <c r="B716" s="16" t="s">
        <v>1070</v>
      </c>
      <c r="C716" s="16" t="s">
        <v>536</v>
      </c>
      <c r="D716" s="16" t="s">
        <v>123</v>
      </c>
      <c r="E716" s="25">
        <v>45652</v>
      </c>
      <c r="F716" s="16" t="s">
        <v>2010</v>
      </c>
      <c r="G716" s="16" t="s">
        <v>117</v>
      </c>
      <c r="H716" s="16">
        <v>4.9000000000000004</v>
      </c>
      <c r="I716" s="16">
        <v>149</v>
      </c>
      <c r="J716" s="16">
        <v>10</v>
      </c>
      <c r="K716" s="16">
        <v>657.09</v>
      </c>
      <c r="L716" s="16" t="s">
        <v>146</v>
      </c>
      <c r="M716" s="16" t="s">
        <v>119</v>
      </c>
      <c r="N716" s="27">
        <v>45652.729861111111</v>
      </c>
      <c r="O716" s="27">
        <v>45653.197222222225</v>
      </c>
      <c r="P716" s="16">
        <v>2.8</v>
      </c>
      <c r="Q716" s="16" t="b">
        <f>FALSE()</f>
        <v>0</v>
      </c>
      <c r="R716" s="16" t="b">
        <f>FALSE()</f>
        <v>0</v>
      </c>
      <c r="S716" s="17">
        <f t="shared" si="11"/>
        <v>11.2</v>
      </c>
      <c r="T716">
        <f>COUNTIF('👤 Customers'!$A:$A, B716)</f>
        <v>1</v>
      </c>
      <c r="U716">
        <f>COUNTIF('🚴 Riders'!A715:A775, C716)</f>
        <v>0</v>
      </c>
      <c r="V716">
        <f>COUNTIF('🏭 Facilities'!A715:A723, D716)</f>
        <v>0</v>
      </c>
    </row>
    <row r="717" spans="1:22">
      <c r="A717" s="18" t="s">
        <v>2011</v>
      </c>
      <c r="B717" s="18" t="s">
        <v>827</v>
      </c>
      <c r="C717" s="18" t="s">
        <v>322</v>
      </c>
      <c r="D717" s="18" t="s">
        <v>115</v>
      </c>
      <c r="E717" s="26">
        <v>45522</v>
      </c>
      <c r="F717" s="18" t="s">
        <v>2012</v>
      </c>
      <c r="G717" s="18" t="s">
        <v>145</v>
      </c>
      <c r="H717" s="18">
        <v>3.3</v>
      </c>
      <c r="I717" s="18">
        <v>299</v>
      </c>
      <c r="J717" s="18">
        <v>10</v>
      </c>
      <c r="K717" s="18">
        <v>888.03</v>
      </c>
      <c r="L717" s="18" t="s">
        <v>207</v>
      </c>
      <c r="M717" s="18" t="s">
        <v>133</v>
      </c>
      <c r="N717" s="20"/>
      <c r="O717" s="20"/>
      <c r="P717" s="20"/>
      <c r="Q717" s="18" t="b">
        <f>FALSE()</f>
        <v>0</v>
      </c>
      <c r="R717" s="18" t="b">
        <f>FALSE()</f>
        <v>0</v>
      </c>
      <c r="S717" s="19" t="str">
        <f t="shared" si="11"/>
        <v>N/A</v>
      </c>
      <c r="T717">
        <f>COUNTIF('👤 Customers'!$A:$A, B717)</f>
        <v>1</v>
      </c>
      <c r="U717">
        <f>COUNTIF('🚴 Riders'!A716:A776, C717)</f>
        <v>0</v>
      </c>
      <c r="V717">
        <f>COUNTIF('🏭 Facilities'!A716:A724, D717)</f>
        <v>0</v>
      </c>
    </row>
    <row r="718" spans="1:22">
      <c r="A718" s="16" t="s">
        <v>2013</v>
      </c>
      <c r="B718" s="16" t="s">
        <v>1295</v>
      </c>
      <c r="C718" s="16" t="s">
        <v>174</v>
      </c>
      <c r="D718" s="16" t="s">
        <v>137</v>
      </c>
      <c r="E718" s="25">
        <v>45095</v>
      </c>
      <c r="F718" s="16" t="s">
        <v>2014</v>
      </c>
      <c r="G718" s="16" t="s">
        <v>125</v>
      </c>
      <c r="H718" s="16">
        <v>7.5</v>
      </c>
      <c r="I718" s="16">
        <v>199</v>
      </c>
      <c r="J718" s="16">
        <v>10</v>
      </c>
      <c r="K718" s="16">
        <v>1343.25</v>
      </c>
      <c r="L718" s="16" t="s">
        <v>146</v>
      </c>
      <c r="M718" s="16" t="s">
        <v>119</v>
      </c>
      <c r="N718" s="27">
        <v>45095.161111111112</v>
      </c>
      <c r="O718" s="27">
        <v>45096.135416666664</v>
      </c>
      <c r="P718" s="16">
        <v>4.5</v>
      </c>
      <c r="Q718" s="16" t="b">
        <f>FALSE()</f>
        <v>0</v>
      </c>
      <c r="R718" s="16" t="b">
        <f>FALSE()</f>
        <v>0</v>
      </c>
      <c r="S718" s="17">
        <f t="shared" si="11"/>
        <v>23.4</v>
      </c>
      <c r="T718">
        <f>COUNTIF('👤 Customers'!$A:$A, B718)</f>
        <v>1</v>
      </c>
      <c r="U718">
        <f>COUNTIF('🚴 Riders'!A717:A777, C718)</f>
        <v>0</v>
      </c>
      <c r="V718">
        <f>COUNTIF('🏭 Facilities'!A717:A725, D718)</f>
        <v>0</v>
      </c>
    </row>
    <row r="719" spans="1:22">
      <c r="A719" s="18" t="s">
        <v>2015</v>
      </c>
      <c r="B719" s="18" t="s">
        <v>1182</v>
      </c>
      <c r="C719" s="18" t="s">
        <v>563</v>
      </c>
      <c r="D719" s="18" t="s">
        <v>205</v>
      </c>
      <c r="E719" s="26">
        <v>45162</v>
      </c>
      <c r="F719" s="18" t="s">
        <v>2016</v>
      </c>
      <c r="G719" s="18" t="s">
        <v>176</v>
      </c>
      <c r="H719" s="18">
        <v>6.3</v>
      </c>
      <c r="I719" s="18">
        <v>599</v>
      </c>
      <c r="J719" s="18">
        <v>0</v>
      </c>
      <c r="K719" s="18">
        <v>3773.7</v>
      </c>
      <c r="L719" s="18" t="s">
        <v>146</v>
      </c>
      <c r="M719" s="18" t="s">
        <v>119</v>
      </c>
      <c r="N719" s="28">
        <v>45162.07916666667</v>
      </c>
      <c r="O719" s="28">
        <v>45162.7</v>
      </c>
      <c r="P719" s="18">
        <v>2.7</v>
      </c>
      <c r="Q719" s="18" t="b">
        <f>FALSE()</f>
        <v>0</v>
      </c>
      <c r="R719" s="18" t="b">
        <f>FALSE()</f>
        <v>0</v>
      </c>
      <c r="S719" s="19">
        <f t="shared" si="11"/>
        <v>14.9</v>
      </c>
      <c r="T719">
        <f>COUNTIF('👤 Customers'!$A:$A, B719)</f>
        <v>1</v>
      </c>
      <c r="U719">
        <f>COUNTIF('🚴 Riders'!A718:A778, C719)</f>
        <v>0</v>
      </c>
      <c r="V719">
        <f>COUNTIF('🏭 Facilities'!A718:A726, D719)</f>
        <v>0</v>
      </c>
    </row>
    <row r="720" spans="1:22">
      <c r="A720" s="16" t="s">
        <v>2017</v>
      </c>
      <c r="B720" s="16" t="s">
        <v>806</v>
      </c>
      <c r="C720" s="16" t="s">
        <v>136</v>
      </c>
      <c r="D720" s="16" t="s">
        <v>158</v>
      </c>
      <c r="E720" s="25">
        <v>45056</v>
      </c>
      <c r="F720" s="16" t="s">
        <v>2018</v>
      </c>
      <c r="G720" s="16" t="s">
        <v>117</v>
      </c>
      <c r="H720" s="16">
        <v>6</v>
      </c>
      <c r="I720" s="16">
        <v>149</v>
      </c>
      <c r="J720" s="16">
        <v>20</v>
      </c>
      <c r="K720" s="16">
        <v>715.2</v>
      </c>
      <c r="L720" s="16" t="s">
        <v>118</v>
      </c>
      <c r="M720" s="16" t="s">
        <v>133</v>
      </c>
      <c r="N720" s="20"/>
      <c r="O720" s="20"/>
      <c r="P720" s="20"/>
      <c r="Q720" s="16" t="b">
        <f>FALSE()</f>
        <v>0</v>
      </c>
      <c r="R720" s="16" t="b">
        <f>FALSE()</f>
        <v>0</v>
      </c>
      <c r="S720" s="17" t="str">
        <f t="shared" si="11"/>
        <v>N/A</v>
      </c>
      <c r="T720">
        <f>COUNTIF('👤 Customers'!$A:$A, B720)</f>
        <v>1</v>
      </c>
      <c r="U720">
        <f>COUNTIF('🚴 Riders'!A719:A779, C720)</f>
        <v>0</v>
      </c>
      <c r="V720">
        <f>COUNTIF('🏭 Facilities'!A719:A727, D720)</f>
        <v>0</v>
      </c>
    </row>
    <row r="721" spans="1:22">
      <c r="A721" s="18" t="s">
        <v>2019</v>
      </c>
      <c r="B721" s="18" t="s">
        <v>1663</v>
      </c>
      <c r="C721" s="18" t="s">
        <v>232</v>
      </c>
      <c r="D721" s="18" t="s">
        <v>158</v>
      </c>
      <c r="E721" s="26">
        <v>45591</v>
      </c>
      <c r="F721" s="18" t="s">
        <v>2020</v>
      </c>
      <c r="G721" s="18" t="s">
        <v>145</v>
      </c>
      <c r="H721" s="18">
        <v>6.4</v>
      </c>
      <c r="I721" s="18">
        <v>299</v>
      </c>
      <c r="J721" s="18">
        <v>0</v>
      </c>
      <c r="K721" s="18">
        <v>1913.6</v>
      </c>
      <c r="L721" s="18" t="s">
        <v>118</v>
      </c>
      <c r="M721" s="18" t="s">
        <v>119</v>
      </c>
      <c r="N721" s="28">
        <v>45591.438888888886</v>
      </c>
      <c r="O721" s="28">
        <v>45592.23333333333</v>
      </c>
      <c r="P721" s="18">
        <v>2.9</v>
      </c>
      <c r="Q721" s="18" t="b">
        <f>FALSE()</f>
        <v>0</v>
      </c>
      <c r="R721" s="18" t="b">
        <f>TRUE()</f>
        <v>1</v>
      </c>
      <c r="S721" s="19">
        <f t="shared" si="11"/>
        <v>19.100000000000001</v>
      </c>
      <c r="T721">
        <f>COUNTIF('👤 Customers'!$A:$A, B721)</f>
        <v>1</v>
      </c>
      <c r="U721">
        <f>COUNTIF('🚴 Riders'!A720:A780, C721)</f>
        <v>0</v>
      </c>
      <c r="V721">
        <f>COUNTIF('🏭 Facilities'!A720:A728, D721)</f>
        <v>0</v>
      </c>
    </row>
    <row r="722" spans="1:22">
      <c r="A722" s="16" t="s">
        <v>2021</v>
      </c>
      <c r="B722" s="16" t="s">
        <v>409</v>
      </c>
      <c r="C722" s="16" t="s">
        <v>170</v>
      </c>
      <c r="D722" s="16" t="s">
        <v>184</v>
      </c>
      <c r="E722" s="25">
        <v>45270</v>
      </c>
      <c r="F722" s="16" t="s">
        <v>2022</v>
      </c>
      <c r="G722" s="16" t="s">
        <v>117</v>
      </c>
      <c r="H722" s="16">
        <v>4.7</v>
      </c>
      <c r="I722" s="16">
        <v>149</v>
      </c>
      <c r="J722" s="16">
        <v>0</v>
      </c>
      <c r="K722" s="16">
        <v>700.3</v>
      </c>
      <c r="L722" s="16" t="s">
        <v>146</v>
      </c>
      <c r="M722" s="16" t="s">
        <v>119</v>
      </c>
      <c r="N722" s="27">
        <v>45270.442361111112</v>
      </c>
      <c r="O722" s="27">
        <v>45271.493750000001</v>
      </c>
      <c r="P722" s="16">
        <v>3.2</v>
      </c>
      <c r="Q722" s="16" t="b">
        <f>FALSE()</f>
        <v>0</v>
      </c>
      <c r="R722" s="16" t="b">
        <f>FALSE()</f>
        <v>0</v>
      </c>
      <c r="S722" s="17">
        <f t="shared" si="11"/>
        <v>25.2</v>
      </c>
      <c r="T722">
        <f>COUNTIF('👤 Customers'!$A:$A, B722)</f>
        <v>1</v>
      </c>
      <c r="U722">
        <f>COUNTIF('🚴 Riders'!A721:A781, C722)</f>
        <v>0</v>
      </c>
      <c r="V722">
        <f>COUNTIF('🏭 Facilities'!A721:A729, D722)</f>
        <v>0</v>
      </c>
    </row>
    <row r="723" spans="1:22">
      <c r="A723" s="18" t="s">
        <v>2023</v>
      </c>
      <c r="B723" s="18" t="s">
        <v>883</v>
      </c>
      <c r="C723" s="18" t="s">
        <v>166</v>
      </c>
      <c r="D723" s="18" t="s">
        <v>115</v>
      </c>
      <c r="E723" s="26">
        <v>45236</v>
      </c>
      <c r="F723" s="18" t="s">
        <v>2024</v>
      </c>
      <c r="G723" s="18" t="s">
        <v>125</v>
      </c>
      <c r="H723" s="18">
        <v>8</v>
      </c>
      <c r="I723" s="18">
        <v>199</v>
      </c>
      <c r="J723" s="18">
        <v>10</v>
      </c>
      <c r="K723" s="18">
        <v>1432.8</v>
      </c>
      <c r="L723" s="18" t="s">
        <v>146</v>
      </c>
      <c r="M723" s="18" t="s">
        <v>119</v>
      </c>
      <c r="N723" s="28">
        <v>45236.475694444445</v>
      </c>
      <c r="O723" s="28">
        <v>45237.564583333333</v>
      </c>
      <c r="P723" s="18">
        <v>4.0999999999999996</v>
      </c>
      <c r="Q723" s="18" t="b">
        <f>FALSE()</f>
        <v>0</v>
      </c>
      <c r="R723" s="18" t="b">
        <f>FALSE()</f>
        <v>0</v>
      </c>
      <c r="S723" s="19">
        <f t="shared" si="11"/>
        <v>26.1</v>
      </c>
      <c r="T723">
        <f>COUNTIF('👤 Customers'!$A:$A, B723)</f>
        <v>1</v>
      </c>
      <c r="U723">
        <f>COUNTIF('🚴 Riders'!A722:A782, C723)</f>
        <v>0</v>
      </c>
      <c r="V723">
        <f>COUNTIF('🏭 Facilities'!A722:A730, D723)</f>
        <v>0</v>
      </c>
    </row>
    <row r="724" spans="1:22">
      <c r="A724" s="16" t="s">
        <v>2025</v>
      </c>
      <c r="B724" s="16" t="s">
        <v>701</v>
      </c>
      <c r="C724" s="16" t="s">
        <v>1092</v>
      </c>
      <c r="D724" s="16" t="s">
        <v>137</v>
      </c>
      <c r="E724" s="25">
        <v>45606</v>
      </c>
      <c r="F724" s="16" t="s">
        <v>2026</v>
      </c>
      <c r="G724" s="16" t="s">
        <v>176</v>
      </c>
      <c r="H724" s="16">
        <v>6.7</v>
      </c>
      <c r="I724" s="16">
        <v>599</v>
      </c>
      <c r="J724" s="16">
        <v>0</v>
      </c>
      <c r="K724" s="16">
        <v>4013.3</v>
      </c>
      <c r="L724" s="16" t="s">
        <v>126</v>
      </c>
      <c r="M724" s="16" t="s">
        <v>119</v>
      </c>
      <c r="N724" s="27">
        <v>45606.693055555559</v>
      </c>
      <c r="O724" s="27">
        <v>45607.57916666667</v>
      </c>
      <c r="P724" s="16">
        <v>3.5</v>
      </c>
      <c r="Q724" s="16" t="b">
        <f>FALSE()</f>
        <v>0</v>
      </c>
      <c r="R724" s="16" t="b">
        <f>TRUE()</f>
        <v>1</v>
      </c>
      <c r="S724" s="17">
        <f t="shared" si="11"/>
        <v>21.3</v>
      </c>
      <c r="T724">
        <f>COUNTIF('👤 Customers'!$A:$A, B724)</f>
        <v>1</v>
      </c>
      <c r="U724">
        <f>COUNTIF('🚴 Riders'!A723:A783, C724)</f>
        <v>0</v>
      </c>
      <c r="V724">
        <f>COUNTIF('🏭 Facilities'!A723:A731, D724)</f>
        <v>0</v>
      </c>
    </row>
    <row r="725" spans="1:22">
      <c r="A725" s="18" t="s">
        <v>2027</v>
      </c>
      <c r="B725" s="18" t="s">
        <v>2028</v>
      </c>
      <c r="C725" s="18" t="s">
        <v>162</v>
      </c>
      <c r="D725" s="18" t="s">
        <v>205</v>
      </c>
      <c r="E725" s="26">
        <v>45422</v>
      </c>
      <c r="F725" s="18" t="s">
        <v>2029</v>
      </c>
      <c r="G725" s="18" t="s">
        <v>125</v>
      </c>
      <c r="H725" s="18">
        <v>3.2</v>
      </c>
      <c r="I725" s="18">
        <v>199</v>
      </c>
      <c r="J725" s="18">
        <v>20</v>
      </c>
      <c r="K725" s="18">
        <v>509.44</v>
      </c>
      <c r="L725" s="18" t="s">
        <v>207</v>
      </c>
      <c r="M725" s="18" t="s">
        <v>119</v>
      </c>
      <c r="N725" s="28">
        <v>45422.307638888888</v>
      </c>
      <c r="O725" s="28">
        <v>45422.796527777777</v>
      </c>
      <c r="P725" s="18">
        <v>4.8</v>
      </c>
      <c r="Q725" s="18" t="b">
        <f>FALSE()</f>
        <v>0</v>
      </c>
      <c r="R725" s="18" t="b">
        <f>FALSE()</f>
        <v>0</v>
      </c>
      <c r="S725" s="19">
        <f t="shared" si="11"/>
        <v>11.7</v>
      </c>
      <c r="T725">
        <f>COUNTIF('👤 Customers'!$A:$A, B725)</f>
        <v>1</v>
      </c>
      <c r="U725">
        <f>COUNTIF('🚴 Riders'!A724:A784, C725)</f>
        <v>0</v>
      </c>
      <c r="V725">
        <f>COUNTIF('🏭 Facilities'!A724:A732, D725)</f>
        <v>0</v>
      </c>
    </row>
    <row r="726" spans="1:22">
      <c r="A726" s="16" t="s">
        <v>2030</v>
      </c>
      <c r="B726" s="16" t="s">
        <v>1704</v>
      </c>
      <c r="C726" s="16" t="s">
        <v>842</v>
      </c>
      <c r="D726" s="16" t="s">
        <v>123</v>
      </c>
      <c r="E726" s="25">
        <v>45328</v>
      </c>
      <c r="F726" s="16" t="s">
        <v>2031</v>
      </c>
      <c r="G726" s="16" t="s">
        <v>125</v>
      </c>
      <c r="H726" s="16">
        <v>7.6</v>
      </c>
      <c r="I726" s="16">
        <v>199</v>
      </c>
      <c r="J726" s="16">
        <v>0</v>
      </c>
      <c r="K726" s="16">
        <v>1512.4</v>
      </c>
      <c r="L726" s="16" t="s">
        <v>126</v>
      </c>
      <c r="M726" s="16" t="s">
        <v>140</v>
      </c>
      <c r="N726" s="27">
        <v>45328.171527777777</v>
      </c>
      <c r="O726" s="27">
        <v>45328.580555555556</v>
      </c>
      <c r="P726" s="20"/>
      <c r="Q726" s="16" t="b">
        <f>FALSE()</f>
        <v>0</v>
      </c>
      <c r="R726" s="16" t="b">
        <f>TRUE()</f>
        <v>1</v>
      </c>
      <c r="S726" s="17">
        <f t="shared" si="11"/>
        <v>9.8000000000000007</v>
      </c>
      <c r="T726">
        <f>COUNTIF('👤 Customers'!$A:$A, B726)</f>
        <v>1</v>
      </c>
      <c r="U726">
        <f>COUNTIF('🚴 Riders'!A725:A785, C726)</f>
        <v>0</v>
      </c>
      <c r="V726">
        <f>COUNTIF('🏭 Facilities'!A725:A733, D726)</f>
        <v>0</v>
      </c>
    </row>
    <row r="727" spans="1:22">
      <c r="A727" s="18" t="s">
        <v>2032</v>
      </c>
      <c r="B727" s="18" t="s">
        <v>2033</v>
      </c>
      <c r="C727" s="18" t="s">
        <v>136</v>
      </c>
      <c r="D727" s="18" t="s">
        <v>205</v>
      </c>
      <c r="E727" s="26">
        <v>45399</v>
      </c>
      <c r="F727" s="18" t="s">
        <v>2034</v>
      </c>
      <c r="G727" s="18" t="s">
        <v>132</v>
      </c>
      <c r="H727" s="18">
        <v>5.8</v>
      </c>
      <c r="I727" s="18">
        <v>399</v>
      </c>
      <c r="J727" s="18">
        <v>0</v>
      </c>
      <c r="K727" s="18">
        <v>2314.1999999999998</v>
      </c>
      <c r="L727" s="18" t="s">
        <v>126</v>
      </c>
      <c r="M727" s="18" t="s">
        <v>140</v>
      </c>
      <c r="N727" s="28">
        <v>45399.788194444445</v>
      </c>
      <c r="O727" s="28">
        <v>45400.708333333336</v>
      </c>
      <c r="P727" s="20"/>
      <c r="Q727" s="18" t="b">
        <f>FALSE()</f>
        <v>0</v>
      </c>
      <c r="R727" s="18" t="b">
        <f>FALSE()</f>
        <v>0</v>
      </c>
      <c r="S727" s="19">
        <f t="shared" si="11"/>
        <v>22.1</v>
      </c>
      <c r="T727">
        <f>COUNTIF('👤 Customers'!$A:$A, B727)</f>
        <v>1</v>
      </c>
      <c r="U727">
        <f>COUNTIF('🚴 Riders'!A726:A786, C727)</f>
        <v>0</v>
      </c>
      <c r="V727">
        <f>COUNTIF('🏭 Facilities'!A726:A734, D727)</f>
        <v>0</v>
      </c>
    </row>
    <row r="728" spans="1:22">
      <c r="A728" s="16" t="s">
        <v>2035</v>
      </c>
      <c r="B728" s="16" t="s">
        <v>1961</v>
      </c>
      <c r="C728" s="16" t="s">
        <v>220</v>
      </c>
      <c r="D728" s="16" t="s">
        <v>184</v>
      </c>
      <c r="E728" s="25">
        <v>45467</v>
      </c>
      <c r="F728" s="16" t="s">
        <v>2036</v>
      </c>
      <c r="G728" s="16" t="s">
        <v>125</v>
      </c>
      <c r="H728" s="16">
        <v>5</v>
      </c>
      <c r="I728" s="16">
        <v>199</v>
      </c>
      <c r="J728" s="16">
        <v>0</v>
      </c>
      <c r="K728" s="16">
        <v>995</v>
      </c>
      <c r="L728" s="16" t="s">
        <v>207</v>
      </c>
      <c r="M728" s="16" t="s">
        <v>119</v>
      </c>
      <c r="N728" s="27">
        <v>45467.980555555558</v>
      </c>
      <c r="O728" s="27">
        <v>45468.415972222225</v>
      </c>
      <c r="P728" s="16">
        <v>4.5</v>
      </c>
      <c r="Q728" s="16" t="b">
        <f>FALSE()</f>
        <v>0</v>
      </c>
      <c r="R728" s="16" t="b">
        <f>FALSE()</f>
        <v>0</v>
      </c>
      <c r="S728" s="17">
        <f t="shared" si="11"/>
        <v>10.5</v>
      </c>
      <c r="T728">
        <f>COUNTIF('👤 Customers'!$A:$A, B728)</f>
        <v>1</v>
      </c>
      <c r="U728">
        <f>COUNTIF('🚴 Riders'!A727:A787, C728)</f>
        <v>0</v>
      </c>
      <c r="V728">
        <f>COUNTIF('🏭 Facilities'!A727:A735, D728)</f>
        <v>0</v>
      </c>
    </row>
    <row r="729" spans="1:22">
      <c r="A729" s="18" t="s">
        <v>2037</v>
      </c>
      <c r="B729" s="18" t="s">
        <v>2038</v>
      </c>
      <c r="C729" s="18" t="s">
        <v>166</v>
      </c>
      <c r="D729" s="18" t="s">
        <v>123</v>
      </c>
      <c r="E729" s="26">
        <v>44990</v>
      </c>
      <c r="F729" s="18" t="s">
        <v>2039</v>
      </c>
      <c r="G729" s="18" t="s">
        <v>132</v>
      </c>
      <c r="H729" s="18">
        <v>3.2</v>
      </c>
      <c r="I729" s="18">
        <v>399</v>
      </c>
      <c r="J729" s="18">
        <v>10</v>
      </c>
      <c r="K729" s="18">
        <v>1149.1199999999999</v>
      </c>
      <c r="L729" s="18" t="s">
        <v>207</v>
      </c>
      <c r="M729" s="18" t="s">
        <v>119</v>
      </c>
      <c r="N729" s="28">
        <v>44990.257638888892</v>
      </c>
      <c r="O729" s="28">
        <v>44991.128472222219</v>
      </c>
      <c r="P729" s="18">
        <v>3.2</v>
      </c>
      <c r="Q729" s="18" t="b">
        <f>FALSE()</f>
        <v>0</v>
      </c>
      <c r="R729" s="18" t="b">
        <f>FALSE()</f>
        <v>0</v>
      </c>
      <c r="S729" s="19">
        <f t="shared" si="11"/>
        <v>20.9</v>
      </c>
      <c r="T729">
        <f>COUNTIF('👤 Customers'!$A:$A, B729)</f>
        <v>1</v>
      </c>
      <c r="U729">
        <f>COUNTIF('🚴 Riders'!A728:A788, C729)</f>
        <v>0</v>
      </c>
      <c r="V729">
        <f>COUNTIF('🏭 Facilities'!A728:A736, D729)</f>
        <v>0</v>
      </c>
    </row>
    <row r="730" spans="1:22">
      <c r="A730" s="16" t="s">
        <v>2040</v>
      </c>
      <c r="B730" s="16" t="s">
        <v>1598</v>
      </c>
      <c r="C730" s="16" t="s">
        <v>220</v>
      </c>
      <c r="D730" s="16" t="s">
        <v>205</v>
      </c>
      <c r="E730" s="25">
        <v>45575</v>
      </c>
      <c r="F730" s="16" t="s">
        <v>2041</v>
      </c>
      <c r="G730" s="16" t="s">
        <v>132</v>
      </c>
      <c r="H730" s="16">
        <v>2.9</v>
      </c>
      <c r="I730" s="16">
        <v>399</v>
      </c>
      <c r="J730" s="16">
        <v>0</v>
      </c>
      <c r="K730" s="16">
        <v>1157.0999999999999</v>
      </c>
      <c r="L730" s="16" t="s">
        <v>118</v>
      </c>
      <c r="M730" s="16" t="s">
        <v>119</v>
      </c>
      <c r="N730" s="27">
        <v>45575.836111111108</v>
      </c>
      <c r="O730" s="27">
        <v>45576.464583333334</v>
      </c>
      <c r="P730" s="16">
        <v>4.4000000000000004</v>
      </c>
      <c r="Q730" s="16" t="b">
        <f>FALSE()</f>
        <v>0</v>
      </c>
      <c r="R730" s="16" t="b">
        <f>FALSE()</f>
        <v>0</v>
      </c>
      <c r="S730" s="17">
        <f t="shared" si="11"/>
        <v>15.1</v>
      </c>
      <c r="T730">
        <f>COUNTIF('👤 Customers'!$A:$A, B730)</f>
        <v>1</v>
      </c>
      <c r="U730">
        <f>COUNTIF('🚴 Riders'!A729:A789, C730)</f>
        <v>0</v>
      </c>
      <c r="V730">
        <f>COUNTIF('🏭 Facilities'!A729:A737, D730)</f>
        <v>0</v>
      </c>
    </row>
    <row r="731" spans="1:22">
      <c r="A731" s="18" t="s">
        <v>2042</v>
      </c>
      <c r="B731" s="18" t="s">
        <v>2043</v>
      </c>
      <c r="C731" s="18" t="s">
        <v>265</v>
      </c>
      <c r="D731" s="18" t="s">
        <v>123</v>
      </c>
      <c r="E731" s="26">
        <v>45460</v>
      </c>
      <c r="F731" s="18" t="s">
        <v>2044</v>
      </c>
      <c r="G731" s="18" t="s">
        <v>132</v>
      </c>
      <c r="H731" s="18">
        <v>1.3</v>
      </c>
      <c r="I731" s="18">
        <v>399</v>
      </c>
      <c r="J731" s="18">
        <v>20</v>
      </c>
      <c r="K731" s="18">
        <v>414.96</v>
      </c>
      <c r="L731" s="18" t="s">
        <v>207</v>
      </c>
      <c r="M731" s="18" t="s">
        <v>119</v>
      </c>
      <c r="N731" s="28">
        <v>45460.682638888888</v>
      </c>
      <c r="O731" s="28">
        <v>45461.484027777777</v>
      </c>
      <c r="P731" s="18">
        <v>3.4</v>
      </c>
      <c r="Q731" s="18" t="b">
        <f>FALSE()</f>
        <v>0</v>
      </c>
      <c r="R731" s="18" t="b">
        <f>FALSE()</f>
        <v>0</v>
      </c>
      <c r="S731" s="19">
        <f t="shared" si="11"/>
        <v>19.2</v>
      </c>
      <c r="T731">
        <f>COUNTIF('👤 Customers'!$A:$A, B731)</f>
        <v>1</v>
      </c>
      <c r="U731">
        <f>COUNTIF('🚴 Riders'!A730:A790, C731)</f>
        <v>0</v>
      </c>
      <c r="V731">
        <f>COUNTIF('🏭 Facilities'!A730:A738, D731)</f>
        <v>0</v>
      </c>
    </row>
    <row r="732" spans="1:22">
      <c r="A732" s="16" t="s">
        <v>2045</v>
      </c>
      <c r="B732" s="16" t="s">
        <v>762</v>
      </c>
      <c r="C732" s="16" t="s">
        <v>322</v>
      </c>
      <c r="D732" s="16" t="s">
        <v>137</v>
      </c>
      <c r="E732" s="25">
        <v>45504</v>
      </c>
      <c r="F732" s="16" t="s">
        <v>2046</v>
      </c>
      <c r="G732" s="16" t="s">
        <v>117</v>
      </c>
      <c r="H732" s="16">
        <v>1.6</v>
      </c>
      <c r="I732" s="16">
        <v>149</v>
      </c>
      <c r="J732" s="16">
        <v>10</v>
      </c>
      <c r="K732" s="16">
        <v>214.56</v>
      </c>
      <c r="L732" s="16" t="s">
        <v>139</v>
      </c>
      <c r="M732" s="16" t="s">
        <v>119</v>
      </c>
      <c r="N732" s="27">
        <v>45504.259722222225</v>
      </c>
      <c r="O732" s="27">
        <v>45504.823611111111</v>
      </c>
      <c r="P732" s="16">
        <v>2.8</v>
      </c>
      <c r="Q732" s="16" t="b">
        <f>FALSE()</f>
        <v>0</v>
      </c>
      <c r="R732" s="16" t="b">
        <f>FALSE()</f>
        <v>0</v>
      </c>
      <c r="S732" s="17">
        <f t="shared" si="11"/>
        <v>13.5</v>
      </c>
      <c r="T732">
        <f>COUNTIF('👤 Customers'!$A:$A, B732)</f>
        <v>1</v>
      </c>
      <c r="U732">
        <f>COUNTIF('🚴 Riders'!A731:A791, C732)</f>
        <v>0</v>
      </c>
      <c r="V732">
        <f>COUNTIF('🏭 Facilities'!A731:A739, D732)</f>
        <v>0</v>
      </c>
    </row>
    <row r="733" spans="1:22">
      <c r="A733" s="18" t="s">
        <v>2047</v>
      </c>
      <c r="B733" s="18" t="s">
        <v>1737</v>
      </c>
      <c r="C733" s="18" t="s">
        <v>213</v>
      </c>
      <c r="D733" s="18" t="s">
        <v>205</v>
      </c>
      <c r="E733" s="26">
        <v>45220</v>
      </c>
      <c r="F733" s="18" t="s">
        <v>2048</v>
      </c>
      <c r="G733" s="18" t="s">
        <v>176</v>
      </c>
      <c r="H733" s="18">
        <v>7.3</v>
      </c>
      <c r="I733" s="18">
        <v>599</v>
      </c>
      <c r="J733" s="18">
        <v>0</v>
      </c>
      <c r="K733" s="18">
        <v>4372.7</v>
      </c>
      <c r="L733" s="18" t="s">
        <v>118</v>
      </c>
      <c r="M733" s="18" t="s">
        <v>119</v>
      </c>
      <c r="N733" s="28">
        <v>45220.643750000003</v>
      </c>
      <c r="O733" s="28">
        <v>45221.588194444441</v>
      </c>
      <c r="P733" s="18">
        <v>4.0999999999999996</v>
      </c>
      <c r="Q733" s="18" t="b">
        <f>TRUE()</f>
        <v>1</v>
      </c>
      <c r="R733" s="18" t="b">
        <f>FALSE()</f>
        <v>0</v>
      </c>
      <c r="S733" s="19">
        <f t="shared" si="11"/>
        <v>22.7</v>
      </c>
      <c r="T733">
        <f>COUNTIF('👤 Customers'!$A:$A, B733)</f>
        <v>1</v>
      </c>
      <c r="U733">
        <f>COUNTIF('🚴 Riders'!A732:A792, C733)</f>
        <v>0</v>
      </c>
      <c r="V733">
        <f>COUNTIF('🏭 Facilities'!A732:A740, D733)</f>
        <v>0</v>
      </c>
    </row>
    <row r="734" spans="1:22">
      <c r="A734" s="16" t="s">
        <v>2049</v>
      </c>
      <c r="B734" s="16" t="s">
        <v>2050</v>
      </c>
      <c r="C734" s="16" t="s">
        <v>247</v>
      </c>
      <c r="D734" s="16" t="s">
        <v>158</v>
      </c>
      <c r="E734" s="25">
        <v>45164</v>
      </c>
      <c r="F734" s="16" t="s">
        <v>2051</v>
      </c>
      <c r="G734" s="16" t="s">
        <v>132</v>
      </c>
      <c r="H734" s="16">
        <v>4.3</v>
      </c>
      <c r="I734" s="16">
        <v>399</v>
      </c>
      <c r="J734" s="16">
        <v>0</v>
      </c>
      <c r="K734" s="16">
        <v>1715.7</v>
      </c>
      <c r="L734" s="16" t="s">
        <v>139</v>
      </c>
      <c r="M734" s="16" t="s">
        <v>119</v>
      </c>
      <c r="N734" s="27">
        <v>45164.975694444445</v>
      </c>
      <c r="O734" s="27">
        <v>45165.779166666667</v>
      </c>
      <c r="P734" s="16">
        <v>4.5999999999999996</v>
      </c>
      <c r="Q734" s="16" t="b">
        <f>FALSE()</f>
        <v>0</v>
      </c>
      <c r="R734" s="16" t="b">
        <f>FALSE()</f>
        <v>0</v>
      </c>
      <c r="S734" s="17">
        <f t="shared" si="11"/>
        <v>19.3</v>
      </c>
      <c r="T734">
        <f>COUNTIF('👤 Customers'!$A:$A, B734)</f>
        <v>1</v>
      </c>
      <c r="U734">
        <f>COUNTIF('🚴 Riders'!A733:A793, C734)</f>
        <v>0</v>
      </c>
      <c r="V734">
        <f>COUNTIF('🏭 Facilities'!A733:A741, D734)</f>
        <v>0</v>
      </c>
    </row>
    <row r="735" spans="1:22">
      <c r="A735" s="18" t="s">
        <v>2052</v>
      </c>
      <c r="B735" s="18" t="s">
        <v>1737</v>
      </c>
      <c r="C735" s="18" t="s">
        <v>247</v>
      </c>
      <c r="D735" s="18" t="s">
        <v>123</v>
      </c>
      <c r="E735" s="26">
        <v>45189</v>
      </c>
      <c r="F735" s="18" t="s">
        <v>601</v>
      </c>
      <c r="G735" s="18" t="s">
        <v>145</v>
      </c>
      <c r="H735" s="18">
        <v>5.7</v>
      </c>
      <c r="I735" s="18">
        <v>299</v>
      </c>
      <c r="J735" s="18">
        <v>0</v>
      </c>
      <c r="K735" s="18">
        <v>1704.3</v>
      </c>
      <c r="L735" s="18" t="s">
        <v>146</v>
      </c>
      <c r="M735" s="18" t="s">
        <v>119</v>
      </c>
      <c r="N735" s="28">
        <v>45189.569444444445</v>
      </c>
      <c r="O735" s="28">
        <v>45190.57916666667</v>
      </c>
      <c r="P735" s="18">
        <v>3.5</v>
      </c>
      <c r="Q735" s="18" t="b">
        <f>TRUE()</f>
        <v>1</v>
      </c>
      <c r="R735" s="18" t="b">
        <f>FALSE()</f>
        <v>0</v>
      </c>
      <c r="S735" s="19">
        <f t="shared" si="11"/>
        <v>24.2</v>
      </c>
      <c r="T735">
        <f>COUNTIF('👤 Customers'!$A:$A, B735)</f>
        <v>1</v>
      </c>
      <c r="U735">
        <f>COUNTIF('🚴 Riders'!A734:A794, C735)</f>
        <v>0</v>
      </c>
      <c r="V735">
        <f>COUNTIF('🏭 Facilities'!A734:A742, D735)</f>
        <v>0</v>
      </c>
    </row>
    <row r="736" spans="1:22">
      <c r="A736" s="16" t="s">
        <v>2053</v>
      </c>
      <c r="B736" s="16" t="s">
        <v>958</v>
      </c>
      <c r="C736" s="16" t="s">
        <v>322</v>
      </c>
      <c r="D736" s="16" t="s">
        <v>205</v>
      </c>
      <c r="E736" s="25">
        <v>45643</v>
      </c>
      <c r="F736" s="16" t="s">
        <v>2054</v>
      </c>
      <c r="G736" s="16" t="s">
        <v>117</v>
      </c>
      <c r="H736" s="16">
        <v>7.2</v>
      </c>
      <c r="I736" s="16">
        <v>149</v>
      </c>
      <c r="J736" s="16">
        <v>30</v>
      </c>
      <c r="K736" s="16">
        <v>750.96</v>
      </c>
      <c r="L736" s="16" t="s">
        <v>126</v>
      </c>
      <c r="M736" s="16" t="s">
        <v>133</v>
      </c>
      <c r="N736" s="20"/>
      <c r="O736" s="20"/>
      <c r="P736" s="20"/>
      <c r="Q736" s="16" t="b">
        <f>FALSE()</f>
        <v>0</v>
      </c>
      <c r="R736" s="16" t="b">
        <f>FALSE()</f>
        <v>0</v>
      </c>
      <c r="S736" s="17" t="str">
        <f t="shared" si="11"/>
        <v>N/A</v>
      </c>
      <c r="T736">
        <f>COUNTIF('👤 Customers'!$A:$A, B736)</f>
        <v>1</v>
      </c>
      <c r="U736">
        <f>COUNTIF('🚴 Riders'!A735:A795, C736)</f>
        <v>0</v>
      </c>
      <c r="V736">
        <f>COUNTIF('🏭 Facilities'!A735:A743, D736)</f>
        <v>0</v>
      </c>
    </row>
    <row r="737" spans="1:22">
      <c r="A737" s="18" t="s">
        <v>2055</v>
      </c>
      <c r="B737" s="18" t="s">
        <v>982</v>
      </c>
      <c r="C737" s="18" t="s">
        <v>261</v>
      </c>
      <c r="D737" s="18" t="s">
        <v>123</v>
      </c>
      <c r="E737" s="26">
        <v>45521</v>
      </c>
      <c r="F737" s="18" t="s">
        <v>2056</v>
      </c>
      <c r="G737" s="18" t="s">
        <v>132</v>
      </c>
      <c r="H737" s="18">
        <v>6.6</v>
      </c>
      <c r="I737" s="18">
        <v>399</v>
      </c>
      <c r="J737" s="18">
        <v>0</v>
      </c>
      <c r="K737" s="18">
        <v>2633.4</v>
      </c>
      <c r="L737" s="18" t="s">
        <v>126</v>
      </c>
      <c r="M737" s="18" t="s">
        <v>119</v>
      </c>
      <c r="N737" s="28">
        <v>45521.920138888891</v>
      </c>
      <c r="O737" s="28">
        <v>45522.722222222219</v>
      </c>
      <c r="P737" s="18">
        <v>3</v>
      </c>
      <c r="Q737" s="18" t="b">
        <f>FALSE()</f>
        <v>0</v>
      </c>
      <c r="R737" s="18" t="b">
        <f>FALSE()</f>
        <v>0</v>
      </c>
      <c r="S737" s="19">
        <f t="shared" si="11"/>
        <v>19.2</v>
      </c>
      <c r="T737">
        <f>COUNTIF('👤 Customers'!$A:$A, B737)</f>
        <v>1</v>
      </c>
      <c r="U737">
        <f>COUNTIF('🚴 Riders'!A736:A796, C737)</f>
        <v>0</v>
      </c>
      <c r="V737">
        <f>COUNTIF('🏭 Facilities'!A736:A744, D737)</f>
        <v>0</v>
      </c>
    </row>
    <row r="738" spans="1:22">
      <c r="A738" s="16" t="s">
        <v>2057</v>
      </c>
      <c r="B738" s="16" t="s">
        <v>169</v>
      </c>
      <c r="C738" s="16" t="s">
        <v>257</v>
      </c>
      <c r="D738" s="16" t="s">
        <v>158</v>
      </c>
      <c r="E738" s="25">
        <v>45489</v>
      </c>
      <c r="F738" s="16" t="s">
        <v>2058</v>
      </c>
      <c r="G738" s="16" t="s">
        <v>132</v>
      </c>
      <c r="H738" s="16">
        <v>2.1</v>
      </c>
      <c r="I738" s="16">
        <v>399</v>
      </c>
      <c r="J738" s="16">
        <v>0</v>
      </c>
      <c r="K738" s="16">
        <v>837.9</v>
      </c>
      <c r="L738" s="16" t="s">
        <v>207</v>
      </c>
      <c r="M738" s="16" t="s">
        <v>119</v>
      </c>
      <c r="N738" s="27">
        <v>45489.472916666666</v>
      </c>
      <c r="O738" s="27">
        <v>45489.892361111109</v>
      </c>
      <c r="P738" s="16">
        <v>4.8</v>
      </c>
      <c r="Q738" s="16" t="b">
        <f>FALSE()</f>
        <v>0</v>
      </c>
      <c r="R738" s="16" t="b">
        <f>FALSE()</f>
        <v>0</v>
      </c>
      <c r="S738" s="17">
        <f t="shared" si="11"/>
        <v>10.1</v>
      </c>
      <c r="T738">
        <f>COUNTIF('👤 Customers'!$A:$A, B738)</f>
        <v>1</v>
      </c>
      <c r="U738">
        <f>COUNTIF('🚴 Riders'!A737:A797, C738)</f>
        <v>0</v>
      </c>
      <c r="V738">
        <f>COUNTIF('🏭 Facilities'!A737:A745, D738)</f>
        <v>0</v>
      </c>
    </row>
    <row r="739" spans="1:22">
      <c r="A739" s="18" t="s">
        <v>2059</v>
      </c>
      <c r="B739" s="18" t="s">
        <v>1102</v>
      </c>
      <c r="C739" s="18" t="s">
        <v>580</v>
      </c>
      <c r="D739" s="18" t="s">
        <v>123</v>
      </c>
      <c r="E739" s="26">
        <v>45475</v>
      </c>
      <c r="F739" s="18" t="s">
        <v>2060</v>
      </c>
      <c r="G739" s="18" t="s">
        <v>132</v>
      </c>
      <c r="H739" s="18">
        <v>6.3</v>
      </c>
      <c r="I739" s="18">
        <v>399</v>
      </c>
      <c r="J739" s="18">
        <v>0</v>
      </c>
      <c r="K739" s="18">
        <v>2513.6999999999998</v>
      </c>
      <c r="L739" s="18" t="s">
        <v>139</v>
      </c>
      <c r="M739" s="18" t="s">
        <v>119</v>
      </c>
      <c r="N739" s="28">
        <v>45475.607638888891</v>
      </c>
      <c r="O739" s="28">
        <v>45476.634027777778</v>
      </c>
      <c r="P739" s="18">
        <v>4</v>
      </c>
      <c r="Q739" s="18" t="b">
        <f>FALSE()</f>
        <v>0</v>
      </c>
      <c r="R739" s="18" t="b">
        <f>FALSE()</f>
        <v>0</v>
      </c>
      <c r="S739" s="19">
        <f t="shared" si="11"/>
        <v>24.6</v>
      </c>
      <c r="T739">
        <f>COUNTIF('👤 Customers'!$A:$A, B739)</f>
        <v>1</v>
      </c>
      <c r="U739">
        <f>COUNTIF('🚴 Riders'!A738:A798, C739)</f>
        <v>0</v>
      </c>
      <c r="V739">
        <f>COUNTIF('🏭 Facilities'!A738:A746, D739)</f>
        <v>0</v>
      </c>
    </row>
    <row r="740" spans="1:22">
      <c r="A740" s="16" t="s">
        <v>2061</v>
      </c>
      <c r="B740" s="16" t="s">
        <v>498</v>
      </c>
      <c r="C740" s="16" t="s">
        <v>304</v>
      </c>
      <c r="D740" s="16" t="s">
        <v>158</v>
      </c>
      <c r="E740" s="25">
        <v>45447</v>
      </c>
      <c r="F740" s="16" t="s">
        <v>2062</v>
      </c>
      <c r="G740" s="16" t="s">
        <v>176</v>
      </c>
      <c r="H740" s="16">
        <v>1.2</v>
      </c>
      <c r="I740" s="16">
        <v>599</v>
      </c>
      <c r="J740" s="16">
        <v>20</v>
      </c>
      <c r="K740" s="16">
        <v>575.04</v>
      </c>
      <c r="L740" s="16" t="s">
        <v>126</v>
      </c>
      <c r="M740" s="16" t="s">
        <v>119</v>
      </c>
      <c r="N740" s="27">
        <v>45447.440972222219</v>
      </c>
      <c r="O740" s="27">
        <v>45448.038194444445</v>
      </c>
      <c r="P740" s="16">
        <v>4.0999999999999996</v>
      </c>
      <c r="Q740" s="16" t="b">
        <f>TRUE()</f>
        <v>1</v>
      </c>
      <c r="R740" s="16" t="b">
        <f>TRUE()</f>
        <v>1</v>
      </c>
      <c r="S740" s="17">
        <f t="shared" si="11"/>
        <v>14.3</v>
      </c>
      <c r="T740">
        <f>COUNTIF('👤 Customers'!$A:$A, B740)</f>
        <v>1</v>
      </c>
      <c r="U740">
        <f>COUNTIF('🚴 Riders'!A739:A799, C740)</f>
        <v>0</v>
      </c>
      <c r="V740">
        <f>COUNTIF('🏭 Facilities'!A739:A747, D740)</f>
        <v>0</v>
      </c>
    </row>
    <row r="741" spans="1:22">
      <c r="A741" s="18" t="s">
        <v>2063</v>
      </c>
      <c r="B741" s="18" t="s">
        <v>246</v>
      </c>
      <c r="C741" s="18" t="s">
        <v>240</v>
      </c>
      <c r="D741" s="18" t="s">
        <v>115</v>
      </c>
      <c r="E741" s="26">
        <v>45091</v>
      </c>
      <c r="F741" s="18" t="s">
        <v>2064</v>
      </c>
      <c r="G741" s="18" t="s">
        <v>117</v>
      </c>
      <c r="H741" s="18">
        <v>4</v>
      </c>
      <c r="I741" s="18">
        <v>149</v>
      </c>
      <c r="J741" s="18">
        <v>0</v>
      </c>
      <c r="K741" s="18">
        <v>596</v>
      </c>
      <c r="L741" s="18" t="s">
        <v>126</v>
      </c>
      <c r="M741" s="18" t="s">
        <v>140</v>
      </c>
      <c r="N741" s="28">
        <v>45091.115972222222</v>
      </c>
      <c r="O741" s="28">
        <v>45091.546527777777</v>
      </c>
      <c r="P741" s="20"/>
      <c r="Q741" s="18" t="b">
        <f>FALSE()</f>
        <v>0</v>
      </c>
      <c r="R741" s="18" t="b">
        <f>FALSE()</f>
        <v>0</v>
      </c>
      <c r="S741" s="19">
        <f t="shared" si="11"/>
        <v>10.3</v>
      </c>
      <c r="T741">
        <f>COUNTIF('👤 Customers'!$A:$A, B741)</f>
        <v>1</v>
      </c>
      <c r="U741">
        <f>COUNTIF('🚴 Riders'!A740:A800, C741)</f>
        <v>0</v>
      </c>
      <c r="V741">
        <f>COUNTIF('🏭 Facilities'!A740:A748, D741)</f>
        <v>0</v>
      </c>
    </row>
    <row r="742" spans="1:22">
      <c r="A742" s="16" t="s">
        <v>2065</v>
      </c>
      <c r="B742" s="16" t="s">
        <v>1634</v>
      </c>
      <c r="C742" s="16" t="s">
        <v>143</v>
      </c>
      <c r="D742" s="16" t="s">
        <v>158</v>
      </c>
      <c r="E742" s="25">
        <v>45066</v>
      </c>
      <c r="F742" s="16" t="s">
        <v>2066</v>
      </c>
      <c r="G742" s="16" t="s">
        <v>132</v>
      </c>
      <c r="H742" s="16">
        <v>3.8</v>
      </c>
      <c r="I742" s="16">
        <v>399</v>
      </c>
      <c r="J742" s="16">
        <v>0</v>
      </c>
      <c r="K742" s="16">
        <v>1516.2</v>
      </c>
      <c r="L742" s="16" t="s">
        <v>126</v>
      </c>
      <c r="M742" s="16" t="s">
        <v>119</v>
      </c>
      <c r="N742" s="27">
        <v>45066.524305555555</v>
      </c>
      <c r="O742" s="27">
        <v>45066.93472222222</v>
      </c>
      <c r="P742" s="16">
        <v>2.9</v>
      </c>
      <c r="Q742" s="16" t="b">
        <f>TRUE()</f>
        <v>1</v>
      </c>
      <c r="R742" s="16" t="b">
        <f>FALSE()</f>
        <v>0</v>
      </c>
      <c r="S742" s="17">
        <f t="shared" si="11"/>
        <v>9.8000000000000007</v>
      </c>
      <c r="T742">
        <f>COUNTIF('👤 Customers'!$A:$A, B742)</f>
        <v>1</v>
      </c>
      <c r="U742">
        <f>COUNTIF('🚴 Riders'!A741:A801, C742)</f>
        <v>0</v>
      </c>
      <c r="V742">
        <f>COUNTIF('🏭 Facilities'!A741:A749, D742)</f>
        <v>0</v>
      </c>
    </row>
    <row r="743" spans="1:22">
      <c r="A743" s="18" t="s">
        <v>2067</v>
      </c>
      <c r="B743" s="18" t="s">
        <v>737</v>
      </c>
      <c r="C743" s="18" t="s">
        <v>149</v>
      </c>
      <c r="D743" s="18" t="s">
        <v>197</v>
      </c>
      <c r="E743" s="26">
        <v>45460</v>
      </c>
      <c r="F743" s="18" t="s">
        <v>2068</v>
      </c>
      <c r="G743" s="18" t="s">
        <v>145</v>
      </c>
      <c r="H743" s="18">
        <v>1.1000000000000001</v>
      </c>
      <c r="I743" s="18">
        <v>299</v>
      </c>
      <c r="J743" s="18">
        <v>10</v>
      </c>
      <c r="K743" s="18">
        <v>296.01</v>
      </c>
      <c r="L743" s="18" t="s">
        <v>146</v>
      </c>
      <c r="M743" s="18" t="s">
        <v>140</v>
      </c>
      <c r="N743" s="28">
        <v>45460.143055555556</v>
      </c>
      <c r="O743" s="28">
        <v>45461.038194444445</v>
      </c>
      <c r="P743" s="20"/>
      <c r="Q743" s="18" t="b">
        <f>FALSE()</f>
        <v>0</v>
      </c>
      <c r="R743" s="18" t="b">
        <f>FALSE()</f>
        <v>0</v>
      </c>
      <c r="S743" s="19">
        <f t="shared" si="11"/>
        <v>21.5</v>
      </c>
      <c r="T743">
        <f>COUNTIF('👤 Customers'!$A:$A, B743)</f>
        <v>1</v>
      </c>
      <c r="U743">
        <f>COUNTIF('🚴 Riders'!A742:A802, C743)</f>
        <v>0</v>
      </c>
      <c r="V743">
        <f>COUNTIF('🏭 Facilities'!A742:A750, D743)</f>
        <v>0</v>
      </c>
    </row>
    <row r="744" spans="1:22">
      <c r="A744" s="16" t="s">
        <v>2069</v>
      </c>
      <c r="B744" s="16" t="s">
        <v>1144</v>
      </c>
      <c r="C744" s="16" t="s">
        <v>339</v>
      </c>
      <c r="D744" s="16" t="s">
        <v>158</v>
      </c>
      <c r="E744" s="25">
        <v>45316</v>
      </c>
      <c r="F744" s="16" t="s">
        <v>2070</v>
      </c>
      <c r="G744" s="16" t="s">
        <v>117</v>
      </c>
      <c r="H744" s="16">
        <v>6.5</v>
      </c>
      <c r="I744" s="16">
        <v>149</v>
      </c>
      <c r="J744" s="16">
        <v>10</v>
      </c>
      <c r="K744" s="16">
        <v>871.65</v>
      </c>
      <c r="L744" s="16" t="s">
        <v>126</v>
      </c>
      <c r="M744" s="16" t="s">
        <v>133</v>
      </c>
      <c r="N744" s="20"/>
      <c r="O744" s="20"/>
      <c r="P744" s="20"/>
      <c r="Q744" s="16" t="b">
        <f>FALSE()</f>
        <v>0</v>
      </c>
      <c r="R744" s="16" t="b">
        <f>FALSE()</f>
        <v>0</v>
      </c>
      <c r="S744" s="17" t="str">
        <f t="shared" si="11"/>
        <v>N/A</v>
      </c>
      <c r="T744">
        <f>COUNTIF('👤 Customers'!$A:$A, B744)</f>
        <v>1</v>
      </c>
      <c r="U744">
        <f>COUNTIF('🚴 Riders'!A743:A803, C744)</f>
        <v>0</v>
      </c>
      <c r="V744">
        <f>COUNTIF('🏭 Facilities'!A743:A751, D744)</f>
        <v>0</v>
      </c>
    </row>
    <row r="745" spans="1:22">
      <c r="A745" s="18" t="s">
        <v>2071</v>
      </c>
      <c r="B745" s="18" t="s">
        <v>1257</v>
      </c>
      <c r="C745" s="18" t="s">
        <v>122</v>
      </c>
      <c r="D745" s="18" t="s">
        <v>197</v>
      </c>
      <c r="E745" s="26">
        <v>45652</v>
      </c>
      <c r="F745" s="18" t="s">
        <v>2072</v>
      </c>
      <c r="G745" s="18" t="s">
        <v>176</v>
      </c>
      <c r="H745" s="18">
        <v>2.8</v>
      </c>
      <c r="I745" s="18">
        <v>599</v>
      </c>
      <c r="J745" s="18">
        <v>0</v>
      </c>
      <c r="K745" s="18">
        <v>1677.2</v>
      </c>
      <c r="L745" s="18" t="s">
        <v>139</v>
      </c>
      <c r="M745" s="18" t="s">
        <v>133</v>
      </c>
      <c r="N745" s="20"/>
      <c r="O745" s="20"/>
      <c r="P745" s="20"/>
      <c r="Q745" s="18" t="b">
        <f>FALSE()</f>
        <v>0</v>
      </c>
      <c r="R745" s="18" t="b">
        <f>TRUE()</f>
        <v>1</v>
      </c>
      <c r="S745" s="19" t="str">
        <f t="shared" si="11"/>
        <v>N/A</v>
      </c>
      <c r="T745">
        <f>COUNTIF('👤 Customers'!$A:$A, B745)</f>
        <v>1</v>
      </c>
      <c r="U745">
        <f>COUNTIF('🚴 Riders'!A744:A804, C745)</f>
        <v>0</v>
      </c>
      <c r="V745">
        <f>COUNTIF('🏭 Facilities'!A744:A752, D745)</f>
        <v>0</v>
      </c>
    </row>
    <row r="746" spans="1:22">
      <c r="A746" s="16" t="s">
        <v>2073</v>
      </c>
      <c r="B746" s="16" t="s">
        <v>464</v>
      </c>
      <c r="C746" s="16" t="s">
        <v>265</v>
      </c>
      <c r="D746" s="16" t="s">
        <v>158</v>
      </c>
      <c r="E746" s="25">
        <v>45392</v>
      </c>
      <c r="F746" s="16" t="s">
        <v>2074</v>
      </c>
      <c r="G746" s="16" t="s">
        <v>117</v>
      </c>
      <c r="H746" s="16">
        <v>2.8</v>
      </c>
      <c r="I746" s="16">
        <v>149</v>
      </c>
      <c r="J746" s="16">
        <v>0</v>
      </c>
      <c r="K746" s="16">
        <v>417.2</v>
      </c>
      <c r="L746" s="16" t="s">
        <v>126</v>
      </c>
      <c r="M746" s="16" t="s">
        <v>119</v>
      </c>
      <c r="N746" s="27">
        <v>45392.644444444442</v>
      </c>
      <c r="O746" s="27">
        <v>45392.975694444445</v>
      </c>
      <c r="P746" s="16">
        <v>3.6</v>
      </c>
      <c r="Q746" s="16" t="b">
        <f>FALSE()</f>
        <v>0</v>
      </c>
      <c r="R746" s="16" t="b">
        <f>TRUE()</f>
        <v>1</v>
      </c>
      <c r="S746" s="17">
        <f t="shared" si="11"/>
        <v>8</v>
      </c>
      <c r="T746">
        <f>COUNTIF('👤 Customers'!$A:$A, B746)</f>
        <v>1</v>
      </c>
      <c r="U746">
        <f>COUNTIF('🚴 Riders'!A745:A805, C746)</f>
        <v>0</v>
      </c>
      <c r="V746">
        <f>COUNTIF('🏭 Facilities'!A745:A753, D746)</f>
        <v>0</v>
      </c>
    </row>
    <row r="747" spans="1:22">
      <c r="A747" s="18" t="s">
        <v>2075</v>
      </c>
      <c r="B747" s="18" t="s">
        <v>191</v>
      </c>
      <c r="C747" s="18" t="s">
        <v>842</v>
      </c>
      <c r="D747" s="18" t="s">
        <v>115</v>
      </c>
      <c r="E747" s="26">
        <v>45013</v>
      </c>
      <c r="F747" s="18" t="s">
        <v>2076</v>
      </c>
      <c r="G747" s="18" t="s">
        <v>117</v>
      </c>
      <c r="H747" s="18">
        <v>6.1</v>
      </c>
      <c r="I747" s="18">
        <v>149</v>
      </c>
      <c r="J747" s="18">
        <v>0</v>
      </c>
      <c r="K747" s="18">
        <v>908.9</v>
      </c>
      <c r="L747" s="18" t="s">
        <v>139</v>
      </c>
      <c r="M747" s="18" t="s">
        <v>119</v>
      </c>
      <c r="N747" s="28">
        <v>45013.803472222222</v>
      </c>
      <c r="O747" s="28">
        <v>45014.165972222225</v>
      </c>
      <c r="P747" s="18">
        <v>4.7</v>
      </c>
      <c r="Q747" s="18" t="b">
        <f>FALSE()</f>
        <v>0</v>
      </c>
      <c r="R747" s="18" t="b">
        <f>FALSE()</f>
        <v>0</v>
      </c>
      <c r="S747" s="19">
        <f t="shared" si="11"/>
        <v>8.6999999999999993</v>
      </c>
      <c r="T747">
        <f>COUNTIF('👤 Customers'!$A:$A, B747)</f>
        <v>1</v>
      </c>
      <c r="U747">
        <f>COUNTIF('🚴 Riders'!A746:A806, C747)</f>
        <v>0</v>
      </c>
      <c r="V747">
        <f>COUNTIF('🏭 Facilities'!A746:A754, D747)</f>
        <v>0</v>
      </c>
    </row>
    <row r="748" spans="1:22">
      <c r="A748" s="16" t="s">
        <v>2077</v>
      </c>
      <c r="B748" s="16" t="s">
        <v>1102</v>
      </c>
      <c r="C748" s="16" t="s">
        <v>358</v>
      </c>
      <c r="D748" s="16" t="s">
        <v>184</v>
      </c>
      <c r="E748" s="25">
        <v>45406</v>
      </c>
      <c r="F748" s="16" t="s">
        <v>2078</v>
      </c>
      <c r="G748" s="16" t="s">
        <v>132</v>
      </c>
      <c r="H748" s="16">
        <v>7.4</v>
      </c>
      <c r="I748" s="16">
        <v>399</v>
      </c>
      <c r="J748" s="16">
        <v>20</v>
      </c>
      <c r="K748" s="16">
        <v>2362.08</v>
      </c>
      <c r="L748" s="16" t="s">
        <v>207</v>
      </c>
      <c r="M748" s="16" t="s">
        <v>140</v>
      </c>
      <c r="N748" s="27">
        <v>45406.56527777778</v>
      </c>
      <c r="O748" s="27">
        <v>45407.287499999999</v>
      </c>
      <c r="P748" s="20"/>
      <c r="Q748" s="16" t="b">
        <f>FALSE()</f>
        <v>0</v>
      </c>
      <c r="R748" s="16" t="b">
        <f>FALSE()</f>
        <v>0</v>
      </c>
      <c r="S748" s="17">
        <f t="shared" si="11"/>
        <v>17.3</v>
      </c>
      <c r="T748">
        <f>COUNTIF('👤 Customers'!$A:$A, B748)</f>
        <v>1</v>
      </c>
      <c r="U748">
        <f>COUNTIF('🚴 Riders'!A747:A807, C748)</f>
        <v>0</v>
      </c>
      <c r="V748">
        <f>COUNTIF('🏭 Facilities'!A747:A755, D748)</f>
        <v>0</v>
      </c>
    </row>
    <row r="749" spans="1:22">
      <c r="A749" s="18" t="s">
        <v>2079</v>
      </c>
      <c r="B749" s="18" t="s">
        <v>1162</v>
      </c>
      <c r="C749" s="18" t="s">
        <v>308</v>
      </c>
      <c r="D749" s="18" t="s">
        <v>137</v>
      </c>
      <c r="E749" s="26">
        <v>45558</v>
      </c>
      <c r="F749" s="18" t="s">
        <v>2080</v>
      </c>
      <c r="G749" s="18" t="s">
        <v>125</v>
      </c>
      <c r="H749" s="18">
        <v>3.7</v>
      </c>
      <c r="I749" s="18">
        <v>199</v>
      </c>
      <c r="J749" s="18">
        <v>30</v>
      </c>
      <c r="K749" s="18">
        <v>515.41</v>
      </c>
      <c r="L749" s="18" t="s">
        <v>118</v>
      </c>
      <c r="M749" s="18" t="s">
        <v>119</v>
      </c>
      <c r="N749" s="28">
        <v>45558.138888888891</v>
      </c>
      <c r="O749" s="28">
        <v>45558.933333333334</v>
      </c>
      <c r="P749" s="18">
        <v>4.3</v>
      </c>
      <c r="Q749" s="18" t="b">
        <f>FALSE()</f>
        <v>0</v>
      </c>
      <c r="R749" s="18" t="b">
        <f>TRUE()</f>
        <v>1</v>
      </c>
      <c r="S749" s="19">
        <f t="shared" si="11"/>
        <v>19.100000000000001</v>
      </c>
      <c r="T749">
        <f>COUNTIF('👤 Customers'!$A:$A, B749)</f>
        <v>1</v>
      </c>
      <c r="U749">
        <f>COUNTIF('🚴 Riders'!A748:A808, C749)</f>
        <v>0</v>
      </c>
      <c r="V749">
        <f>COUNTIF('🏭 Facilities'!A748:A756, D749)</f>
        <v>0</v>
      </c>
    </row>
    <row r="750" spans="1:22">
      <c r="A750" s="16" t="s">
        <v>2081</v>
      </c>
      <c r="B750" s="16" t="s">
        <v>2082</v>
      </c>
      <c r="C750" s="16" t="s">
        <v>272</v>
      </c>
      <c r="D750" s="16" t="s">
        <v>130</v>
      </c>
      <c r="E750" s="25">
        <v>45635</v>
      </c>
      <c r="F750" s="16" t="s">
        <v>2083</v>
      </c>
      <c r="G750" s="16" t="s">
        <v>145</v>
      </c>
      <c r="H750" s="16">
        <v>7.8</v>
      </c>
      <c r="I750" s="16">
        <v>299</v>
      </c>
      <c r="J750" s="16">
        <v>10</v>
      </c>
      <c r="K750" s="16">
        <v>2098.98</v>
      </c>
      <c r="L750" s="16" t="s">
        <v>126</v>
      </c>
      <c r="M750" s="16" t="s">
        <v>133</v>
      </c>
      <c r="N750" s="20"/>
      <c r="O750" s="20"/>
      <c r="P750" s="20"/>
      <c r="Q750" s="16" t="b">
        <f>FALSE()</f>
        <v>0</v>
      </c>
      <c r="R750" s="16" t="b">
        <f>FALSE()</f>
        <v>0</v>
      </c>
      <c r="S750" s="17" t="str">
        <f t="shared" si="11"/>
        <v>N/A</v>
      </c>
      <c r="T750">
        <f>COUNTIF('👤 Customers'!$A:$A, B750)</f>
        <v>1</v>
      </c>
      <c r="U750">
        <f>COUNTIF('🚴 Riders'!A749:A809, C750)</f>
        <v>0</v>
      </c>
      <c r="V750">
        <f>COUNTIF('🏭 Facilities'!A749:A757, D750)</f>
        <v>0</v>
      </c>
    </row>
    <row r="751" spans="1:22">
      <c r="A751" s="18" t="s">
        <v>2084</v>
      </c>
      <c r="B751" s="18" t="s">
        <v>1214</v>
      </c>
      <c r="C751" s="18" t="s">
        <v>536</v>
      </c>
      <c r="D751" s="18" t="s">
        <v>123</v>
      </c>
      <c r="E751" s="26">
        <v>45517</v>
      </c>
      <c r="F751" s="18" t="s">
        <v>2085</v>
      </c>
      <c r="G751" s="18" t="s">
        <v>145</v>
      </c>
      <c r="H751" s="18">
        <v>2.9</v>
      </c>
      <c r="I751" s="18">
        <v>299</v>
      </c>
      <c r="J751" s="18">
        <v>10</v>
      </c>
      <c r="K751" s="18">
        <v>780.39</v>
      </c>
      <c r="L751" s="18" t="s">
        <v>118</v>
      </c>
      <c r="M751" s="18" t="s">
        <v>119</v>
      </c>
      <c r="N751" s="28">
        <v>45517.928472222222</v>
      </c>
      <c r="O751" s="28">
        <v>45518.774305555555</v>
      </c>
      <c r="P751" s="18">
        <v>2.5</v>
      </c>
      <c r="Q751" s="18" t="b">
        <f>FALSE()</f>
        <v>0</v>
      </c>
      <c r="R751" s="18" t="b">
        <f>FALSE()</f>
        <v>0</v>
      </c>
      <c r="S751" s="19">
        <f t="shared" si="11"/>
        <v>20.3</v>
      </c>
      <c r="T751">
        <f>COUNTIF('👤 Customers'!$A:$A, B751)</f>
        <v>1</v>
      </c>
      <c r="U751">
        <f>COUNTIF('🚴 Riders'!A750:A810, C751)</f>
        <v>0</v>
      </c>
      <c r="V751">
        <f>COUNTIF('🏭 Facilities'!A750:A758, D751)</f>
        <v>0</v>
      </c>
    </row>
    <row r="752" spans="1:22">
      <c r="A752" s="16" t="s">
        <v>2086</v>
      </c>
      <c r="B752" s="16" t="s">
        <v>845</v>
      </c>
      <c r="C752" s="16" t="s">
        <v>192</v>
      </c>
      <c r="D752" s="16" t="s">
        <v>197</v>
      </c>
      <c r="E752" s="25">
        <v>45437</v>
      </c>
      <c r="F752" s="16" t="s">
        <v>2087</v>
      </c>
      <c r="G752" s="16" t="s">
        <v>132</v>
      </c>
      <c r="H752" s="16">
        <v>2.9</v>
      </c>
      <c r="I752" s="16">
        <v>399</v>
      </c>
      <c r="J752" s="16">
        <v>0</v>
      </c>
      <c r="K752" s="16">
        <v>1157.0999999999999</v>
      </c>
      <c r="L752" s="16" t="s">
        <v>146</v>
      </c>
      <c r="M752" s="16" t="s">
        <v>140</v>
      </c>
      <c r="N752" s="27">
        <v>45437.538888888892</v>
      </c>
      <c r="O752" s="27">
        <v>45437.998611111114</v>
      </c>
      <c r="P752" s="20"/>
      <c r="Q752" s="16" t="b">
        <f>FALSE()</f>
        <v>0</v>
      </c>
      <c r="R752" s="16" t="b">
        <f>FALSE()</f>
        <v>0</v>
      </c>
      <c r="S752" s="17">
        <f t="shared" si="11"/>
        <v>11</v>
      </c>
      <c r="T752">
        <f>COUNTIF('👤 Customers'!$A:$A, B752)</f>
        <v>1</v>
      </c>
      <c r="U752">
        <f>COUNTIF('🚴 Riders'!A751:A811, C752)</f>
        <v>0</v>
      </c>
      <c r="V752">
        <f>COUNTIF('🏭 Facilities'!A751:A759, D752)</f>
        <v>0</v>
      </c>
    </row>
    <row r="753" spans="1:22">
      <c r="A753" s="18" t="s">
        <v>2088</v>
      </c>
      <c r="B753" s="18" t="s">
        <v>969</v>
      </c>
      <c r="C753" s="18" t="s">
        <v>162</v>
      </c>
      <c r="D753" s="18" t="s">
        <v>205</v>
      </c>
      <c r="E753" s="26">
        <v>45569</v>
      </c>
      <c r="F753" s="18" t="s">
        <v>2089</v>
      </c>
      <c r="G753" s="18" t="s">
        <v>145</v>
      </c>
      <c r="H753" s="18">
        <v>5.0999999999999996</v>
      </c>
      <c r="I753" s="18">
        <v>299</v>
      </c>
      <c r="J753" s="18">
        <v>10</v>
      </c>
      <c r="K753" s="18">
        <v>1372.41</v>
      </c>
      <c r="L753" s="18" t="s">
        <v>118</v>
      </c>
      <c r="M753" s="18" t="s">
        <v>119</v>
      </c>
      <c r="N753" s="28">
        <v>45569.429861111108</v>
      </c>
      <c r="O753" s="28">
        <v>45570.125</v>
      </c>
      <c r="P753" s="18">
        <v>4.5999999999999996</v>
      </c>
      <c r="Q753" s="18" t="b">
        <f>FALSE()</f>
        <v>0</v>
      </c>
      <c r="R753" s="18" t="b">
        <f>FALSE()</f>
        <v>0</v>
      </c>
      <c r="S753" s="19">
        <f t="shared" si="11"/>
        <v>16.7</v>
      </c>
      <c r="T753">
        <f>COUNTIF('👤 Customers'!$A:$A, B753)</f>
        <v>1</v>
      </c>
      <c r="U753">
        <f>COUNTIF('🚴 Riders'!A752:A812, C753)</f>
        <v>0</v>
      </c>
      <c r="V753">
        <f>COUNTIF('🏭 Facilities'!A752:A760, D753)</f>
        <v>0</v>
      </c>
    </row>
    <row r="754" spans="1:22">
      <c r="A754" s="16" t="s">
        <v>2090</v>
      </c>
      <c r="B754" s="16" t="s">
        <v>2091</v>
      </c>
      <c r="C754" s="16" t="s">
        <v>300</v>
      </c>
      <c r="D754" s="16" t="s">
        <v>115</v>
      </c>
      <c r="E754" s="25">
        <v>45314</v>
      </c>
      <c r="F754" s="16" t="s">
        <v>2092</v>
      </c>
      <c r="G754" s="16" t="s">
        <v>132</v>
      </c>
      <c r="H754" s="16">
        <v>4.7</v>
      </c>
      <c r="I754" s="16">
        <v>399</v>
      </c>
      <c r="J754" s="16">
        <v>0</v>
      </c>
      <c r="K754" s="16">
        <v>1875.3</v>
      </c>
      <c r="L754" s="16" t="s">
        <v>146</v>
      </c>
      <c r="M754" s="16" t="s">
        <v>119</v>
      </c>
      <c r="N754" s="27">
        <v>45314.622916666667</v>
      </c>
      <c r="O754" s="27">
        <v>45315.009722222225</v>
      </c>
      <c r="P754" s="16">
        <v>5</v>
      </c>
      <c r="Q754" s="16" t="b">
        <f>TRUE()</f>
        <v>1</v>
      </c>
      <c r="R754" s="16" t="b">
        <f>FALSE()</f>
        <v>0</v>
      </c>
      <c r="S754" s="17">
        <f t="shared" si="11"/>
        <v>9.3000000000000007</v>
      </c>
      <c r="T754">
        <f>COUNTIF('👤 Customers'!$A:$A, B754)</f>
        <v>1</v>
      </c>
      <c r="U754">
        <f>COUNTIF('🚴 Riders'!A753:A813, C754)</f>
        <v>0</v>
      </c>
      <c r="V754">
        <f>COUNTIF('🏭 Facilities'!A753:A761, D754)</f>
        <v>0</v>
      </c>
    </row>
    <row r="755" spans="1:22">
      <c r="A755" s="18" t="s">
        <v>2093</v>
      </c>
      <c r="B755" s="18" t="s">
        <v>643</v>
      </c>
      <c r="C755" s="18" t="s">
        <v>157</v>
      </c>
      <c r="D755" s="18" t="s">
        <v>205</v>
      </c>
      <c r="E755" s="26">
        <v>45338</v>
      </c>
      <c r="F755" s="18" t="s">
        <v>2094</v>
      </c>
      <c r="G755" s="18" t="s">
        <v>117</v>
      </c>
      <c r="H755" s="18">
        <v>3.1</v>
      </c>
      <c r="I755" s="18">
        <v>149</v>
      </c>
      <c r="J755" s="18">
        <v>10</v>
      </c>
      <c r="K755" s="18">
        <v>415.71</v>
      </c>
      <c r="L755" s="18" t="s">
        <v>146</v>
      </c>
      <c r="M755" s="18" t="s">
        <v>119</v>
      </c>
      <c r="N755" s="28">
        <v>45338.464583333334</v>
      </c>
      <c r="O755" s="28">
        <v>45338.830555555556</v>
      </c>
      <c r="P755" s="18">
        <v>3.6</v>
      </c>
      <c r="Q755" s="18" t="b">
        <f>FALSE()</f>
        <v>0</v>
      </c>
      <c r="R755" s="18" t="b">
        <f>TRUE()</f>
        <v>1</v>
      </c>
      <c r="S755" s="19">
        <f t="shared" si="11"/>
        <v>8.8000000000000007</v>
      </c>
      <c r="T755">
        <f>COUNTIF('👤 Customers'!$A:$A, B755)</f>
        <v>1</v>
      </c>
      <c r="U755">
        <f>COUNTIF('🚴 Riders'!A754:A814, C755)</f>
        <v>0</v>
      </c>
      <c r="V755">
        <f>COUNTIF('🏭 Facilities'!A754:A762, D755)</f>
        <v>0</v>
      </c>
    </row>
    <row r="756" spans="1:22">
      <c r="A756" s="16" t="s">
        <v>2095</v>
      </c>
      <c r="B756" s="16" t="s">
        <v>2096</v>
      </c>
      <c r="C756" s="16" t="s">
        <v>487</v>
      </c>
      <c r="D756" s="16" t="s">
        <v>197</v>
      </c>
      <c r="E756" s="25">
        <v>45147</v>
      </c>
      <c r="F756" s="16" t="s">
        <v>2097</v>
      </c>
      <c r="G756" s="16" t="s">
        <v>176</v>
      </c>
      <c r="H756" s="16">
        <v>6.2</v>
      </c>
      <c r="I756" s="16">
        <v>599</v>
      </c>
      <c r="J756" s="16">
        <v>30</v>
      </c>
      <c r="K756" s="16">
        <v>2599.66</v>
      </c>
      <c r="L756" s="16" t="s">
        <v>139</v>
      </c>
      <c r="M756" s="16" t="s">
        <v>119</v>
      </c>
      <c r="N756" s="27">
        <v>45147.656944444447</v>
      </c>
      <c r="O756" s="27">
        <v>45148.097916666666</v>
      </c>
      <c r="P756" s="16">
        <v>3</v>
      </c>
      <c r="Q756" s="16" t="b">
        <f>FALSE()</f>
        <v>0</v>
      </c>
      <c r="R756" s="16" t="b">
        <f>FALSE()</f>
        <v>0</v>
      </c>
      <c r="S756" s="17">
        <f t="shared" si="11"/>
        <v>10.6</v>
      </c>
      <c r="T756">
        <f>COUNTIF('👤 Customers'!$A:$A, B756)</f>
        <v>1</v>
      </c>
      <c r="U756">
        <f>COUNTIF('🚴 Riders'!A755:A815, C756)</f>
        <v>0</v>
      </c>
      <c r="V756">
        <f>COUNTIF('🏭 Facilities'!A755:A763, D756)</f>
        <v>0</v>
      </c>
    </row>
    <row r="757" spans="1:22">
      <c r="A757" s="18" t="s">
        <v>2098</v>
      </c>
      <c r="B757" s="18" t="s">
        <v>554</v>
      </c>
      <c r="C757" s="18" t="s">
        <v>287</v>
      </c>
      <c r="D757" s="18" t="s">
        <v>123</v>
      </c>
      <c r="E757" s="26">
        <v>45065</v>
      </c>
      <c r="F757" s="18" t="s">
        <v>2099</v>
      </c>
      <c r="G757" s="18" t="s">
        <v>132</v>
      </c>
      <c r="H757" s="18">
        <v>6.4</v>
      </c>
      <c r="I757" s="18">
        <v>399</v>
      </c>
      <c r="J757" s="18">
        <v>30</v>
      </c>
      <c r="K757" s="18">
        <v>1787.52</v>
      </c>
      <c r="L757" s="18" t="s">
        <v>118</v>
      </c>
      <c r="M757" s="18" t="s">
        <v>119</v>
      </c>
      <c r="N757" s="28">
        <v>45065.84097222222</v>
      </c>
      <c r="O757" s="28">
        <v>45066.414583333331</v>
      </c>
      <c r="P757" s="18">
        <v>4.4000000000000004</v>
      </c>
      <c r="Q757" s="18" t="b">
        <f>FALSE()</f>
        <v>0</v>
      </c>
      <c r="R757" s="18" t="b">
        <f>FALSE()</f>
        <v>0</v>
      </c>
      <c r="S757" s="19">
        <f t="shared" si="11"/>
        <v>13.8</v>
      </c>
      <c r="T757">
        <f>COUNTIF('👤 Customers'!$A:$A, B757)</f>
        <v>1</v>
      </c>
      <c r="U757">
        <f>COUNTIF('🚴 Riders'!A756:A816, C757)</f>
        <v>0</v>
      </c>
      <c r="V757">
        <f>COUNTIF('🏭 Facilities'!A756:A764, D757)</f>
        <v>0</v>
      </c>
    </row>
    <row r="758" spans="1:22">
      <c r="A758" s="16" t="s">
        <v>2100</v>
      </c>
      <c r="B758" s="16" t="s">
        <v>2101</v>
      </c>
      <c r="C758" s="16" t="s">
        <v>611</v>
      </c>
      <c r="D758" s="16" t="s">
        <v>115</v>
      </c>
      <c r="E758" s="25">
        <v>45460</v>
      </c>
      <c r="F758" s="16" t="s">
        <v>2102</v>
      </c>
      <c r="G758" s="16" t="s">
        <v>117</v>
      </c>
      <c r="H758" s="16">
        <v>4.5</v>
      </c>
      <c r="I758" s="16">
        <v>149</v>
      </c>
      <c r="J758" s="16">
        <v>0</v>
      </c>
      <c r="K758" s="16">
        <v>670.5</v>
      </c>
      <c r="L758" s="16" t="s">
        <v>207</v>
      </c>
      <c r="M758" s="16" t="s">
        <v>119</v>
      </c>
      <c r="N758" s="27">
        <v>45460.633333333331</v>
      </c>
      <c r="O758" s="27">
        <v>45461.334722222222</v>
      </c>
      <c r="P758" s="16">
        <v>4.8</v>
      </c>
      <c r="Q758" s="16" t="b">
        <f>FALSE()</f>
        <v>0</v>
      </c>
      <c r="R758" s="16" t="b">
        <f>FALSE()</f>
        <v>0</v>
      </c>
      <c r="S758" s="17">
        <f t="shared" si="11"/>
        <v>16.8</v>
      </c>
      <c r="T758">
        <f>COUNTIF('👤 Customers'!$A:$A, B758)</f>
        <v>1</v>
      </c>
      <c r="U758">
        <f>COUNTIF('🚴 Riders'!A757:A817, C758)</f>
        <v>0</v>
      </c>
      <c r="V758">
        <f>COUNTIF('🏭 Facilities'!A757:A765, D758)</f>
        <v>0</v>
      </c>
    </row>
    <row r="759" spans="1:22">
      <c r="A759" s="18" t="s">
        <v>2103</v>
      </c>
      <c r="B759" s="18" t="s">
        <v>1562</v>
      </c>
      <c r="C759" s="18" t="s">
        <v>276</v>
      </c>
      <c r="D759" s="18" t="s">
        <v>158</v>
      </c>
      <c r="E759" s="26">
        <v>45340</v>
      </c>
      <c r="F759" s="18" t="s">
        <v>2104</v>
      </c>
      <c r="G759" s="18" t="s">
        <v>117</v>
      </c>
      <c r="H759" s="18">
        <v>6.3</v>
      </c>
      <c r="I759" s="18">
        <v>149</v>
      </c>
      <c r="J759" s="18">
        <v>10</v>
      </c>
      <c r="K759" s="18">
        <v>844.83</v>
      </c>
      <c r="L759" s="18" t="s">
        <v>207</v>
      </c>
      <c r="M759" s="18" t="s">
        <v>140</v>
      </c>
      <c r="N759" s="28">
        <v>45340.886805555558</v>
      </c>
      <c r="O759" s="28">
        <v>45341.520138888889</v>
      </c>
      <c r="P759" s="20"/>
      <c r="Q759" s="18" t="b">
        <f>FALSE()</f>
        <v>0</v>
      </c>
      <c r="R759" s="18" t="b">
        <f>FALSE()</f>
        <v>0</v>
      </c>
      <c r="S759" s="19">
        <f t="shared" si="11"/>
        <v>15.2</v>
      </c>
      <c r="T759">
        <f>COUNTIF('👤 Customers'!$A:$A, B759)</f>
        <v>1</v>
      </c>
      <c r="U759">
        <f>COUNTIF('🚴 Riders'!A758:A818, C759)</f>
        <v>0</v>
      </c>
      <c r="V759">
        <f>COUNTIF('🏭 Facilities'!A758:A766, D759)</f>
        <v>0</v>
      </c>
    </row>
    <row r="760" spans="1:22">
      <c r="A760" s="16" t="s">
        <v>2105</v>
      </c>
      <c r="B760" s="16" t="s">
        <v>2106</v>
      </c>
      <c r="C760" s="16" t="s">
        <v>129</v>
      </c>
      <c r="D760" s="16" t="s">
        <v>137</v>
      </c>
      <c r="E760" s="25">
        <v>45034</v>
      </c>
      <c r="F760" s="16" t="s">
        <v>2107</v>
      </c>
      <c r="G760" s="16" t="s">
        <v>176</v>
      </c>
      <c r="H760" s="16">
        <v>5.3</v>
      </c>
      <c r="I760" s="16">
        <v>599</v>
      </c>
      <c r="J760" s="16">
        <v>30</v>
      </c>
      <c r="K760" s="16">
        <v>2222.29</v>
      </c>
      <c r="L760" s="16" t="s">
        <v>146</v>
      </c>
      <c r="M760" s="16" t="s">
        <v>133</v>
      </c>
      <c r="N760" s="20"/>
      <c r="O760" s="20"/>
      <c r="P760" s="20"/>
      <c r="Q760" s="16" t="b">
        <f>FALSE()</f>
        <v>0</v>
      </c>
      <c r="R760" s="16" t="b">
        <f>FALSE()</f>
        <v>0</v>
      </c>
      <c r="S760" s="17" t="str">
        <f t="shared" si="11"/>
        <v>N/A</v>
      </c>
      <c r="T760">
        <f>COUNTIF('👤 Customers'!$A:$A, B760)</f>
        <v>1</v>
      </c>
      <c r="U760">
        <f>COUNTIF('🚴 Riders'!A759:A819, C760)</f>
        <v>0</v>
      </c>
      <c r="V760">
        <f>COUNTIF('🏭 Facilities'!A759:A767, D760)</f>
        <v>0</v>
      </c>
    </row>
    <row r="761" spans="1:22">
      <c r="A761" s="18" t="s">
        <v>2108</v>
      </c>
      <c r="B761" s="18" t="s">
        <v>2109</v>
      </c>
      <c r="C761" s="18" t="s">
        <v>315</v>
      </c>
      <c r="D761" s="18" t="s">
        <v>115</v>
      </c>
      <c r="E761" s="26">
        <v>45214</v>
      </c>
      <c r="F761" s="18" t="s">
        <v>2110</v>
      </c>
      <c r="G761" s="18" t="s">
        <v>125</v>
      </c>
      <c r="H761" s="18">
        <v>6.2</v>
      </c>
      <c r="I761" s="18">
        <v>199</v>
      </c>
      <c r="J761" s="18">
        <v>20</v>
      </c>
      <c r="K761" s="18">
        <v>987.04</v>
      </c>
      <c r="L761" s="18" t="s">
        <v>118</v>
      </c>
      <c r="M761" s="18" t="s">
        <v>140</v>
      </c>
      <c r="N761" s="28">
        <v>45214.694444444445</v>
      </c>
      <c r="O761" s="28">
        <v>45215.386111111111</v>
      </c>
      <c r="P761" s="20"/>
      <c r="Q761" s="18" t="b">
        <f>FALSE()</f>
        <v>0</v>
      </c>
      <c r="R761" s="18" t="b">
        <f>FALSE()</f>
        <v>0</v>
      </c>
      <c r="S761" s="19">
        <f t="shared" si="11"/>
        <v>16.600000000000001</v>
      </c>
      <c r="T761">
        <f>COUNTIF('👤 Customers'!$A:$A, B761)</f>
        <v>1</v>
      </c>
      <c r="U761">
        <f>COUNTIF('🚴 Riders'!A760:A820, C761)</f>
        <v>0</v>
      </c>
      <c r="V761">
        <f>COUNTIF('🏭 Facilities'!A760:A768, D761)</f>
        <v>0</v>
      </c>
    </row>
    <row r="762" spans="1:22">
      <c r="A762" s="16" t="s">
        <v>2111</v>
      </c>
      <c r="B762" s="16" t="s">
        <v>1523</v>
      </c>
      <c r="C762" s="16" t="s">
        <v>717</v>
      </c>
      <c r="D762" s="16" t="s">
        <v>130</v>
      </c>
      <c r="E762" s="25">
        <v>45293</v>
      </c>
      <c r="F762" s="16" t="s">
        <v>2112</v>
      </c>
      <c r="G762" s="16" t="s">
        <v>132</v>
      </c>
      <c r="H762" s="16">
        <v>3.3</v>
      </c>
      <c r="I762" s="16">
        <v>399</v>
      </c>
      <c r="J762" s="16">
        <v>0</v>
      </c>
      <c r="K762" s="16">
        <v>1316.7</v>
      </c>
      <c r="L762" s="16" t="s">
        <v>207</v>
      </c>
      <c r="M762" s="16" t="s">
        <v>119</v>
      </c>
      <c r="N762" s="27">
        <v>45293.795138888891</v>
      </c>
      <c r="O762" s="27">
        <v>45294.452777777777</v>
      </c>
      <c r="P762" s="16">
        <v>4.9000000000000004</v>
      </c>
      <c r="Q762" s="16" t="b">
        <f>FALSE()</f>
        <v>0</v>
      </c>
      <c r="R762" s="16" t="b">
        <f>TRUE()</f>
        <v>1</v>
      </c>
      <c r="S762" s="17">
        <f t="shared" si="11"/>
        <v>15.8</v>
      </c>
      <c r="T762">
        <f>COUNTIF('👤 Customers'!$A:$A, B762)</f>
        <v>1</v>
      </c>
      <c r="U762">
        <f>COUNTIF('🚴 Riders'!A761:A821, C762)</f>
        <v>0</v>
      </c>
      <c r="V762">
        <f>COUNTIF('🏭 Facilities'!A761:A769, D762)</f>
        <v>0</v>
      </c>
    </row>
    <row r="763" spans="1:22">
      <c r="A763" s="18" t="s">
        <v>2113</v>
      </c>
      <c r="B763" s="18" t="s">
        <v>1003</v>
      </c>
      <c r="C763" s="18" t="s">
        <v>257</v>
      </c>
      <c r="D763" s="18" t="s">
        <v>158</v>
      </c>
      <c r="E763" s="26">
        <v>45396</v>
      </c>
      <c r="F763" s="18" t="s">
        <v>2114</v>
      </c>
      <c r="G763" s="18" t="s">
        <v>117</v>
      </c>
      <c r="H763" s="18">
        <v>7.1</v>
      </c>
      <c r="I763" s="18">
        <v>149</v>
      </c>
      <c r="J763" s="18">
        <v>20</v>
      </c>
      <c r="K763" s="18">
        <v>846.32</v>
      </c>
      <c r="L763" s="18" t="s">
        <v>146</v>
      </c>
      <c r="M763" s="18" t="s">
        <v>119</v>
      </c>
      <c r="N763" s="28">
        <v>45396.234027777777</v>
      </c>
      <c r="O763" s="28">
        <v>45397.247916666667</v>
      </c>
      <c r="P763" s="18">
        <v>5</v>
      </c>
      <c r="Q763" s="18" t="b">
        <f>FALSE()</f>
        <v>0</v>
      </c>
      <c r="R763" s="18" t="b">
        <f>TRUE()</f>
        <v>1</v>
      </c>
      <c r="S763" s="19">
        <f t="shared" si="11"/>
        <v>24.3</v>
      </c>
      <c r="T763">
        <f>COUNTIF('👤 Customers'!$A:$A, B763)</f>
        <v>1</v>
      </c>
      <c r="U763">
        <f>COUNTIF('🚴 Riders'!A762:A822, C763)</f>
        <v>0</v>
      </c>
      <c r="V763">
        <f>COUNTIF('🏭 Facilities'!A762:A770, D763)</f>
        <v>0</v>
      </c>
    </row>
    <row r="764" spans="1:22">
      <c r="A764" s="16" t="s">
        <v>2115</v>
      </c>
      <c r="B764" s="16" t="s">
        <v>930</v>
      </c>
      <c r="C764" s="16" t="s">
        <v>717</v>
      </c>
      <c r="D764" s="16" t="s">
        <v>115</v>
      </c>
      <c r="E764" s="25">
        <v>45250</v>
      </c>
      <c r="F764" s="16" t="s">
        <v>2116</v>
      </c>
      <c r="G764" s="16" t="s">
        <v>117</v>
      </c>
      <c r="H764" s="16">
        <v>7.2</v>
      </c>
      <c r="I764" s="16">
        <v>149</v>
      </c>
      <c r="J764" s="16">
        <v>0</v>
      </c>
      <c r="K764" s="16">
        <v>1072.8</v>
      </c>
      <c r="L764" s="16" t="s">
        <v>126</v>
      </c>
      <c r="M764" s="16" t="s">
        <v>140</v>
      </c>
      <c r="N764" s="27">
        <v>45251.09652777778</v>
      </c>
      <c r="O764" s="27">
        <v>45251.918055555558</v>
      </c>
      <c r="P764" s="20"/>
      <c r="Q764" s="16" t="b">
        <f>FALSE()</f>
        <v>0</v>
      </c>
      <c r="R764" s="16" t="b">
        <f>FALSE()</f>
        <v>0</v>
      </c>
      <c r="S764" s="17">
        <f t="shared" si="11"/>
        <v>19.7</v>
      </c>
      <c r="T764">
        <f>COUNTIF('👤 Customers'!$A:$A, B764)</f>
        <v>1</v>
      </c>
      <c r="U764">
        <f>COUNTIF('🚴 Riders'!A763:A823, C764)</f>
        <v>0</v>
      </c>
      <c r="V764">
        <f>COUNTIF('🏭 Facilities'!A763:A771, D764)</f>
        <v>0</v>
      </c>
    </row>
    <row r="765" spans="1:22">
      <c r="A765" s="18" t="s">
        <v>2117</v>
      </c>
      <c r="B765" s="18" t="s">
        <v>1793</v>
      </c>
      <c r="C765" s="18" t="s">
        <v>842</v>
      </c>
      <c r="D765" s="18" t="s">
        <v>123</v>
      </c>
      <c r="E765" s="26">
        <v>45565</v>
      </c>
      <c r="F765" s="18" t="s">
        <v>2118</v>
      </c>
      <c r="G765" s="18" t="s">
        <v>125</v>
      </c>
      <c r="H765" s="18">
        <v>3.5</v>
      </c>
      <c r="I765" s="18">
        <v>199</v>
      </c>
      <c r="J765" s="18">
        <v>10</v>
      </c>
      <c r="K765" s="18">
        <v>626.85</v>
      </c>
      <c r="L765" s="18" t="s">
        <v>146</v>
      </c>
      <c r="M765" s="18" t="s">
        <v>133</v>
      </c>
      <c r="N765" s="20"/>
      <c r="O765" s="20"/>
      <c r="P765" s="20"/>
      <c r="Q765" s="18" t="b">
        <f>FALSE()</f>
        <v>0</v>
      </c>
      <c r="R765" s="18" t="b">
        <f>TRUE()</f>
        <v>1</v>
      </c>
      <c r="S765" s="19" t="str">
        <f t="shared" si="11"/>
        <v>N/A</v>
      </c>
      <c r="T765">
        <f>COUNTIF('👤 Customers'!$A:$A, B765)</f>
        <v>1</v>
      </c>
      <c r="U765">
        <f>COUNTIF('🚴 Riders'!A764:A824, C765)</f>
        <v>0</v>
      </c>
      <c r="V765">
        <f>COUNTIF('🏭 Facilities'!A764:A772, D765)</f>
        <v>0</v>
      </c>
    </row>
    <row r="766" spans="1:22">
      <c r="A766" s="16" t="s">
        <v>2119</v>
      </c>
      <c r="B766" s="16" t="s">
        <v>2120</v>
      </c>
      <c r="C766" s="16" t="s">
        <v>224</v>
      </c>
      <c r="D766" s="16" t="s">
        <v>197</v>
      </c>
      <c r="E766" s="25">
        <v>45058</v>
      </c>
      <c r="F766" s="16" t="s">
        <v>2121</v>
      </c>
      <c r="G766" s="16" t="s">
        <v>117</v>
      </c>
      <c r="H766" s="16">
        <v>3.9</v>
      </c>
      <c r="I766" s="16">
        <v>149</v>
      </c>
      <c r="J766" s="16">
        <v>0</v>
      </c>
      <c r="K766" s="16">
        <v>581.1</v>
      </c>
      <c r="L766" s="16" t="s">
        <v>139</v>
      </c>
      <c r="M766" s="16" t="s">
        <v>119</v>
      </c>
      <c r="N766" s="27">
        <v>45058.366666666669</v>
      </c>
      <c r="O766" s="27">
        <v>45058.823611111111</v>
      </c>
      <c r="P766" s="16">
        <v>4.7</v>
      </c>
      <c r="Q766" s="16" t="b">
        <f>FALSE()</f>
        <v>0</v>
      </c>
      <c r="R766" s="16" t="b">
        <f>FALSE()</f>
        <v>0</v>
      </c>
      <c r="S766" s="17">
        <f t="shared" si="11"/>
        <v>11</v>
      </c>
      <c r="T766">
        <f>COUNTIF('👤 Customers'!$A:$A, B766)</f>
        <v>1</v>
      </c>
      <c r="U766">
        <f>COUNTIF('🚴 Riders'!A765:A825, C766)</f>
        <v>0</v>
      </c>
      <c r="V766">
        <f>COUNTIF('🏭 Facilities'!A765:A773, D766)</f>
        <v>0</v>
      </c>
    </row>
    <row r="767" spans="1:22">
      <c r="A767" s="18" t="s">
        <v>2122</v>
      </c>
      <c r="B767" s="18" t="s">
        <v>219</v>
      </c>
      <c r="C767" s="18" t="s">
        <v>179</v>
      </c>
      <c r="D767" s="18" t="s">
        <v>137</v>
      </c>
      <c r="E767" s="26">
        <v>45128</v>
      </c>
      <c r="F767" s="18" t="s">
        <v>2123</v>
      </c>
      <c r="G767" s="18" t="s">
        <v>117</v>
      </c>
      <c r="H767" s="18">
        <v>3.1</v>
      </c>
      <c r="I767" s="18">
        <v>149</v>
      </c>
      <c r="J767" s="18">
        <v>0</v>
      </c>
      <c r="K767" s="18">
        <v>461.9</v>
      </c>
      <c r="L767" s="18" t="s">
        <v>146</v>
      </c>
      <c r="M767" s="18" t="s">
        <v>119</v>
      </c>
      <c r="N767" s="28">
        <v>45129.070138888892</v>
      </c>
      <c r="O767" s="28">
        <v>45129.837500000001</v>
      </c>
      <c r="P767" s="18">
        <v>3.2</v>
      </c>
      <c r="Q767" s="18" t="b">
        <f>FALSE()</f>
        <v>0</v>
      </c>
      <c r="R767" s="18" t="b">
        <f>FALSE()</f>
        <v>0</v>
      </c>
      <c r="S767" s="19">
        <f t="shared" si="11"/>
        <v>18.399999999999999</v>
      </c>
      <c r="T767">
        <f>COUNTIF('👤 Customers'!$A:$A, B767)</f>
        <v>1</v>
      </c>
      <c r="U767">
        <f>COUNTIF('🚴 Riders'!A766:A826, C767)</f>
        <v>0</v>
      </c>
      <c r="V767">
        <f>COUNTIF('🏭 Facilities'!A766:A774, D767)</f>
        <v>0</v>
      </c>
    </row>
    <row r="768" spans="1:22">
      <c r="A768" s="16" t="s">
        <v>2124</v>
      </c>
      <c r="B768" s="16" t="s">
        <v>464</v>
      </c>
      <c r="C768" s="16" t="s">
        <v>842</v>
      </c>
      <c r="D768" s="16" t="s">
        <v>137</v>
      </c>
      <c r="E768" s="25">
        <v>45208</v>
      </c>
      <c r="F768" s="16" t="s">
        <v>2125</v>
      </c>
      <c r="G768" s="16" t="s">
        <v>117</v>
      </c>
      <c r="H768" s="16">
        <v>3.1</v>
      </c>
      <c r="I768" s="16">
        <v>149</v>
      </c>
      <c r="J768" s="16">
        <v>10</v>
      </c>
      <c r="K768" s="16">
        <v>415.71</v>
      </c>
      <c r="L768" s="16" t="s">
        <v>207</v>
      </c>
      <c r="M768" s="16" t="s">
        <v>133</v>
      </c>
      <c r="N768" s="20"/>
      <c r="O768" s="20"/>
      <c r="P768" s="20"/>
      <c r="Q768" s="16" t="b">
        <f>FALSE()</f>
        <v>0</v>
      </c>
      <c r="R768" s="16" t="b">
        <f>FALSE()</f>
        <v>0</v>
      </c>
      <c r="S768" s="17" t="str">
        <f t="shared" si="11"/>
        <v>N/A</v>
      </c>
      <c r="T768">
        <f>COUNTIF('👤 Customers'!$A:$A, B768)</f>
        <v>1</v>
      </c>
      <c r="U768">
        <f>COUNTIF('🚴 Riders'!A767:A827, C768)</f>
        <v>0</v>
      </c>
      <c r="V768">
        <f>COUNTIF('🏭 Facilities'!A767:A775, D768)</f>
        <v>0</v>
      </c>
    </row>
    <row r="769" spans="1:22">
      <c r="A769" s="18" t="s">
        <v>2126</v>
      </c>
      <c r="B769" s="18" t="s">
        <v>987</v>
      </c>
      <c r="C769" s="18" t="s">
        <v>149</v>
      </c>
      <c r="D769" s="18" t="s">
        <v>158</v>
      </c>
      <c r="E769" s="26">
        <v>45126</v>
      </c>
      <c r="F769" s="18" t="s">
        <v>2127</v>
      </c>
      <c r="G769" s="18" t="s">
        <v>132</v>
      </c>
      <c r="H769" s="18">
        <v>1.2</v>
      </c>
      <c r="I769" s="18">
        <v>399</v>
      </c>
      <c r="J769" s="18">
        <v>0</v>
      </c>
      <c r="K769" s="18">
        <v>478.8</v>
      </c>
      <c r="L769" s="18" t="s">
        <v>139</v>
      </c>
      <c r="M769" s="18" t="s">
        <v>119</v>
      </c>
      <c r="N769" s="28">
        <v>45126.897222222222</v>
      </c>
      <c r="O769" s="28">
        <v>45127.228472222225</v>
      </c>
      <c r="P769" s="18">
        <v>4</v>
      </c>
      <c r="Q769" s="18" t="b">
        <f>FALSE()</f>
        <v>0</v>
      </c>
      <c r="R769" s="18" t="b">
        <f>FALSE()</f>
        <v>0</v>
      </c>
      <c r="S769" s="19">
        <f t="shared" si="11"/>
        <v>8</v>
      </c>
      <c r="T769">
        <f>COUNTIF('👤 Customers'!$A:$A, B769)</f>
        <v>1</v>
      </c>
      <c r="U769">
        <f>COUNTIF('🚴 Riders'!A768:A828, C769)</f>
        <v>0</v>
      </c>
      <c r="V769">
        <f>COUNTIF('🏭 Facilities'!A768:A776, D769)</f>
        <v>0</v>
      </c>
    </row>
    <row r="770" spans="1:22">
      <c r="A770" s="16" t="s">
        <v>2128</v>
      </c>
      <c r="B770" s="16" t="s">
        <v>1807</v>
      </c>
      <c r="C770" s="16" t="s">
        <v>750</v>
      </c>
      <c r="D770" s="16" t="s">
        <v>115</v>
      </c>
      <c r="E770" s="25">
        <v>45048</v>
      </c>
      <c r="F770" s="16" t="s">
        <v>2129</v>
      </c>
      <c r="G770" s="16" t="s">
        <v>176</v>
      </c>
      <c r="H770" s="16">
        <v>7</v>
      </c>
      <c r="I770" s="16">
        <v>599</v>
      </c>
      <c r="J770" s="16">
        <v>0</v>
      </c>
      <c r="K770" s="16">
        <v>4193</v>
      </c>
      <c r="L770" s="16" t="s">
        <v>207</v>
      </c>
      <c r="M770" s="16" t="s">
        <v>119</v>
      </c>
      <c r="N770" s="27">
        <v>45048.148611111108</v>
      </c>
      <c r="O770" s="27">
        <v>45049.188888888886</v>
      </c>
      <c r="P770" s="16">
        <v>3.7</v>
      </c>
      <c r="Q770" s="16" t="b">
        <f>FALSE()</f>
        <v>0</v>
      </c>
      <c r="R770" s="16" t="b">
        <f>FALSE()</f>
        <v>0</v>
      </c>
      <c r="S770" s="17">
        <f t="shared" ref="S770:S833" si="12">IF(OR(N770="",O770=""),"N/A",ROUND(((O770-N770)*24),1))</f>
        <v>25</v>
      </c>
      <c r="T770">
        <f>COUNTIF('👤 Customers'!$A:$A, B770)</f>
        <v>1</v>
      </c>
      <c r="U770">
        <f>COUNTIF('🚴 Riders'!A769:A829, C770)</f>
        <v>0</v>
      </c>
      <c r="V770">
        <f>COUNTIF('🏭 Facilities'!A769:A777, D770)</f>
        <v>0</v>
      </c>
    </row>
    <row r="771" spans="1:22">
      <c r="A771" s="18" t="s">
        <v>2130</v>
      </c>
      <c r="B771" s="18" t="s">
        <v>637</v>
      </c>
      <c r="C771" s="18" t="s">
        <v>232</v>
      </c>
      <c r="D771" s="18" t="s">
        <v>205</v>
      </c>
      <c r="E771" s="26">
        <v>44977</v>
      </c>
      <c r="F771" s="18" t="s">
        <v>2131</v>
      </c>
      <c r="G771" s="18" t="s">
        <v>117</v>
      </c>
      <c r="H771" s="18">
        <v>2.6</v>
      </c>
      <c r="I771" s="18">
        <v>149</v>
      </c>
      <c r="J771" s="18">
        <v>0</v>
      </c>
      <c r="K771" s="18">
        <v>387.4</v>
      </c>
      <c r="L771" s="18" t="s">
        <v>139</v>
      </c>
      <c r="M771" s="18" t="s">
        <v>119</v>
      </c>
      <c r="N771" s="28">
        <v>44977.355555555558</v>
      </c>
      <c r="O771" s="28">
        <v>44978.296527777777</v>
      </c>
      <c r="P771" s="18">
        <v>3.6</v>
      </c>
      <c r="Q771" s="18" t="b">
        <f>FALSE()</f>
        <v>0</v>
      </c>
      <c r="R771" s="18" t="b">
        <f>FALSE()</f>
        <v>0</v>
      </c>
      <c r="S771" s="19">
        <f t="shared" si="12"/>
        <v>22.6</v>
      </c>
      <c r="T771">
        <f>COUNTIF('👤 Customers'!$A:$A, B771)</f>
        <v>1</v>
      </c>
      <c r="U771">
        <f>COUNTIF('🚴 Riders'!A770:A830, C771)</f>
        <v>0</v>
      </c>
      <c r="V771">
        <f>COUNTIF('🏭 Facilities'!A770:A778, D771)</f>
        <v>0</v>
      </c>
    </row>
    <row r="772" spans="1:22">
      <c r="A772" s="16" t="s">
        <v>2132</v>
      </c>
      <c r="B772" s="16" t="s">
        <v>1781</v>
      </c>
      <c r="C772" s="16" t="s">
        <v>431</v>
      </c>
      <c r="D772" s="16" t="s">
        <v>197</v>
      </c>
      <c r="E772" s="25">
        <v>45579</v>
      </c>
      <c r="F772" s="16" t="s">
        <v>2133</v>
      </c>
      <c r="G772" s="16" t="s">
        <v>176</v>
      </c>
      <c r="H772" s="16">
        <v>7.3</v>
      </c>
      <c r="I772" s="16">
        <v>599</v>
      </c>
      <c r="J772" s="16">
        <v>10</v>
      </c>
      <c r="K772" s="16">
        <v>3935.43</v>
      </c>
      <c r="L772" s="16" t="s">
        <v>118</v>
      </c>
      <c r="M772" s="16" t="s">
        <v>119</v>
      </c>
      <c r="N772" s="27">
        <v>45579.547222222223</v>
      </c>
      <c r="O772" s="27">
        <v>45580.145833333336</v>
      </c>
      <c r="P772" s="16">
        <v>3.9</v>
      </c>
      <c r="Q772" s="16" t="b">
        <f>FALSE()</f>
        <v>0</v>
      </c>
      <c r="R772" s="16" t="b">
        <f>FALSE()</f>
        <v>0</v>
      </c>
      <c r="S772" s="17">
        <f t="shared" si="12"/>
        <v>14.4</v>
      </c>
      <c r="T772">
        <f>COUNTIF('👤 Customers'!$A:$A, B772)</f>
        <v>1</v>
      </c>
      <c r="U772">
        <f>COUNTIF('🚴 Riders'!A771:A831, C772)</f>
        <v>0</v>
      </c>
      <c r="V772">
        <f>COUNTIF('🏭 Facilities'!A771:A779, D772)</f>
        <v>0</v>
      </c>
    </row>
    <row r="773" spans="1:22">
      <c r="A773" s="18" t="s">
        <v>2134</v>
      </c>
      <c r="B773" s="18" t="s">
        <v>1331</v>
      </c>
      <c r="C773" s="18" t="s">
        <v>224</v>
      </c>
      <c r="D773" s="18" t="s">
        <v>130</v>
      </c>
      <c r="E773" s="26">
        <v>45604</v>
      </c>
      <c r="F773" s="18" t="s">
        <v>2135</v>
      </c>
      <c r="G773" s="18" t="s">
        <v>125</v>
      </c>
      <c r="H773" s="18">
        <v>7.8</v>
      </c>
      <c r="I773" s="18">
        <v>199</v>
      </c>
      <c r="J773" s="18">
        <v>0</v>
      </c>
      <c r="K773" s="18">
        <v>1552.2</v>
      </c>
      <c r="L773" s="18" t="s">
        <v>207</v>
      </c>
      <c r="M773" s="18" t="s">
        <v>133</v>
      </c>
      <c r="N773" s="20"/>
      <c r="O773" s="20"/>
      <c r="P773" s="20"/>
      <c r="Q773" s="18" t="b">
        <f>FALSE()</f>
        <v>0</v>
      </c>
      <c r="R773" s="18" t="b">
        <f>FALSE()</f>
        <v>0</v>
      </c>
      <c r="S773" s="19" t="str">
        <f t="shared" si="12"/>
        <v>N/A</v>
      </c>
      <c r="T773">
        <f>COUNTIF('👤 Customers'!$A:$A, B773)</f>
        <v>1</v>
      </c>
      <c r="U773">
        <f>COUNTIF('🚴 Riders'!A772:A832, C773)</f>
        <v>0</v>
      </c>
      <c r="V773">
        <f>COUNTIF('🏭 Facilities'!A772:A780, D773)</f>
        <v>0</v>
      </c>
    </row>
    <row r="774" spans="1:22">
      <c r="A774" s="16" t="s">
        <v>2136</v>
      </c>
      <c r="B774" s="16" t="s">
        <v>974</v>
      </c>
      <c r="C774" s="16" t="s">
        <v>179</v>
      </c>
      <c r="D774" s="16" t="s">
        <v>123</v>
      </c>
      <c r="E774" s="25">
        <v>44958</v>
      </c>
      <c r="F774" s="16" t="s">
        <v>2137</v>
      </c>
      <c r="G774" s="16" t="s">
        <v>176</v>
      </c>
      <c r="H774" s="16">
        <v>2.9</v>
      </c>
      <c r="I774" s="16">
        <v>599</v>
      </c>
      <c r="J774" s="16">
        <v>0</v>
      </c>
      <c r="K774" s="16">
        <v>1737.1</v>
      </c>
      <c r="L774" s="16" t="s">
        <v>126</v>
      </c>
      <c r="M774" s="16" t="s">
        <v>140</v>
      </c>
      <c r="N774" s="27">
        <v>44958.29791666667</v>
      </c>
      <c r="O774" s="27">
        <v>44959.218055555553</v>
      </c>
      <c r="P774" s="20"/>
      <c r="Q774" s="16" t="b">
        <f>FALSE()</f>
        <v>0</v>
      </c>
      <c r="R774" s="16" t="b">
        <f>FALSE()</f>
        <v>0</v>
      </c>
      <c r="S774" s="17">
        <f t="shared" si="12"/>
        <v>22.1</v>
      </c>
      <c r="T774">
        <f>COUNTIF('👤 Customers'!$A:$A, B774)</f>
        <v>1</v>
      </c>
      <c r="U774">
        <f>COUNTIF('🚴 Riders'!A773:A833, C774)</f>
        <v>0</v>
      </c>
      <c r="V774">
        <f>COUNTIF('🏭 Facilities'!A773:A781, D774)</f>
        <v>0</v>
      </c>
    </row>
    <row r="775" spans="1:22">
      <c r="A775" s="18" t="s">
        <v>2138</v>
      </c>
      <c r="B775" s="18" t="s">
        <v>614</v>
      </c>
      <c r="C775" s="18" t="s">
        <v>717</v>
      </c>
      <c r="D775" s="18" t="s">
        <v>197</v>
      </c>
      <c r="E775" s="26">
        <v>45518</v>
      </c>
      <c r="F775" s="18" t="s">
        <v>2139</v>
      </c>
      <c r="G775" s="18" t="s">
        <v>176</v>
      </c>
      <c r="H775" s="18">
        <v>4.3</v>
      </c>
      <c r="I775" s="18">
        <v>599</v>
      </c>
      <c r="J775" s="18">
        <v>0</v>
      </c>
      <c r="K775" s="18">
        <v>2575.6999999999998</v>
      </c>
      <c r="L775" s="18" t="s">
        <v>139</v>
      </c>
      <c r="M775" s="18" t="s">
        <v>119</v>
      </c>
      <c r="N775" s="28">
        <v>45518.681944444441</v>
      </c>
      <c r="O775" s="28">
        <v>45519.465277777781</v>
      </c>
      <c r="P775" s="18">
        <v>3</v>
      </c>
      <c r="Q775" s="18" t="b">
        <f>FALSE()</f>
        <v>0</v>
      </c>
      <c r="R775" s="18" t="b">
        <f>FALSE()</f>
        <v>0</v>
      </c>
      <c r="S775" s="19">
        <f t="shared" si="12"/>
        <v>18.8</v>
      </c>
      <c r="T775">
        <f>COUNTIF('👤 Customers'!$A:$A, B775)</f>
        <v>1</v>
      </c>
      <c r="U775">
        <f>COUNTIF('🚴 Riders'!A774:A834, C775)</f>
        <v>0</v>
      </c>
      <c r="V775">
        <f>COUNTIF('🏭 Facilities'!A774:A782, D775)</f>
        <v>0</v>
      </c>
    </row>
    <row r="776" spans="1:22">
      <c r="A776" s="16" t="s">
        <v>2140</v>
      </c>
      <c r="B776" s="16" t="s">
        <v>380</v>
      </c>
      <c r="C776" s="16" t="s">
        <v>326</v>
      </c>
      <c r="D776" s="16" t="s">
        <v>115</v>
      </c>
      <c r="E776" s="25">
        <v>45305</v>
      </c>
      <c r="F776" s="16" t="s">
        <v>2141</v>
      </c>
      <c r="G776" s="16" t="s">
        <v>117</v>
      </c>
      <c r="H776" s="16">
        <v>5</v>
      </c>
      <c r="I776" s="16">
        <v>149</v>
      </c>
      <c r="J776" s="16">
        <v>0</v>
      </c>
      <c r="K776" s="16">
        <v>745</v>
      </c>
      <c r="L776" s="16" t="s">
        <v>126</v>
      </c>
      <c r="M776" s="16" t="s">
        <v>119</v>
      </c>
      <c r="N776" s="27">
        <v>45305.568749999999</v>
      </c>
      <c r="O776" s="27">
        <v>45306.245833333334</v>
      </c>
      <c r="P776" s="16">
        <v>3.1</v>
      </c>
      <c r="Q776" s="16" t="b">
        <f>FALSE()</f>
        <v>0</v>
      </c>
      <c r="R776" s="16" t="b">
        <f>FALSE()</f>
        <v>0</v>
      </c>
      <c r="S776" s="17">
        <f t="shared" si="12"/>
        <v>16.3</v>
      </c>
      <c r="T776">
        <f>COUNTIF('👤 Customers'!$A:$A, B776)</f>
        <v>1</v>
      </c>
      <c r="U776">
        <f>COUNTIF('🚴 Riders'!A775:A835, C776)</f>
        <v>0</v>
      </c>
      <c r="V776">
        <f>COUNTIF('🏭 Facilities'!A775:A783, D776)</f>
        <v>0</v>
      </c>
    </row>
    <row r="777" spans="1:22">
      <c r="A777" s="18" t="s">
        <v>2142</v>
      </c>
      <c r="B777" s="18" t="s">
        <v>469</v>
      </c>
      <c r="C777" s="18" t="s">
        <v>162</v>
      </c>
      <c r="D777" s="18" t="s">
        <v>123</v>
      </c>
      <c r="E777" s="26">
        <v>45417</v>
      </c>
      <c r="F777" s="18" t="s">
        <v>2143</v>
      </c>
      <c r="G777" s="18" t="s">
        <v>132</v>
      </c>
      <c r="H777" s="18">
        <v>3.3</v>
      </c>
      <c r="I777" s="18">
        <v>399</v>
      </c>
      <c r="J777" s="18">
        <v>0</v>
      </c>
      <c r="K777" s="18">
        <v>1316.7</v>
      </c>
      <c r="L777" s="18" t="s">
        <v>146</v>
      </c>
      <c r="M777" s="18" t="s">
        <v>119</v>
      </c>
      <c r="N777" s="28">
        <v>45417.370833333334</v>
      </c>
      <c r="O777" s="28">
        <v>45417.959722222222</v>
      </c>
      <c r="P777" s="18">
        <v>3.8</v>
      </c>
      <c r="Q777" s="18" t="b">
        <f>FALSE()</f>
        <v>0</v>
      </c>
      <c r="R777" s="18" t="b">
        <f>TRUE()</f>
        <v>1</v>
      </c>
      <c r="S777" s="19">
        <f t="shared" si="12"/>
        <v>14.1</v>
      </c>
      <c r="T777">
        <f>COUNTIF('👤 Customers'!$A:$A, B777)</f>
        <v>1</v>
      </c>
      <c r="U777">
        <f>COUNTIF('🚴 Riders'!A776:A836, C777)</f>
        <v>0</v>
      </c>
      <c r="V777">
        <f>COUNTIF('🏭 Facilities'!A776:A784, D777)</f>
        <v>0</v>
      </c>
    </row>
    <row r="778" spans="1:22">
      <c r="A778" s="16" t="s">
        <v>2144</v>
      </c>
      <c r="B778" s="16" t="s">
        <v>1191</v>
      </c>
      <c r="C778" s="16" t="s">
        <v>257</v>
      </c>
      <c r="D778" s="16" t="s">
        <v>123</v>
      </c>
      <c r="E778" s="25">
        <v>45514</v>
      </c>
      <c r="F778" s="16" t="s">
        <v>2145</v>
      </c>
      <c r="G778" s="16" t="s">
        <v>132</v>
      </c>
      <c r="H778" s="16">
        <v>4.4000000000000004</v>
      </c>
      <c r="I778" s="16">
        <v>399</v>
      </c>
      <c r="J778" s="16">
        <v>0</v>
      </c>
      <c r="K778" s="16">
        <v>1755.6</v>
      </c>
      <c r="L778" s="16" t="s">
        <v>126</v>
      </c>
      <c r="M778" s="16" t="s">
        <v>133</v>
      </c>
      <c r="N778" s="20"/>
      <c r="O778" s="20"/>
      <c r="P778" s="20"/>
      <c r="Q778" s="16" t="b">
        <f>FALSE()</f>
        <v>0</v>
      </c>
      <c r="R778" s="16" t="b">
        <f>FALSE()</f>
        <v>0</v>
      </c>
      <c r="S778" s="17" t="str">
        <f t="shared" si="12"/>
        <v>N/A</v>
      </c>
      <c r="T778">
        <f>COUNTIF('👤 Customers'!$A:$A, B778)</f>
        <v>1</v>
      </c>
      <c r="U778">
        <f>COUNTIF('🚴 Riders'!A777:A837, C778)</f>
        <v>0</v>
      </c>
      <c r="V778">
        <f>COUNTIF('🏭 Facilities'!A777:A785, D778)</f>
        <v>0</v>
      </c>
    </row>
    <row r="779" spans="1:22">
      <c r="A779" s="18" t="s">
        <v>2146</v>
      </c>
      <c r="B779" s="18" t="s">
        <v>2147</v>
      </c>
      <c r="C779" s="18" t="s">
        <v>204</v>
      </c>
      <c r="D779" s="18" t="s">
        <v>115</v>
      </c>
      <c r="E779" s="26">
        <v>45422</v>
      </c>
      <c r="F779" s="18" t="s">
        <v>2148</v>
      </c>
      <c r="G779" s="18" t="s">
        <v>176</v>
      </c>
      <c r="H779" s="18">
        <v>6.8</v>
      </c>
      <c r="I779" s="18">
        <v>599</v>
      </c>
      <c r="J779" s="18">
        <v>0</v>
      </c>
      <c r="K779" s="18">
        <v>4073.2</v>
      </c>
      <c r="L779" s="18" t="s">
        <v>126</v>
      </c>
      <c r="M779" s="18" t="s">
        <v>119</v>
      </c>
      <c r="N779" s="28">
        <v>45422.590277777781</v>
      </c>
      <c r="O779" s="28">
        <v>45423.083333333336</v>
      </c>
      <c r="P779" s="18">
        <v>4.2</v>
      </c>
      <c r="Q779" s="18" t="b">
        <f>FALSE()</f>
        <v>0</v>
      </c>
      <c r="R779" s="18" t="b">
        <f>FALSE()</f>
        <v>0</v>
      </c>
      <c r="S779" s="19">
        <f t="shared" si="12"/>
        <v>11.8</v>
      </c>
      <c r="T779">
        <f>COUNTIF('👤 Customers'!$A:$A, B779)</f>
        <v>1</v>
      </c>
      <c r="U779">
        <f>COUNTIF('🚴 Riders'!A778:A838, C779)</f>
        <v>0</v>
      </c>
      <c r="V779">
        <f>COUNTIF('🏭 Facilities'!A778:A786, D779)</f>
        <v>0</v>
      </c>
    </row>
    <row r="780" spans="1:22">
      <c r="A780" s="16" t="s">
        <v>2149</v>
      </c>
      <c r="B780" s="16" t="s">
        <v>654</v>
      </c>
      <c r="C780" s="16" t="s">
        <v>114</v>
      </c>
      <c r="D780" s="16" t="s">
        <v>115</v>
      </c>
      <c r="E780" s="25">
        <v>45448</v>
      </c>
      <c r="F780" s="16" t="s">
        <v>2150</v>
      </c>
      <c r="G780" s="16" t="s">
        <v>132</v>
      </c>
      <c r="H780" s="16">
        <v>3.3</v>
      </c>
      <c r="I780" s="16">
        <v>399</v>
      </c>
      <c r="J780" s="16">
        <v>0</v>
      </c>
      <c r="K780" s="16">
        <v>1316.7</v>
      </c>
      <c r="L780" s="16" t="s">
        <v>146</v>
      </c>
      <c r="M780" s="16" t="s">
        <v>119</v>
      </c>
      <c r="N780" s="27">
        <v>45449.005555555559</v>
      </c>
      <c r="O780" s="27">
        <v>45449.986805555556</v>
      </c>
      <c r="P780" s="16">
        <v>4.5</v>
      </c>
      <c r="Q780" s="16" t="b">
        <f>FALSE()</f>
        <v>0</v>
      </c>
      <c r="R780" s="16" t="b">
        <f>FALSE()</f>
        <v>0</v>
      </c>
      <c r="S780" s="17">
        <f t="shared" si="12"/>
        <v>23.5</v>
      </c>
      <c r="T780">
        <f>COUNTIF('👤 Customers'!$A:$A, B780)</f>
        <v>1</v>
      </c>
      <c r="U780">
        <f>COUNTIF('🚴 Riders'!A779:A839, C780)</f>
        <v>0</v>
      </c>
      <c r="V780">
        <f>COUNTIF('🏭 Facilities'!A779:A787, D780)</f>
        <v>0</v>
      </c>
    </row>
    <row r="781" spans="1:22">
      <c r="A781" s="18" t="s">
        <v>2151</v>
      </c>
      <c r="B781" s="18" t="s">
        <v>1342</v>
      </c>
      <c r="C781" s="18" t="s">
        <v>149</v>
      </c>
      <c r="D781" s="18" t="s">
        <v>205</v>
      </c>
      <c r="E781" s="26">
        <v>45651</v>
      </c>
      <c r="F781" s="18" t="s">
        <v>2152</v>
      </c>
      <c r="G781" s="18" t="s">
        <v>117</v>
      </c>
      <c r="H781" s="18">
        <v>4.3</v>
      </c>
      <c r="I781" s="18">
        <v>149</v>
      </c>
      <c r="J781" s="18">
        <v>20</v>
      </c>
      <c r="K781" s="18">
        <v>512.55999999999995</v>
      </c>
      <c r="L781" s="18" t="s">
        <v>139</v>
      </c>
      <c r="M781" s="18" t="s">
        <v>119</v>
      </c>
      <c r="N781" s="28">
        <v>45651.635416666664</v>
      </c>
      <c r="O781" s="28">
        <v>45652.217361111114</v>
      </c>
      <c r="P781" s="18">
        <v>3.3</v>
      </c>
      <c r="Q781" s="18" t="b">
        <f>FALSE()</f>
        <v>0</v>
      </c>
      <c r="R781" s="18" t="b">
        <f>FALSE()</f>
        <v>0</v>
      </c>
      <c r="S781" s="19">
        <f t="shared" si="12"/>
        <v>14</v>
      </c>
      <c r="T781">
        <f>COUNTIF('👤 Customers'!$A:$A, B781)</f>
        <v>1</v>
      </c>
      <c r="U781">
        <f>COUNTIF('🚴 Riders'!A780:A840, C781)</f>
        <v>0</v>
      </c>
      <c r="V781">
        <f>COUNTIF('🏭 Facilities'!A780:A788, D781)</f>
        <v>0</v>
      </c>
    </row>
    <row r="782" spans="1:22">
      <c r="A782" s="16" t="s">
        <v>2153</v>
      </c>
      <c r="B782" s="16" t="s">
        <v>1272</v>
      </c>
      <c r="C782" s="16" t="s">
        <v>240</v>
      </c>
      <c r="D782" s="16" t="s">
        <v>130</v>
      </c>
      <c r="E782" s="25">
        <v>44931</v>
      </c>
      <c r="F782" s="16" t="s">
        <v>2154</v>
      </c>
      <c r="G782" s="16" t="s">
        <v>145</v>
      </c>
      <c r="H782" s="16">
        <v>1.4</v>
      </c>
      <c r="I782" s="16">
        <v>299</v>
      </c>
      <c r="J782" s="16">
        <v>0</v>
      </c>
      <c r="K782" s="16">
        <v>418.6</v>
      </c>
      <c r="L782" s="16" t="s">
        <v>207</v>
      </c>
      <c r="M782" s="16" t="s">
        <v>140</v>
      </c>
      <c r="N782" s="27">
        <v>44931.543749999997</v>
      </c>
      <c r="O782" s="27">
        <v>44932.630555555559</v>
      </c>
      <c r="P782" s="20"/>
      <c r="Q782" s="16" t="b">
        <f>FALSE()</f>
        <v>0</v>
      </c>
      <c r="R782" s="16" t="b">
        <f>FALSE()</f>
        <v>0</v>
      </c>
      <c r="S782" s="17">
        <f t="shared" si="12"/>
        <v>26.1</v>
      </c>
      <c r="T782">
        <f>COUNTIF('👤 Customers'!$A:$A, B782)</f>
        <v>1</v>
      </c>
      <c r="U782">
        <f>COUNTIF('🚴 Riders'!A781:A841, C782)</f>
        <v>0</v>
      </c>
      <c r="V782">
        <f>COUNTIF('🏭 Facilities'!A781:A789, D782)</f>
        <v>0</v>
      </c>
    </row>
    <row r="783" spans="1:22">
      <c r="A783" s="18" t="s">
        <v>2155</v>
      </c>
      <c r="B783" s="18" t="s">
        <v>1979</v>
      </c>
      <c r="C783" s="18" t="s">
        <v>157</v>
      </c>
      <c r="D783" s="18" t="s">
        <v>115</v>
      </c>
      <c r="E783" s="26">
        <v>45573</v>
      </c>
      <c r="F783" s="18" t="s">
        <v>2156</v>
      </c>
      <c r="G783" s="18" t="s">
        <v>117</v>
      </c>
      <c r="H783" s="18">
        <v>1.2</v>
      </c>
      <c r="I783" s="18">
        <v>149</v>
      </c>
      <c r="J783" s="18">
        <v>0</v>
      </c>
      <c r="K783" s="18">
        <v>178.8</v>
      </c>
      <c r="L783" s="18" t="s">
        <v>118</v>
      </c>
      <c r="M783" s="18" t="s">
        <v>119</v>
      </c>
      <c r="N783" s="28">
        <v>45573.729861111111</v>
      </c>
      <c r="O783" s="28">
        <v>45574.458333333336</v>
      </c>
      <c r="P783" s="18">
        <v>2.8</v>
      </c>
      <c r="Q783" s="18" t="b">
        <f>FALSE()</f>
        <v>0</v>
      </c>
      <c r="R783" s="18" t="b">
        <f>FALSE()</f>
        <v>0</v>
      </c>
      <c r="S783" s="19">
        <f t="shared" si="12"/>
        <v>17.5</v>
      </c>
      <c r="T783">
        <f>COUNTIF('👤 Customers'!$A:$A, B783)</f>
        <v>1</v>
      </c>
      <c r="U783">
        <f>COUNTIF('🚴 Riders'!A782:A842, C783)</f>
        <v>0</v>
      </c>
      <c r="V783">
        <f>COUNTIF('🏭 Facilities'!A782:A790, D783)</f>
        <v>0</v>
      </c>
    </row>
    <row r="784" spans="1:22">
      <c r="A784" s="16" t="s">
        <v>2157</v>
      </c>
      <c r="B784" s="16" t="s">
        <v>325</v>
      </c>
      <c r="C784" s="16" t="s">
        <v>236</v>
      </c>
      <c r="D784" s="16" t="s">
        <v>130</v>
      </c>
      <c r="E784" s="25">
        <v>45299</v>
      </c>
      <c r="F784" s="16" t="s">
        <v>2158</v>
      </c>
      <c r="G784" s="16" t="s">
        <v>176</v>
      </c>
      <c r="H784" s="16">
        <v>4.3</v>
      </c>
      <c r="I784" s="16">
        <v>599</v>
      </c>
      <c r="J784" s="16">
        <v>30</v>
      </c>
      <c r="K784" s="16">
        <v>1802.99</v>
      </c>
      <c r="L784" s="16" t="s">
        <v>118</v>
      </c>
      <c r="M784" s="16" t="s">
        <v>119</v>
      </c>
      <c r="N784" s="27">
        <v>45299.715277777781</v>
      </c>
      <c r="O784" s="27">
        <v>45300.379166666666</v>
      </c>
      <c r="P784" s="16">
        <v>5</v>
      </c>
      <c r="Q784" s="16" t="b">
        <f>FALSE()</f>
        <v>0</v>
      </c>
      <c r="R784" s="16" t="b">
        <f>TRUE()</f>
        <v>1</v>
      </c>
      <c r="S784" s="17">
        <f t="shared" si="12"/>
        <v>15.9</v>
      </c>
      <c r="T784">
        <f>COUNTIF('👤 Customers'!$A:$A, B784)</f>
        <v>1</v>
      </c>
      <c r="U784">
        <f>COUNTIF('🚴 Riders'!A783:A843, C784)</f>
        <v>0</v>
      </c>
      <c r="V784">
        <f>COUNTIF('🏭 Facilities'!A783:A791, D784)</f>
        <v>0</v>
      </c>
    </row>
    <row r="785" spans="1:22">
      <c r="A785" s="18" t="s">
        <v>2159</v>
      </c>
      <c r="B785" s="18" t="s">
        <v>845</v>
      </c>
      <c r="C785" s="18" t="s">
        <v>204</v>
      </c>
      <c r="D785" s="18" t="s">
        <v>158</v>
      </c>
      <c r="E785" s="26">
        <v>44970</v>
      </c>
      <c r="F785" s="18" t="s">
        <v>2160</v>
      </c>
      <c r="G785" s="18" t="s">
        <v>117</v>
      </c>
      <c r="H785" s="18">
        <v>2.9</v>
      </c>
      <c r="I785" s="18">
        <v>149</v>
      </c>
      <c r="J785" s="18">
        <v>0</v>
      </c>
      <c r="K785" s="18">
        <v>432.1</v>
      </c>
      <c r="L785" s="18" t="s">
        <v>207</v>
      </c>
      <c r="M785" s="18" t="s">
        <v>119</v>
      </c>
      <c r="N785" s="28">
        <v>44970.62222222222</v>
      </c>
      <c r="O785" s="28">
        <v>44971.07708333333</v>
      </c>
      <c r="P785" s="18">
        <v>4.7</v>
      </c>
      <c r="Q785" s="18" t="b">
        <f>FALSE()</f>
        <v>0</v>
      </c>
      <c r="R785" s="18" t="b">
        <f>FALSE()</f>
        <v>0</v>
      </c>
      <c r="S785" s="19">
        <f t="shared" si="12"/>
        <v>10.9</v>
      </c>
      <c r="T785">
        <f>COUNTIF('👤 Customers'!$A:$A, B785)</f>
        <v>1</v>
      </c>
      <c r="U785">
        <f>COUNTIF('🚴 Riders'!A784:A844, C785)</f>
        <v>0</v>
      </c>
      <c r="V785">
        <f>COUNTIF('🏭 Facilities'!A784:A792, D785)</f>
        <v>0</v>
      </c>
    </row>
    <row r="786" spans="1:22">
      <c r="A786" s="16" t="s">
        <v>2161</v>
      </c>
      <c r="B786" s="16" t="s">
        <v>1900</v>
      </c>
      <c r="C786" s="16" t="s">
        <v>224</v>
      </c>
      <c r="D786" s="16" t="s">
        <v>184</v>
      </c>
      <c r="E786" s="25">
        <v>45363</v>
      </c>
      <c r="F786" s="16" t="s">
        <v>2162</v>
      </c>
      <c r="G786" s="16" t="s">
        <v>125</v>
      </c>
      <c r="H786" s="16">
        <v>4.0999999999999996</v>
      </c>
      <c r="I786" s="16">
        <v>199</v>
      </c>
      <c r="J786" s="16">
        <v>0</v>
      </c>
      <c r="K786" s="16">
        <v>815.9</v>
      </c>
      <c r="L786" s="16" t="s">
        <v>207</v>
      </c>
      <c r="M786" s="16" t="s">
        <v>133</v>
      </c>
      <c r="N786" s="20"/>
      <c r="O786" s="20"/>
      <c r="P786" s="20"/>
      <c r="Q786" s="16" t="b">
        <f>FALSE()</f>
        <v>0</v>
      </c>
      <c r="R786" s="16" t="b">
        <f>TRUE()</f>
        <v>1</v>
      </c>
      <c r="S786" s="17" t="str">
        <f t="shared" si="12"/>
        <v>N/A</v>
      </c>
      <c r="T786">
        <f>COUNTIF('👤 Customers'!$A:$A, B786)</f>
        <v>1</v>
      </c>
      <c r="U786">
        <f>COUNTIF('🚴 Riders'!A785:A845, C786)</f>
        <v>0</v>
      </c>
      <c r="V786">
        <f>COUNTIF('🏭 Facilities'!A785:A793, D786)</f>
        <v>0</v>
      </c>
    </row>
    <row r="787" spans="1:22">
      <c r="A787" s="18" t="s">
        <v>2163</v>
      </c>
      <c r="B787" s="18" t="s">
        <v>2164</v>
      </c>
      <c r="C787" s="18" t="s">
        <v>251</v>
      </c>
      <c r="D787" s="18" t="s">
        <v>205</v>
      </c>
      <c r="E787" s="26">
        <v>45537</v>
      </c>
      <c r="F787" s="18" t="s">
        <v>2165</v>
      </c>
      <c r="G787" s="18" t="s">
        <v>117</v>
      </c>
      <c r="H787" s="18">
        <v>7.7</v>
      </c>
      <c r="I787" s="18">
        <v>149</v>
      </c>
      <c r="J787" s="18">
        <v>0</v>
      </c>
      <c r="K787" s="18">
        <v>1147.3</v>
      </c>
      <c r="L787" s="18" t="s">
        <v>118</v>
      </c>
      <c r="M787" s="18" t="s">
        <v>119</v>
      </c>
      <c r="N787" s="28">
        <v>45537.556250000001</v>
      </c>
      <c r="O787" s="28">
        <v>45538.036111111112</v>
      </c>
      <c r="P787" s="18">
        <v>3</v>
      </c>
      <c r="Q787" s="18" t="b">
        <f>FALSE()</f>
        <v>0</v>
      </c>
      <c r="R787" s="18" t="b">
        <f>FALSE()</f>
        <v>0</v>
      </c>
      <c r="S787" s="19">
        <f t="shared" si="12"/>
        <v>11.5</v>
      </c>
      <c r="T787">
        <f>COUNTIF('👤 Customers'!$A:$A, B787)</f>
        <v>1</v>
      </c>
      <c r="U787">
        <f>COUNTIF('🚴 Riders'!A786:A846, C787)</f>
        <v>0</v>
      </c>
      <c r="V787">
        <f>COUNTIF('🏭 Facilities'!A786:A794, D787)</f>
        <v>0</v>
      </c>
    </row>
    <row r="788" spans="1:22">
      <c r="A788" s="16" t="s">
        <v>2166</v>
      </c>
      <c r="B788" s="16" t="s">
        <v>2167</v>
      </c>
      <c r="C788" s="16" t="s">
        <v>174</v>
      </c>
      <c r="D788" s="16" t="s">
        <v>205</v>
      </c>
      <c r="E788" s="25">
        <v>45395</v>
      </c>
      <c r="F788" s="16" t="s">
        <v>2168</v>
      </c>
      <c r="G788" s="16" t="s">
        <v>125</v>
      </c>
      <c r="H788" s="16">
        <v>2</v>
      </c>
      <c r="I788" s="16">
        <v>199</v>
      </c>
      <c r="J788" s="16">
        <v>10</v>
      </c>
      <c r="K788" s="16">
        <v>358.2</v>
      </c>
      <c r="L788" s="16" t="s">
        <v>126</v>
      </c>
      <c r="M788" s="16" t="s">
        <v>119</v>
      </c>
      <c r="N788" s="27">
        <v>45395.921527777777</v>
      </c>
      <c r="O788" s="27">
        <v>45396.581944444442</v>
      </c>
      <c r="P788" s="16">
        <v>3.9</v>
      </c>
      <c r="Q788" s="16" t="b">
        <f>FALSE()</f>
        <v>0</v>
      </c>
      <c r="R788" s="16" t="b">
        <f>FALSE()</f>
        <v>0</v>
      </c>
      <c r="S788" s="17">
        <f t="shared" si="12"/>
        <v>15.8</v>
      </c>
      <c r="T788">
        <f>COUNTIF('👤 Customers'!$A:$A, B788)</f>
        <v>1</v>
      </c>
      <c r="U788">
        <f>COUNTIF('🚴 Riders'!A787:A847, C788)</f>
        <v>0</v>
      </c>
      <c r="V788">
        <f>COUNTIF('🏭 Facilities'!A787:A795, D788)</f>
        <v>0</v>
      </c>
    </row>
    <row r="789" spans="1:22">
      <c r="A789" s="18" t="s">
        <v>2169</v>
      </c>
      <c r="B789" s="18" t="s">
        <v>2170</v>
      </c>
      <c r="C789" s="18" t="s">
        <v>136</v>
      </c>
      <c r="D789" s="18" t="s">
        <v>197</v>
      </c>
      <c r="E789" s="26">
        <v>45605</v>
      </c>
      <c r="F789" s="18" t="s">
        <v>2171</v>
      </c>
      <c r="G789" s="18" t="s">
        <v>117</v>
      </c>
      <c r="H789" s="18">
        <v>6.5</v>
      </c>
      <c r="I789" s="18">
        <v>149</v>
      </c>
      <c r="J789" s="18">
        <v>0</v>
      </c>
      <c r="K789" s="18">
        <v>968.5</v>
      </c>
      <c r="L789" s="18" t="s">
        <v>146</v>
      </c>
      <c r="M789" s="18" t="s">
        <v>133</v>
      </c>
      <c r="N789" s="20"/>
      <c r="O789" s="20"/>
      <c r="P789" s="20"/>
      <c r="Q789" s="18" t="b">
        <f>FALSE()</f>
        <v>0</v>
      </c>
      <c r="R789" s="18" t="b">
        <f>FALSE()</f>
        <v>0</v>
      </c>
      <c r="S789" s="19" t="str">
        <f t="shared" si="12"/>
        <v>N/A</v>
      </c>
      <c r="T789">
        <f>COUNTIF('👤 Customers'!$A:$A, B789)</f>
        <v>1</v>
      </c>
      <c r="U789">
        <f>COUNTIF('🚴 Riders'!A788:A848, C789)</f>
        <v>0</v>
      </c>
      <c r="V789">
        <f>COUNTIF('🏭 Facilities'!A788:A796, D789)</f>
        <v>0</v>
      </c>
    </row>
    <row r="790" spans="1:22">
      <c r="A790" s="16" t="s">
        <v>2172</v>
      </c>
      <c r="B790" s="16" t="s">
        <v>858</v>
      </c>
      <c r="C790" s="16" t="s">
        <v>240</v>
      </c>
      <c r="D790" s="16" t="s">
        <v>123</v>
      </c>
      <c r="E790" s="25">
        <v>45588</v>
      </c>
      <c r="F790" s="16" t="s">
        <v>2173</v>
      </c>
      <c r="G790" s="16" t="s">
        <v>125</v>
      </c>
      <c r="H790" s="16">
        <v>5</v>
      </c>
      <c r="I790" s="16">
        <v>199</v>
      </c>
      <c r="J790" s="16">
        <v>0</v>
      </c>
      <c r="K790" s="16">
        <v>995</v>
      </c>
      <c r="L790" s="16" t="s">
        <v>139</v>
      </c>
      <c r="M790" s="16" t="s">
        <v>140</v>
      </c>
      <c r="N790" s="27">
        <v>45588.53402777778</v>
      </c>
      <c r="O790" s="27">
        <v>45589.453472222223</v>
      </c>
      <c r="P790" s="20"/>
      <c r="Q790" s="16" t="b">
        <f>FALSE()</f>
        <v>0</v>
      </c>
      <c r="R790" s="16" t="b">
        <f>FALSE()</f>
        <v>0</v>
      </c>
      <c r="S790" s="17">
        <f t="shared" si="12"/>
        <v>22.1</v>
      </c>
      <c r="T790">
        <f>COUNTIF('👤 Customers'!$A:$A, B790)</f>
        <v>1</v>
      </c>
      <c r="U790">
        <f>COUNTIF('🚴 Riders'!A789:A849, C790)</f>
        <v>0</v>
      </c>
      <c r="V790">
        <f>COUNTIF('🏭 Facilities'!A789:A797, D790)</f>
        <v>0</v>
      </c>
    </row>
    <row r="791" spans="1:22">
      <c r="A791" s="18" t="s">
        <v>2174</v>
      </c>
      <c r="B791" s="18" t="s">
        <v>235</v>
      </c>
      <c r="C791" s="18" t="s">
        <v>240</v>
      </c>
      <c r="D791" s="18" t="s">
        <v>158</v>
      </c>
      <c r="E791" s="26">
        <v>45500</v>
      </c>
      <c r="F791" s="18" t="s">
        <v>2175</v>
      </c>
      <c r="G791" s="18" t="s">
        <v>132</v>
      </c>
      <c r="H791" s="18">
        <v>5.6</v>
      </c>
      <c r="I791" s="18">
        <v>399</v>
      </c>
      <c r="J791" s="18">
        <v>0</v>
      </c>
      <c r="K791" s="18">
        <v>2234.4</v>
      </c>
      <c r="L791" s="18" t="s">
        <v>126</v>
      </c>
      <c r="M791" s="18" t="s">
        <v>140</v>
      </c>
      <c r="N791" s="28">
        <v>45501.053472222222</v>
      </c>
      <c r="O791" s="28">
        <v>45501.750694444447</v>
      </c>
      <c r="P791" s="20"/>
      <c r="Q791" s="18" t="b">
        <f>FALSE()</f>
        <v>0</v>
      </c>
      <c r="R791" s="18" t="b">
        <f>FALSE()</f>
        <v>0</v>
      </c>
      <c r="S791" s="19">
        <f t="shared" si="12"/>
        <v>16.7</v>
      </c>
      <c r="T791">
        <f>COUNTIF('👤 Customers'!$A:$A, B791)</f>
        <v>1</v>
      </c>
      <c r="U791">
        <f>COUNTIF('🚴 Riders'!A790:A850, C791)</f>
        <v>0</v>
      </c>
      <c r="V791">
        <f>COUNTIF('🏭 Facilities'!A790:A798, D791)</f>
        <v>0</v>
      </c>
    </row>
    <row r="792" spans="1:22">
      <c r="A792" s="16" t="s">
        <v>2176</v>
      </c>
      <c r="B792" s="16" t="s">
        <v>673</v>
      </c>
      <c r="C792" s="16" t="s">
        <v>114</v>
      </c>
      <c r="D792" s="16" t="s">
        <v>115</v>
      </c>
      <c r="E792" s="25">
        <v>45411</v>
      </c>
      <c r="F792" s="16" t="s">
        <v>2177</v>
      </c>
      <c r="G792" s="16" t="s">
        <v>145</v>
      </c>
      <c r="H792" s="16">
        <v>1.1000000000000001</v>
      </c>
      <c r="I792" s="16">
        <v>299</v>
      </c>
      <c r="J792" s="16">
        <v>0</v>
      </c>
      <c r="K792" s="16">
        <v>328.9</v>
      </c>
      <c r="L792" s="16" t="s">
        <v>207</v>
      </c>
      <c r="M792" s="16" t="s">
        <v>119</v>
      </c>
      <c r="N792" s="27">
        <v>45411.476388888892</v>
      </c>
      <c r="O792" s="27">
        <v>45412.458333333336</v>
      </c>
      <c r="P792" s="16">
        <v>4.4000000000000004</v>
      </c>
      <c r="Q792" s="16" t="b">
        <f>FALSE()</f>
        <v>0</v>
      </c>
      <c r="R792" s="16" t="b">
        <f>FALSE()</f>
        <v>0</v>
      </c>
      <c r="S792" s="17">
        <f t="shared" si="12"/>
        <v>23.6</v>
      </c>
      <c r="T792">
        <f>COUNTIF('👤 Customers'!$A:$A, B792)</f>
        <v>1</v>
      </c>
      <c r="U792">
        <f>COUNTIF('🚴 Riders'!A791:A851, C792)</f>
        <v>0</v>
      </c>
      <c r="V792">
        <f>COUNTIF('🏭 Facilities'!A791:A799, D792)</f>
        <v>0</v>
      </c>
    </row>
    <row r="793" spans="1:22">
      <c r="A793" s="18" t="s">
        <v>2178</v>
      </c>
      <c r="B793" s="18" t="s">
        <v>1679</v>
      </c>
      <c r="C793" s="18" t="s">
        <v>350</v>
      </c>
      <c r="D793" s="18" t="s">
        <v>184</v>
      </c>
      <c r="E793" s="26">
        <v>45610</v>
      </c>
      <c r="F793" s="18" t="s">
        <v>2179</v>
      </c>
      <c r="G793" s="18" t="s">
        <v>176</v>
      </c>
      <c r="H793" s="18">
        <v>2.1</v>
      </c>
      <c r="I793" s="18">
        <v>599</v>
      </c>
      <c r="J793" s="18">
        <v>10</v>
      </c>
      <c r="K793" s="18">
        <v>1132.1099999999999</v>
      </c>
      <c r="L793" s="18" t="s">
        <v>207</v>
      </c>
      <c r="M793" s="18" t="s">
        <v>119</v>
      </c>
      <c r="N793" s="28">
        <v>45610.823611111111</v>
      </c>
      <c r="O793" s="28">
        <v>45611.23541666667</v>
      </c>
      <c r="P793" s="18">
        <v>3.9</v>
      </c>
      <c r="Q793" s="18" t="b">
        <f>FALSE()</f>
        <v>0</v>
      </c>
      <c r="R793" s="18" t="b">
        <f>FALSE()</f>
        <v>0</v>
      </c>
      <c r="S793" s="19">
        <f t="shared" si="12"/>
        <v>9.9</v>
      </c>
      <c r="T793">
        <f>COUNTIF('👤 Customers'!$A:$A, B793)</f>
        <v>1</v>
      </c>
      <c r="U793">
        <f>COUNTIF('🚴 Riders'!A792:A852, C793)</f>
        <v>0</v>
      </c>
      <c r="V793">
        <f>COUNTIF('🏭 Facilities'!A792:A800, D793)</f>
        <v>0</v>
      </c>
    </row>
    <row r="794" spans="1:22">
      <c r="A794" s="16" t="s">
        <v>2180</v>
      </c>
      <c r="B794" s="16" t="s">
        <v>1207</v>
      </c>
      <c r="C794" s="16" t="s">
        <v>204</v>
      </c>
      <c r="D794" s="16" t="s">
        <v>205</v>
      </c>
      <c r="E794" s="25">
        <v>45171</v>
      </c>
      <c r="F794" s="16" t="s">
        <v>2181</v>
      </c>
      <c r="G794" s="16" t="s">
        <v>132</v>
      </c>
      <c r="H794" s="16">
        <v>5.6</v>
      </c>
      <c r="I794" s="16">
        <v>399</v>
      </c>
      <c r="J794" s="16">
        <v>0</v>
      </c>
      <c r="K794" s="16">
        <v>2234.4</v>
      </c>
      <c r="L794" s="16" t="s">
        <v>126</v>
      </c>
      <c r="M794" s="16" t="s">
        <v>119</v>
      </c>
      <c r="N794" s="27">
        <v>45172.011111111111</v>
      </c>
      <c r="O794" s="27">
        <v>45172.584027777775</v>
      </c>
      <c r="P794" s="16">
        <v>2.8</v>
      </c>
      <c r="Q794" s="16" t="b">
        <f>FALSE()</f>
        <v>0</v>
      </c>
      <c r="R794" s="16" t="b">
        <f>FALSE()</f>
        <v>0</v>
      </c>
      <c r="S794" s="17">
        <f t="shared" si="12"/>
        <v>13.7</v>
      </c>
      <c r="T794">
        <f>COUNTIF('👤 Customers'!$A:$A, B794)</f>
        <v>1</v>
      </c>
      <c r="U794">
        <f>COUNTIF('🚴 Riders'!A793:A853, C794)</f>
        <v>0</v>
      </c>
      <c r="V794">
        <f>COUNTIF('🏭 Facilities'!A793:A801, D794)</f>
        <v>0</v>
      </c>
    </row>
    <row r="795" spans="1:22">
      <c r="A795" s="18" t="s">
        <v>2182</v>
      </c>
      <c r="B795" s="18" t="s">
        <v>1064</v>
      </c>
      <c r="C795" s="18" t="s">
        <v>362</v>
      </c>
      <c r="D795" s="18" t="s">
        <v>158</v>
      </c>
      <c r="E795" s="26">
        <v>45574</v>
      </c>
      <c r="F795" s="18" t="s">
        <v>2183</v>
      </c>
      <c r="G795" s="18" t="s">
        <v>145</v>
      </c>
      <c r="H795" s="18">
        <v>1.2</v>
      </c>
      <c r="I795" s="18">
        <v>299</v>
      </c>
      <c r="J795" s="18">
        <v>20</v>
      </c>
      <c r="K795" s="18">
        <v>287.04000000000002</v>
      </c>
      <c r="L795" s="18" t="s">
        <v>146</v>
      </c>
      <c r="M795" s="18" t="s">
        <v>140</v>
      </c>
      <c r="N795" s="28">
        <v>45574.959722222222</v>
      </c>
      <c r="O795" s="28">
        <v>45575.324999999997</v>
      </c>
      <c r="P795" s="20"/>
      <c r="Q795" s="18" t="b">
        <f>FALSE()</f>
        <v>0</v>
      </c>
      <c r="R795" s="18" t="b">
        <f>TRUE()</f>
        <v>1</v>
      </c>
      <c r="S795" s="19">
        <f t="shared" si="12"/>
        <v>8.8000000000000007</v>
      </c>
      <c r="T795">
        <f>COUNTIF('👤 Customers'!$A:$A, B795)</f>
        <v>1</v>
      </c>
      <c r="U795">
        <f>COUNTIF('🚴 Riders'!A794:A854, C795)</f>
        <v>0</v>
      </c>
      <c r="V795">
        <f>COUNTIF('🏭 Facilities'!A794:A802, D795)</f>
        <v>0</v>
      </c>
    </row>
    <row r="796" spans="1:22">
      <c r="A796" s="16" t="s">
        <v>2184</v>
      </c>
      <c r="B796" s="16" t="s">
        <v>510</v>
      </c>
      <c r="C796" s="16" t="s">
        <v>287</v>
      </c>
      <c r="D796" s="16" t="s">
        <v>205</v>
      </c>
      <c r="E796" s="25">
        <v>45063</v>
      </c>
      <c r="F796" s="16" t="s">
        <v>2185</v>
      </c>
      <c r="G796" s="16" t="s">
        <v>176</v>
      </c>
      <c r="H796" s="16">
        <v>7.4</v>
      </c>
      <c r="I796" s="16">
        <v>599</v>
      </c>
      <c r="J796" s="16">
        <v>10</v>
      </c>
      <c r="K796" s="16">
        <v>3989.34</v>
      </c>
      <c r="L796" s="16" t="s">
        <v>118</v>
      </c>
      <c r="M796" s="16" t="s">
        <v>119</v>
      </c>
      <c r="N796" s="27">
        <v>45063.04583333333</v>
      </c>
      <c r="O796" s="27">
        <v>45063.572916666664</v>
      </c>
      <c r="P796" s="16">
        <v>3.5</v>
      </c>
      <c r="Q796" s="16" t="b">
        <f>FALSE()</f>
        <v>0</v>
      </c>
      <c r="R796" s="16" t="b">
        <f>TRUE()</f>
        <v>1</v>
      </c>
      <c r="S796" s="17">
        <f t="shared" si="12"/>
        <v>12.7</v>
      </c>
      <c r="T796">
        <f>COUNTIF('👤 Customers'!$A:$A, B796)</f>
        <v>1</v>
      </c>
      <c r="U796">
        <f>COUNTIF('🚴 Riders'!A795:A855, C796)</f>
        <v>0</v>
      </c>
      <c r="V796">
        <f>COUNTIF('🏭 Facilities'!A795:A803, D796)</f>
        <v>0</v>
      </c>
    </row>
    <row r="797" spans="1:22">
      <c r="A797" s="18" t="s">
        <v>2186</v>
      </c>
      <c r="B797" s="18" t="s">
        <v>900</v>
      </c>
      <c r="C797" s="18" t="s">
        <v>350</v>
      </c>
      <c r="D797" s="18" t="s">
        <v>197</v>
      </c>
      <c r="E797" s="26">
        <v>45320</v>
      </c>
      <c r="F797" s="18" t="s">
        <v>2187</v>
      </c>
      <c r="G797" s="18" t="s">
        <v>117</v>
      </c>
      <c r="H797" s="18">
        <v>4.3</v>
      </c>
      <c r="I797" s="18">
        <v>149</v>
      </c>
      <c r="J797" s="18">
        <v>0</v>
      </c>
      <c r="K797" s="18">
        <v>640.70000000000005</v>
      </c>
      <c r="L797" s="18" t="s">
        <v>118</v>
      </c>
      <c r="M797" s="18" t="s">
        <v>119</v>
      </c>
      <c r="N797" s="28">
        <v>45320.751388888886</v>
      </c>
      <c r="O797" s="28">
        <v>45321.363194444442</v>
      </c>
      <c r="P797" s="18">
        <v>3.4</v>
      </c>
      <c r="Q797" s="18" t="b">
        <f>FALSE()</f>
        <v>0</v>
      </c>
      <c r="R797" s="18" t="b">
        <f>TRUE()</f>
        <v>1</v>
      </c>
      <c r="S797" s="19">
        <f t="shared" si="12"/>
        <v>14.7</v>
      </c>
      <c r="T797">
        <f>COUNTIF('👤 Customers'!$A:$A, B797)</f>
        <v>1</v>
      </c>
      <c r="U797">
        <f>COUNTIF('🚴 Riders'!A796:A856, C797)</f>
        <v>0</v>
      </c>
      <c r="V797">
        <f>COUNTIF('🏭 Facilities'!A796:A804, D797)</f>
        <v>0</v>
      </c>
    </row>
    <row r="798" spans="1:22">
      <c r="A798" s="16" t="s">
        <v>2188</v>
      </c>
      <c r="B798" s="16" t="s">
        <v>1434</v>
      </c>
      <c r="C798" s="16" t="s">
        <v>153</v>
      </c>
      <c r="D798" s="16" t="s">
        <v>205</v>
      </c>
      <c r="E798" s="25">
        <v>45585</v>
      </c>
      <c r="F798" s="16" t="s">
        <v>2189</v>
      </c>
      <c r="G798" s="16" t="s">
        <v>117</v>
      </c>
      <c r="H798" s="16">
        <v>2.6</v>
      </c>
      <c r="I798" s="16">
        <v>149</v>
      </c>
      <c r="J798" s="16">
        <v>10</v>
      </c>
      <c r="K798" s="16">
        <v>348.66</v>
      </c>
      <c r="L798" s="16" t="s">
        <v>126</v>
      </c>
      <c r="M798" s="16" t="s">
        <v>140</v>
      </c>
      <c r="N798" s="27">
        <v>45585.626388888886</v>
      </c>
      <c r="O798" s="27">
        <v>45586.249305555553</v>
      </c>
      <c r="P798" s="20"/>
      <c r="Q798" s="16" t="b">
        <f>TRUE()</f>
        <v>1</v>
      </c>
      <c r="R798" s="16" t="b">
        <f>FALSE()</f>
        <v>0</v>
      </c>
      <c r="S798" s="17">
        <f t="shared" si="12"/>
        <v>15</v>
      </c>
      <c r="T798">
        <f>COUNTIF('👤 Customers'!$A:$A, B798)</f>
        <v>1</v>
      </c>
      <c r="U798">
        <f>COUNTIF('🚴 Riders'!A797:A857, C798)</f>
        <v>0</v>
      </c>
      <c r="V798">
        <f>COUNTIF('🏭 Facilities'!A797:A805, D798)</f>
        <v>0</v>
      </c>
    </row>
    <row r="799" spans="1:22">
      <c r="A799" s="18" t="s">
        <v>2190</v>
      </c>
      <c r="B799" s="18" t="s">
        <v>1006</v>
      </c>
      <c r="C799" s="18" t="s">
        <v>1092</v>
      </c>
      <c r="D799" s="18" t="s">
        <v>123</v>
      </c>
      <c r="E799" s="26">
        <v>45365</v>
      </c>
      <c r="F799" s="18" t="s">
        <v>2191</v>
      </c>
      <c r="G799" s="18" t="s">
        <v>125</v>
      </c>
      <c r="H799" s="18">
        <v>1.9</v>
      </c>
      <c r="I799" s="18">
        <v>199</v>
      </c>
      <c r="J799" s="18">
        <v>0</v>
      </c>
      <c r="K799" s="18">
        <v>378.1</v>
      </c>
      <c r="L799" s="18" t="s">
        <v>118</v>
      </c>
      <c r="M799" s="18" t="s">
        <v>140</v>
      </c>
      <c r="N799" s="28">
        <v>45365.61041666667</v>
      </c>
      <c r="O799" s="28">
        <v>45365.981249999997</v>
      </c>
      <c r="P799" s="20"/>
      <c r="Q799" s="18" t="b">
        <f>FALSE()</f>
        <v>0</v>
      </c>
      <c r="R799" s="18" t="b">
        <f>FALSE()</f>
        <v>0</v>
      </c>
      <c r="S799" s="19">
        <f t="shared" si="12"/>
        <v>8.9</v>
      </c>
      <c r="T799">
        <f>COUNTIF('👤 Customers'!$A:$A, B799)</f>
        <v>1</v>
      </c>
      <c r="U799">
        <f>COUNTIF('🚴 Riders'!A798:A858, C799)</f>
        <v>0</v>
      </c>
      <c r="V799">
        <f>COUNTIF('🏭 Facilities'!A798:A806, D799)</f>
        <v>0</v>
      </c>
    </row>
    <row r="800" spans="1:22">
      <c r="A800" s="16" t="s">
        <v>2192</v>
      </c>
      <c r="B800" s="16" t="s">
        <v>1173</v>
      </c>
      <c r="C800" s="16" t="s">
        <v>611</v>
      </c>
      <c r="D800" s="16" t="s">
        <v>197</v>
      </c>
      <c r="E800" s="25">
        <v>45252</v>
      </c>
      <c r="F800" s="16" t="s">
        <v>2193</v>
      </c>
      <c r="G800" s="16" t="s">
        <v>132</v>
      </c>
      <c r="H800" s="16">
        <v>2.2000000000000002</v>
      </c>
      <c r="I800" s="16">
        <v>399</v>
      </c>
      <c r="J800" s="16">
        <v>0</v>
      </c>
      <c r="K800" s="16">
        <v>877.8</v>
      </c>
      <c r="L800" s="16" t="s">
        <v>207</v>
      </c>
      <c r="M800" s="16" t="s">
        <v>119</v>
      </c>
      <c r="N800" s="27">
        <v>45252.761111111111</v>
      </c>
      <c r="O800" s="27">
        <v>45253.675694444442</v>
      </c>
      <c r="P800" s="16">
        <v>2.6</v>
      </c>
      <c r="Q800" s="16" t="b">
        <f>FALSE()</f>
        <v>0</v>
      </c>
      <c r="R800" s="16" t="b">
        <f>FALSE()</f>
        <v>0</v>
      </c>
      <c r="S800" s="17">
        <f t="shared" si="12"/>
        <v>21.9</v>
      </c>
      <c r="T800">
        <f>COUNTIF('👤 Customers'!$A:$A, B800)</f>
        <v>1</v>
      </c>
      <c r="U800">
        <f>COUNTIF('🚴 Riders'!A799:A859, C800)</f>
        <v>0</v>
      </c>
      <c r="V800">
        <f>COUNTIF('🏭 Facilities'!A799:A807, D800)</f>
        <v>0</v>
      </c>
    </row>
    <row r="801" spans="1:22">
      <c r="A801" s="18" t="s">
        <v>2194</v>
      </c>
      <c r="B801" s="18" t="s">
        <v>2195</v>
      </c>
      <c r="C801" s="18" t="s">
        <v>842</v>
      </c>
      <c r="D801" s="18" t="s">
        <v>158</v>
      </c>
      <c r="E801" s="26">
        <v>45216</v>
      </c>
      <c r="F801" s="18" t="s">
        <v>2196</v>
      </c>
      <c r="G801" s="18" t="s">
        <v>117</v>
      </c>
      <c r="H801" s="18">
        <v>5.4</v>
      </c>
      <c r="I801" s="18">
        <v>149</v>
      </c>
      <c r="J801" s="18">
        <v>0</v>
      </c>
      <c r="K801" s="18">
        <v>804.6</v>
      </c>
      <c r="L801" s="18" t="s">
        <v>126</v>
      </c>
      <c r="M801" s="18" t="s">
        <v>119</v>
      </c>
      <c r="N801" s="28">
        <v>45216.929166666669</v>
      </c>
      <c r="O801" s="28">
        <v>45217.890972222223</v>
      </c>
      <c r="P801" s="18">
        <v>3.8</v>
      </c>
      <c r="Q801" s="18" t="b">
        <f>FALSE()</f>
        <v>0</v>
      </c>
      <c r="R801" s="18" t="b">
        <f>FALSE()</f>
        <v>0</v>
      </c>
      <c r="S801" s="19">
        <f t="shared" si="12"/>
        <v>23.1</v>
      </c>
      <c r="T801">
        <f>COUNTIF('👤 Customers'!$A:$A, B801)</f>
        <v>1</v>
      </c>
      <c r="U801">
        <f>COUNTIF('🚴 Riders'!A800:A860, C801)</f>
        <v>0</v>
      </c>
      <c r="V801">
        <f>COUNTIF('🏭 Facilities'!A800:A808, D801)</f>
        <v>0</v>
      </c>
    </row>
    <row r="802" spans="1:22">
      <c r="A802" s="16" t="s">
        <v>2197</v>
      </c>
      <c r="B802" s="16" t="s">
        <v>779</v>
      </c>
      <c r="C802" s="16" t="s">
        <v>251</v>
      </c>
      <c r="D802" s="16" t="s">
        <v>158</v>
      </c>
      <c r="E802" s="25">
        <v>45058</v>
      </c>
      <c r="F802" s="16" t="s">
        <v>2198</v>
      </c>
      <c r="G802" s="16" t="s">
        <v>132</v>
      </c>
      <c r="H802" s="16">
        <v>1.7</v>
      </c>
      <c r="I802" s="16">
        <v>399</v>
      </c>
      <c r="J802" s="16">
        <v>0</v>
      </c>
      <c r="K802" s="16">
        <v>678.3</v>
      </c>
      <c r="L802" s="16" t="s">
        <v>146</v>
      </c>
      <c r="M802" s="16" t="s">
        <v>119</v>
      </c>
      <c r="N802" s="27">
        <v>45058.875</v>
      </c>
      <c r="O802" s="27">
        <v>45059.917361111111</v>
      </c>
      <c r="P802" s="16">
        <v>3.6</v>
      </c>
      <c r="Q802" s="16" t="b">
        <f>FALSE()</f>
        <v>0</v>
      </c>
      <c r="R802" s="16" t="b">
        <f>FALSE()</f>
        <v>0</v>
      </c>
      <c r="S802" s="17">
        <f t="shared" si="12"/>
        <v>25</v>
      </c>
      <c r="T802">
        <f>COUNTIF('👤 Customers'!$A:$A, B802)</f>
        <v>1</v>
      </c>
      <c r="U802">
        <f>COUNTIF('🚴 Riders'!A801:A861, C802)</f>
        <v>0</v>
      </c>
      <c r="V802">
        <f>COUNTIF('🏭 Facilities'!A801:A809, D802)</f>
        <v>0</v>
      </c>
    </row>
    <row r="803" spans="1:22">
      <c r="A803" s="18" t="s">
        <v>2199</v>
      </c>
      <c r="B803" s="18" t="s">
        <v>746</v>
      </c>
      <c r="C803" s="18" t="s">
        <v>322</v>
      </c>
      <c r="D803" s="18" t="s">
        <v>197</v>
      </c>
      <c r="E803" s="26">
        <v>44927</v>
      </c>
      <c r="F803" s="18" t="s">
        <v>2200</v>
      </c>
      <c r="G803" s="18" t="s">
        <v>117</v>
      </c>
      <c r="H803" s="18">
        <v>4.3</v>
      </c>
      <c r="I803" s="18">
        <v>149</v>
      </c>
      <c r="J803" s="18">
        <v>20</v>
      </c>
      <c r="K803" s="18">
        <v>512.55999999999995</v>
      </c>
      <c r="L803" s="18" t="s">
        <v>139</v>
      </c>
      <c r="M803" s="18" t="s">
        <v>119</v>
      </c>
      <c r="N803" s="28">
        <v>44927.6</v>
      </c>
      <c r="O803" s="28">
        <v>44928.413888888892</v>
      </c>
      <c r="P803" s="18">
        <v>3.7</v>
      </c>
      <c r="Q803" s="18" t="b">
        <f>FALSE()</f>
        <v>0</v>
      </c>
      <c r="R803" s="18" t="b">
        <f>FALSE()</f>
        <v>0</v>
      </c>
      <c r="S803" s="19">
        <f t="shared" si="12"/>
        <v>19.5</v>
      </c>
      <c r="T803">
        <f>COUNTIF('👤 Customers'!$A:$A, B803)</f>
        <v>1</v>
      </c>
      <c r="U803">
        <f>COUNTIF('🚴 Riders'!A802:A862, C803)</f>
        <v>0</v>
      </c>
      <c r="V803">
        <f>COUNTIF('🏭 Facilities'!A802:A810, D803)</f>
        <v>0</v>
      </c>
    </row>
    <row r="804" spans="1:22">
      <c r="A804" s="16" t="s">
        <v>2201</v>
      </c>
      <c r="B804" s="16" t="s">
        <v>1788</v>
      </c>
      <c r="C804" s="16" t="s">
        <v>413</v>
      </c>
      <c r="D804" s="16" t="s">
        <v>197</v>
      </c>
      <c r="E804" s="25">
        <v>45024</v>
      </c>
      <c r="F804" s="16" t="s">
        <v>2202</v>
      </c>
      <c r="G804" s="16" t="s">
        <v>132</v>
      </c>
      <c r="H804" s="16">
        <v>4.5999999999999996</v>
      </c>
      <c r="I804" s="16">
        <v>399</v>
      </c>
      <c r="J804" s="16">
        <v>20</v>
      </c>
      <c r="K804" s="16">
        <v>1468.32</v>
      </c>
      <c r="L804" s="16" t="s">
        <v>207</v>
      </c>
      <c r="M804" s="16" t="s">
        <v>119</v>
      </c>
      <c r="N804" s="27">
        <v>45024.790972222225</v>
      </c>
      <c r="O804" s="27">
        <v>45025.152083333334</v>
      </c>
      <c r="P804" s="16">
        <v>3.1</v>
      </c>
      <c r="Q804" s="16" t="b">
        <f>FALSE()</f>
        <v>0</v>
      </c>
      <c r="R804" s="16" t="b">
        <f>FALSE()</f>
        <v>0</v>
      </c>
      <c r="S804" s="17">
        <f t="shared" si="12"/>
        <v>8.6999999999999993</v>
      </c>
      <c r="T804">
        <f>COUNTIF('👤 Customers'!$A:$A, B804)</f>
        <v>1</v>
      </c>
      <c r="U804">
        <f>COUNTIF('🚴 Riders'!A803:A863, C804)</f>
        <v>0</v>
      </c>
      <c r="V804">
        <f>COUNTIF('🏭 Facilities'!A803:A811, D804)</f>
        <v>0</v>
      </c>
    </row>
    <row r="805" spans="1:22">
      <c r="A805" s="18" t="s">
        <v>2203</v>
      </c>
      <c r="B805" s="18" t="s">
        <v>1102</v>
      </c>
      <c r="C805" s="18" t="s">
        <v>247</v>
      </c>
      <c r="D805" s="18" t="s">
        <v>205</v>
      </c>
      <c r="E805" s="26">
        <v>45182</v>
      </c>
      <c r="F805" s="18" t="s">
        <v>2204</v>
      </c>
      <c r="G805" s="18" t="s">
        <v>145</v>
      </c>
      <c r="H805" s="18">
        <v>5.7</v>
      </c>
      <c r="I805" s="18">
        <v>299</v>
      </c>
      <c r="J805" s="18">
        <v>0</v>
      </c>
      <c r="K805" s="18">
        <v>1704.3</v>
      </c>
      <c r="L805" s="18" t="s">
        <v>207</v>
      </c>
      <c r="M805" s="18" t="s">
        <v>133</v>
      </c>
      <c r="N805" s="20"/>
      <c r="O805" s="20"/>
      <c r="P805" s="20"/>
      <c r="Q805" s="18" t="b">
        <f>FALSE()</f>
        <v>0</v>
      </c>
      <c r="R805" s="18" t="b">
        <f>FALSE()</f>
        <v>0</v>
      </c>
      <c r="S805" s="19" t="str">
        <f t="shared" si="12"/>
        <v>N/A</v>
      </c>
      <c r="T805">
        <f>COUNTIF('👤 Customers'!$A:$A, B805)</f>
        <v>1</v>
      </c>
      <c r="U805">
        <f>COUNTIF('🚴 Riders'!A804:A864, C805)</f>
        <v>0</v>
      </c>
      <c r="V805">
        <f>COUNTIF('🏭 Facilities'!A804:A812, D805)</f>
        <v>0</v>
      </c>
    </row>
    <row r="806" spans="1:22">
      <c r="A806" s="16" t="s">
        <v>2205</v>
      </c>
      <c r="B806" s="16" t="s">
        <v>1351</v>
      </c>
      <c r="C806" s="16" t="s">
        <v>315</v>
      </c>
      <c r="D806" s="16" t="s">
        <v>158</v>
      </c>
      <c r="E806" s="25">
        <v>44953</v>
      </c>
      <c r="F806" s="16" t="s">
        <v>2206</v>
      </c>
      <c r="G806" s="16" t="s">
        <v>145</v>
      </c>
      <c r="H806" s="16">
        <v>5.4</v>
      </c>
      <c r="I806" s="16">
        <v>299</v>
      </c>
      <c r="J806" s="16">
        <v>10</v>
      </c>
      <c r="K806" s="16">
        <v>1453.14</v>
      </c>
      <c r="L806" s="16" t="s">
        <v>118</v>
      </c>
      <c r="M806" s="16" t="s">
        <v>119</v>
      </c>
      <c r="N806" s="27">
        <v>44953.606249999997</v>
      </c>
      <c r="O806" s="27">
        <v>44954.443749999999</v>
      </c>
      <c r="P806" s="16">
        <v>2.5</v>
      </c>
      <c r="Q806" s="16" t="b">
        <f>FALSE()</f>
        <v>0</v>
      </c>
      <c r="R806" s="16" t="b">
        <f>FALSE()</f>
        <v>0</v>
      </c>
      <c r="S806" s="17">
        <f t="shared" si="12"/>
        <v>20.100000000000001</v>
      </c>
      <c r="T806">
        <f>COUNTIF('👤 Customers'!$A:$A, B806)</f>
        <v>1</v>
      </c>
      <c r="U806">
        <f>COUNTIF('🚴 Riders'!A805:A865, C806)</f>
        <v>0</v>
      </c>
      <c r="V806">
        <f>COUNTIF('🏭 Facilities'!A805:A813, D806)</f>
        <v>0</v>
      </c>
    </row>
    <row r="807" spans="1:22">
      <c r="A807" s="18" t="s">
        <v>2207</v>
      </c>
      <c r="B807" s="18" t="s">
        <v>1070</v>
      </c>
      <c r="C807" s="18" t="s">
        <v>143</v>
      </c>
      <c r="D807" s="18" t="s">
        <v>205</v>
      </c>
      <c r="E807" s="26">
        <v>45072</v>
      </c>
      <c r="F807" s="18" t="s">
        <v>2208</v>
      </c>
      <c r="G807" s="18" t="s">
        <v>176</v>
      </c>
      <c r="H807" s="18">
        <v>3.8</v>
      </c>
      <c r="I807" s="18">
        <v>599</v>
      </c>
      <c r="J807" s="18">
        <v>30</v>
      </c>
      <c r="K807" s="18">
        <v>1593.34</v>
      </c>
      <c r="L807" s="18" t="s">
        <v>118</v>
      </c>
      <c r="M807" s="18" t="s">
        <v>119</v>
      </c>
      <c r="N807" s="28">
        <v>45072.939583333333</v>
      </c>
      <c r="O807" s="28">
        <v>45073.650694444441</v>
      </c>
      <c r="P807" s="18">
        <v>5</v>
      </c>
      <c r="Q807" s="18" t="b">
        <f>FALSE()</f>
        <v>0</v>
      </c>
      <c r="R807" s="18" t="b">
        <f>FALSE()</f>
        <v>0</v>
      </c>
      <c r="S807" s="19">
        <f t="shared" si="12"/>
        <v>17.100000000000001</v>
      </c>
      <c r="T807">
        <f>COUNTIF('👤 Customers'!$A:$A, B807)</f>
        <v>1</v>
      </c>
      <c r="U807">
        <f>COUNTIF('🚴 Riders'!A806:A866, C807)</f>
        <v>0</v>
      </c>
      <c r="V807">
        <f>COUNTIF('🏭 Facilities'!A806:A814, D807)</f>
        <v>0</v>
      </c>
    </row>
    <row r="808" spans="1:22">
      <c r="A808" s="16" t="s">
        <v>2209</v>
      </c>
      <c r="B808" s="16" t="s">
        <v>1870</v>
      </c>
      <c r="C808" s="16" t="s">
        <v>272</v>
      </c>
      <c r="D808" s="16" t="s">
        <v>205</v>
      </c>
      <c r="E808" s="25">
        <v>45604</v>
      </c>
      <c r="F808" s="16" t="s">
        <v>2210</v>
      </c>
      <c r="G808" s="16" t="s">
        <v>145</v>
      </c>
      <c r="H808" s="16">
        <v>6.4</v>
      </c>
      <c r="I808" s="16">
        <v>299</v>
      </c>
      <c r="J808" s="16">
        <v>0</v>
      </c>
      <c r="K808" s="16">
        <v>1913.6</v>
      </c>
      <c r="L808" s="16" t="s">
        <v>139</v>
      </c>
      <c r="M808" s="16" t="s">
        <v>119</v>
      </c>
      <c r="N808" s="27">
        <v>45604.397916666669</v>
      </c>
      <c r="O808" s="27">
        <v>45604.989583333336</v>
      </c>
      <c r="P808" s="16">
        <v>4.0999999999999996</v>
      </c>
      <c r="Q808" s="16" t="b">
        <f>FALSE()</f>
        <v>0</v>
      </c>
      <c r="R808" s="16" t="b">
        <f>TRUE()</f>
        <v>1</v>
      </c>
      <c r="S808" s="17">
        <f t="shared" si="12"/>
        <v>14.2</v>
      </c>
      <c r="T808">
        <f>COUNTIF('👤 Customers'!$A:$A, B808)</f>
        <v>1</v>
      </c>
      <c r="U808">
        <f>COUNTIF('🚴 Riders'!A807:A867, C808)</f>
        <v>0</v>
      </c>
      <c r="V808">
        <f>COUNTIF('🏭 Facilities'!A807:A815, D808)</f>
        <v>0</v>
      </c>
    </row>
    <row r="809" spans="1:22">
      <c r="A809" s="18" t="s">
        <v>2211</v>
      </c>
      <c r="B809" s="18" t="s">
        <v>1067</v>
      </c>
      <c r="C809" s="18" t="s">
        <v>136</v>
      </c>
      <c r="D809" s="18" t="s">
        <v>197</v>
      </c>
      <c r="E809" s="26">
        <v>45103</v>
      </c>
      <c r="F809" s="18" t="s">
        <v>2212</v>
      </c>
      <c r="G809" s="18" t="s">
        <v>145</v>
      </c>
      <c r="H809" s="18">
        <v>6.8</v>
      </c>
      <c r="I809" s="18">
        <v>299</v>
      </c>
      <c r="J809" s="18">
        <v>0</v>
      </c>
      <c r="K809" s="18">
        <v>2033.2</v>
      </c>
      <c r="L809" s="18" t="s">
        <v>146</v>
      </c>
      <c r="M809" s="18" t="s">
        <v>140</v>
      </c>
      <c r="N809" s="28">
        <v>45103.477083333331</v>
      </c>
      <c r="O809" s="28">
        <v>45104.449305555558</v>
      </c>
      <c r="P809" s="20"/>
      <c r="Q809" s="18" t="b">
        <f>FALSE()</f>
        <v>0</v>
      </c>
      <c r="R809" s="18" t="b">
        <f>FALSE()</f>
        <v>0</v>
      </c>
      <c r="S809" s="19">
        <f t="shared" si="12"/>
        <v>23.3</v>
      </c>
      <c r="T809">
        <f>COUNTIF('👤 Customers'!$A:$A, B809)</f>
        <v>1</v>
      </c>
      <c r="U809">
        <f>COUNTIF('🚴 Riders'!A808:A868, C809)</f>
        <v>0</v>
      </c>
      <c r="V809">
        <f>COUNTIF('🏭 Facilities'!A808:A816, D809)</f>
        <v>0</v>
      </c>
    </row>
    <row r="810" spans="1:22">
      <c r="A810" s="16" t="s">
        <v>2213</v>
      </c>
      <c r="B810" s="16" t="s">
        <v>455</v>
      </c>
      <c r="C810" s="16" t="s">
        <v>287</v>
      </c>
      <c r="D810" s="16" t="s">
        <v>137</v>
      </c>
      <c r="E810" s="25">
        <v>45614</v>
      </c>
      <c r="F810" s="16" t="s">
        <v>2214</v>
      </c>
      <c r="G810" s="16" t="s">
        <v>176</v>
      </c>
      <c r="H810" s="16">
        <v>2.4</v>
      </c>
      <c r="I810" s="16">
        <v>599</v>
      </c>
      <c r="J810" s="16">
        <v>20</v>
      </c>
      <c r="K810" s="16">
        <v>1150.08</v>
      </c>
      <c r="L810" s="16" t="s">
        <v>146</v>
      </c>
      <c r="M810" s="16" t="s">
        <v>119</v>
      </c>
      <c r="N810" s="27">
        <v>45615.018055555556</v>
      </c>
      <c r="O810" s="27">
        <v>45615.520833333336</v>
      </c>
      <c r="P810" s="16">
        <v>4.5999999999999996</v>
      </c>
      <c r="Q810" s="16" t="b">
        <f>FALSE()</f>
        <v>0</v>
      </c>
      <c r="R810" s="16" t="b">
        <f>FALSE()</f>
        <v>0</v>
      </c>
      <c r="S810" s="17">
        <f t="shared" si="12"/>
        <v>12.1</v>
      </c>
      <c r="T810">
        <f>COUNTIF('👤 Customers'!$A:$A, B810)</f>
        <v>1</v>
      </c>
      <c r="U810">
        <f>COUNTIF('🚴 Riders'!A809:A869, C810)</f>
        <v>0</v>
      </c>
      <c r="V810">
        <f>COUNTIF('🏭 Facilities'!A809:A817, D810)</f>
        <v>0</v>
      </c>
    </row>
    <row r="811" spans="1:22">
      <c r="A811" s="18" t="s">
        <v>2215</v>
      </c>
      <c r="B811" s="18" t="s">
        <v>1754</v>
      </c>
      <c r="C811" s="18" t="s">
        <v>461</v>
      </c>
      <c r="D811" s="18" t="s">
        <v>130</v>
      </c>
      <c r="E811" s="26">
        <v>45208</v>
      </c>
      <c r="F811" s="18" t="s">
        <v>2216</v>
      </c>
      <c r="G811" s="18" t="s">
        <v>176</v>
      </c>
      <c r="H811" s="18">
        <v>2.6</v>
      </c>
      <c r="I811" s="18">
        <v>599</v>
      </c>
      <c r="J811" s="18">
        <v>20</v>
      </c>
      <c r="K811" s="18">
        <v>1245.92</v>
      </c>
      <c r="L811" s="18" t="s">
        <v>207</v>
      </c>
      <c r="M811" s="18" t="s">
        <v>133</v>
      </c>
      <c r="N811" s="20"/>
      <c r="O811" s="20"/>
      <c r="P811" s="20"/>
      <c r="Q811" s="18" t="b">
        <f>FALSE()</f>
        <v>0</v>
      </c>
      <c r="R811" s="18" t="b">
        <f>FALSE()</f>
        <v>0</v>
      </c>
      <c r="S811" s="19" t="str">
        <f t="shared" si="12"/>
        <v>N/A</v>
      </c>
      <c r="T811">
        <f>COUNTIF('👤 Customers'!$A:$A, B811)</f>
        <v>1</v>
      </c>
      <c r="U811">
        <f>COUNTIF('🚴 Riders'!A810:A870, C811)</f>
        <v>0</v>
      </c>
      <c r="V811">
        <f>COUNTIF('🏭 Facilities'!A810:A818, D811)</f>
        <v>0</v>
      </c>
    </row>
    <row r="812" spans="1:22">
      <c r="A812" s="16" t="s">
        <v>2217</v>
      </c>
      <c r="B812" s="16" t="s">
        <v>545</v>
      </c>
      <c r="C812" s="16" t="s">
        <v>213</v>
      </c>
      <c r="D812" s="16" t="s">
        <v>115</v>
      </c>
      <c r="E812" s="25">
        <v>45256</v>
      </c>
      <c r="F812" s="16" t="s">
        <v>2218</v>
      </c>
      <c r="G812" s="16" t="s">
        <v>132</v>
      </c>
      <c r="H812" s="16">
        <v>2.9</v>
      </c>
      <c r="I812" s="16">
        <v>399</v>
      </c>
      <c r="J812" s="16">
        <v>30</v>
      </c>
      <c r="K812" s="16">
        <v>809.97</v>
      </c>
      <c r="L812" s="16" t="s">
        <v>118</v>
      </c>
      <c r="M812" s="16" t="s">
        <v>119</v>
      </c>
      <c r="N812" s="27">
        <v>45256.40625</v>
      </c>
      <c r="O812" s="27">
        <v>45257.454861111109</v>
      </c>
      <c r="P812" s="16">
        <v>2.8</v>
      </c>
      <c r="Q812" s="16" t="b">
        <f>FALSE()</f>
        <v>0</v>
      </c>
      <c r="R812" s="16" t="b">
        <f>TRUE()</f>
        <v>1</v>
      </c>
      <c r="S812" s="17">
        <f t="shared" si="12"/>
        <v>25.2</v>
      </c>
      <c r="T812">
        <f>COUNTIF('👤 Customers'!$A:$A, B812)</f>
        <v>1</v>
      </c>
      <c r="U812">
        <f>COUNTIF('🚴 Riders'!A811:A871, C812)</f>
        <v>0</v>
      </c>
      <c r="V812">
        <f>COUNTIF('🏭 Facilities'!A811:A819, D812)</f>
        <v>0</v>
      </c>
    </row>
    <row r="813" spans="1:22">
      <c r="A813" s="18" t="s">
        <v>2219</v>
      </c>
      <c r="B813" s="18" t="s">
        <v>2220</v>
      </c>
      <c r="C813" s="18" t="s">
        <v>179</v>
      </c>
      <c r="D813" s="18" t="s">
        <v>137</v>
      </c>
      <c r="E813" s="26">
        <v>45122</v>
      </c>
      <c r="F813" s="18" t="s">
        <v>2221</v>
      </c>
      <c r="G813" s="18" t="s">
        <v>176</v>
      </c>
      <c r="H813" s="18">
        <v>5.7</v>
      </c>
      <c r="I813" s="18">
        <v>599</v>
      </c>
      <c r="J813" s="18">
        <v>0</v>
      </c>
      <c r="K813" s="18">
        <v>3414.3</v>
      </c>
      <c r="L813" s="18" t="s">
        <v>139</v>
      </c>
      <c r="M813" s="18" t="s">
        <v>140</v>
      </c>
      <c r="N813" s="28">
        <v>45122.322916666664</v>
      </c>
      <c r="O813" s="28">
        <v>45123.338888888888</v>
      </c>
      <c r="P813" s="20"/>
      <c r="Q813" s="18" t="b">
        <f>FALSE()</f>
        <v>0</v>
      </c>
      <c r="R813" s="18" t="b">
        <f>FALSE()</f>
        <v>0</v>
      </c>
      <c r="S813" s="19">
        <f t="shared" si="12"/>
        <v>24.4</v>
      </c>
      <c r="T813">
        <f>COUNTIF('👤 Customers'!$A:$A, B813)</f>
        <v>1</v>
      </c>
      <c r="U813">
        <f>COUNTIF('🚴 Riders'!A812:A872, C813)</f>
        <v>0</v>
      </c>
      <c r="V813">
        <f>COUNTIF('🏭 Facilities'!A812:A820, D813)</f>
        <v>0</v>
      </c>
    </row>
    <row r="814" spans="1:22">
      <c r="A814" s="16" t="s">
        <v>2222</v>
      </c>
      <c r="B814" s="16" t="s">
        <v>374</v>
      </c>
      <c r="C814" s="16" t="s">
        <v>192</v>
      </c>
      <c r="D814" s="16" t="s">
        <v>123</v>
      </c>
      <c r="E814" s="25">
        <v>45553</v>
      </c>
      <c r="F814" s="16" t="s">
        <v>2223</v>
      </c>
      <c r="G814" s="16" t="s">
        <v>132</v>
      </c>
      <c r="H814" s="16">
        <v>3.7</v>
      </c>
      <c r="I814" s="16">
        <v>399</v>
      </c>
      <c r="J814" s="16">
        <v>0</v>
      </c>
      <c r="K814" s="16">
        <v>1476.3</v>
      </c>
      <c r="L814" s="16" t="s">
        <v>207</v>
      </c>
      <c r="M814" s="16" t="s">
        <v>119</v>
      </c>
      <c r="N814" s="27">
        <v>45553.884027777778</v>
      </c>
      <c r="O814" s="27">
        <v>45554.390277777777</v>
      </c>
      <c r="P814" s="16">
        <v>4.7</v>
      </c>
      <c r="Q814" s="16" t="b">
        <f>TRUE()</f>
        <v>1</v>
      </c>
      <c r="R814" s="16" t="b">
        <f>FALSE()</f>
        <v>0</v>
      </c>
      <c r="S814" s="17">
        <f t="shared" si="12"/>
        <v>12.1</v>
      </c>
      <c r="T814">
        <f>COUNTIF('👤 Customers'!$A:$A, B814)</f>
        <v>1</v>
      </c>
      <c r="U814">
        <f>COUNTIF('🚴 Riders'!A813:A873, C814)</f>
        <v>0</v>
      </c>
      <c r="V814">
        <f>COUNTIF('🏭 Facilities'!A813:A821, D814)</f>
        <v>0</v>
      </c>
    </row>
    <row r="815" spans="1:22">
      <c r="A815" s="18" t="s">
        <v>2224</v>
      </c>
      <c r="B815" s="18" t="s">
        <v>1182</v>
      </c>
      <c r="C815" s="18" t="s">
        <v>750</v>
      </c>
      <c r="D815" s="18" t="s">
        <v>197</v>
      </c>
      <c r="E815" s="26">
        <v>45449</v>
      </c>
      <c r="F815" s="18" t="s">
        <v>2225</v>
      </c>
      <c r="G815" s="18" t="s">
        <v>132</v>
      </c>
      <c r="H815" s="18">
        <v>2.4</v>
      </c>
      <c r="I815" s="18">
        <v>399</v>
      </c>
      <c r="J815" s="18">
        <v>0</v>
      </c>
      <c r="K815" s="18">
        <v>957.6</v>
      </c>
      <c r="L815" s="18" t="s">
        <v>146</v>
      </c>
      <c r="M815" s="18" t="s">
        <v>119</v>
      </c>
      <c r="N815" s="28">
        <v>45449.335416666669</v>
      </c>
      <c r="O815" s="28">
        <v>45449.645138888889</v>
      </c>
      <c r="P815" s="18">
        <v>3.7</v>
      </c>
      <c r="Q815" s="18" t="b">
        <f>FALSE()</f>
        <v>0</v>
      </c>
      <c r="R815" s="18" t="b">
        <f>FALSE()</f>
        <v>0</v>
      </c>
      <c r="S815" s="19">
        <f t="shared" si="12"/>
        <v>7.4</v>
      </c>
      <c r="T815">
        <f>COUNTIF('👤 Customers'!$A:$A, B815)</f>
        <v>1</v>
      </c>
      <c r="U815">
        <f>COUNTIF('🚴 Riders'!A814:A874, C815)</f>
        <v>0</v>
      </c>
      <c r="V815">
        <f>COUNTIF('🏭 Facilities'!A814:A822, D815)</f>
        <v>0</v>
      </c>
    </row>
    <row r="816" spans="1:22">
      <c r="A816" s="16" t="s">
        <v>2226</v>
      </c>
      <c r="B816" s="16" t="s">
        <v>368</v>
      </c>
      <c r="C816" s="16" t="s">
        <v>153</v>
      </c>
      <c r="D816" s="16" t="s">
        <v>184</v>
      </c>
      <c r="E816" s="25">
        <v>45023</v>
      </c>
      <c r="F816" s="16" t="s">
        <v>2227</v>
      </c>
      <c r="G816" s="16" t="s">
        <v>176</v>
      </c>
      <c r="H816" s="16">
        <v>6.2</v>
      </c>
      <c r="I816" s="16">
        <v>599</v>
      </c>
      <c r="J816" s="16">
        <v>0</v>
      </c>
      <c r="K816" s="16">
        <v>3713.8</v>
      </c>
      <c r="L816" s="16" t="s">
        <v>139</v>
      </c>
      <c r="M816" s="16" t="s">
        <v>119</v>
      </c>
      <c r="N816" s="27">
        <v>45024.134027777778</v>
      </c>
      <c r="O816" s="27">
        <v>45025.051388888889</v>
      </c>
      <c r="P816" s="16">
        <v>4.5999999999999996</v>
      </c>
      <c r="Q816" s="16" t="b">
        <f>FALSE()</f>
        <v>0</v>
      </c>
      <c r="R816" s="16" t="b">
        <f>FALSE()</f>
        <v>0</v>
      </c>
      <c r="S816" s="17">
        <f t="shared" si="12"/>
        <v>22</v>
      </c>
      <c r="T816">
        <f>COUNTIF('👤 Customers'!$A:$A, B816)</f>
        <v>1</v>
      </c>
      <c r="U816">
        <f>COUNTIF('🚴 Riders'!A815:A875, C816)</f>
        <v>0</v>
      </c>
      <c r="V816">
        <f>COUNTIF('🏭 Facilities'!A815:A823, D816)</f>
        <v>0</v>
      </c>
    </row>
    <row r="817" spans="1:22">
      <c r="A817" s="18" t="s">
        <v>2228</v>
      </c>
      <c r="B817" s="18" t="s">
        <v>2229</v>
      </c>
      <c r="C817" s="18" t="s">
        <v>287</v>
      </c>
      <c r="D817" s="18" t="s">
        <v>205</v>
      </c>
      <c r="E817" s="26">
        <v>45257</v>
      </c>
      <c r="F817" s="18" t="s">
        <v>2230</v>
      </c>
      <c r="G817" s="18" t="s">
        <v>176</v>
      </c>
      <c r="H817" s="18">
        <v>2.2000000000000002</v>
      </c>
      <c r="I817" s="18">
        <v>599</v>
      </c>
      <c r="J817" s="18">
        <v>10</v>
      </c>
      <c r="K817" s="18">
        <v>1186.02</v>
      </c>
      <c r="L817" s="18" t="s">
        <v>207</v>
      </c>
      <c r="M817" s="18" t="s">
        <v>119</v>
      </c>
      <c r="N817" s="28">
        <v>45257.945833333331</v>
      </c>
      <c r="O817" s="28">
        <v>45258.414583333331</v>
      </c>
      <c r="P817" s="18">
        <v>4.7</v>
      </c>
      <c r="Q817" s="18" t="b">
        <f>FALSE()</f>
        <v>0</v>
      </c>
      <c r="R817" s="18" t="b">
        <f>FALSE()</f>
        <v>0</v>
      </c>
      <c r="S817" s="19">
        <f t="shared" si="12"/>
        <v>11.3</v>
      </c>
      <c r="T817">
        <f>COUNTIF('👤 Customers'!$A:$A, B817)</f>
        <v>1</v>
      </c>
      <c r="U817">
        <f>COUNTIF('🚴 Riders'!A816:A876, C817)</f>
        <v>0</v>
      </c>
      <c r="V817">
        <f>COUNTIF('🏭 Facilities'!A816:A824, D817)</f>
        <v>0</v>
      </c>
    </row>
    <row r="818" spans="1:22">
      <c r="A818" s="16" t="s">
        <v>2231</v>
      </c>
      <c r="B818" s="16" t="s">
        <v>769</v>
      </c>
      <c r="C818" s="16" t="s">
        <v>431</v>
      </c>
      <c r="D818" s="16" t="s">
        <v>205</v>
      </c>
      <c r="E818" s="25">
        <v>45262</v>
      </c>
      <c r="F818" s="16" t="s">
        <v>2232</v>
      </c>
      <c r="G818" s="16" t="s">
        <v>145</v>
      </c>
      <c r="H818" s="16">
        <v>1.4</v>
      </c>
      <c r="I818" s="16">
        <v>299</v>
      </c>
      <c r="J818" s="16">
        <v>0</v>
      </c>
      <c r="K818" s="16">
        <v>418.6</v>
      </c>
      <c r="L818" s="16" t="s">
        <v>139</v>
      </c>
      <c r="M818" s="16" t="s">
        <v>119</v>
      </c>
      <c r="N818" s="27">
        <v>45263.058333333334</v>
      </c>
      <c r="O818" s="27">
        <v>45263.974999999999</v>
      </c>
      <c r="P818" s="16">
        <v>4.2</v>
      </c>
      <c r="Q818" s="16" t="b">
        <f>FALSE()</f>
        <v>0</v>
      </c>
      <c r="R818" s="16" t="b">
        <f>FALSE()</f>
        <v>0</v>
      </c>
      <c r="S818" s="17">
        <f t="shared" si="12"/>
        <v>22</v>
      </c>
      <c r="T818">
        <f>COUNTIF('👤 Customers'!$A:$A, B818)</f>
        <v>1</v>
      </c>
      <c r="U818">
        <f>COUNTIF('🚴 Riders'!A817:A877, C818)</f>
        <v>0</v>
      </c>
      <c r="V818">
        <f>COUNTIF('🏭 Facilities'!A817:A825, D818)</f>
        <v>0</v>
      </c>
    </row>
    <row r="819" spans="1:22">
      <c r="A819" s="18" t="s">
        <v>2233</v>
      </c>
      <c r="B819" s="18" t="s">
        <v>1793</v>
      </c>
      <c r="C819" s="18" t="s">
        <v>204</v>
      </c>
      <c r="D819" s="18" t="s">
        <v>115</v>
      </c>
      <c r="E819" s="26">
        <v>44937</v>
      </c>
      <c r="F819" s="18" t="s">
        <v>2234</v>
      </c>
      <c r="G819" s="18" t="s">
        <v>125</v>
      </c>
      <c r="H819" s="18">
        <v>6</v>
      </c>
      <c r="I819" s="18">
        <v>199</v>
      </c>
      <c r="J819" s="18">
        <v>0</v>
      </c>
      <c r="K819" s="18">
        <v>1194</v>
      </c>
      <c r="L819" s="18" t="s">
        <v>146</v>
      </c>
      <c r="M819" s="18" t="s">
        <v>133</v>
      </c>
      <c r="N819" s="20"/>
      <c r="O819" s="20"/>
      <c r="P819" s="20"/>
      <c r="Q819" s="18" t="b">
        <f>FALSE()</f>
        <v>0</v>
      </c>
      <c r="R819" s="18" t="b">
        <f>FALSE()</f>
        <v>0</v>
      </c>
      <c r="S819" s="19" t="str">
        <f t="shared" si="12"/>
        <v>N/A</v>
      </c>
      <c r="T819">
        <f>COUNTIF('👤 Customers'!$A:$A, B819)</f>
        <v>1</v>
      </c>
      <c r="U819">
        <f>COUNTIF('🚴 Riders'!A818:A878, C819)</f>
        <v>0</v>
      </c>
      <c r="V819">
        <f>COUNTIF('🏭 Facilities'!A818:A826, D819)</f>
        <v>0</v>
      </c>
    </row>
    <row r="820" spans="1:22">
      <c r="A820" s="16" t="s">
        <v>2235</v>
      </c>
      <c r="B820" s="16" t="s">
        <v>161</v>
      </c>
      <c r="C820" s="16" t="s">
        <v>228</v>
      </c>
      <c r="D820" s="16" t="s">
        <v>197</v>
      </c>
      <c r="E820" s="25">
        <v>45398</v>
      </c>
      <c r="F820" s="16" t="s">
        <v>2236</v>
      </c>
      <c r="G820" s="16" t="s">
        <v>176</v>
      </c>
      <c r="H820" s="16">
        <v>7.1</v>
      </c>
      <c r="I820" s="16">
        <v>599</v>
      </c>
      <c r="J820" s="16">
        <v>10</v>
      </c>
      <c r="K820" s="16">
        <v>3827.61</v>
      </c>
      <c r="L820" s="16" t="s">
        <v>126</v>
      </c>
      <c r="M820" s="16" t="s">
        <v>119</v>
      </c>
      <c r="N820" s="27">
        <v>45398.290277777778</v>
      </c>
      <c r="O820" s="27">
        <v>45399.090277777781</v>
      </c>
      <c r="P820" s="16">
        <v>4.9000000000000004</v>
      </c>
      <c r="Q820" s="16" t="b">
        <f>FALSE()</f>
        <v>0</v>
      </c>
      <c r="R820" s="16" t="b">
        <f>FALSE()</f>
        <v>0</v>
      </c>
      <c r="S820" s="17">
        <f t="shared" si="12"/>
        <v>19.2</v>
      </c>
      <c r="T820">
        <f>COUNTIF('👤 Customers'!$A:$A, B820)</f>
        <v>1</v>
      </c>
      <c r="U820">
        <f>COUNTIF('🚴 Riders'!A819:A879, C820)</f>
        <v>0</v>
      </c>
      <c r="V820">
        <f>COUNTIF('🏭 Facilities'!A819:A827, D820)</f>
        <v>0</v>
      </c>
    </row>
    <row r="821" spans="1:22">
      <c r="A821" s="18" t="s">
        <v>2237</v>
      </c>
      <c r="B821" s="18" t="s">
        <v>2238</v>
      </c>
      <c r="C821" s="18" t="s">
        <v>483</v>
      </c>
      <c r="D821" s="18" t="s">
        <v>184</v>
      </c>
      <c r="E821" s="26">
        <v>45477</v>
      </c>
      <c r="F821" s="18" t="s">
        <v>2239</v>
      </c>
      <c r="G821" s="18" t="s">
        <v>176</v>
      </c>
      <c r="H821" s="18">
        <v>4</v>
      </c>
      <c r="I821" s="18">
        <v>599</v>
      </c>
      <c r="J821" s="18">
        <v>0</v>
      </c>
      <c r="K821" s="18">
        <v>2396</v>
      </c>
      <c r="L821" s="18" t="s">
        <v>139</v>
      </c>
      <c r="M821" s="18" t="s">
        <v>140</v>
      </c>
      <c r="N821" s="28">
        <v>45477.959722222222</v>
      </c>
      <c r="O821" s="28">
        <v>45478.773611111108</v>
      </c>
      <c r="P821" s="20"/>
      <c r="Q821" s="18" t="b">
        <f>FALSE()</f>
        <v>0</v>
      </c>
      <c r="R821" s="18" t="b">
        <f>FALSE()</f>
        <v>0</v>
      </c>
      <c r="S821" s="19">
        <f t="shared" si="12"/>
        <v>19.5</v>
      </c>
      <c r="T821">
        <f>COUNTIF('👤 Customers'!$A:$A, B821)</f>
        <v>1</v>
      </c>
      <c r="U821">
        <f>COUNTIF('🚴 Riders'!A820:A880, C821)</f>
        <v>0</v>
      </c>
      <c r="V821">
        <f>COUNTIF('🏭 Facilities'!A820:A828, D821)</f>
        <v>0</v>
      </c>
    </row>
    <row r="822" spans="1:22">
      <c r="A822" s="16" t="s">
        <v>2240</v>
      </c>
      <c r="B822" s="16" t="s">
        <v>1900</v>
      </c>
      <c r="C822" s="16" t="s">
        <v>170</v>
      </c>
      <c r="D822" s="16" t="s">
        <v>158</v>
      </c>
      <c r="E822" s="25">
        <v>45531</v>
      </c>
      <c r="F822" s="16" t="s">
        <v>2241</v>
      </c>
      <c r="G822" s="16" t="s">
        <v>145</v>
      </c>
      <c r="H822" s="16">
        <v>5.7</v>
      </c>
      <c r="I822" s="16">
        <v>299</v>
      </c>
      <c r="J822" s="16">
        <v>0</v>
      </c>
      <c r="K822" s="16">
        <v>1704.3</v>
      </c>
      <c r="L822" s="16" t="s">
        <v>126</v>
      </c>
      <c r="M822" s="16" t="s">
        <v>133</v>
      </c>
      <c r="N822" s="20"/>
      <c r="O822" s="20"/>
      <c r="P822" s="20"/>
      <c r="Q822" s="16" t="b">
        <f>FALSE()</f>
        <v>0</v>
      </c>
      <c r="R822" s="16" t="b">
        <f>FALSE()</f>
        <v>0</v>
      </c>
      <c r="S822" s="17" t="str">
        <f t="shared" si="12"/>
        <v>N/A</v>
      </c>
      <c r="T822">
        <f>COUNTIF('👤 Customers'!$A:$A, B822)</f>
        <v>1</v>
      </c>
      <c r="U822">
        <f>COUNTIF('🚴 Riders'!A821:A881, C822)</f>
        <v>0</v>
      </c>
      <c r="V822">
        <f>COUNTIF('🏭 Facilities'!A821:A829, D822)</f>
        <v>0</v>
      </c>
    </row>
    <row r="823" spans="1:22">
      <c r="A823" s="18" t="s">
        <v>2242</v>
      </c>
      <c r="B823" s="18" t="s">
        <v>1219</v>
      </c>
      <c r="C823" s="18" t="s">
        <v>461</v>
      </c>
      <c r="D823" s="18" t="s">
        <v>123</v>
      </c>
      <c r="E823" s="26">
        <v>45123</v>
      </c>
      <c r="F823" s="18" t="s">
        <v>2243</v>
      </c>
      <c r="G823" s="18" t="s">
        <v>117</v>
      </c>
      <c r="H823" s="18">
        <v>6.7</v>
      </c>
      <c r="I823" s="18">
        <v>149</v>
      </c>
      <c r="J823" s="18">
        <v>0</v>
      </c>
      <c r="K823" s="18">
        <v>998.3</v>
      </c>
      <c r="L823" s="18" t="s">
        <v>207</v>
      </c>
      <c r="M823" s="18" t="s">
        <v>119</v>
      </c>
      <c r="N823" s="28">
        <v>45123.970833333333</v>
      </c>
      <c r="O823" s="28">
        <v>45124.87777777778</v>
      </c>
      <c r="P823" s="18">
        <v>3</v>
      </c>
      <c r="Q823" s="18" t="b">
        <f>FALSE()</f>
        <v>0</v>
      </c>
      <c r="R823" s="18" t="b">
        <f>FALSE()</f>
        <v>0</v>
      </c>
      <c r="S823" s="19">
        <f t="shared" si="12"/>
        <v>21.8</v>
      </c>
      <c r="T823">
        <f>COUNTIF('👤 Customers'!$A:$A, B823)</f>
        <v>1</v>
      </c>
      <c r="U823">
        <f>COUNTIF('🚴 Riders'!A822:A882, C823)</f>
        <v>0</v>
      </c>
      <c r="V823">
        <f>COUNTIF('🏭 Facilities'!A822:A830, D823)</f>
        <v>0</v>
      </c>
    </row>
    <row r="824" spans="1:22">
      <c r="A824" s="16" t="s">
        <v>2244</v>
      </c>
      <c r="B824" s="16" t="s">
        <v>827</v>
      </c>
      <c r="C824" s="16" t="s">
        <v>339</v>
      </c>
      <c r="D824" s="16" t="s">
        <v>130</v>
      </c>
      <c r="E824" s="25">
        <v>45177</v>
      </c>
      <c r="F824" s="16" t="s">
        <v>2245</v>
      </c>
      <c r="G824" s="16" t="s">
        <v>145</v>
      </c>
      <c r="H824" s="16">
        <v>6.3</v>
      </c>
      <c r="I824" s="16">
        <v>299</v>
      </c>
      <c r="J824" s="16">
        <v>10</v>
      </c>
      <c r="K824" s="16">
        <v>1695.33</v>
      </c>
      <c r="L824" s="16" t="s">
        <v>118</v>
      </c>
      <c r="M824" s="16" t="s">
        <v>119</v>
      </c>
      <c r="N824" s="27">
        <v>45177.15625</v>
      </c>
      <c r="O824" s="27">
        <v>45178.118055555555</v>
      </c>
      <c r="P824" s="16">
        <v>4.5999999999999996</v>
      </c>
      <c r="Q824" s="16" t="b">
        <f>TRUE()</f>
        <v>1</v>
      </c>
      <c r="R824" s="16" t="b">
        <f>FALSE()</f>
        <v>0</v>
      </c>
      <c r="S824" s="17">
        <f t="shared" si="12"/>
        <v>23.1</v>
      </c>
      <c r="T824">
        <f>COUNTIF('👤 Customers'!$A:$A, B824)</f>
        <v>1</v>
      </c>
      <c r="U824">
        <f>COUNTIF('🚴 Riders'!A823:A883, C824)</f>
        <v>0</v>
      </c>
      <c r="V824">
        <f>COUNTIF('🏭 Facilities'!A823:A831, D824)</f>
        <v>0</v>
      </c>
    </row>
    <row r="825" spans="1:22">
      <c r="A825" s="18" t="s">
        <v>2246</v>
      </c>
      <c r="B825" s="18" t="s">
        <v>2247</v>
      </c>
      <c r="C825" s="18" t="s">
        <v>265</v>
      </c>
      <c r="D825" s="18" t="s">
        <v>205</v>
      </c>
      <c r="E825" s="26">
        <v>45423</v>
      </c>
      <c r="F825" s="18" t="s">
        <v>2248</v>
      </c>
      <c r="G825" s="18" t="s">
        <v>145</v>
      </c>
      <c r="H825" s="18">
        <v>3.2</v>
      </c>
      <c r="I825" s="18">
        <v>299</v>
      </c>
      <c r="J825" s="18">
        <v>0</v>
      </c>
      <c r="K825" s="18">
        <v>956.8</v>
      </c>
      <c r="L825" s="18" t="s">
        <v>139</v>
      </c>
      <c r="M825" s="18" t="s">
        <v>119</v>
      </c>
      <c r="N825" s="28">
        <v>45423.807638888888</v>
      </c>
      <c r="O825" s="28">
        <v>45424.322222222225</v>
      </c>
      <c r="P825" s="18">
        <v>4.7</v>
      </c>
      <c r="Q825" s="18" t="b">
        <f>FALSE()</f>
        <v>0</v>
      </c>
      <c r="R825" s="18" t="b">
        <f>FALSE()</f>
        <v>0</v>
      </c>
      <c r="S825" s="19">
        <f t="shared" si="12"/>
        <v>12.4</v>
      </c>
      <c r="T825">
        <f>COUNTIF('👤 Customers'!$A:$A, B825)</f>
        <v>1</v>
      </c>
      <c r="U825">
        <f>COUNTIF('🚴 Riders'!A824:A884, C825)</f>
        <v>0</v>
      </c>
      <c r="V825">
        <f>COUNTIF('🏭 Facilities'!A824:A832, D825)</f>
        <v>0</v>
      </c>
    </row>
    <row r="826" spans="1:22">
      <c r="A826" s="16" t="s">
        <v>2249</v>
      </c>
      <c r="B826" s="16" t="s">
        <v>212</v>
      </c>
      <c r="C826" s="16" t="s">
        <v>536</v>
      </c>
      <c r="D826" s="16" t="s">
        <v>158</v>
      </c>
      <c r="E826" s="25">
        <v>45177</v>
      </c>
      <c r="F826" s="16" t="s">
        <v>2250</v>
      </c>
      <c r="G826" s="16" t="s">
        <v>125</v>
      </c>
      <c r="H826" s="16">
        <v>1.8</v>
      </c>
      <c r="I826" s="16">
        <v>199</v>
      </c>
      <c r="J826" s="16">
        <v>0</v>
      </c>
      <c r="K826" s="16">
        <v>358.2</v>
      </c>
      <c r="L826" s="16" t="s">
        <v>146</v>
      </c>
      <c r="M826" s="16" t="s">
        <v>133</v>
      </c>
      <c r="N826" s="20"/>
      <c r="O826" s="20"/>
      <c r="P826" s="20"/>
      <c r="Q826" s="16" t="b">
        <f>FALSE()</f>
        <v>0</v>
      </c>
      <c r="R826" s="16" t="b">
        <f>TRUE()</f>
        <v>1</v>
      </c>
      <c r="S826" s="17" t="str">
        <f t="shared" si="12"/>
        <v>N/A</v>
      </c>
      <c r="T826">
        <f>COUNTIF('👤 Customers'!$A:$A, B826)</f>
        <v>1</v>
      </c>
      <c r="U826">
        <f>COUNTIF('🚴 Riders'!A825:A885, C826)</f>
        <v>0</v>
      </c>
      <c r="V826">
        <f>COUNTIF('🏭 Facilities'!A825:A833, D826)</f>
        <v>0</v>
      </c>
    </row>
    <row r="827" spans="1:22">
      <c r="A827" s="18" t="s">
        <v>2251</v>
      </c>
      <c r="B827" s="18" t="s">
        <v>1423</v>
      </c>
      <c r="C827" s="18" t="s">
        <v>170</v>
      </c>
      <c r="D827" s="18" t="s">
        <v>158</v>
      </c>
      <c r="E827" s="26">
        <v>44997</v>
      </c>
      <c r="F827" s="18" t="s">
        <v>2252</v>
      </c>
      <c r="G827" s="18" t="s">
        <v>176</v>
      </c>
      <c r="H827" s="18">
        <v>7.4</v>
      </c>
      <c r="I827" s="18">
        <v>599</v>
      </c>
      <c r="J827" s="18">
        <v>10</v>
      </c>
      <c r="K827" s="18">
        <v>3989.34</v>
      </c>
      <c r="L827" s="18" t="s">
        <v>126</v>
      </c>
      <c r="M827" s="18" t="s">
        <v>119</v>
      </c>
      <c r="N827" s="28">
        <v>44997.368055555555</v>
      </c>
      <c r="O827" s="28">
        <v>44997.944444444445</v>
      </c>
      <c r="P827" s="18">
        <v>4.5999999999999996</v>
      </c>
      <c r="Q827" s="18" t="b">
        <f>FALSE()</f>
        <v>0</v>
      </c>
      <c r="R827" s="18" t="b">
        <f>FALSE()</f>
        <v>0</v>
      </c>
      <c r="S827" s="19">
        <f t="shared" si="12"/>
        <v>13.8</v>
      </c>
      <c r="T827">
        <f>COUNTIF('👤 Customers'!$A:$A, B827)</f>
        <v>1</v>
      </c>
      <c r="U827">
        <f>COUNTIF('🚴 Riders'!A826:A886, C827)</f>
        <v>0</v>
      </c>
      <c r="V827">
        <f>COUNTIF('🏭 Facilities'!A826:A834, D827)</f>
        <v>0</v>
      </c>
    </row>
    <row r="828" spans="1:22">
      <c r="A828" s="16" t="s">
        <v>2253</v>
      </c>
      <c r="B828" s="16" t="s">
        <v>1557</v>
      </c>
      <c r="C828" s="16" t="s">
        <v>842</v>
      </c>
      <c r="D828" s="16" t="s">
        <v>123</v>
      </c>
      <c r="E828" s="25">
        <v>45547</v>
      </c>
      <c r="F828" s="16" t="s">
        <v>2254</v>
      </c>
      <c r="G828" s="16" t="s">
        <v>117</v>
      </c>
      <c r="H828" s="16">
        <v>5.3</v>
      </c>
      <c r="I828" s="16">
        <v>149</v>
      </c>
      <c r="J828" s="16">
        <v>30</v>
      </c>
      <c r="K828" s="16">
        <v>552.79</v>
      </c>
      <c r="L828" s="16" t="s">
        <v>126</v>
      </c>
      <c r="M828" s="16" t="s">
        <v>119</v>
      </c>
      <c r="N828" s="27">
        <v>45547.369444444441</v>
      </c>
      <c r="O828" s="27">
        <v>45547.996527777781</v>
      </c>
      <c r="P828" s="16">
        <v>3.7</v>
      </c>
      <c r="Q828" s="16" t="b">
        <f>FALSE()</f>
        <v>0</v>
      </c>
      <c r="R828" s="16" t="b">
        <f>FALSE()</f>
        <v>0</v>
      </c>
      <c r="S828" s="17">
        <f t="shared" si="12"/>
        <v>15.1</v>
      </c>
      <c r="T828">
        <f>COUNTIF('👤 Customers'!$A:$A, B828)</f>
        <v>1</v>
      </c>
      <c r="U828">
        <f>COUNTIF('🚴 Riders'!A827:A887, C828)</f>
        <v>0</v>
      </c>
      <c r="V828">
        <f>COUNTIF('🏭 Facilities'!A827:A835, D828)</f>
        <v>0</v>
      </c>
    </row>
    <row r="829" spans="1:22">
      <c r="A829" s="18" t="s">
        <v>2255</v>
      </c>
      <c r="B829" s="18" t="s">
        <v>925</v>
      </c>
      <c r="C829" s="18" t="s">
        <v>213</v>
      </c>
      <c r="D829" s="18" t="s">
        <v>115</v>
      </c>
      <c r="E829" s="26">
        <v>45117</v>
      </c>
      <c r="F829" s="18" t="s">
        <v>2256</v>
      </c>
      <c r="G829" s="18" t="s">
        <v>132</v>
      </c>
      <c r="H829" s="18">
        <v>4.0999999999999996</v>
      </c>
      <c r="I829" s="18">
        <v>399</v>
      </c>
      <c r="J829" s="18">
        <v>20</v>
      </c>
      <c r="K829" s="18">
        <v>1308.72</v>
      </c>
      <c r="L829" s="18" t="s">
        <v>139</v>
      </c>
      <c r="M829" s="18" t="s">
        <v>119</v>
      </c>
      <c r="N829" s="28">
        <v>45117.592361111114</v>
      </c>
      <c r="O829" s="28">
        <v>45118.068749999999</v>
      </c>
      <c r="P829" s="18">
        <v>3.9</v>
      </c>
      <c r="Q829" s="18" t="b">
        <f>FALSE()</f>
        <v>0</v>
      </c>
      <c r="R829" s="18" t="b">
        <f>TRUE()</f>
        <v>1</v>
      </c>
      <c r="S829" s="19">
        <f t="shared" si="12"/>
        <v>11.4</v>
      </c>
      <c r="T829">
        <f>COUNTIF('👤 Customers'!$A:$A, B829)</f>
        <v>1</v>
      </c>
      <c r="U829">
        <f>COUNTIF('🚴 Riders'!A828:A888, C829)</f>
        <v>0</v>
      </c>
      <c r="V829">
        <f>COUNTIF('🏭 Facilities'!A828:A836, D829)</f>
        <v>0</v>
      </c>
    </row>
    <row r="830" spans="1:22">
      <c r="A830" s="16" t="s">
        <v>2257</v>
      </c>
      <c r="B830" s="16" t="s">
        <v>759</v>
      </c>
      <c r="C830" s="16" t="s">
        <v>326</v>
      </c>
      <c r="D830" s="16" t="s">
        <v>123</v>
      </c>
      <c r="E830" s="25">
        <v>45071</v>
      </c>
      <c r="F830" s="16" t="s">
        <v>2258</v>
      </c>
      <c r="G830" s="16" t="s">
        <v>176</v>
      </c>
      <c r="H830" s="16">
        <v>5.0999999999999996</v>
      </c>
      <c r="I830" s="16">
        <v>599</v>
      </c>
      <c r="J830" s="16">
        <v>10</v>
      </c>
      <c r="K830" s="16">
        <v>2749.41</v>
      </c>
      <c r="L830" s="16" t="s">
        <v>139</v>
      </c>
      <c r="M830" s="16" t="s">
        <v>119</v>
      </c>
      <c r="N830" s="27">
        <v>45071.645138888889</v>
      </c>
      <c r="O830" s="27">
        <v>45072.548611111109</v>
      </c>
      <c r="P830" s="16">
        <v>3.4</v>
      </c>
      <c r="Q830" s="16" t="b">
        <f>FALSE()</f>
        <v>0</v>
      </c>
      <c r="R830" s="16" t="b">
        <f>FALSE()</f>
        <v>0</v>
      </c>
      <c r="S830" s="17">
        <f t="shared" si="12"/>
        <v>21.7</v>
      </c>
      <c r="T830">
        <f>COUNTIF('👤 Customers'!$A:$A, B830)</f>
        <v>1</v>
      </c>
      <c r="U830">
        <f>COUNTIF('🚴 Riders'!A829:A889, C830)</f>
        <v>0</v>
      </c>
      <c r="V830">
        <f>COUNTIF('🏭 Facilities'!A829:A837, D830)</f>
        <v>0</v>
      </c>
    </row>
    <row r="831" spans="1:22">
      <c r="A831" s="18" t="s">
        <v>2259</v>
      </c>
      <c r="B831" s="18" t="s">
        <v>1416</v>
      </c>
      <c r="C831" s="18" t="s">
        <v>339</v>
      </c>
      <c r="D831" s="18" t="s">
        <v>137</v>
      </c>
      <c r="E831" s="26">
        <v>45175</v>
      </c>
      <c r="F831" s="18" t="s">
        <v>2260</v>
      </c>
      <c r="G831" s="18" t="s">
        <v>176</v>
      </c>
      <c r="H831" s="18">
        <v>3.5</v>
      </c>
      <c r="I831" s="18">
        <v>599</v>
      </c>
      <c r="J831" s="18">
        <v>30</v>
      </c>
      <c r="K831" s="18">
        <v>1467.55</v>
      </c>
      <c r="L831" s="18" t="s">
        <v>126</v>
      </c>
      <c r="M831" s="18" t="s">
        <v>119</v>
      </c>
      <c r="N831" s="28">
        <v>45175.738888888889</v>
      </c>
      <c r="O831" s="28">
        <v>45176.709722222222</v>
      </c>
      <c r="P831" s="18">
        <v>5</v>
      </c>
      <c r="Q831" s="18" t="b">
        <f>FALSE()</f>
        <v>0</v>
      </c>
      <c r="R831" s="18" t="b">
        <f>FALSE()</f>
        <v>0</v>
      </c>
      <c r="S831" s="19">
        <f t="shared" si="12"/>
        <v>23.3</v>
      </c>
      <c r="T831">
        <f>COUNTIF('👤 Customers'!$A:$A, B831)</f>
        <v>1</v>
      </c>
      <c r="U831">
        <f>COUNTIF('🚴 Riders'!A830:A890, C831)</f>
        <v>0</v>
      </c>
      <c r="V831">
        <f>COUNTIF('🏭 Facilities'!A830:A838, D831)</f>
        <v>0</v>
      </c>
    </row>
    <row r="832" spans="1:22">
      <c r="A832" s="16" t="s">
        <v>2261</v>
      </c>
      <c r="B832" s="16" t="s">
        <v>2262</v>
      </c>
      <c r="C832" s="16" t="s">
        <v>136</v>
      </c>
      <c r="D832" s="16" t="s">
        <v>130</v>
      </c>
      <c r="E832" s="25">
        <v>45296</v>
      </c>
      <c r="F832" s="16" t="s">
        <v>2263</v>
      </c>
      <c r="G832" s="16" t="s">
        <v>176</v>
      </c>
      <c r="H832" s="16">
        <v>3.2</v>
      </c>
      <c r="I832" s="16">
        <v>599</v>
      </c>
      <c r="J832" s="16">
        <v>20</v>
      </c>
      <c r="K832" s="16">
        <v>1533.44</v>
      </c>
      <c r="L832" s="16" t="s">
        <v>139</v>
      </c>
      <c r="M832" s="16" t="s">
        <v>133</v>
      </c>
      <c r="N832" s="20"/>
      <c r="O832" s="20"/>
      <c r="P832" s="20"/>
      <c r="Q832" s="16" t="b">
        <f>FALSE()</f>
        <v>0</v>
      </c>
      <c r="R832" s="16" t="b">
        <f>FALSE()</f>
        <v>0</v>
      </c>
      <c r="S832" s="17" t="str">
        <f t="shared" si="12"/>
        <v>N/A</v>
      </c>
      <c r="T832">
        <f>COUNTIF('👤 Customers'!$A:$A, B832)</f>
        <v>1</v>
      </c>
      <c r="U832">
        <f>COUNTIF('🚴 Riders'!A831:A891, C832)</f>
        <v>0</v>
      </c>
      <c r="V832">
        <f>COUNTIF('🏭 Facilities'!A831:A839, D832)</f>
        <v>0</v>
      </c>
    </row>
    <row r="833" spans="1:22">
      <c r="A833" s="18" t="s">
        <v>2264</v>
      </c>
      <c r="B833" s="18" t="s">
        <v>2265</v>
      </c>
      <c r="C833" s="18" t="s">
        <v>143</v>
      </c>
      <c r="D833" s="18" t="s">
        <v>184</v>
      </c>
      <c r="E833" s="26">
        <v>45284</v>
      </c>
      <c r="F833" s="18" t="s">
        <v>2266</v>
      </c>
      <c r="G833" s="18" t="s">
        <v>176</v>
      </c>
      <c r="H833" s="18">
        <v>4.0999999999999996</v>
      </c>
      <c r="I833" s="18">
        <v>599</v>
      </c>
      <c r="J833" s="18">
        <v>0</v>
      </c>
      <c r="K833" s="18">
        <v>2455.9</v>
      </c>
      <c r="L833" s="18" t="s">
        <v>118</v>
      </c>
      <c r="M833" s="18" t="s">
        <v>119</v>
      </c>
      <c r="N833" s="28">
        <v>45284.637499999997</v>
      </c>
      <c r="O833" s="28">
        <v>45285.104166666664</v>
      </c>
      <c r="P833" s="18">
        <v>3.7</v>
      </c>
      <c r="Q833" s="18" t="b">
        <f>FALSE()</f>
        <v>0</v>
      </c>
      <c r="R833" s="18" t="b">
        <f>TRUE()</f>
        <v>1</v>
      </c>
      <c r="S833" s="19">
        <f t="shared" si="12"/>
        <v>11.2</v>
      </c>
      <c r="T833">
        <f>COUNTIF('👤 Customers'!$A:$A, B833)</f>
        <v>1</v>
      </c>
      <c r="U833">
        <f>COUNTIF('🚴 Riders'!A832:A892, C833)</f>
        <v>0</v>
      </c>
      <c r="V833">
        <f>COUNTIF('🏭 Facilities'!A832:A840, D833)</f>
        <v>0</v>
      </c>
    </row>
    <row r="834" spans="1:22">
      <c r="A834" s="16" t="s">
        <v>2267</v>
      </c>
      <c r="B834" s="16" t="s">
        <v>268</v>
      </c>
      <c r="C834" s="16" t="s">
        <v>247</v>
      </c>
      <c r="D834" s="16" t="s">
        <v>137</v>
      </c>
      <c r="E834" s="25">
        <v>45202</v>
      </c>
      <c r="F834" s="16" t="s">
        <v>2268</v>
      </c>
      <c r="G834" s="16" t="s">
        <v>125</v>
      </c>
      <c r="H834" s="16">
        <v>7.7</v>
      </c>
      <c r="I834" s="16">
        <v>199</v>
      </c>
      <c r="J834" s="16">
        <v>0</v>
      </c>
      <c r="K834" s="16">
        <v>1532.3</v>
      </c>
      <c r="L834" s="16" t="s">
        <v>139</v>
      </c>
      <c r="M834" s="16" t="s">
        <v>119</v>
      </c>
      <c r="N834" s="27">
        <v>45202.438888888886</v>
      </c>
      <c r="O834" s="27">
        <v>45203.335416666669</v>
      </c>
      <c r="P834" s="16">
        <v>3</v>
      </c>
      <c r="Q834" s="16" t="b">
        <f>FALSE()</f>
        <v>0</v>
      </c>
      <c r="R834" s="16" t="b">
        <f>FALSE()</f>
        <v>0</v>
      </c>
      <c r="S834" s="17">
        <f t="shared" ref="S834:S897" si="13">IF(OR(N834="",O834=""),"N/A",ROUND(((O834-N834)*24),1))</f>
        <v>21.5</v>
      </c>
      <c r="T834">
        <f>COUNTIF('👤 Customers'!$A:$A, B834)</f>
        <v>1</v>
      </c>
      <c r="U834">
        <f>COUNTIF('🚴 Riders'!A833:A893, C834)</f>
        <v>0</v>
      </c>
      <c r="V834">
        <f>COUNTIF('🏭 Facilities'!A833:A841, D834)</f>
        <v>0</v>
      </c>
    </row>
    <row r="835" spans="1:22">
      <c r="A835" s="18" t="s">
        <v>2269</v>
      </c>
      <c r="B835" s="18" t="s">
        <v>1252</v>
      </c>
      <c r="C835" s="18" t="s">
        <v>220</v>
      </c>
      <c r="D835" s="18" t="s">
        <v>205</v>
      </c>
      <c r="E835" s="26">
        <v>45451</v>
      </c>
      <c r="F835" s="18" t="s">
        <v>2270</v>
      </c>
      <c r="G835" s="18" t="s">
        <v>117</v>
      </c>
      <c r="H835" s="18">
        <v>3.3</v>
      </c>
      <c r="I835" s="18">
        <v>149</v>
      </c>
      <c r="J835" s="18">
        <v>0</v>
      </c>
      <c r="K835" s="18">
        <v>491.7</v>
      </c>
      <c r="L835" s="18" t="s">
        <v>126</v>
      </c>
      <c r="M835" s="18" t="s">
        <v>133</v>
      </c>
      <c r="N835" s="20"/>
      <c r="O835" s="20"/>
      <c r="P835" s="20"/>
      <c r="Q835" s="18" t="b">
        <f>FALSE()</f>
        <v>0</v>
      </c>
      <c r="R835" s="18" t="b">
        <f>TRUE()</f>
        <v>1</v>
      </c>
      <c r="S835" s="19" t="str">
        <f t="shared" si="13"/>
        <v>N/A</v>
      </c>
      <c r="T835">
        <f>COUNTIF('👤 Customers'!$A:$A, B835)</f>
        <v>1</v>
      </c>
      <c r="U835">
        <f>COUNTIF('🚴 Riders'!A834:A894, C835)</f>
        <v>0</v>
      </c>
      <c r="V835">
        <f>COUNTIF('🏭 Facilities'!A834:A842, D835)</f>
        <v>0</v>
      </c>
    </row>
    <row r="836" spans="1:22">
      <c r="A836" s="16" t="s">
        <v>2271</v>
      </c>
      <c r="B836" s="16" t="s">
        <v>574</v>
      </c>
      <c r="C836" s="16" t="s">
        <v>232</v>
      </c>
      <c r="D836" s="16" t="s">
        <v>130</v>
      </c>
      <c r="E836" s="25">
        <v>45513</v>
      </c>
      <c r="F836" s="16" t="s">
        <v>2272</v>
      </c>
      <c r="G836" s="16" t="s">
        <v>117</v>
      </c>
      <c r="H836" s="16">
        <v>5.0999999999999996</v>
      </c>
      <c r="I836" s="16">
        <v>149</v>
      </c>
      <c r="J836" s="16">
        <v>10</v>
      </c>
      <c r="K836" s="16">
        <v>683.91</v>
      </c>
      <c r="L836" s="16" t="s">
        <v>146</v>
      </c>
      <c r="M836" s="16" t="s">
        <v>119</v>
      </c>
      <c r="N836" s="27">
        <v>45513.121527777781</v>
      </c>
      <c r="O836" s="27">
        <v>45513.870833333334</v>
      </c>
      <c r="P836" s="16">
        <v>4.4000000000000004</v>
      </c>
      <c r="Q836" s="16" t="b">
        <f>FALSE()</f>
        <v>0</v>
      </c>
      <c r="R836" s="16" t="b">
        <f>FALSE()</f>
        <v>0</v>
      </c>
      <c r="S836" s="17">
        <f t="shared" si="13"/>
        <v>18</v>
      </c>
      <c r="T836">
        <f>COUNTIF('👤 Customers'!$A:$A, B836)</f>
        <v>1</v>
      </c>
      <c r="U836">
        <f>COUNTIF('🚴 Riders'!A835:A895, C836)</f>
        <v>0</v>
      </c>
      <c r="V836">
        <f>COUNTIF('🏭 Facilities'!A835:A843, D836)</f>
        <v>0</v>
      </c>
    </row>
    <row r="837" spans="1:22">
      <c r="A837" s="18" t="s">
        <v>2273</v>
      </c>
      <c r="B837" s="18" t="s">
        <v>878</v>
      </c>
      <c r="C837" s="18" t="s">
        <v>326</v>
      </c>
      <c r="D837" s="18" t="s">
        <v>158</v>
      </c>
      <c r="E837" s="26">
        <v>44949</v>
      </c>
      <c r="F837" s="18" t="s">
        <v>2274</v>
      </c>
      <c r="G837" s="18" t="s">
        <v>145</v>
      </c>
      <c r="H837" s="18">
        <v>6.1</v>
      </c>
      <c r="I837" s="18">
        <v>299</v>
      </c>
      <c r="J837" s="18">
        <v>0</v>
      </c>
      <c r="K837" s="18">
        <v>1823.9</v>
      </c>
      <c r="L837" s="18" t="s">
        <v>139</v>
      </c>
      <c r="M837" s="18" t="s">
        <v>119</v>
      </c>
      <c r="N837" s="28">
        <v>44950.061805555553</v>
      </c>
      <c r="O837" s="28">
        <v>44950.863194444442</v>
      </c>
      <c r="P837" s="18">
        <v>4.2</v>
      </c>
      <c r="Q837" s="18" t="b">
        <f>TRUE()</f>
        <v>1</v>
      </c>
      <c r="R837" s="18" t="b">
        <f>FALSE()</f>
        <v>0</v>
      </c>
      <c r="S837" s="19">
        <f t="shared" si="13"/>
        <v>19.2</v>
      </c>
      <c r="T837">
        <f>COUNTIF('👤 Customers'!$A:$A, B837)</f>
        <v>1</v>
      </c>
      <c r="U837">
        <f>COUNTIF('🚴 Riders'!A836:A896, C837)</f>
        <v>0</v>
      </c>
      <c r="V837">
        <f>COUNTIF('🏭 Facilities'!A836:A844, D837)</f>
        <v>0</v>
      </c>
    </row>
    <row r="838" spans="1:22">
      <c r="A838" s="16" t="s">
        <v>2275</v>
      </c>
      <c r="B838" s="16" t="s">
        <v>2164</v>
      </c>
      <c r="C838" s="16" t="s">
        <v>265</v>
      </c>
      <c r="D838" s="16" t="s">
        <v>197</v>
      </c>
      <c r="E838" s="25">
        <v>45001</v>
      </c>
      <c r="F838" s="16" t="s">
        <v>2276</v>
      </c>
      <c r="G838" s="16" t="s">
        <v>117</v>
      </c>
      <c r="H838" s="16">
        <v>3.5</v>
      </c>
      <c r="I838" s="16">
        <v>149</v>
      </c>
      <c r="J838" s="16">
        <v>10</v>
      </c>
      <c r="K838" s="16">
        <v>469.35</v>
      </c>
      <c r="L838" s="16" t="s">
        <v>118</v>
      </c>
      <c r="M838" s="16" t="s">
        <v>119</v>
      </c>
      <c r="N838" s="27">
        <v>45001.552777777775</v>
      </c>
      <c r="O838" s="27">
        <v>45002.015972222223</v>
      </c>
      <c r="P838" s="16">
        <v>3.6</v>
      </c>
      <c r="Q838" s="16" t="b">
        <f>TRUE()</f>
        <v>1</v>
      </c>
      <c r="R838" s="16" t="b">
        <f>FALSE()</f>
        <v>0</v>
      </c>
      <c r="S838" s="17">
        <f t="shared" si="13"/>
        <v>11.1</v>
      </c>
      <c r="T838">
        <f>COUNTIF('👤 Customers'!$A:$A, B838)</f>
        <v>1</v>
      </c>
      <c r="U838">
        <f>COUNTIF('🚴 Riders'!A837:A897, C838)</f>
        <v>0</v>
      </c>
      <c r="V838">
        <f>COUNTIF('🏭 Facilities'!A837:A845, D838)</f>
        <v>0</v>
      </c>
    </row>
    <row r="839" spans="1:22">
      <c r="A839" s="18" t="s">
        <v>2277</v>
      </c>
      <c r="B839" s="18" t="s">
        <v>2167</v>
      </c>
      <c r="C839" s="18" t="s">
        <v>304</v>
      </c>
      <c r="D839" s="18" t="s">
        <v>184</v>
      </c>
      <c r="E839" s="26">
        <v>45609</v>
      </c>
      <c r="F839" s="18" t="s">
        <v>2278</v>
      </c>
      <c r="G839" s="18" t="s">
        <v>176</v>
      </c>
      <c r="H839" s="18">
        <v>1.4</v>
      </c>
      <c r="I839" s="18">
        <v>599</v>
      </c>
      <c r="J839" s="18">
        <v>0</v>
      </c>
      <c r="K839" s="18">
        <v>838.6</v>
      </c>
      <c r="L839" s="18" t="s">
        <v>118</v>
      </c>
      <c r="M839" s="18" t="s">
        <v>140</v>
      </c>
      <c r="N839" s="28">
        <v>45610.048611111109</v>
      </c>
      <c r="O839" s="28">
        <v>45610.546527777777</v>
      </c>
      <c r="P839" s="20"/>
      <c r="Q839" s="18" t="b">
        <f>FALSE()</f>
        <v>0</v>
      </c>
      <c r="R839" s="18" t="b">
        <f>TRUE()</f>
        <v>1</v>
      </c>
      <c r="S839" s="19">
        <f t="shared" si="13"/>
        <v>12</v>
      </c>
      <c r="T839">
        <f>COUNTIF('👤 Customers'!$A:$A, B839)</f>
        <v>1</v>
      </c>
      <c r="U839">
        <f>COUNTIF('🚴 Riders'!A838:A898, C839)</f>
        <v>0</v>
      </c>
      <c r="V839">
        <f>COUNTIF('🏭 Facilities'!A838:A846, D839)</f>
        <v>0</v>
      </c>
    </row>
    <row r="840" spans="1:22">
      <c r="A840" s="16" t="s">
        <v>2279</v>
      </c>
      <c r="B840" s="16" t="s">
        <v>1207</v>
      </c>
      <c r="C840" s="16" t="s">
        <v>265</v>
      </c>
      <c r="D840" s="16" t="s">
        <v>197</v>
      </c>
      <c r="E840" s="25">
        <v>45630</v>
      </c>
      <c r="F840" s="16" t="s">
        <v>2280</v>
      </c>
      <c r="G840" s="16" t="s">
        <v>176</v>
      </c>
      <c r="H840" s="16">
        <v>4.9000000000000004</v>
      </c>
      <c r="I840" s="16">
        <v>599</v>
      </c>
      <c r="J840" s="16">
        <v>20</v>
      </c>
      <c r="K840" s="16">
        <v>2348.08</v>
      </c>
      <c r="L840" s="16" t="s">
        <v>207</v>
      </c>
      <c r="M840" s="16" t="s">
        <v>119</v>
      </c>
      <c r="N840" s="27">
        <v>45630.095138888886</v>
      </c>
      <c r="O840" s="27">
        <v>45630.867361111108</v>
      </c>
      <c r="P840" s="16">
        <v>4</v>
      </c>
      <c r="Q840" s="16" t="b">
        <f>FALSE()</f>
        <v>0</v>
      </c>
      <c r="R840" s="16" t="b">
        <f>FALSE()</f>
        <v>0</v>
      </c>
      <c r="S840" s="17">
        <f t="shared" si="13"/>
        <v>18.5</v>
      </c>
      <c r="T840">
        <f>COUNTIF('👤 Customers'!$A:$A, B840)</f>
        <v>1</v>
      </c>
      <c r="U840">
        <f>COUNTIF('🚴 Riders'!A839:A899, C840)</f>
        <v>0</v>
      </c>
      <c r="V840">
        <f>COUNTIF('🏭 Facilities'!A839:A847, D840)</f>
        <v>0</v>
      </c>
    </row>
    <row r="841" spans="1:22">
      <c r="A841" s="18" t="s">
        <v>2281</v>
      </c>
      <c r="B841" s="18" t="s">
        <v>1155</v>
      </c>
      <c r="C841" s="18" t="s">
        <v>272</v>
      </c>
      <c r="D841" s="18" t="s">
        <v>197</v>
      </c>
      <c r="E841" s="26">
        <v>45475</v>
      </c>
      <c r="F841" s="18" t="s">
        <v>2282</v>
      </c>
      <c r="G841" s="18" t="s">
        <v>132</v>
      </c>
      <c r="H841" s="18">
        <v>4.5999999999999996</v>
      </c>
      <c r="I841" s="18">
        <v>399</v>
      </c>
      <c r="J841" s="18">
        <v>20</v>
      </c>
      <c r="K841" s="18">
        <v>1468.32</v>
      </c>
      <c r="L841" s="18" t="s">
        <v>118</v>
      </c>
      <c r="M841" s="18" t="s">
        <v>119</v>
      </c>
      <c r="N841" s="28">
        <v>45475.677083333336</v>
      </c>
      <c r="O841" s="28">
        <v>45476.042361111111</v>
      </c>
      <c r="P841" s="18">
        <v>4.8</v>
      </c>
      <c r="Q841" s="18" t="b">
        <f>TRUE()</f>
        <v>1</v>
      </c>
      <c r="R841" s="18" t="b">
        <f>FALSE()</f>
        <v>0</v>
      </c>
      <c r="S841" s="19">
        <f t="shared" si="13"/>
        <v>8.8000000000000007</v>
      </c>
      <c r="T841">
        <f>COUNTIF('👤 Customers'!$A:$A, B841)</f>
        <v>1</v>
      </c>
      <c r="U841">
        <f>COUNTIF('🚴 Riders'!A840:A900, C841)</f>
        <v>0</v>
      </c>
      <c r="V841">
        <f>COUNTIF('🏭 Facilities'!A840:A848, D841)</f>
        <v>0</v>
      </c>
    </row>
    <row r="842" spans="1:22">
      <c r="A842" s="16" t="s">
        <v>2283</v>
      </c>
      <c r="B842" s="16" t="s">
        <v>1663</v>
      </c>
      <c r="C842" s="16" t="s">
        <v>251</v>
      </c>
      <c r="D842" s="16" t="s">
        <v>158</v>
      </c>
      <c r="E842" s="25">
        <v>45385</v>
      </c>
      <c r="F842" s="16" t="s">
        <v>2284</v>
      </c>
      <c r="G842" s="16" t="s">
        <v>176</v>
      </c>
      <c r="H842" s="16">
        <v>2.2000000000000002</v>
      </c>
      <c r="I842" s="16">
        <v>599</v>
      </c>
      <c r="J842" s="16">
        <v>0</v>
      </c>
      <c r="K842" s="16">
        <v>1317.8</v>
      </c>
      <c r="L842" s="16" t="s">
        <v>139</v>
      </c>
      <c r="M842" s="16" t="s">
        <v>119</v>
      </c>
      <c r="N842" s="27">
        <v>45385.457638888889</v>
      </c>
      <c r="O842" s="27">
        <v>45386.574305555558</v>
      </c>
      <c r="P842" s="16">
        <v>4.9000000000000004</v>
      </c>
      <c r="Q842" s="16" t="b">
        <f>FALSE()</f>
        <v>0</v>
      </c>
      <c r="R842" s="16" t="b">
        <f>TRUE()</f>
        <v>1</v>
      </c>
      <c r="S842" s="17">
        <f t="shared" si="13"/>
        <v>26.8</v>
      </c>
      <c r="T842">
        <f>COUNTIF('👤 Customers'!$A:$A, B842)</f>
        <v>1</v>
      </c>
      <c r="U842">
        <f>COUNTIF('🚴 Riders'!A841:A901, C842)</f>
        <v>0</v>
      </c>
      <c r="V842">
        <f>COUNTIF('🏭 Facilities'!A841:A849, D842)</f>
        <v>0</v>
      </c>
    </row>
    <row r="843" spans="1:22">
      <c r="A843" s="18" t="s">
        <v>2285</v>
      </c>
      <c r="B843" s="18" t="s">
        <v>2286</v>
      </c>
      <c r="C843" s="18" t="s">
        <v>170</v>
      </c>
      <c r="D843" s="18" t="s">
        <v>115</v>
      </c>
      <c r="E843" s="26">
        <v>45118</v>
      </c>
      <c r="F843" s="18" t="s">
        <v>2287</v>
      </c>
      <c r="G843" s="18" t="s">
        <v>117</v>
      </c>
      <c r="H843" s="18">
        <v>2</v>
      </c>
      <c r="I843" s="18">
        <v>149</v>
      </c>
      <c r="J843" s="18">
        <v>30</v>
      </c>
      <c r="K843" s="18">
        <v>208.6</v>
      </c>
      <c r="L843" s="18" t="s">
        <v>146</v>
      </c>
      <c r="M843" s="18" t="s">
        <v>119</v>
      </c>
      <c r="N843" s="28">
        <v>45118.294444444444</v>
      </c>
      <c r="O843" s="28">
        <v>45118.919444444444</v>
      </c>
      <c r="P843" s="18">
        <v>2.7</v>
      </c>
      <c r="Q843" s="18" t="b">
        <f>FALSE()</f>
        <v>0</v>
      </c>
      <c r="R843" s="18" t="b">
        <f>FALSE()</f>
        <v>0</v>
      </c>
      <c r="S843" s="19">
        <f t="shared" si="13"/>
        <v>15</v>
      </c>
      <c r="T843">
        <f>COUNTIF('👤 Customers'!$A:$A, B843)</f>
        <v>1</v>
      </c>
      <c r="U843">
        <f>COUNTIF('🚴 Riders'!A842:A902, C843)</f>
        <v>0</v>
      </c>
      <c r="V843">
        <f>COUNTIF('🏭 Facilities'!A842:A850, D843)</f>
        <v>0</v>
      </c>
    </row>
    <row r="844" spans="1:22">
      <c r="A844" s="16" t="s">
        <v>2288</v>
      </c>
      <c r="B844" s="16" t="s">
        <v>2289</v>
      </c>
      <c r="C844" s="16" t="s">
        <v>179</v>
      </c>
      <c r="D844" s="16" t="s">
        <v>115</v>
      </c>
      <c r="E844" s="25">
        <v>45175</v>
      </c>
      <c r="F844" s="16" t="s">
        <v>2290</v>
      </c>
      <c r="G844" s="16" t="s">
        <v>176</v>
      </c>
      <c r="H844" s="16">
        <v>4.9000000000000004</v>
      </c>
      <c r="I844" s="16">
        <v>599</v>
      </c>
      <c r="J844" s="16">
        <v>10</v>
      </c>
      <c r="K844" s="16">
        <v>2641.59</v>
      </c>
      <c r="L844" s="16" t="s">
        <v>207</v>
      </c>
      <c r="M844" s="16" t="s">
        <v>133</v>
      </c>
      <c r="N844" s="20"/>
      <c r="O844" s="20"/>
      <c r="P844" s="20"/>
      <c r="Q844" s="16" t="b">
        <f>FALSE()</f>
        <v>0</v>
      </c>
      <c r="R844" s="16" t="b">
        <f>FALSE()</f>
        <v>0</v>
      </c>
      <c r="S844" s="17" t="str">
        <f t="shared" si="13"/>
        <v>N/A</v>
      </c>
      <c r="T844">
        <f>COUNTIF('👤 Customers'!$A:$A, B844)</f>
        <v>1</v>
      </c>
      <c r="U844">
        <f>COUNTIF('🚴 Riders'!A843:A903, C844)</f>
        <v>0</v>
      </c>
      <c r="V844">
        <f>COUNTIF('🏭 Facilities'!A843:A851, D844)</f>
        <v>0</v>
      </c>
    </row>
    <row r="845" spans="1:22">
      <c r="A845" s="18" t="s">
        <v>2291</v>
      </c>
      <c r="B845" s="18" t="s">
        <v>1694</v>
      </c>
      <c r="C845" s="18" t="s">
        <v>236</v>
      </c>
      <c r="D845" s="18" t="s">
        <v>123</v>
      </c>
      <c r="E845" s="26">
        <v>45240</v>
      </c>
      <c r="F845" s="18" t="s">
        <v>2292</v>
      </c>
      <c r="G845" s="18" t="s">
        <v>145</v>
      </c>
      <c r="H845" s="18">
        <v>3.6</v>
      </c>
      <c r="I845" s="18">
        <v>299</v>
      </c>
      <c r="J845" s="18">
        <v>0</v>
      </c>
      <c r="K845" s="18">
        <v>1076.4000000000001</v>
      </c>
      <c r="L845" s="18" t="s">
        <v>126</v>
      </c>
      <c r="M845" s="18" t="s">
        <v>119</v>
      </c>
      <c r="N845" s="28">
        <v>45241.01666666667</v>
      </c>
      <c r="O845" s="28">
        <v>45241.779861111114</v>
      </c>
      <c r="P845" s="18">
        <v>3.8</v>
      </c>
      <c r="Q845" s="18" t="b">
        <f>TRUE()</f>
        <v>1</v>
      </c>
      <c r="R845" s="18" t="b">
        <f>FALSE()</f>
        <v>0</v>
      </c>
      <c r="S845" s="19">
        <f t="shared" si="13"/>
        <v>18.3</v>
      </c>
      <c r="T845">
        <f>COUNTIF('👤 Customers'!$A:$A, B845)</f>
        <v>1</v>
      </c>
      <c r="U845">
        <f>COUNTIF('🚴 Riders'!A844:A904, C845)</f>
        <v>0</v>
      </c>
      <c r="V845">
        <f>COUNTIF('🏭 Facilities'!A844:A852, D845)</f>
        <v>0</v>
      </c>
    </row>
    <row r="846" spans="1:22">
      <c r="A846" s="16" t="s">
        <v>2293</v>
      </c>
      <c r="B846" s="16" t="s">
        <v>200</v>
      </c>
      <c r="C846" s="16" t="s">
        <v>261</v>
      </c>
      <c r="D846" s="16" t="s">
        <v>158</v>
      </c>
      <c r="E846" s="25">
        <v>45165</v>
      </c>
      <c r="F846" s="16" t="s">
        <v>2294</v>
      </c>
      <c r="G846" s="16" t="s">
        <v>176</v>
      </c>
      <c r="H846" s="16">
        <v>6.2</v>
      </c>
      <c r="I846" s="16">
        <v>599</v>
      </c>
      <c r="J846" s="16">
        <v>0</v>
      </c>
      <c r="K846" s="16">
        <v>3713.8</v>
      </c>
      <c r="L846" s="16" t="s">
        <v>207</v>
      </c>
      <c r="M846" s="16" t="s">
        <v>119</v>
      </c>
      <c r="N846" s="27">
        <v>45165.661111111112</v>
      </c>
      <c r="O846" s="27">
        <v>45166.551388888889</v>
      </c>
      <c r="P846" s="16">
        <v>3.4</v>
      </c>
      <c r="Q846" s="16" t="b">
        <f>FALSE()</f>
        <v>0</v>
      </c>
      <c r="R846" s="16" t="b">
        <f>FALSE()</f>
        <v>0</v>
      </c>
      <c r="S846" s="17">
        <f t="shared" si="13"/>
        <v>21.4</v>
      </c>
      <c r="T846">
        <f>COUNTIF('👤 Customers'!$A:$A, B846)</f>
        <v>1</v>
      </c>
      <c r="U846">
        <f>COUNTIF('🚴 Riders'!A845:A905, C846)</f>
        <v>0</v>
      </c>
      <c r="V846">
        <f>COUNTIF('🏭 Facilities'!A845:A853, D846)</f>
        <v>0</v>
      </c>
    </row>
    <row r="847" spans="1:22">
      <c r="A847" s="18" t="s">
        <v>2295</v>
      </c>
      <c r="B847" s="18" t="s">
        <v>1048</v>
      </c>
      <c r="C847" s="18" t="s">
        <v>228</v>
      </c>
      <c r="D847" s="18" t="s">
        <v>115</v>
      </c>
      <c r="E847" s="26">
        <v>45458</v>
      </c>
      <c r="F847" s="18" t="s">
        <v>2296</v>
      </c>
      <c r="G847" s="18" t="s">
        <v>145</v>
      </c>
      <c r="H847" s="18">
        <v>6.2</v>
      </c>
      <c r="I847" s="18">
        <v>299</v>
      </c>
      <c r="J847" s="18">
        <v>0</v>
      </c>
      <c r="K847" s="18">
        <v>1853.8</v>
      </c>
      <c r="L847" s="18" t="s">
        <v>207</v>
      </c>
      <c r="M847" s="18" t="s">
        <v>119</v>
      </c>
      <c r="N847" s="28">
        <v>45458.501388888886</v>
      </c>
      <c r="O847" s="28">
        <v>45459.307638888888</v>
      </c>
      <c r="P847" s="18">
        <v>4.7</v>
      </c>
      <c r="Q847" s="18" t="b">
        <f>FALSE()</f>
        <v>0</v>
      </c>
      <c r="R847" s="18" t="b">
        <f>TRUE()</f>
        <v>1</v>
      </c>
      <c r="S847" s="19">
        <f t="shared" si="13"/>
        <v>19.399999999999999</v>
      </c>
      <c r="T847">
        <f>COUNTIF('👤 Customers'!$A:$A, B847)</f>
        <v>1</v>
      </c>
      <c r="U847">
        <f>COUNTIF('🚴 Riders'!A846:A906, C847)</f>
        <v>0</v>
      </c>
      <c r="V847">
        <f>COUNTIF('🏭 Facilities'!A846:A854, D847)</f>
        <v>0</v>
      </c>
    </row>
    <row r="848" spans="1:22">
      <c r="A848" s="16" t="s">
        <v>2297</v>
      </c>
      <c r="B848" s="16" t="s">
        <v>614</v>
      </c>
      <c r="C848" s="16" t="s">
        <v>611</v>
      </c>
      <c r="D848" s="16" t="s">
        <v>123</v>
      </c>
      <c r="E848" s="25">
        <v>45085</v>
      </c>
      <c r="F848" s="16" t="s">
        <v>2298</v>
      </c>
      <c r="G848" s="16" t="s">
        <v>145</v>
      </c>
      <c r="H848" s="16">
        <v>2.4</v>
      </c>
      <c r="I848" s="16">
        <v>299</v>
      </c>
      <c r="J848" s="16">
        <v>10</v>
      </c>
      <c r="K848" s="16">
        <v>645.84</v>
      </c>
      <c r="L848" s="16" t="s">
        <v>126</v>
      </c>
      <c r="M848" s="16" t="s">
        <v>119</v>
      </c>
      <c r="N848" s="27">
        <v>45085.174305555556</v>
      </c>
      <c r="O848" s="27">
        <v>45085.82708333333</v>
      </c>
      <c r="P848" s="16">
        <v>4.8</v>
      </c>
      <c r="Q848" s="16" t="b">
        <f>FALSE()</f>
        <v>0</v>
      </c>
      <c r="R848" s="16" t="b">
        <f>FALSE()</f>
        <v>0</v>
      </c>
      <c r="S848" s="17">
        <f t="shared" si="13"/>
        <v>15.7</v>
      </c>
      <c r="T848">
        <f>COUNTIF('👤 Customers'!$A:$A, B848)</f>
        <v>1</v>
      </c>
      <c r="U848">
        <f>COUNTIF('🚴 Riders'!A847:A907, C848)</f>
        <v>0</v>
      </c>
      <c r="V848">
        <f>COUNTIF('🏭 Facilities'!A847:A855, D848)</f>
        <v>0</v>
      </c>
    </row>
    <row r="849" spans="1:22">
      <c r="A849" s="18" t="s">
        <v>2299</v>
      </c>
      <c r="B849" s="18" t="s">
        <v>203</v>
      </c>
      <c r="C849" s="18" t="s">
        <v>129</v>
      </c>
      <c r="D849" s="18" t="s">
        <v>123</v>
      </c>
      <c r="E849" s="26">
        <v>45183</v>
      </c>
      <c r="F849" s="18" t="s">
        <v>2300</v>
      </c>
      <c r="G849" s="18" t="s">
        <v>132</v>
      </c>
      <c r="H849" s="18">
        <v>7.9</v>
      </c>
      <c r="I849" s="18">
        <v>399</v>
      </c>
      <c r="J849" s="18">
        <v>20</v>
      </c>
      <c r="K849" s="18">
        <v>2521.6799999999998</v>
      </c>
      <c r="L849" s="18" t="s">
        <v>139</v>
      </c>
      <c r="M849" s="18" t="s">
        <v>119</v>
      </c>
      <c r="N849" s="28">
        <v>45184.056250000001</v>
      </c>
      <c r="O849" s="28">
        <v>45184.661805555559</v>
      </c>
      <c r="P849" s="18">
        <v>4.2</v>
      </c>
      <c r="Q849" s="18" t="b">
        <f>FALSE()</f>
        <v>0</v>
      </c>
      <c r="R849" s="18" t="b">
        <f>FALSE()</f>
        <v>0</v>
      </c>
      <c r="S849" s="19">
        <f t="shared" si="13"/>
        <v>14.5</v>
      </c>
      <c r="T849">
        <f>COUNTIF('👤 Customers'!$A:$A, B849)</f>
        <v>1</v>
      </c>
      <c r="U849">
        <f>COUNTIF('🚴 Riders'!A848:A908, C849)</f>
        <v>0</v>
      </c>
      <c r="V849">
        <f>COUNTIF('🏭 Facilities'!A848:A856, D849)</f>
        <v>0</v>
      </c>
    </row>
    <row r="850" spans="1:22">
      <c r="A850" s="16" t="s">
        <v>2301</v>
      </c>
      <c r="B850" s="16" t="s">
        <v>1226</v>
      </c>
      <c r="C850" s="16" t="s">
        <v>153</v>
      </c>
      <c r="D850" s="16" t="s">
        <v>130</v>
      </c>
      <c r="E850" s="25">
        <v>45167</v>
      </c>
      <c r="F850" s="16" t="s">
        <v>2302</v>
      </c>
      <c r="G850" s="16" t="s">
        <v>132</v>
      </c>
      <c r="H850" s="16">
        <v>7.6</v>
      </c>
      <c r="I850" s="16">
        <v>399</v>
      </c>
      <c r="J850" s="16">
        <v>10</v>
      </c>
      <c r="K850" s="16">
        <v>2729.16</v>
      </c>
      <c r="L850" s="16" t="s">
        <v>139</v>
      </c>
      <c r="M850" s="16" t="s">
        <v>119</v>
      </c>
      <c r="N850" s="27">
        <v>45167.661805555559</v>
      </c>
      <c r="O850" s="27">
        <v>45168.029861111114</v>
      </c>
      <c r="P850" s="16">
        <v>3.1</v>
      </c>
      <c r="Q850" s="16" t="b">
        <f>TRUE()</f>
        <v>1</v>
      </c>
      <c r="R850" s="16" t="b">
        <f>FALSE()</f>
        <v>0</v>
      </c>
      <c r="S850" s="17">
        <f t="shared" si="13"/>
        <v>8.8000000000000007</v>
      </c>
      <c r="T850">
        <f>COUNTIF('👤 Customers'!$A:$A, B850)</f>
        <v>1</v>
      </c>
      <c r="U850">
        <f>COUNTIF('🚴 Riders'!A849:A909, C850)</f>
        <v>0</v>
      </c>
      <c r="V850">
        <f>COUNTIF('🏭 Facilities'!A849:A857, D850)</f>
        <v>0</v>
      </c>
    </row>
    <row r="851" spans="1:22">
      <c r="A851" s="18" t="s">
        <v>2303</v>
      </c>
      <c r="B851" s="18" t="s">
        <v>113</v>
      </c>
      <c r="C851" s="18" t="s">
        <v>183</v>
      </c>
      <c r="D851" s="18" t="s">
        <v>137</v>
      </c>
      <c r="E851" s="26">
        <v>44959</v>
      </c>
      <c r="F851" s="18" t="s">
        <v>2304</v>
      </c>
      <c r="G851" s="18" t="s">
        <v>145</v>
      </c>
      <c r="H851" s="18">
        <v>1.9</v>
      </c>
      <c r="I851" s="18">
        <v>299</v>
      </c>
      <c r="J851" s="18">
        <v>10</v>
      </c>
      <c r="K851" s="18">
        <v>511.29</v>
      </c>
      <c r="L851" s="18" t="s">
        <v>146</v>
      </c>
      <c r="M851" s="18" t="s">
        <v>119</v>
      </c>
      <c r="N851" s="28">
        <v>44959.579861111109</v>
      </c>
      <c r="O851" s="28">
        <v>44960.033333333333</v>
      </c>
      <c r="P851" s="18">
        <v>3.3</v>
      </c>
      <c r="Q851" s="18" t="b">
        <f>FALSE()</f>
        <v>0</v>
      </c>
      <c r="R851" s="18" t="b">
        <f>FALSE()</f>
        <v>0</v>
      </c>
      <c r="S851" s="19">
        <f t="shared" si="13"/>
        <v>10.9</v>
      </c>
      <c r="T851">
        <f>COUNTIF('👤 Customers'!$A:$A, B851)</f>
        <v>1</v>
      </c>
      <c r="U851">
        <f>COUNTIF('🚴 Riders'!A850:A910, C851)</f>
        <v>0</v>
      </c>
      <c r="V851">
        <f>COUNTIF('🏭 Facilities'!A850:A858, D851)</f>
        <v>0</v>
      </c>
    </row>
    <row r="852" spans="1:22">
      <c r="A852" s="16" t="s">
        <v>2305</v>
      </c>
      <c r="B852" s="16" t="s">
        <v>2306</v>
      </c>
      <c r="C852" s="16" t="s">
        <v>479</v>
      </c>
      <c r="D852" s="16" t="s">
        <v>130</v>
      </c>
      <c r="E852" s="25">
        <v>45455</v>
      </c>
      <c r="F852" s="16" t="s">
        <v>2307</v>
      </c>
      <c r="G852" s="16" t="s">
        <v>145</v>
      </c>
      <c r="H852" s="16">
        <v>3</v>
      </c>
      <c r="I852" s="16">
        <v>299</v>
      </c>
      <c r="J852" s="16">
        <v>0</v>
      </c>
      <c r="K852" s="16">
        <v>897</v>
      </c>
      <c r="L852" s="16" t="s">
        <v>126</v>
      </c>
      <c r="M852" s="16" t="s">
        <v>133</v>
      </c>
      <c r="N852" s="20"/>
      <c r="O852" s="20"/>
      <c r="P852" s="20"/>
      <c r="Q852" s="16" t="b">
        <f>FALSE()</f>
        <v>0</v>
      </c>
      <c r="R852" s="16" t="b">
        <f>FALSE()</f>
        <v>0</v>
      </c>
      <c r="S852" s="17" t="str">
        <f t="shared" si="13"/>
        <v>N/A</v>
      </c>
      <c r="T852">
        <f>COUNTIF('👤 Customers'!$A:$A, B852)</f>
        <v>1</v>
      </c>
      <c r="U852">
        <f>COUNTIF('🚴 Riders'!A851:A911, C852)</f>
        <v>0</v>
      </c>
      <c r="V852">
        <f>COUNTIF('🏭 Facilities'!A851:A859, D852)</f>
        <v>0</v>
      </c>
    </row>
    <row r="853" spans="1:22">
      <c r="A853" s="18" t="s">
        <v>2308</v>
      </c>
      <c r="B853" s="18" t="s">
        <v>254</v>
      </c>
      <c r="C853" s="18" t="s">
        <v>196</v>
      </c>
      <c r="D853" s="18" t="s">
        <v>197</v>
      </c>
      <c r="E853" s="26">
        <v>45025</v>
      </c>
      <c r="F853" s="18" t="s">
        <v>2309</v>
      </c>
      <c r="G853" s="18" t="s">
        <v>176</v>
      </c>
      <c r="H853" s="18">
        <v>8</v>
      </c>
      <c r="I853" s="18">
        <v>599</v>
      </c>
      <c r="J853" s="18">
        <v>0</v>
      </c>
      <c r="K853" s="18">
        <v>4792</v>
      </c>
      <c r="L853" s="18" t="s">
        <v>207</v>
      </c>
      <c r="M853" s="18" t="s">
        <v>119</v>
      </c>
      <c r="N853" s="28">
        <v>45025.770138888889</v>
      </c>
      <c r="O853" s="28">
        <v>45026.12222222222</v>
      </c>
      <c r="P853" s="18">
        <v>3.6</v>
      </c>
      <c r="Q853" s="18" t="b">
        <f>FALSE()</f>
        <v>0</v>
      </c>
      <c r="R853" s="18" t="b">
        <f>FALSE()</f>
        <v>0</v>
      </c>
      <c r="S853" s="19">
        <f t="shared" si="13"/>
        <v>8.4</v>
      </c>
      <c r="T853">
        <f>COUNTIF('👤 Customers'!$A:$A, B853)</f>
        <v>1</v>
      </c>
      <c r="U853">
        <f>COUNTIF('🚴 Riders'!A852:A912, C853)</f>
        <v>0</v>
      </c>
      <c r="V853">
        <f>COUNTIF('🏭 Facilities'!A852:A860, D853)</f>
        <v>0</v>
      </c>
    </row>
    <row r="854" spans="1:22">
      <c r="A854" s="16" t="s">
        <v>2310</v>
      </c>
      <c r="B854" s="16" t="s">
        <v>1961</v>
      </c>
      <c r="C854" s="16" t="s">
        <v>122</v>
      </c>
      <c r="D854" s="16" t="s">
        <v>184</v>
      </c>
      <c r="E854" s="25">
        <v>45270</v>
      </c>
      <c r="F854" s="16" t="s">
        <v>2311</v>
      </c>
      <c r="G854" s="16" t="s">
        <v>176</v>
      </c>
      <c r="H854" s="16">
        <v>6.4</v>
      </c>
      <c r="I854" s="16">
        <v>599</v>
      </c>
      <c r="J854" s="16">
        <v>10</v>
      </c>
      <c r="K854" s="16">
        <v>3450.24</v>
      </c>
      <c r="L854" s="16" t="s">
        <v>207</v>
      </c>
      <c r="M854" s="16" t="s">
        <v>133</v>
      </c>
      <c r="N854" s="20"/>
      <c r="O854" s="20"/>
      <c r="P854" s="20"/>
      <c r="Q854" s="16" t="b">
        <f>FALSE()</f>
        <v>0</v>
      </c>
      <c r="R854" s="16" t="b">
        <f>FALSE()</f>
        <v>0</v>
      </c>
      <c r="S854" s="17" t="str">
        <f t="shared" si="13"/>
        <v>N/A</v>
      </c>
      <c r="T854">
        <f>COUNTIF('👤 Customers'!$A:$A, B854)</f>
        <v>1</v>
      </c>
      <c r="U854">
        <f>COUNTIF('🚴 Riders'!A853:A913, C854)</f>
        <v>0</v>
      </c>
      <c r="V854">
        <f>COUNTIF('🏭 Facilities'!A853:A861, D854)</f>
        <v>0</v>
      </c>
    </row>
    <row r="855" spans="1:22">
      <c r="A855" s="18" t="s">
        <v>2312</v>
      </c>
      <c r="B855" s="18" t="s">
        <v>2313</v>
      </c>
      <c r="C855" s="18" t="s">
        <v>183</v>
      </c>
      <c r="D855" s="18" t="s">
        <v>130</v>
      </c>
      <c r="E855" s="26">
        <v>45643</v>
      </c>
      <c r="F855" s="18" t="s">
        <v>2314</v>
      </c>
      <c r="G855" s="18" t="s">
        <v>132</v>
      </c>
      <c r="H855" s="18">
        <v>3.5</v>
      </c>
      <c r="I855" s="18">
        <v>399</v>
      </c>
      <c r="J855" s="18">
        <v>0</v>
      </c>
      <c r="K855" s="18">
        <v>1396.5</v>
      </c>
      <c r="L855" s="18" t="s">
        <v>207</v>
      </c>
      <c r="M855" s="18" t="s">
        <v>140</v>
      </c>
      <c r="N855" s="28">
        <v>45643.043055555558</v>
      </c>
      <c r="O855" s="28">
        <v>45643.698611111111</v>
      </c>
      <c r="P855" s="20"/>
      <c r="Q855" s="18" t="b">
        <f>FALSE()</f>
        <v>0</v>
      </c>
      <c r="R855" s="18" t="b">
        <f>FALSE()</f>
        <v>0</v>
      </c>
      <c r="S855" s="19">
        <f t="shared" si="13"/>
        <v>15.7</v>
      </c>
      <c r="T855">
        <f>COUNTIF('👤 Customers'!$A:$A, B855)</f>
        <v>1</v>
      </c>
      <c r="U855">
        <f>COUNTIF('🚴 Riders'!A854:A914, C855)</f>
        <v>0</v>
      </c>
      <c r="V855">
        <f>COUNTIF('🏭 Facilities'!A854:A862, D855)</f>
        <v>0</v>
      </c>
    </row>
    <row r="856" spans="1:22">
      <c r="A856" s="16" t="s">
        <v>2315</v>
      </c>
      <c r="B856" s="16" t="s">
        <v>1557</v>
      </c>
      <c r="C856" s="16" t="s">
        <v>114</v>
      </c>
      <c r="D856" s="16" t="s">
        <v>184</v>
      </c>
      <c r="E856" s="25">
        <v>45487</v>
      </c>
      <c r="F856" s="16" t="s">
        <v>2316</v>
      </c>
      <c r="G856" s="16" t="s">
        <v>145</v>
      </c>
      <c r="H856" s="16">
        <v>1.2</v>
      </c>
      <c r="I856" s="16">
        <v>299</v>
      </c>
      <c r="J856" s="16">
        <v>0</v>
      </c>
      <c r="K856" s="16">
        <v>358.8</v>
      </c>
      <c r="L856" s="16" t="s">
        <v>126</v>
      </c>
      <c r="M856" s="16" t="s">
        <v>119</v>
      </c>
      <c r="N856" s="27">
        <v>45487.265972222223</v>
      </c>
      <c r="O856" s="27">
        <v>45487.786805555559</v>
      </c>
      <c r="P856" s="16">
        <v>4.2</v>
      </c>
      <c r="Q856" s="16" t="b">
        <f>FALSE()</f>
        <v>0</v>
      </c>
      <c r="R856" s="16" t="b">
        <f>FALSE()</f>
        <v>0</v>
      </c>
      <c r="S856" s="17">
        <f t="shared" si="13"/>
        <v>12.5</v>
      </c>
      <c r="T856">
        <f>COUNTIF('👤 Customers'!$A:$A, B856)</f>
        <v>1</v>
      </c>
      <c r="U856">
        <f>COUNTIF('🚴 Riders'!A855:A915, C856)</f>
        <v>0</v>
      </c>
      <c r="V856">
        <f>COUNTIF('🏭 Facilities'!A855:A863, D856)</f>
        <v>0</v>
      </c>
    </row>
    <row r="857" spans="1:22">
      <c r="A857" s="18" t="s">
        <v>2317</v>
      </c>
      <c r="B857" s="18" t="s">
        <v>1345</v>
      </c>
      <c r="C857" s="18" t="s">
        <v>304</v>
      </c>
      <c r="D857" s="18" t="s">
        <v>184</v>
      </c>
      <c r="E857" s="26">
        <v>45407</v>
      </c>
      <c r="F857" s="18" t="s">
        <v>2318</v>
      </c>
      <c r="G857" s="18" t="s">
        <v>132</v>
      </c>
      <c r="H857" s="18">
        <v>6.1</v>
      </c>
      <c r="I857" s="18">
        <v>399</v>
      </c>
      <c r="J857" s="18">
        <v>0</v>
      </c>
      <c r="K857" s="18">
        <v>2433.9</v>
      </c>
      <c r="L857" s="18" t="s">
        <v>139</v>
      </c>
      <c r="M857" s="18" t="s">
        <v>119</v>
      </c>
      <c r="N857" s="28">
        <v>45407.511805555558</v>
      </c>
      <c r="O857" s="28">
        <v>45407.900694444441</v>
      </c>
      <c r="P857" s="18">
        <v>4.4000000000000004</v>
      </c>
      <c r="Q857" s="18" t="b">
        <f>TRUE()</f>
        <v>1</v>
      </c>
      <c r="R857" s="18" t="b">
        <f>FALSE()</f>
        <v>0</v>
      </c>
      <c r="S857" s="19">
        <f t="shared" si="13"/>
        <v>9.3000000000000007</v>
      </c>
      <c r="T857">
        <f>COUNTIF('👤 Customers'!$A:$A, B857)</f>
        <v>1</v>
      </c>
      <c r="U857">
        <f>COUNTIF('🚴 Riders'!A856:A916, C857)</f>
        <v>0</v>
      </c>
      <c r="V857">
        <f>COUNTIF('🏭 Facilities'!A856:A864, D857)</f>
        <v>0</v>
      </c>
    </row>
    <row r="858" spans="1:22">
      <c r="A858" s="16" t="s">
        <v>2319</v>
      </c>
      <c r="B858" s="16" t="s">
        <v>519</v>
      </c>
      <c r="C858" s="16" t="s">
        <v>413</v>
      </c>
      <c r="D858" s="16" t="s">
        <v>158</v>
      </c>
      <c r="E858" s="25">
        <v>45415</v>
      </c>
      <c r="F858" s="16" t="s">
        <v>2320</v>
      </c>
      <c r="G858" s="16" t="s">
        <v>125</v>
      </c>
      <c r="H858" s="16">
        <v>4.9000000000000004</v>
      </c>
      <c r="I858" s="16">
        <v>199</v>
      </c>
      <c r="J858" s="16">
        <v>0</v>
      </c>
      <c r="K858" s="16">
        <v>975.1</v>
      </c>
      <c r="L858" s="16" t="s">
        <v>139</v>
      </c>
      <c r="M858" s="16" t="s">
        <v>140</v>
      </c>
      <c r="N858" s="27">
        <v>45415.145138888889</v>
      </c>
      <c r="O858" s="27">
        <v>45415.841666666667</v>
      </c>
      <c r="P858" s="20"/>
      <c r="Q858" s="16" t="b">
        <f>FALSE()</f>
        <v>0</v>
      </c>
      <c r="R858" s="16" t="b">
        <f>FALSE()</f>
        <v>0</v>
      </c>
      <c r="S858" s="17">
        <f t="shared" si="13"/>
        <v>16.7</v>
      </c>
      <c r="T858">
        <f>COUNTIF('👤 Customers'!$A:$A, B858)</f>
        <v>1</v>
      </c>
      <c r="U858">
        <f>COUNTIF('🚴 Riders'!A857:A917, C858)</f>
        <v>0</v>
      </c>
      <c r="V858">
        <f>COUNTIF('🏭 Facilities'!A857:A865, D858)</f>
        <v>0</v>
      </c>
    </row>
    <row r="859" spans="1:22">
      <c r="A859" s="18" t="s">
        <v>2321</v>
      </c>
      <c r="B859" s="18" t="s">
        <v>634</v>
      </c>
      <c r="C859" s="18" t="s">
        <v>479</v>
      </c>
      <c r="D859" s="18" t="s">
        <v>205</v>
      </c>
      <c r="E859" s="26">
        <v>45308</v>
      </c>
      <c r="F859" s="18" t="s">
        <v>2322</v>
      </c>
      <c r="G859" s="18" t="s">
        <v>176</v>
      </c>
      <c r="H859" s="18">
        <v>2.8</v>
      </c>
      <c r="I859" s="18">
        <v>599</v>
      </c>
      <c r="J859" s="18">
        <v>30</v>
      </c>
      <c r="K859" s="18">
        <v>1174.04</v>
      </c>
      <c r="L859" s="18" t="s">
        <v>207</v>
      </c>
      <c r="M859" s="18" t="s">
        <v>140</v>
      </c>
      <c r="N859" s="28">
        <v>45308.118055555555</v>
      </c>
      <c r="O859" s="28">
        <v>45309.111805555556</v>
      </c>
      <c r="P859" s="20"/>
      <c r="Q859" s="18" t="b">
        <f>TRUE()</f>
        <v>1</v>
      </c>
      <c r="R859" s="18" t="b">
        <f>FALSE()</f>
        <v>0</v>
      </c>
      <c r="S859" s="19">
        <f t="shared" si="13"/>
        <v>23.9</v>
      </c>
      <c r="T859">
        <f>COUNTIF('👤 Customers'!$A:$A, B859)</f>
        <v>1</v>
      </c>
      <c r="U859">
        <f>COUNTIF('🚴 Riders'!A858:A918, C859)</f>
        <v>0</v>
      </c>
      <c r="V859">
        <f>COUNTIF('🏭 Facilities'!A858:A866, D859)</f>
        <v>0</v>
      </c>
    </row>
    <row r="860" spans="1:22">
      <c r="A860" s="16" t="s">
        <v>2323</v>
      </c>
      <c r="B860" s="16" t="s">
        <v>1011</v>
      </c>
      <c r="C860" s="16" t="s">
        <v>251</v>
      </c>
      <c r="D860" s="16" t="s">
        <v>158</v>
      </c>
      <c r="E860" s="25">
        <v>45062</v>
      </c>
      <c r="F860" s="16" t="s">
        <v>2324</v>
      </c>
      <c r="G860" s="16" t="s">
        <v>145</v>
      </c>
      <c r="H860" s="16">
        <v>8</v>
      </c>
      <c r="I860" s="16">
        <v>299</v>
      </c>
      <c r="J860" s="16">
        <v>20</v>
      </c>
      <c r="K860" s="16">
        <v>1913.6</v>
      </c>
      <c r="L860" s="16" t="s">
        <v>146</v>
      </c>
      <c r="M860" s="16" t="s">
        <v>119</v>
      </c>
      <c r="N860" s="27">
        <v>45062.552777777775</v>
      </c>
      <c r="O860" s="27">
        <v>45063.193055555559</v>
      </c>
      <c r="P860" s="16">
        <v>4.5999999999999996</v>
      </c>
      <c r="Q860" s="16" t="b">
        <f>FALSE()</f>
        <v>0</v>
      </c>
      <c r="R860" s="16" t="b">
        <f>TRUE()</f>
        <v>1</v>
      </c>
      <c r="S860" s="17">
        <f t="shared" si="13"/>
        <v>15.4</v>
      </c>
      <c r="T860">
        <f>COUNTIF('👤 Customers'!$A:$A, B860)</f>
        <v>1</v>
      </c>
      <c r="U860">
        <f>COUNTIF('🚴 Riders'!A859:A919, C860)</f>
        <v>0</v>
      </c>
      <c r="V860">
        <f>COUNTIF('🏭 Facilities'!A859:A867, D860)</f>
        <v>0</v>
      </c>
    </row>
    <row r="861" spans="1:22">
      <c r="A861" s="18" t="s">
        <v>2325</v>
      </c>
      <c r="B861" s="18" t="s">
        <v>903</v>
      </c>
      <c r="C861" s="18" t="s">
        <v>358</v>
      </c>
      <c r="D861" s="18" t="s">
        <v>205</v>
      </c>
      <c r="E861" s="26">
        <v>45413</v>
      </c>
      <c r="F861" s="18" t="s">
        <v>2326</v>
      </c>
      <c r="G861" s="18" t="s">
        <v>117</v>
      </c>
      <c r="H861" s="18">
        <v>2.5</v>
      </c>
      <c r="I861" s="18">
        <v>149</v>
      </c>
      <c r="J861" s="18">
        <v>0</v>
      </c>
      <c r="K861" s="18">
        <v>372.5</v>
      </c>
      <c r="L861" s="18" t="s">
        <v>118</v>
      </c>
      <c r="M861" s="18" t="s">
        <v>119</v>
      </c>
      <c r="N861" s="28">
        <v>45413.704861111109</v>
      </c>
      <c r="O861" s="28">
        <v>45414.414583333331</v>
      </c>
      <c r="P861" s="18">
        <v>4.2</v>
      </c>
      <c r="Q861" s="18" t="b">
        <f>TRUE()</f>
        <v>1</v>
      </c>
      <c r="R861" s="18" t="b">
        <f>FALSE()</f>
        <v>0</v>
      </c>
      <c r="S861" s="19">
        <f t="shared" si="13"/>
        <v>17</v>
      </c>
      <c r="T861">
        <f>COUNTIF('👤 Customers'!$A:$A, B861)</f>
        <v>1</v>
      </c>
      <c r="U861">
        <f>COUNTIF('🚴 Riders'!A860:A920, C861)</f>
        <v>0</v>
      </c>
      <c r="V861">
        <f>COUNTIF('🏭 Facilities'!A860:A868, D861)</f>
        <v>0</v>
      </c>
    </row>
    <row r="862" spans="1:22">
      <c r="A862" s="16" t="s">
        <v>2327</v>
      </c>
      <c r="B862" s="16" t="s">
        <v>1557</v>
      </c>
      <c r="C862" s="16" t="s">
        <v>1092</v>
      </c>
      <c r="D862" s="16" t="s">
        <v>158</v>
      </c>
      <c r="E862" s="25">
        <v>45118</v>
      </c>
      <c r="F862" s="16" t="s">
        <v>2328</v>
      </c>
      <c r="G862" s="16" t="s">
        <v>132</v>
      </c>
      <c r="H862" s="16">
        <v>6</v>
      </c>
      <c r="I862" s="16">
        <v>399</v>
      </c>
      <c r="J862" s="16">
        <v>0</v>
      </c>
      <c r="K862" s="16">
        <v>2394</v>
      </c>
      <c r="L862" s="16" t="s">
        <v>118</v>
      </c>
      <c r="M862" s="16" t="s">
        <v>140</v>
      </c>
      <c r="N862" s="27">
        <v>45118.195833333331</v>
      </c>
      <c r="O862" s="27">
        <v>45119.027083333334</v>
      </c>
      <c r="P862" s="20"/>
      <c r="Q862" s="16" t="b">
        <f>FALSE()</f>
        <v>0</v>
      </c>
      <c r="R862" s="16" t="b">
        <f>FALSE()</f>
        <v>0</v>
      </c>
      <c r="S862" s="17">
        <f t="shared" si="13"/>
        <v>20</v>
      </c>
      <c r="T862">
        <f>COUNTIF('👤 Customers'!$A:$A, B862)</f>
        <v>1</v>
      </c>
      <c r="U862">
        <f>COUNTIF('🚴 Riders'!A861:A921, C862)</f>
        <v>0</v>
      </c>
      <c r="V862">
        <f>COUNTIF('🏭 Facilities'!A861:A869, D862)</f>
        <v>0</v>
      </c>
    </row>
    <row r="863" spans="1:22">
      <c r="A863" s="18" t="s">
        <v>2329</v>
      </c>
      <c r="B863" s="18" t="s">
        <v>660</v>
      </c>
      <c r="C863" s="18" t="s">
        <v>174</v>
      </c>
      <c r="D863" s="18" t="s">
        <v>130</v>
      </c>
      <c r="E863" s="26">
        <v>45036</v>
      </c>
      <c r="F863" s="18" t="s">
        <v>2330</v>
      </c>
      <c r="G863" s="18" t="s">
        <v>145</v>
      </c>
      <c r="H863" s="18">
        <v>1.8</v>
      </c>
      <c r="I863" s="18">
        <v>299</v>
      </c>
      <c r="J863" s="18">
        <v>10</v>
      </c>
      <c r="K863" s="18">
        <v>484.38</v>
      </c>
      <c r="L863" s="18" t="s">
        <v>207</v>
      </c>
      <c r="M863" s="18" t="s">
        <v>119</v>
      </c>
      <c r="N863" s="28">
        <v>45036.927777777775</v>
      </c>
      <c r="O863" s="28">
        <v>45038.009027777778</v>
      </c>
      <c r="P863" s="18">
        <v>3.3</v>
      </c>
      <c r="Q863" s="18" t="b">
        <f>FALSE()</f>
        <v>0</v>
      </c>
      <c r="R863" s="18" t="b">
        <f>FALSE()</f>
        <v>0</v>
      </c>
      <c r="S863" s="19">
        <f t="shared" si="13"/>
        <v>26</v>
      </c>
      <c r="T863">
        <f>COUNTIF('👤 Customers'!$A:$A, B863)</f>
        <v>1</v>
      </c>
      <c r="U863">
        <f>COUNTIF('🚴 Riders'!A862:A922, C863)</f>
        <v>0</v>
      </c>
      <c r="V863">
        <f>COUNTIF('🏭 Facilities'!A862:A870, D863)</f>
        <v>0</v>
      </c>
    </row>
    <row r="864" spans="1:22">
      <c r="A864" s="16" t="s">
        <v>2331</v>
      </c>
      <c r="B864" s="16" t="s">
        <v>424</v>
      </c>
      <c r="C864" s="16" t="s">
        <v>149</v>
      </c>
      <c r="D864" s="16" t="s">
        <v>137</v>
      </c>
      <c r="E864" s="25">
        <v>45654</v>
      </c>
      <c r="F864" s="16" t="s">
        <v>2332</v>
      </c>
      <c r="G864" s="16" t="s">
        <v>176</v>
      </c>
      <c r="H864" s="16">
        <v>4</v>
      </c>
      <c r="I864" s="16">
        <v>599</v>
      </c>
      <c r="J864" s="16">
        <v>20</v>
      </c>
      <c r="K864" s="16">
        <v>1916.8</v>
      </c>
      <c r="L864" s="16" t="s">
        <v>139</v>
      </c>
      <c r="M864" s="16" t="s">
        <v>119</v>
      </c>
      <c r="N864" s="27">
        <v>45655.005555555559</v>
      </c>
      <c r="O864" s="27">
        <v>45655.642361111109</v>
      </c>
      <c r="P864" s="16">
        <v>3.9</v>
      </c>
      <c r="Q864" s="16" t="b">
        <f>FALSE()</f>
        <v>0</v>
      </c>
      <c r="R864" s="16" t="b">
        <f>TRUE()</f>
        <v>1</v>
      </c>
      <c r="S864" s="17">
        <f t="shared" si="13"/>
        <v>15.3</v>
      </c>
      <c r="T864">
        <f>COUNTIF('👤 Customers'!$A:$A, B864)</f>
        <v>1</v>
      </c>
      <c r="U864">
        <f>COUNTIF('🚴 Riders'!A863:A923, C864)</f>
        <v>0</v>
      </c>
      <c r="V864">
        <f>COUNTIF('🏭 Facilities'!A863:A871, D864)</f>
        <v>0</v>
      </c>
    </row>
    <row r="865" spans="1:22">
      <c r="A865" s="18" t="s">
        <v>2333</v>
      </c>
      <c r="B865" s="18" t="s">
        <v>2334</v>
      </c>
      <c r="C865" s="18" t="s">
        <v>461</v>
      </c>
      <c r="D865" s="18" t="s">
        <v>184</v>
      </c>
      <c r="E865" s="26">
        <v>45172</v>
      </c>
      <c r="F865" s="18" t="s">
        <v>2335</v>
      </c>
      <c r="G865" s="18" t="s">
        <v>145</v>
      </c>
      <c r="H865" s="18">
        <v>2.7</v>
      </c>
      <c r="I865" s="18">
        <v>299</v>
      </c>
      <c r="J865" s="18">
        <v>10</v>
      </c>
      <c r="K865" s="18">
        <v>726.57</v>
      </c>
      <c r="L865" s="18" t="s">
        <v>126</v>
      </c>
      <c r="M865" s="18" t="s">
        <v>119</v>
      </c>
      <c r="N865" s="28">
        <v>45172.892361111109</v>
      </c>
      <c r="O865" s="28">
        <v>45173.93472222222</v>
      </c>
      <c r="P865" s="18">
        <v>4.5</v>
      </c>
      <c r="Q865" s="18" t="b">
        <f>TRUE()</f>
        <v>1</v>
      </c>
      <c r="R865" s="18" t="b">
        <f>TRUE()</f>
        <v>1</v>
      </c>
      <c r="S865" s="19">
        <f t="shared" si="13"/>
        <v>25</v>
      </c>
      <c r="T865">
        <f>COUNTIF('👤 Customers'!$A:$A, B865)</f>
        <v>1</v>
      </c>
      <c r="U865">
        <f>COUNTIF('🚴 Riders'!A864:A924, C865)</f>
        <v>0</v>
      </c>
      <c r="V865">
        <f>COUNTIF('🏭 Facilities'!A864:A872, D865)</f>
        <v>0</v>
      </c>
    </row>
    <row r="866" spans="1:22">
      <c r="A866" s="16" t="s">
        <v>2336</v>
      </c>
      <c r="B866" s="16" t="s">
        <v>492</v>
      </c>
      <c r="C866" s="16" t="s">
        <v>183</v>
      </c>
      <c r="D866" s="16" t="s">
        <v>205</v>
      </c>
      <c r="E866" s="25">
        <v>45596</v>
      </c>
      <c r="F866" s="16" t="s">
        <v>2337</v>
      </c>
      <c r="G866" s="16" t="s">
        <v>125</v>
      </c>
      <c r="H866" s="16">
        <v>3.3</v>
      </c>
      <c r="I866" s="16">
        <v>199</v>
      </c>
      <c r="J866" s="16">
        <v>0</v>
      </c>
      <c r="K866" s="16">
        <v>656.7</v>
      </c>
      <c r="L866" s="16" t="s">
        <v>146</v>
      </c>
      <c r="M866" s="16" t="s">
        <v>119</v>
      </c>
      <c r="N866" s="27">
        <v>45596.779166666667</v>
      </c>
      <c r="O866" s="27">
        <v>45597.201388888891</v>
      </c>
      <c r="P866" s="16">
        <v>4.8</v>
      </c>
      <c r="Q866" s="16" t="b">
        <f>FALSE()</f>
        <v>0</v>
      </c>
      <c r="R866" s="16" t="b">
        <f>FALSE()</f>
        <v>0</v>
      </c>
      <c r="S866" s="17">
        <f t="shared" si="13"/>
        <v>10.1</v>
      </c>
      <c r="T866">
        <f>COUNTIF('👤 Customers'!$A:$A, B866)</f>
        <v>1</v>
      </c>
      <c r="U866">
        <f>COUNTIF('🚴 Riders'!A865:A925, C866)</f>
        <v>0</v>
      </c>
      <c r="V866">
        <f>COUNTIF('🏭 Facilities'!A865:A873, D866)</f>
        <v>0</v>
      </c>
    </row>
    <row r="867" spans="1:22">
      <c r="A867" s="18" t="s">
        <v>2338</v>
      </c>
      <c r="B867" s="18" t="s">
        <v>1743</v>
      </c>
      <c r="C867" s="18" t="s">
        <v>276</v>
      </c>
      <c r="D867" s="18" t="s">
        <v>197</v>
      </c>
      <c r="E867" s="26">
        <v>45296</v>
      </c>
      <c r="F867" s="18" t="s">
        <v>2339</v>
      </c>
      <c r="G867" s="18" t="s">
        <v>117</v>
      </c>
      <c r="H867" s="18">
        <v>5.9</v>
      </c>
      <c r="I867" s="18">
        <v>149</v>
      </c>
      <c r="J867" s="18">
        <v>0</v>
      </c>
      <c r="K867" s="18">
        <v>879.1</v>
      </c>
      <c r="L867" s="18" t="s">
        <v>146</v>
      </c>
      <c r="M867" s="18" t="s">
        <v>119</v>
      </c>
      <c r="N867" s="28">
        <v>45296.148611111108</v>
      </c>
      <c r="O867" s="28">
        <v>45296.633333333331</v>
      </c>
      <c r="P867" s="18">
        <v>4.8</v>
      </c>
      <c r="Q867" s="18" t="b">
        <f>FALSE()</f>
        <v>0</v>
      </c>
      <c r="R867" s="18" t="b">
        <f>FALSE()</f>
        <v>0</v>
      </c>
      <c r="S867" s="19">
        <f t="shared" si="13"/>
        <v>11.6</v>
      </c>
      <c r="T867">
        <f>COUNTIF('👤 Customers'!$A:$A, B867)</f>
        <v>1</v>
      </c>
      <c r="U867">
        <f>COUNTIF('🚴 Riders'!A866:A926, C867)</f>
        <v>0</v>
      </c>
      <c r="V867">
        <f>COUNTIF('🏭 Facilities'!A866:A874, D867)</f>
        <v>0</v>
      </c>
    </row>
    <row r="868" spans="1:22">
      <c r="A868" s="16" t="s">
        <v>2340</v>
      </c>
      <c r="B868" s="16" t="s">
        <v>436</v>
      </c>
      <c r="C868" s="16" t="s">
        <v>228</v>
      </c>
      <c r="D868" s="16" t="s">
        <v>184</v>
      </c>
      <c r="E868" s="25">
        <v>45415</v>
      </c>
      <c r="F868" s="16" t="s">
        <v>2341</v>
      </c>
      <c r="G868" s="16" t="s">
        <v>145</v>
      </c>
      <c r="H868" s="16">
        <v>5.9</v>
      </c>
      <c r="I868" s="16">
        <v>299</v>
      </c>
      <c r="J868" s="16">
        <v>0</v>
      </c>
      <c r="K868" s="16">
        <v>1764.1</v>
      </c>
      <c r="L868" s="16" t="s">
        <v>207</v>
      </c>
      <c r="M868" s="16" t="s">
        <v>119</v>
      </c>
      <c r="N868" s="27">
        <v>45415.474999999999</v>
      </c>
      <c r="O868" s="27">
        <v>45416.277083333334</v>
      </c>
      <c r="P868" s="16">
        <v>4.7</v>
      </c>
      <c r="Q868" s="16" t="b">
        <f>FALSE()</f>
        <v>0</v>
      </c>
      <c r="R868" s="16" t="b">
        <f>FALSE()</f>
        <v>0</v>
      </c>
      <c r="S868" s="17">
        <f t="shared" si="13"/>
        <v>19.3</v>
      </c>
      <c r="T868">
        <f>COUNTIF('👤 Customers'!$A:$A, B868)</f>
        <v>1</v>
      </c>
      <c r="U868">
        <f>COUNTIF('🚴 Riders'!A867:A927, C868)</f>
        <v>0</v>
      </c>
      <c r="V868">
        <f>COUNTIF('🏭 Facilities'!A867:A875, D868)</f>
        <v>0</v>
      </c>
    </row>
    <row r="869" spans="1:22">
      <c r="A869" s="18" t="s">
        <v>2342</v>
      </c>
      <c r="B869" s="18" t="s">
        <v>545</v>
      </c>
      <c r="C869" s="18" t="s">
        <v>308</v>
      </c>
      <c r="D869" s="18" t="s">
        <v>115</v>
      </c>
      <c r="E869" s="26">
        <v>45522</v>
      </c>
      <c r="F869" s="18" t="s">
        <v>2343</v>
      </c>
      <c r="G869" s="18" t="s">
        <v>125</v>
      </c>
      <c r="H869" s="18">
        <v>5.0999999999999996</v>
      </c>
      <c r="I869" s="18">
        <v>199</v>
      </c>
      <c r="J869" s="18">
        <v>30</v>
      </c>
      <c r="K869" s="18">
        <v>710.43</v>
      </c>
      <c r="L869" s="18" t="s">
        <v>146</v>
      </c>
      <c r="M869" s="18" t="s">
        <v>119</v>
      </c>
      <c r="N869" s="28">
        <v>45523.009722222225</v>
      </c>
      <c r="O869" s="28">
        <v>45523.755555555559</v>
      </c>
      <c r="P869" s="18">
        <v>3.4</v>
      </c>
      <c r="Q869" s="18" t="b">
        <f>FALSE()</f>
        <v>0</v>
      </c>
      <c r="R869" s="18" t="b">
        <f>TRUE()</f>
        <v>1</v>
      </c>
      <c r="S869" s="19">
        <f t="shared" si="13"/>
        <v>17.899999999999999</v>
      </c>
      <c r="T869">
        <f>COUNTIF('👤 Customers'!$A:$A, B869)</f>
        <v>1</v>
      </c>
      <c r="U869">
        <f>COUNTIF('🚴 Riders'!A868:A928, C869)</f>
        <v>0</v>
      </c>
      <c r="V869">
        <f>COUNTIF('🏭 Facilities'!A868:A876, D869)</f>
        <v>0</v>
      </c>
    </row>
    <row r="870" spans="1:22">
      <c r="A870" s="16" t="s">
        <v>2344</v>
      </c>
      <c r="B870" s="16" t="s">
        <v>296</v>
      </c>
      <c r="C870" s="16" t="s">
        <v>322</v>
      </c>
      <c r="D870" s="16" t="s">
        <v>130</v>
      </c>
      <c r="E870" s="25">
        <v>45214</v>
      </c>
      <c r="F870" s="16" t="s">
        <v>2345</v>
      </c>
      <c r="G870" s="16" t="s">
        <v>125</v>
      </c>
      <c r="H870" s="16">
        <v>2.2000000000000002</v>
      </c>
      <c r="I870" s="16">
        <v>199</v>
      </c>
      <c r="J870" s="16">
        <v>10</v>
      </c>
      <c r="K870" s="16">
        <v>394.02</v>
      </c>
      <c r="L870" s="16" t="s">
        <v>118</v>
      </c>
      <c r="M870" s="16" t="s">
        <v>140</v>
      </c>
      <c r="N870" s="27">
        <v>45214.440972222219</v>
      </c>
      <c r="O870" s="27">
        <v>45214.927083333336</v>
      </c>
      <c r="P870" s="20"/>
      <c r="Q870" s="16" t="b">
        <f>FALSE()</f>
        <v>0</v>
      </c>
      <c r="R870" s="16" t="b">
        <f>FALSE()</f>
        <v>0</v>
      </c>
      <c r="S870" s="17">
        <f t="shared" si="13"/>
        <v>11.7</v>
      </c>
      <c r="T870">
        <f>COUNTIF('👤 Customers'!$A:$A, B870)</f>
        <v>1</v>
      </c>
      <c r="U870">
        <f>COUNTIF('🚴 Riders'!A869:A929, C870)</f>
        <v>0</v>
      </c>
      <c r="V870">
        <f>COUNTIF('🏭 Facilities'!A869:A877, D870)</f>
        <v>0</v>
      </c>
    </row>
    <row r="871" spans="1:22">
      <c r="A871" s="18" t="s">
        <v>2346</v>
      </c>
      <c r="B871" s="18" t="s">
        <v>2347</v>
      </c>
      <c r="C871" s="18" t="s">
        <v>358</v>
      </c>
      <c r="D871" s="18" t="s">
        <v>123</v>
      </c>
      <c r="E871" s="26">
        <v>45537</v>
      </c>
      <c r="F871" s="18" t="s">
        <v>2348</v>
      </c>
      <c r="G871" s="18" t="s">
        <v>125</v>
      </c>
      <c r="H871" s="18">
        <v>3.5</v>
      </c>
      <c r="I871" s="18">
        <v>199</v>
      </c>
      <c r="J871" s="18">
        <v>30</v>
      </c>
      <c r="K871" s="18">
        <v>487.55</v>
      </c>
      <c r="L871" s="18" t="s">
        <v>207</v>
      </c>
      <c r="M871" s="18" t="s">
        <v>119</v>
      </c>
      <c r="N871" s="28">
        <v>45537.975694444445</v>
      </c>
      <c r="O871" s="28">
        <v>45538.970138888886</v>
      </c>
      <c r="P871" s="18">
        <v>3.8</v>
      </c>
      <c r="Q871" s="18" t="b">
        <f>FALSE()</f>
        <v>0</v>
      </c>
      <c r="R871" s="18" t="b">
        <f>FALSE()</f>
        <v>0</v>
      </c>
      <c r="S871" s="19">
        <f t="shared" si="13"/>
        <v>23.9</v>
      </c>
      <c r="T871">
        <f>COUNTIF('👤 Customers'!$A:$A, B871)</f>
        <v>1</v>
      </c>
      <c r="U871">
        <f>COUNTIF('🚴 Riders'!A870:A930, C871)</f>
        <v>0</v>
      </c>
      <c r="V871">
        <f>COUNTIF('🏭 Facilities'!A870:A878, D871)</f>
        <v>0</v>
      </c>
    </row>
    <row r="872" spans="1:22">
      <c r="A872" s="16" t="s">
        <v>2349</v>
      </c>
      <c r="B872" s="16" t="s">
        <v>1191</v>
      </c>
      <c r="C872" s="16" t="s">
        <v>162</v>
      </c>
      <c r="D872" s="16" t="s">
        <v>184</v>
      </c>
      <c r="E872" s="25">
        <v>44945</v>
      </c>
      <c r="F872" s="16" t="s">
        <v>2350</v>
      </c>
      <c r="G872" s="16" t="s">
        <v>145</v>
      </c>
      <c r="H872" s="16">
        <v>3.2</v>
      </c>
      <c r="I872" s="16">
        <v>299</v>
      </c>
      <c r="J872" s="16">
        <v>0</v>
      </c>
      <c r="K872" s="16">
        <v>956.8</v>
      </c>
      <c r="L872" s="16" t="s">
        <v>118</v>
      </c>
      <c r="M872" s="16" t="s">
        <v>140</v>
      </c>
      <c r="N872" s="27">
        <v>44945.265277777777</v>
      </c>
      <c r="O872" s="27">
        <v>44945.824305555558</v>
      </c>
      <c r="P872" s="20"/>
      <c r="Q872" s="16" t="b">
        <f>FALSE()</f>
        <v>0</v>
      </c>
      <c r="R872" s="16" t="b">
        <f>FALSE()</f>
        <v>0</v>
      </c>
      <c r="S872" s="17">
        <f t="shared" si="13"/>
        <v>13.4</v>
      </c>
      <c r="T872">
        <f>COUNTIF('👤 Customers'!$A:$A, B872)</f>
        <v>1</v>
      </c>
      <c r="U872">
        <f>COUNTIF('🚴 Riders'!A871:A931, C872)</f>
        <v>0</v>
      </c>
      <c r="V872">
        <f>COUNTIF('🏭 Facilities'!A871:A879, D872)</f>
        <v>0</v>
      </c>
    </row>
    <row r="873" spans="1:22">
      <c r="A873" s="18" t="s">
        <v>2351</v>
      </c>
      <c r="B873" s="18" t="s">
        <v>412</v>
      </c>
      <c r="C873" s="18" t="s">
        <v>580</v>
      </c>
      <c r="D873" s="18" t="s">
        <v>115</v>
      </c>
      <c r="E873" s="26">
        <v>45282</v>
      </c>
      <c r="F873" s="18" t="s">
        <v>2352</v>
      </c>
      <c r="G873" s="18" t="s">
        <v>125</v>
      </c>
      <c r="H873" s="18">
        <v>3.3</v>
      </c>
      <c r="I873" s="18">
        <v>199</v>
      </c>
      <c r="J873" s="18">
        <v>0</v>
      </c>
      <c r="K873" s="18">
        <v>656.7</v>
      </c>
      <c r="L873" s="18" t="s">
        <v>139</v>
      </c>
      <c r="M873" s="18" t="s">
        <v>133</v>
      </c>
      <c r="N873" s="20"/>
      <c r="O873" s="20"/>
      <c r="P873" s="20"/>
      <c r="Q873" s="18" t="b">
        <f>FALSE()</f>
        <v>0</v>
      </c>
      <c r="R873" s="18" t="b">
        <f>FALSE()</f>
        <v>0</v>
      </c>
      <c r="S873" s="19" t="str">
        <f t="shared" si="13"/>
        <v>N/A</v>
      </c>
      <c r="T873">
        <f>COUNTIF('👤 Customers'!$A:$A, B873)</f>
        <v>1</v>
      </c>
      <c r="U873">
        <f>COUNTIF('🚴 Riders'!A872:A932, C873)</f>
        <v>0</v>
      </c>
      <c r="V873">
        <f>COUNTIF('🏭 Facilities'!A872:A880, D873)</f>
        <v>0</v>
      </c>
    </row>
    <row r="874" spans="1:22">
      <c r="A874" s="16" t="s">
        <v>2353</v>
      </c>
      <c r="B874" s="16" t="s">
        <v>1895</v>
      </c>
      <c r="C874" s="16" t="s">
        <v>343</v>
      </c>
      <c r="D874" s="16" t="s">
        <v>130</v>
      </c>
      <c r="E874" s="25">
        <v>45136</v>
      </c>
      <c r="F874" s="16" t="s">
        <v>2354</v>
      </c>
      <c r="G874" s="16" t="s">
        <v>145</v>
      </c>
      <c r="H874" s="16">
        <v>3.3</v>
      </c>
      <c r="I874" s="16">
        <v>299</v>
      </c>
      <c r="J874" s="16">
        <v>20</v>
      </c>
      <c r="K874" s="16">
        <v>789.36</v>
      </c>
      <c r="L874" s="16" t="s">
        <v>139</v>
      </c>
      <c r="M874" s="16" t="s">
        <v>119</v>
      </c>
      <c r="N874" s="27">
        <v>45137.015277777777</v>
      </c>
      <c r="O874" s="27">
        <v>45137.642361111109</v>
      </c>
      <c r="P874" s="16">
        <v>3.2</v>
      </c>
      <c r="Q874" s="16" t="b">
        <f>TRUE()</f>
        <v>1</v>
      </c>
      <c r="R874" s="16" t="b">
        <f>FALSE()</f>
        <v>0</v>
      </c>
      <c r="S874" s="17">
        <f t="shared" si="13"/>
        <v>15</v>
      </c>
      <c r="T874">
        <f>COUNTIF('👤 Customers'!$A:$A, B874)</f>
        <v>1</v>
      </c>
      <c r="U874">
        <f>COUNTIF('🚴 Riders'!A873:A933, C874)</f>
        <v>0</v>
      </c>
      <c r="V874">
        <f>COUNTIF('🏭 Facilities'!A873:A881, D874)</f>
        <v>0</v>
      </c>
    </row>
    <row r="875" spans="1:22">
      <c r="A875" s="18" t="s">
        <v>2355</v>
      </c>
      <c r="B875" s="18" t="s">
        <v>1466</v>
      </c>
      <c r="C875" s="18" t="s">
        <v>228</v>
      </c>
      <c r="D875" s="18" t="s">
        <v>130</v>
      </c>
      <c r="E875" s="26">
        <v>45448</v>
      </c>
      <c r="F875" s="18" t="s">
        <v>2356</v>
      </c>
      <c r="G875" s="18" t="s">
        <v>125</v>
      </c>
      <c r="H875" s="18">
        <v>6.6</v>
      </c>
      <c r="I875" s="18">
        <v>199</v>
      </c>
      <c r="J875" s="18">
        <v>20</v>
      </c>
      <c r="K875" s="18">
        <v>1050.72</v>
      </c>
      <c r="L875" s="18" t="s">
        <v>126</v>
      </c>
      <c r="M875" s="18" t="s">
        <v>133</v>
      </c>
      <c r="N875" s="20"/>
      <c r="O875" s="20"/>
      <c r="P875" s="20"/>
      <c r="Q875" s="18" t="b">
        <f>FALSE()</f>
        <v>0</v>
      </c>
      <c r="R875" s="18" t="b">
        <f>TRUE()</f>
        <v>1</v>
      </c>
      <c r="S875" s="19" t="str">
        <f t="shared" si="13"/>
        <v>N/A</v>
      </c>
      <c r="T875">
        <f>COUNTIF('👤 Customers'!$A:$A, B875)</f>
        <v>1</v>
      </c>
      <c r="U875">
        <f>COUNTIF('🚴 Riders'!A874:A934, C875)</f>
        <v>0</v>
      </c>
      <c r="V875">
        <f>COUNTIF('🏭 Facilities'!A874:A882, D875)</f>
        <v>0</v>
      </c>
    </row>
    <row r="876" spans="1:22">
      <c r="A876" s="16" t="s">
        <v>2357</v>
      </c>
      <c r="B876" s="16" t="s">
        <v>1214</v>
      </c>
      <c r="C876" s="16" t="s">
        <v>157</v>
      </c>
      <c r="D876" s="16" t="s">
        <v>197</v>
      </c>
      <c r="E876" s="25">
        <v>45371</v>
      </c>
      <c r="F876" s="16" t="s">
        <v>2358</v>
      </c>
      <c r="G876" s="16" t="s">
        <v>132</v>
      </c>
      <c r="H876" s="16">
        <v>6.5</v>
      </c>
      <c r="I876" s="16">
        <v>399</v>
      </c>
      <c r="J876" s="16">
        <v>20</v>
      </c>
      <c r="K876" s="16">
        <v>2074.8000000000002</v>
      </c>
      <c r="L876" s="16" t="s">
        <v>207</v>
      </c>
      <c r="M876" s="16" t="s">
        <v>119</v>
      </c>
      <c r="N876" s="27">
        <v>45371.34097222222</v>
      </c>
      <c r="O876" s="27">
        <v>45372.213194444441</v>
      </c>
      <c r="P876" s="16">
        <v>4</v>
      </c>
      <c r="Q876" s="16" t="b">
        <f>FALSE()</f>
        <v>0</v>
      </c>
      <c r="R876" s="16" t="b">
        <f>FALSE()</f>
        <v>0</v>
      </c>
      <c r="S876" s="17">
        <f t="shared" si="13"/>
        <v>20.9</v>
      </c>
      <c r="T876">
        <f>COUNTIF('👤 Customers'!$A:$A, B876)</f>
        <v>1</v>
      </c>
      <c r="U876">
        <f>COUNTIF('🚴 Riders'!A875:A935, C876)</f>
        <v>0</v>
      </c>
      <c r="V876">
        <f>COUNTIF('🏭 Facilities'!A875:A883, D876)</f>
        <v>0</v>
      </c>
    </row>
    <row r="877" spans="1:22">
      <c r="A877" s="18" t="s">
        <v>2359</v>
      </c>
      <c r="B877" s="18" t="s">
        <v>863</v>
      </c>
      <c r="C877" s="18" t="s">
        <v>300</v>
      </c>
      <c r="D877" s="18" t="s">
        <v>137</v>
      </c>
      <c r="E877" s="26">
        <v>45417</v>
      </c>
      <c r="F877" s="18" t="s">
        <v>2360</v>
      </c>
      <c r="G877" s="18" t="s">
        <v>117</v>
      </c>
      <c r="H877" s="18">
        <v>6.5</v>
      </c>
      <c r="I877" s="18">
        <v>149</v>
      </c>
      <c r="J877" s="18">
        <v>0</v>
      </c>
      <c r="K877" s="18">
        <v>968.5</v>
      </c>
      <c r="L877" s="18" t="s">
        <v>126</v>
      </c>
      <c r="M877" s="18" t="s">
        <v>119</v>
      </c>
      <c r="N877" s="28">
        <v>45417.143055555556</v>
      </c>
      <c r="O877" s="28">
        <v>45417.615277777775</v>
      </c>
      <c r="P877" s="18">
        <v>4.3</v>
      </c>
      <c r="Q877" s="18" t="b">
        <f>TRUE()</f>
        <v>1</v>
      </c>
      <c r="R877" s="18" t="b">
        <f>FALSE()</f>
        <v>0</v>
      </c>
      <c r="S877" s="19">
        <f t="shared" si="13"/>
        <v>11.3</v>
      </c>
      <c r="T877">
        <f>COUNTIF('👤 Customers'!$A:$A, B877)</f>
        <v>1</v>
      </c>
      <c r="U877">
        <f>COUNTIF('🚴 Riders'!A876:A936, C877)</f>
        <v>0</v>
      </c>
      <c r="V877">
        <f>COUNTIF('🏭 Facilities'!A876:A884, D877)</f>
        <v>0</v>
      </c>
    </row>
    <row r="878" spans="1:22">
      <c r="A878" s="16" t="s">
        <v>2361</v>
      </c>
      <c r="B878" s="16" t="s">
        <v>1064</v>
      </c>
      <c r="C878" s="16" t="s">
        <v>166</v>
      </c>
      <c r="D878" s="16" t="s">
        <v>115</v>
      </c>
      <c r="E878" s="25">
        <v>45459</v>
      </c>
      <c r="F878" s="16" t="s">
        <v>2362</v>
      </c>
      <c r="G878" s="16" t="s">
        <v>132</v>
      </c>
      <c r="H878" s="16">
        <v>2.5</v>
      </c>
      <c r="I878" s="16">
        <v>399</v>
      </c>
      <c r="J878" s="16">
        <v>10</v>
      </c>
      <c r="K878" s="16">
        <v>897.75</v>
      </c>
      <c r="L878" s="16" t="s">
        <v>146</v>
      </c>
      <c r="M878" s="16" t="s">
        <v>119</v>
      </c>
      <c r="N878" s="27">
        <v>45459.589583333334</v>
      </c>
      <c r="O878" s="27">
        <v>45460.317361111112</v>
      </c>
      <c r="P878" s="16">
        <v>4.3</v>
      </c>
      <c r="Q878" s="16" t="b">
        <f>FALSE()</f>
        <v>0</v>
      </c>
      <c r="R878" s="16" t="b">
        <f>FALSE()</f>
        <v>0</v>
      </c>
      <c r="S878" s="17">
        <f t="shared" si="13"/>
        <v>17.5</v>
      </c>
      <c r="T878">
        <f>COUNTIF('👤 Customers'!$A:$A, B878)</f>
        <v>1</v>
      </c>
      <c r="U878">
        <f>COUNTIF('🚴 Riders'!A877:A937, C878)</f>
        <v>0</v>
      </c>
      <c r="V878">
        <f>COUNTIF('🏭 Facilities'!A877:A885, D878)</f>
        <v>0</v>
      </c>
    </row>
    <row r="879" spans="1:22">
      <c r="A879" s="18" t="s">
        <v>2363</v>
      </c>
      <c r="B879" s="18" t="s">
        <v>416</v>
      </c>
      <c r="C879" s="18" t="s">
        <v>483</v>
      </c>
      <c r="D879" s="18" t="s">
        <v>130</v>
      </c>
      <c r="E879" s="26">
        <v>45386</v>
      </c>
      <c r="F879" s="18" t="s">
        <v>2364</v>
      </c>
      <c r="G879" s="18" t="s">
        <v>125</v>
      </c>
      <c r="H879" s="18">
        <v>4.0999999999999996</v>
      </c>
      <c r="I879" s="18">
        <v>199</v>
      </c>
      <c r="J879" s="18">
        <v>0</v>
      </c>
      <c r="K879" s="18">
        <v>815.9</v>
      </c>
      <c r="L879" s="18" t="s">
        <v>126</v>
      </c>
      <c r="M879" s="18" t="s">
        <v>119</v>
      </c>
      <c r="N879" s="28">
        <v>45386.720138888886</v>
      </c>
      <c r="O879" s="28">
        <v>45387.172222222223</v>
      </c>
      <c r="P879" s="18">
        <v>4.3</v>
      </c>
      <c r="Q879" s="18" t="b">
        <f>TRUE()</f>
        <v>1</v>
      </c>
      <c r="R879" s="18" t="b">
        <f>TRUE()</f>
        <v>1</v>
      </c>
      <c r="S879" s="19">
        <f t="shared" si="13"/>
        <v>10.9</v>
      </c>
      <c r="T879">
        <f>COUNTIF('👤 Customers'!$A:$A, B879)</f>
        <v>1</v>
      </c>
      <c r="U879">
        <f>COUNTIF('🚴 Riders'!A878:A938, C879)</f>
        <v>0</v>
      </c>
      <c r="V879">
        <f>COUNTIF('🏭 Facilities'!A878:A886, D879)</f>
        <v>0</v>
      </c>
    </row>
    <row r="880" spans="1:22">
      <c r="A880" s="16" t="s">
        <v>2365</v>
      </c>
      <c r="B880" s="16" t="s">
        <v>1207</v>
      </c>
      <c r="C880" s="16" t="s">
        <v>247</v>
      </c>
      <c r="D880" s="16" t="s">
        <v>123</v>
      </c>
      <c r="E880" s="25">
        <v>45176</v>
      </c>
      <c r="F880" s="16" t="s">
        <v>2366</v>
      </c>
      <c r="G880" s="16" t="s">
        <v>132</v>
      </c>
      <c r="H880" s="16">
        <v>2.1</v>
      </c>
      <c r="I880" s="16">
        <v>399</v>
      </c>
      <c r="J880" s="16">
        <v>10</v>
      </c>
      <c r="K880" s="16">
        <v>754.11</v>
      </c>
      <c r="L880" s="16" t="s">
        <v>118</v>
      </c>
      <c r="M880" s="16" t="s">
        <v>133</v>
      </c>
      <c r="N880" s="20"/>
      <c r="O880" s="20"/>
      <c r="P880" s="20"/>
      <c r="Q880" s="16" t="b">
        <f>FALSE()</f>
        <v>0</v>
      </c>
      <c r="R880" s="16" t="b">
        <f>FALSE()</f>
        <v>0</v>
      </c>
      <c r="S880" s="17" t="str">
        <f t="shared" si="13"/>
        <v>N/A</v>
      </c>
      <c r="T880">
        <f>COUNTIF('👤 Customers'!$A:$A, B880)</f>
        <v>1</v>
      </c>
      <c r="U880">
        <f>COUNTIF('🚴 Riders'!A879:A939, C880)</f>
        <v>0</v>
      </c>
      <c r="V880">
        <f>COUNTIF('🏭 Facilities'!A879:A887, D880)</f>
        <v>0</v>
      </c>
    </row>
    <row r="881" spans="1:22">
      <c r="A881" s="18" t="s">
        <v>2367</v>
      </c>
      <c r="B881" s="18" t="s">
        <v>542</v>
      </c>
      <c r="C881" s="18" t="s">
        <v>196</v>
      </c>
      <c r="D881" s="18" t="s">
        <v>158</v>
      </c>
      <c r="E881" s="26">
        <v>45435</v>
      </c>
      <c r="F881" s="18" t="s">
        <v>2368</v>
      </c>
      <c r="G881" s="18" t="s">
        <v>117</v>
      </c>
      <c r="H881" s="18">
        <v>3</v>
      </c>
      <c r="I881" s="18">
        <v>149</v>
      </c>
      <c r="J881" s="18">
        <v>0</v>
      </c>
      <c r="K881" s="18">
        <v>447</v>
      </c>
      <c r="L881" s="18" t="s">
        <v>126</v>
      </c>
      <c r="M881" s="18" t="s">
        <v>119</v>
      </c>
      <c r="N881" s="28">
        <v>45435.660416666666</v>
      </c>
      <c r="O881" s="28">
        <v>45436.271527777775</v>
      </c>
      <c r="P881" s="18">
        <v>4.2</v>
      </c>
      <c r="Q881" s="18" t="b">
        <f>FALSE()</f>
        <v>0</v>
      </c>
      <c r="R881" s="18" t="b">
        <f>FALSE()</f>
        <v>0</v>
      </c>
      <c r="S881" s="19">
        <f t="shared" si="13"/>
        <v>14.7</v>
      </c>
      <c r="T881">
        <f>COUNTIF('👤 Customers'!$A:$A, B881)</f>
        <v>1</v>
      </c>
      <c r="U881">
        <f>COUNTIF('🚴 Riders'!A880:A940, C881)</f>
        <v>0</v>
      </c>
      <c r="V881">
        <f>COUNTIF('🏭 Facilities'!A880:A888, D881)</f>
        <v>0</v>
      </c>
    </row>
    <row r="882" spans="1:22">
      <c r="A882" s="16" t="s">
        <v>2369</v>
      </c>
      <c r="B882" s="16" t="s">
        <v>1480</v>
      </c>
      <c r="C882" s="16" t="s">
        <v>343</v>
      </c>
      <c r="D882" s="16" t="s">
        <v>205</v>
      </c>
      <c r="E882" s="25">
        <v>45505</v>
      </c>
      <c r="F882" s="16" t="s">
        <v>2370</v>
      </c>
      <c r="G882" s="16" t="s">
        <v>125</v>
      </c>
      <c r="H882" s="16">
        <v>3.2</v>
      </c>
      <c r="I882" s="16">
        <v>199</v>
      </c>
      <c r="J882" s="16">
        <v>10</v>
      </c>
      <c r="K882" s="16">
        <v>573.12</v>
      </c>
      <c r="L882" s="16" t="s">
        <v>139</v>
      </c>
      <c r="M882" s="16" t="s">
        <v>119</v>
      </c>
      <c r="N882" s="27">
        <v>45505.213194444441</v>
      </c>
      <c r="O882" s="27">
        <v>45506.038888888892</v>
      </c>
      <c r="P882" s="16">
        <v>3.4</v>
      </c>
      <c r="Q882" s="16" t="b">
        <f>FALSE()</f>
        <v>0</v>
      </c>
      <c r="R882" s="16" t="b">
        <f>FALSE()</f>
        <v>0</v>
      </c>
      <c r="S882" s="17">
        <f t="shared" si="13"/>
        <v>19.8</v>
      </c>
      <c r="T882">
        <f>COUNTIF('👤 Customers'!$A:$A, B882)</f>
        <v>1</v>
      </c>
      <c r="U882">
        <f>COUNTIF('🚴 Riders'!A881:A941, C882)</f>
        <v>0</v>
      </c>
      <c r="V882">
        <f>COUNTIF('🏭 Facilities'!A881:A889, D882)</f>
        <v>0</v>
      </c>
    </row>
    <row r="883" spans="1:22">
      <c r="A883" s="18" t="s">
        <v>2371</v>
      </c>
      <c r="B883" s="18" t="s">
        <v>566</v>
      </c>
      <c r="C883" s="18" t="s">
        <v>251</v>
      </c>
      <c r="D883" s="18" t="s">
        <v>115</v>
      </c>
      <c r="E883" s="26">
        <v>45160</v>
      </c>
      <c r="F883" s="18" t="s">
        <v>1329</v>
      </c>
      <c r="G883" s="18" t="s">
        <v>145</v>
      </c>
      <c r="H883" s="18">
        <v>3.2</v>
      </c>
      <c r="I883" s="18">
        <v>299</v>
      </c>
      <c r="J883" s="18">
        <v>30</v>
      </c>
      <c r="K883" s="18">
        <v>669.76</v>
      </c>
      <c r="L883" s="18" t="s">
        <v>118</v>
      </c>
      <c r="M883" s="18" t="s">
        <v>119</v>
      </c>
      <c r="N883" s="28">
        <v>45160.262499999997</v>
      </c>
      <c r="O883" s="28">
        <v>45160.739583333336</v>
      </c>
      <c r="P883" s="18">
        <v>4.8</v>
      </c>
      <c r="Q883" s="18" t="b">
        <f>FALSE()</f>
        <v>0</v>
      </c>
      <c r="R883" s="18" t="b">
        <f>FALSE()</f>
        <v>0</v>
      </c>
      <c r="S883" s="19">
        <f t="shared" si="13"/>
        <v>11.5</v>
      </c>
      <c r="T883">
        <f>COUNTIF('👤 Customers'!$A:$A, B883)</f>
        <v>1</v>
      </c>
      <c r="U883">
        <f>COUNTIF('🚴 Riders'!A882:A942, C883)</f>
        <v>0</v>
      </c>
      <c r="V883">
        <f>COUNTIF('🏭 Facilities'!A882:A890, D883)</f>
        <v>0</v>
      </c>
    </row>
    <row r="884" spans="1:22">
      <c r="A884" s="16" t="s">
        <v>2372</v>
      </c>
      <c r="B884" s="16" t="s">
        <v>1961</v>
      </c>
      <c r="C884" s="16" t="s">
        <v>188</v>
      </c>
      <c r="D884" s="16" t="s">
        <v>137</v>
      </c>
      <c r="E884" s="25">
        <v>45287</v>
      </c>
      <c r="F884" s="16" t="s">
        <v>2373</v>
      </c>
      <c r="G884" s="16" t="s">
        <v>145</v>
      </c>
      <c r="H884" s="16">
        <v>4.2</v>
      </c>
      <c r="I884" s="16">
        <v>299</v>
      </c>
      <c r="J884" s="16">
        <v>0</v>
      </c>
      <c r="K884" s="16">
        <v>1255.8</v>
      </c>
      <c r="L884" s="16" t="s">
        <v>139</v>
      </c>
      <c r="M884" s="16" t="s">
        <v>119</v>
      </c>
      <c r="N884" s="27">
        <v>45287.188888888886</v>
      </c>
      <c r="O884" s="27">
        <v>45287.510416666664</v>
      </c>
      <c r="P884" s="16">
        <v>3.4</v>
      </c>
      <c r="Q884" s="16" t="b">
        <f>FALSE()</f>
        <v>0</v>
      </c>
      <c r="R884" s="16" t="b">
        <f>FALSE()</f>
        <v>0</v>
      </c>
      <c r="S884" s="17">
        <f t="shared" si="13"/>
        <v>7.7</v>
      </c>
      <c r="T884">
        <f>COUNTIF('👤 Customers'!$A:$A, B884)</f>
        <v>1</v>
      </c>
      <c r="U884">
        <f>COUNTIF('🚴 Riders'!A883:A943, C884)</f>
        <v>0</v>
      </c>
      <c r="V884">
        <f>COUNTIF('🏭 Facilities'!A883:A891, D884)</f>
        <v>0</v>
      </c>
    </row>
    <row r="885" spans="1:22">
      <c r="A885" s="18" t="s">
        <v>2374</v>
      </c>
      <c r="B885" s="18" t="s">
        <v>2375</v>
      </c>
      <c r="C885" s="18" t="s">
        <v>232</v>
      </c>
      <c r="D885" s="18" t="s">
        <v>184</v>
      </c>
      <c r="E885" s="26">
        <v>45630</v>
      </c>
      <c r="F885" s="18" t="s">
        <v>2376</v>
      </c>
      <c r="G885" s="18" t="s">
        <v>132</v>
      </c>
      <c r="H885" s="18">
        <v>2.1</v>
      </c>
      <c r="I885" s="18">
        <v>399</v>
      </c>
      <c r="J885" s="18">
        <v>20</v>
      </c>
      <c r="K885" s="18">
        <v>670.32</v>
      </c>
      <c r="L885" s="18" t="s">
        <v>139</v>
      </c>
      <c r="M885" s="18" t="s">
        <v>119</v>
      </c>
      <c r="N885" s="28">
        <v>45630.25</v>
      </c>
      <c r="O885" s="28">
        <v>45630.847916666666</v>
      </c>
      <c r="P885" s="18">
        <v>3.5</v>
      </c>
      <c r="Q885" s="18" t="b">
        <f>FALSE()</f>
        <v>0</v>
      </c>
      <c r="R885" s="18" t="b">
        <f>FALSE()</f>
        <v>0</v>
      </c>
      <c r="S885" s="19">
        <f t="shared" si="13"/>
        <v>14.3</v>
      </c>
      <c r="T885">
        <f>COUNTIF('👤 Customers'!$A:$A, B885)</f>
        <v>1</v>
      </c>
      <c r="U885">
        <f>COUNTIF('🚴 Riders'!A884:A944, C885)</f>
        <v>0</v>
      </c>
      <c r="V885">
        <f>COUNTIF('🏭 Facilities'!A884:A892, D885)</f>
        <v>0</v>
      </c>
    </row>
    <row r="886" spans="1:22">
      <c r="A886" s="16" t="s">
        <v>2377</v>
      </c>
      <c r="B886" s="16" t="s">
        <v>1615</v>
      </c>
      <c r="C886" s="16" t="s">
        <v>322</v>
      </c>
      <c r="D886" s="16" t="s">
        <v>184</v>
      </c>
      <c r="E886" s="25">
        <v>45353</v>
      </c>
      <c r="F886" s="16" t="s">
        <v>2378</v>
      </c>
      <c r="G886" s="16" t="s">
        <v>117</v>
      </c>
      <c r="H886" s="16">
        <v>2.6</v>
      </c>
      <c r="I886" s="16">
        <v>149</v>
      </c>
      <c r="J886" s="16">
        <v>0</v>
      </c>
      <c r="K886" s="16">
        <v>387.4</v>
      </c>
      <c r="L886" s="16" t="s">
        <v>118</v>
      </c>
      <c r="M886" s="16" t="s">
        <v>140</v>
      </c>
      <c r="N886" s="27">
        <v>45353.769444444442</v>
      </c>
      <c r="O886" s="27">
        <v>45354.458333333336</v>
      </c>
      <c r="P886" s="20"/>
      <c r="Q886" s="16" t="b">
        <f>FALSE()</f>
        <v>0</v>
      </c>
      <c r="R886" s="16" t="b">
        <f>TRUE()</f>
        <v>1</v>
      </c>
      <c r="S886" s="17">
        <f t="shared" si="13"/>
        <v>16.5</v>
      </c>
      <c r="T886">
        <f>COUNTIF('👤 Customers'!$A:$A, B886)</f>
        <v>1</v>
      </c>
      <c r="U886">
        <f>COUNTIF('🚴 Riders'!A885:A945, C886)</f>
        <v>0</v>
      </c>
      <c r="V886">
        <f>COUNTIF('🏭 Facilities'!A885:A893, D886)</f>
        <v>0</v>
      </c>
    </row>
    <row r="887" spans="1:22">
      <c r="A887" s="18" t="s">
        <v>2379</v>
      </c>
      <c r="B887" s="18" t="s">
        <v>397</v>
      </c>
      <c r="C887" s="18" t="s">
        <v>261</v>
      </c>
      <c r="D887" s="18" t="s">
        <v>137</v>
      </c>
      <c r="E887" s="26">
        <v>45178</v>
      </c>
      <c r="F887" s="18" t="s">
        <v>2380</v>
      </c>
      <c r="G887" s="18" t="s">
        <v>145</v>
      </c>
      <c r="H887" s="18">
        <v>5.3</v>
      </c>
      <c r="I887" s="18">
        <v>299</v>
      </c>
      <c r="J887" s="18">
        <v>0</v>
      </c>
      <c r="K887" s="18">
        <v>1584.7</v>
      </c>
      <c r="L887" s="18" t="s">
        <v>118</v>
      </c>
      <c r="M887" s="18" t="s">
        <v>133</v>
      </c>
      <c r="N887" s="20"/>
      <c r="O887" s="20"/>
      <c r="P887" s="20"/>
      <c r="Q887" s="18" t="b">
        <f>FALSE()</f>
        <v>0</v>
      </c>
      <c r="R887" s="18" t="b">
        <f>FALSE()</f>
        <v>0</v>
      </c>
      <c r="S887" s="19" t="str">
        <f t="shared" si="13"/>
        <v>N/A</v>
      </c>
      <c r="T887">
        <f>COUNTIF('👤 Customers'!$A:$A, B887)</f>
        <v>1</v>
      </c>
      <c r="U887">
        <f>COUNTIF('🚴 Riders'!A886:A946, C887)</f>
        <v>0</v>
      </c>
      <c r="V887">
        <f>COUNTIF('🏭 Facilities'!A886:A894, D887)</f>
        <v>0</v>
      </c>
    </row>
    <row r="888" spans="1:22">
      <c r="A888" s="16" t="s">
        <v>2381</v>
      </c>
      <c r="B888" s="16" t="s">
        <v>1970</v>
      </c>
      <c r="C888" s="16" t="s">
        <v>358</v>
      </c>
      <c r="D888" s="16" t="s">
        <v>115</v>
      </c>
      <c r="E888" s="25">
        <v>45260</v>
      </c>
      <c r="F888" s="16" t="s">
        <v>2382</v>
      </c>
      <c r="G888" s="16" t="s">
        <v>176</v>
      </c>
      <c r="H888" s="16">
        <v>1.9</v>
      </c>
      <c r="I888" s="16">
        <v>599</v>
      </c>
      <c r="J888" s="16">
        <v>0</v>
      </c>
      <c r="K888" s="16">
        <v>1138.0999999999999</v>
      </c>
      <c r="L888" s="16" t="s">
        <v>126</v>
      </c>
      <c r="M888" s="16" t="s">
        <v>119</v>
      </c>
      <c r="N888" s="27">
        <v>45260.282638888886</v>
      </c>
      <c r="O888" s="27">
        <v>45260.911111111112</v>
      </c>
      <c r="P888" s="16">
        <v>2.5</v>
      </c>
      <c r="Q888" s="16" t="b">
        <f>FALSE()</f>
        <v>0</v>
      </c>
      <c r="R888" s="16" t="b">
        <f>FALSE()</f>
        <v>0</v>
      </c>
      <c r="S888" s="17">
        <f t="shared" si="13"/>
        <v>15.1</v>
      </c>
      <c r="T888">
        <f>COUNTIF('👤 Customers'!$A:$A, B888)</f>
        <v>1</v>
      </c>
      <c r="U888">
        <f>COUNTIF('🚴 Riders'!A887:A947, C888)</f>
        <v>0</v>
      </c>
      <c r="V888">
        <f>COUNTIF('🏭 Facilities'!A887:A895, D888)</f>
        <v>0</v>
      </c>
    </row>
    <row r="889" spans="1:22">
      <c r="A889" s="18" t="s">
        <v>2383</v>
      </c>
      <c r="B889" s="18" t="s">
        <v>2384</v>
      </c>
      <c r="C889" s="18" t="s">
        <v>162</v>
      </c>
      <c r="D889" s="18" t="s">
        <v>205</v>
      </c>
      <c r="E889" s="26">
        <v>45180</v>
      </c>
      <c r="F889" s="18" t="s">
        <v>2385</v>
      </c>
      <c r="G889" s="18" t="s">
        <v>132</v>
      </c>
      <c r="H889" s="18">
        <v>7.4</v>
      </c>
      <c r="I889" s="18">
        <v>399</v>
      </c>
      <c r="J889" s="18">
        <v>20</v>
      </c>
      <c r="K889" s="18">
        <v>2362.08</v>
      </c>
      <c r="L889" s="18" t="s">
        <v>207</v>
      </c>
      <c r="M889" s="18" t="s">
        <v>140</v>
      </c>
      <c r="N889" s="28">
        <v>45180.521527777775</v>
      </c>
      <c r="O889" s="28">
        <v>45181.60833333333</v>
      </c>
      <c r="P889" s="20"/>
      <c r="Q889" s="18" t="b">
        <f>FALSE()</f>
        <v>0</v>
      </c>
      <c r="R889" s="18" t="b">
        <f>FALSE()</f>
        <v>0</v>
      </c>
      <c r="S889" s="19">
        <f t="shared" si="13"/>
        <v>26.1</v>
      </c>
      <c r="T889">
        <f>COUNTIF('👤 Customers'!$A:$A, B889)</f>
        <v>1</v>
      </c>
      <c r="U889">
        <f>COUNTIF('🚴 Riders'!A888:A948, C889)</f>
        <v>0</v>
      </c>
      <c r="V889">
        <f>COUNTIF('🏭 Facilities'!A888:A896, D889)</f>
        <v>0</v>
      </c>
    </row>
    <row r="890" spans="1:22">
      <c r="A890" s="16" t="s">
        <v>2386</v>
      </c>
      <c r="B890" s="16" t="s">
        <v>377</v>
      </c>
      <c r="C890" s="16" t="s">
        <v>213</v>
      </c>
      <c r="D890" s="16" t="s">
        <v>184</v>
      </c>
      <c r="E890" s="25">
        <v>45534</v>
      </c>
      <c r="F890" s="16" t="s">
        <v>2387</v>
      </c>
      <c r="G890" s="16" t="s">
        <v>176</v>
      </c>
      <c r="H890" s="16">
        <v>7.8</v>
      </c>
      <c r="I890" s="16">
        <v>599</v>
      </c>
      <c r="J890" s="16">
        <v>0</v>
      </c>
      <c r="K890" s="16">
        <v>4672.2</v>
      </c>
      <c r="L890" s="16" t="s">
        <v>118</v>
      </c>
      <c r="M890" s="16" t="s">
        <v>133</v>
      </c>
      <c r="N890" s="20"/>
      <c r="O890" s="20"/>
      <c r="P890" s="20"/>
      <c r="Q890" s="16" t="b">
        <f>FALSE()</f>
        <v>0</v>
      </c>
      <c r="R890" s="16" t="b">
        <f>TRUE()</f>
        <v>1</v>
      </c>
      <c r="S890" s="17" t="str">
        <f t="shared" si="13"/>
        <v>N/A</v>
      </c>
      <c r="T890">
        <f>COUNTIF('👤 Customers'!$A:$A, B890)</f>
        <v>1</v>
      </c>
      <c r="U890">
        <f>COUNTIF('🚴 Riders'!A889:A949, C890)</f>
        <v>0</v>
      </c>
      <c r="V890">
        <f>COUNTIF('🏭 Facilities'!A889:A897, D890)</f>
        <v>0</v>
      </c>
    </row>
    <row r="891" spans="1:22">
      <c r="A891" s="18" t="s">
        <v>2388</v>
      </c>
      <c r="B891" s="18" t="s">
        <v>191</v>
      </c>
      <c r="C891" s="18" t="s">
        <v>153</v>
      </c>
      <c r="D891" s="18" t="s">
        <v>197</v>
      </c>
      <c r="E891" s="26">
        <v>45509</v>
      </c>
      <c r="F891" s="18" t="s">
        <v>2389</v>
      </c>
      <c r="G891" s="18" t="s">
        <v>132</v>
      </c>
      <c r="H891" s="18">
        <v>5.4</v>
      </c>
      <c r="I891" s="18">
        <v>399</v>
      </c>
      <c r="J891" s="18">
        <v>0</v>
      </c>
      <c r="K891" s="18">
        <v>2154.6</v>
      </c>
      <c r="L891" s="18" t="s">
        <v>139</v>
      </c>
      <c r="M891" s="18" t="s">
        <v>119</v>
      </c>
      <c r="N891" s="28">
        <v>45509.779861111114</v>
      </c>
      <c r="O891" s="28">
        <v>45510.825694444444</v>
      </c>
      <c r="P891" s="18">
        <v>3.5</v>
      </c>
      <c r="Q891" s="18" t="b">
        <f>FALSE()</f>
        <v>0</v>
      </c>
      <c r="R891" s="18" t="b">
        <f>FALSE()</f>
        <v>0</v>
      </c>
      <c r="S891" s="19">
        <f t="shared" si="13"/>
        <v>25.1</v>
      </c>
      <c r="T891">
        <f>COUNTIF('👤 Customers'!$A:$A, B891)</f>
        <v>1</v>
      </c>
      <c r="U891">
        <f>COUNTIF('🚴 Riders'!A890:A950, C891)</f>
        <v>0</v>
      </c>
      <c r="V891">
        <f>COUNTIF('🏭 Facilities'!A890:A898, D891)</f>
        <v>0</v>
      </c>
    </row>
    <row r="892" spans="1:22">
      <c r="A892" s="16" t="s">
        <v>2390</v>
      </c>
      <c r="B892" s="16" t="s">
        <v>2101</v>
      </c>
      <c r="C892" s="16" t="s">
        <v>157</v>
      </c>
      <c r="D892" s="16" t="s">
        <v>115</v>
      </c>
      <c r="E892" s="25">
        <v>45479</v>
      </c>
      <c r="F892" s="16" t="s">
        <v>2391</v>
      </c>
      <c r="G892" s="16" t="s">
        <v>132</v>
      </c>
      <c r="H892" s="16">
        <v>3.5</v>
      </c>
      <c r="I892" s="16">
        <v>399</v>
      </c>
      <c r="J892" s="16">
        <v>10</v>
      </c>
      <c r="K892" s="16">
        <v>1256.8499999999999</v>
      </c>
      <c r="L892" s="16" t="s">
        <v>146</v>
      </c>
      <c r="M892" s="16" t="s">
        <v>119</v>
      </c>
      <c r="N892" s="27">
        <v>45480.011111111111</v>
      </c>
      <c r="O892" s="27">
        <v>45480.804861111108</v>
      </c>
      <c r="P892" s="16">
        <v>2.9</v>
      </c>
      <c r="Q892" s="16" t="b">
        <f>FALSE()</f>
        <v>0</v>
      </c>
      <c r="R892" s="16" t="b">
        <f>FALSE()</f>
        <v>0</v>
      </c>
      <c r="S892" s="17">
        <f t="shared" si="13"/>
        <v>19</v>
      </c>
      <c r="T892">
        <f>COUNTIF('👤 Customers'!$A:$A, B892)</f>
        <v>1</v>
      </c>
      <c r="U892">
        <f>COUNTIF('🚴 Riders'!A891:A951, C892)</f>
        <v>0</v>
      </c>
      <c r="V892">
        <f>COUNTIF('🏭 Facilities'!A891:A899, D892)</f>
        <v>0</v>
      </c>
    </row>
    <row r="893" spans="1:22">
      <c r="A893" s="18" t="s">
        <v>2392</v>
      </c>
      <c r="B893" s="18" t="s">
        <v>1081</v>
      </c>
      <c r="C893" s="18" t="s">
        <v>283</v>
      </c>
      <c r="D893" s="18" t="s">
        <v>184</v>
      </c>
      <c r="E893" s="26">
        <v>45171</v>
      </c>
      <c r="F893" s="18" t="s">
        <v>2393</v>
      </c>
      <c r="G893" s="18" t="s">
        <v>176</v>
      </c>
      <c r="H893" s="18">
        <v>7.2</v>
      </c>
      <c r="I893" s="18">
        <v>599</v>
      </c>
      <c r="J893" s="18">
        <v>0</v>
      </c>
      <c r="K893" s="18">
        <v>4312.8</v>
      </c>
      <c r="L893" s="18" t="s">
        <v>207</v>
      </c>
      <c r="M893" s="18" t="s">
        <v>140</v>
      </c>
      <c r="N893" s="28">
        <v>45171.069444444445</v>
      </c>
      <c r="O893" s="28">
        <v>45172.104861111111</v>
      </c>
      <c r="P893" s="20"/>
      <c r="Q893" s="18" t="b">
        <f>FALSE()</f>
        <v>0</v>
      </c>
      <c r="R893" s="18" t="b">
        <f>FALSE()</f>
        <v>0</v>
      </c>
      <c r="S893" s="19">
        <f t="shared" si="13"/>
        <v>24.8</v>
      </c>
      <c r="T893">
        <f>COUNTIF('👤 Customers'!$A:$A, B893)</f>
        <v>1</v>
      </c>
      <c r="U893">
        <f>COUNTIF('🚴 Riders'!A892:A952, C893)</f>
        <v>0</v>
      </c>
      <c r="V893">
        <f>COUNTIF('🏭 Facilities'!A892:A900, D893)</f>
        <v>0</v>
      </c>
    </row>
    <row r="894" spans="1:22">
      <c r="A894" s="16" t="s">
        <v>2394</v>
      </c>
      <c r="B894" s="16" t="s">
        <v>1200</v>
      </c>
      <c r="C894" s="16" t="s">
        <v>143</v>
      </c>
      <c r="D894" s="16" t="s">
        <v>158</v>
      </c>
      <c r="E894" s="25">
        <v>45119</v>
      </c>
      <c r="F894" s="16" t="s">
        <v>1585</v>
      </c>
      <c r="G894" s="16" t="s">
        <v>145</v>
      </c>
      <c r="H894" s="16">
        <v>4</v>
      </c>
      <c r="I894" s="16">
        <v>299</v>
      </c>
      <c r="J894" s="16">
        <v>20</v>
      </c>
      <c r="K894" s="16">
        <v>956.8</v>
      </c>
      <c r="L894" s="16" t="s">
        <v>126</v>
      </c>
      <c r="M894" s="16" t="s">
        <v>119</v>
      </c>
      <c r="N894" s="27">
        <v>45119.867361111108</v>
      </c>
      <c r="O894" s="27">
        <v>45120.336805555555</v>
      </c>
      <c r="P894" s="16">
        <v>3.4</v>
      </c>
      <c r="Q894" s="16" t="b">
        <f>FALSE()</f>
        <v>0</v>
      </c>
      <c r="R894" s="16" t="b">
        <f>FALSE()</f>
        <v>0</v>
      </c>
      <c r="S894" s="17">
        <f t="shared" si="13"/>
        <v>11.3</v>
      </c>
      <c r="T894">
        <f>COUNTIF('👤 Customers'!$A:$A, B894)</f>
        <v>1</v>
      </c>
      <c r="U894">
        <f>COUNTIF('🚴 Riders'!A893:A953, C894)</f>
        <v>0</v>
      </c>
      <c r="V894">
        <f>COUNTIF('🏭 Facilities'!A893:A901, D894)</f>
        <v>0</v>
      </c>
    </row>
    <row r="895" spans="1:22">
      <c r="A895" s="18" t="s">
        <v>2395</v>
      </c>
      <c r="B895" s="18" t="s">
        <v>325</v>
      </c>
      <c r="C895" s="18" t="s">
        <v>287</v>
      </c>
      <c r="D895" s="18" t="s">
        <v>115</v>
      </c>
      <c r="E895" s="26">
        <v>45273</v>
      </c>
      <c r="F895" s="18" t="s">
        <v>2396</v>
      </c>
      <c r="G895" s="18" t="s">
        <v>145</v>
      </c>
      <c r="H895" s="18">
        <v>4.9000000000000004</v>
      </c>
      <c r="I895" s="18">
        <v>299</v>
      </c>
      <c r="J895" s="18">
        <v>0</v>
      </c>
      <c r="K895" s="18">
        <v>1465.1</v>
      </c>
      <c r="L895" s="18" t="s">
        <v>118</v>
      </c>
      <c r="M895" s="18" t="s">
        <v>119</v>
      </c>
      <c r="N895" s="28">
        <v>45273.986805555556</v>
      </c>
      <c r="O895" s="28">
        <v>45274.506249999999</v>
      </c>
      <c r="P895" s="18">
        <v>2.9</v>
      </c>
      <c r="Q895" s="18" t="b">
        <f>TRUE()</f>
        <v>1</v>
      </c>
      <c r="R895" s="18" t="b">
        <f>FALSE()</f>
        <v>0</v>
      </c>
      <c r="S895" s="19">
        <f t="shared" si="13"/>
        <v>12.5</v>
      </c>
      <c r="T895">
        <f>COUNTIF('👤 Customers'!$A:$A, B895)</f>
        <v>1</v>
      </c>
      <c r="U895">
        <f>COUNTIF('🚴 Riders'!A894:A954, C895)</f>
        <v>0</v>
      </c>
      <c r="V895">
        <f>COUNTIF('🏭 Facilities'!A894:A902, D895)</f>
        <v>0</v>
      </c>
    </row>
    <row r="896" spans="1:22">
      <c r="A896" s="16" t="s">
        <v>2397</v>
      </c>
      <c r="B896" s="16" t="s">
        <v>2398</v>
      </c>
      <c r="C896" s="16" t="s">
        <v>461</v>
      </c>
      <c r="D896" s="16" t="s">
        <v>158</v>
      </c>
      <c r="E896" s="25">
        <v>45023</v>
      </c>
      <c r="F896" s="16" t="s">
        <v>2399</v>
      </c>
      <c r="G896" s="16" t="s">
        <v>125</v>
      </c>
      <c r="H896" s="16">
        <v>7.1</v>
      </c>
      <c r="I896" s="16">
        <v>199</v>
      </c>
      <c r="J896" s="16">
        <v>0</v>
      </c>
      <c r="K896" s="16">
        <v>1412.9</v>
      </c>
      <c r="L896" s="16" t="s">
        <v>118</v>
      </c>
      <c r="M896" s="16" t="s">
        <v>119</v>
      </c>
      <c r="N896" s="27">
        <v>45023.288888888892</v>
      </c>
      <c r="O896" s="27">
        <v>45024.23541666667</v>
      </c>
      <c r="P896" s="16">
        <v>3.5</v>
      </c>
      <c r="Q896" s="16" t="b">
        <f>FALSE()</f>
        <v>0</v>
      </c>
      <c r="R896" s="16" t="b">
        <f>FALSE()</f>
        <v>0</v>
      </c>
      <c r="S896" s="17">
        <f t="shared" si="13"/>
        <v>22.7</v>
      </c>
      <c r="T896">
        <f>COUNTIF('👤 Customers'!$A:$A, B896)</f>
        <v>1</v>
      </c>
      <c r="U896">
        <f>COUNTIF('🚴 Riders'!A895:A955, C896)</f>
        <v>0</v>
      </c>
      <c r="V896">
        <f>COUNTIF('🏭 Facilities'!A895:A903, D896)</f>
        <v>0</v>
      </c>
    </row>
    <row r="897" spans="1:22">
      <c r="A897" s="18" t="s">
        <v>2400</v>
      </c>
      <c r="B897" s="18" t="s">
        <v>2401</v>
      </c>
      <c r="C897" s="18" t="s">
        <v>236</v>
      </c>
      <c r="D897" s="18" t="s">
        <v>197</v>
      </c>
      <c r="E897" s="26">
        <v>44953</v>
      </c>
      <c r="F897" s="18" t="s">
        <v>2402</v>
      </c>
      <c r="G897" s="18" t="s">
        <v>117</v>
      </c>
      <c r="H897" s="18">
        <v>3.3</v>
      </c>
      <c r="I897" s="18">
        <v>149</v>
      </c>
      <c r="J897" s="18">
        <v>10</v>
      </c>
      <c r="K897" s="18">
        <v>442.53</v>
      </c>
      <c r="L897" s="18" t="s">
        <v>126</v>
      </c>
      <c r="M897" s="18" t="s">
        <v>119</v>
      </c>
      <c r="N897" s="28">
        <v>44953.972916666666</v>
      </c>
      <c r="O897" s="28">
        <v>44954.365972222222</v>
      </c>
      <c r="P897" s="18">
        <v>2.8</v>
      </c>
      <c r="Q897" s="18" t="b">
        <f>TRUE()</f>
        <v>1</v>
      </c>
      <c r="R897" s="18" t="b">
        <f>TRUE()</f>
        <v>1</v>
      </c>
      <c r="S897" s="19">
        <f t="shared" si="13"/>
        <v>9.4</v>
      </c>
      <c r="T897">
        <f>COUNTIF('👤 Customers'!$A:$A, B897)</f>
        <v>1</v>
      </c>
      <c r="U897">
        <f>COUNTIF('🚴 Riders'!A896:A956, C897)</f>
        <v>0</v>
      </c>
      <c r="V897">
        <f>COUNTIF('🏭 Facilities'!A896:A904, D897)</f>
        <v>0</v>
      </c>
    </row>
    <row r="898" spans="1:22">
      <c r="A898" s="16" t="s">
        <v>2403</v>
      </c>
      <c r="B898" s="16" t="s">
        <v>2404</v>
      </c>
      <c r="C898" s="16" t="s">
        <v>354</v>
      </c>
      <c r="D898" s="16" t="s">
        <v>184</v>
      </c>
      <c r="E898" s="25">
        <v>45481</v>
      </c>
      <c r="F898" s="16" t="s">
        <v>2405</v>
      </c>
      <c r="G898" s="16" t="s">
        <v>132</v>
      </c>
      <c r="H898" s="16">
        <v>1.6</v>
      </c>
      <c r="I898" s="16">
        <v>399</v>
      </c>
      <c r="J898" s="16">
        <v>0</v>
      </c>
      <c r="K898" s="16">
        <v>638.4</v>
      </c>
      <c r="L898" s="16" t="s">
        <v>146</v>
      </c>
      <c r="M898" s="16" t="s">
        <v>119</v>
      </c>
      <c r="N898" s="27">
        <v>45481.536111111112</v>
      </c>
      <c r="O898" s="27">
        <v>45482.2</v>
      </c>
      <c r="P898" s="16">
        <v>3.5</v>
      </c>
      <c r="Q898" s="16" t="b">
        <f>FALSE()</f>
        <v>0</v>
      </c>
      <c r="R898" s="16" t="b">
        <f>FALSE()</f>
        <v>0</v>
      </c>
      <c r="S898" s="17">
        <f t="shared" ref="S898:S961" si="14">IF(OR(N898="",O898=""),"N/A",ROUND(((O898-N898)*24),1))</f>
        <v>15.9</v>
      </c>
      <c r="T898">
        <f>COUNTIF('👤 Customers'!$A:$A, B898)</f>
        <v>1</v>
      </c>
      <c r="U898">
        <f>COUNTIF('🚴 Riders'!A897:A957, C898)</f>
        <v>0</v>
      </c>
      <c r="V898">
        <f>COUNTIF('🏭 Facilities'!A897:A905, D898)</f>
        <v>0</v>
      </c>
    </row>
    <row r="899" spans="1:22">
      <c r="A899" s="18" t="s">
        <v>2406</v>
      </c>
      <c r="B899" s="18" t="s">
        <v>938</v>
      </c>
      <c r="C899" s="18" t="s">
        <v>143</v>
      </c>
      <c r="D899" s="18" t="s">
        <v>184</v>
      </c>
      <c r="E899" s="26">
        <v>45352</v>
      </c>
      <c r="F899" s="18" t="s">
        <v>2407</v>
      </c>
      <c r="G899" s="18" t="s">
        <v>125</v>
      </c>
      <c r="H899" s="18">
        <v>6.7</v>
      </c>
      <c r="I899" s="18">
        <v>199</v>
      </c>
      <c r="J899" s="18">
        <v>0</v>
      </c>
      <c r="K899" s="18">
        <v>1333.3</v>
      </c>
      <c r="L899" s="18" t="s">
        <v>126</v>
      </c>
      <c r="M899" s="18" t="s">
        <v>119</v>
      </c>
      <c r="N899" s="28">
        <v>45352.851388888892</v>
      </c>
      <c r="O899" s="28">
        <v>45353.813888888886</v>
      </c>
      <c r="P899" s="18">
        <v>4.0999999999999996</v>
      </c>
      <c r="Q899" s="18" t="b">
        <f>FALSE()</f>
        <v>0</v>
      </c>
      <c r="R899" s="18" t="b">
        <f>FALSE()</f>
        <v>0</v>
      </c>
      <c r="S899" s="19">
        <f t="shared" si="14"/>
        <v>23.1</v>
      </c>
      <c r="T899">
        <f>COUNTIF('👤 Customers'!$A:$A, B899)</f>
        <v>1</v>
      </c>
      <c r="U899">
        <f>COUNTIF('🚴 Riders'!A898:A958, C899)</f>
        <v>0</v>
      </c>
      <c r="V899">
        <f>COUNTIF('🏭 Facilities'!A898:A906, D899)</f>
        <v>0</v>
      </c>
    </row>
    <row r="900" spans="1:22">
      <c r="A900" s="16" t="s">
        <v>2408</v>
      </c>
      <c r="B900" s="16" t="s">
        <v>617</v>
      </c>
      <c r="C900" s="16" t="s">
        <v>354</v>
      </c>
      <c r="D900" s="16" t="s">
        <v>184</v>
      </c>
      <c r="E900" s="25">
        <v>44959</v>
      </c>
      <c r="F900" s="16" t="s">
        <v>2409</v>
      </c>
      <c r="G900" s="16" t="s">
        <v>132</v>
      </c>
      <c r="H900" s="16">
        <v>6.3</v>
      </c>
      <c r="I900" s="16">
        <v>399</v>
      </c>
      <c r="J900" s="16">
        <v>20</v>
      </c>
      <c r="K900" s="16">
        <v>2010.96</v>
      </c>
      <c r="L900" s="16" t="s">
        <v>146</v>
      </c>
      <c r="M900" s="16" t="s">
        <v>119</v>
      </c>
      <c r="N900" s="27">
        <v>44959.852777777778</v>
      </c>
      <c r="O900" s="27">
        <v>44960.449305555558</v>
      </c>
      <c r="P900" s="16">
        <v>4.4000000000000004</v>
      </c>
      <c r="Q900" s="16" t="b">
        <f>FALSE()</f>
        <v>0</v>
      </c>
      <c r="R900" s="16" t="b">
        <f>FALSE()</f>
        <v>0</v>
      </c>
      <c r="S900" s="17">
        <f t="shared" si="14"/>
        <v>14.3</v>
      </c>
      <c r="T900">
        <f>COUNTIF('👤 Customers'!$A:$A, B900)</f>
        <v>1</v>
      </c>
      <c r="U900">
        <f>COUNTIF('🚴 Riders'!A899:A959, C900)</f>
        <v>0</v>
      </c>
      <c r="V900">
        <f>COUNTIF('🏭 Facilities'!A899:A907, D900)</f>
        <v>0</v>
      </c>
    </row>
    <row r="901" spans="1:22">
      <c r="A901" s="18" t="s">
        <v>2410</v>
      </c>
      <c r="B901" s="18" t="s">
        <v>2411</v>
      </c>
      <c r="C901" s="18" t="s">
        <v>224</v>
      </c>
      <c r="D901" s="18" t="s">
        <v>197</v>
      </c>
      <c r="E901" s="26">
        <v>45468</v>
      </c>
      <c r="F901" s="18" t="s">
        <v>2412</v>
      </c>
      <c r="G901" s="18" t="s">
        <v>145</v>
      </c>
      <c r="H901" s="18">
        <v>4.9000000000000004</v>
      </c>
      <c r="I901" s="18">
        <v>299</v>
      </c>
      <c r="J901" s="18">
        <v>0</v>
      </c>
      <c r="K901" s="18">
        <v>1465.1</v>
      </c>
      <c r="L901" s="18" t="s">
        <v>146</v>
      </c>
      <c r="M901" s="18" t="s">
        <v>133</v>
      </c>
      <c r="N901" s="20"/>
      <c r="O901" s="20"/>
      <c r="P901" s="20"/>
      <c r="Q901" s="18" t="b">
        <f>FALSE()</f>
        <v>0</v>
      </c>
      <c r="R901" s="18" t="b">
        <f>FALSE()</f>
        <v>0</v>
      </c>
      <c r="S901" s="19" t="str">
        <f t="shared" si="14"/>
        <v>N/A</v>
      </c>
      <c r="T901">
        <f>COUNTIF('👤 Customers'!$A:$A, B901)</f>
        <v>1</v>
      </c>
      <c r="U901">
        <f>COUNTIF('🚴 Riders'!A900:A960, C901)</f>
        <v>0</v>
      </c>
      <c r="V901">
        <f>COUNTIF('🏭 Facilities'!A900:A908, D901)</f>
        <v>0</v>
      </c>
    </row>
    <row r="902" spans="1:22">
      <c r="A902" s="16" t="s">
        <v>2413</v>
      </c>
      <c r="B902" s="16" t="s">
        <v>2384</v>
      </c>
      <c r="C902" s="16" t="s">
        <v>358</v>
      </c>
      <c r="D902" s="16" t="s">
        <v>158</v>
      </c>
      <c r="E902" s="25">
        <v>45570</v>
      </c>
      <c r="F902" s="16" t="s">
        <v>2414</v>
      </c>
      <c r="G902" s="16" t="s">
        <v>132</v>
      </c>
      <c r="H902" s="16">
        <v>3.8</v>
      </c>
      <c r="I902" s="16">
        <v>399</v>
      </c>
      <c r="J902" s="16">
        <v>0</v>
      </c>
      <c r="K902" s="16">
        <v>1516.2</v>
      </c>
      <c r="L902" s="16" t="s">
        <v>207</v>
      </c>
      <c r="M902" s="16" t="s">
        <v>119</v>
      </c>
      <c r="N902" s="27">
        <v>45571.086111111108</v>
      </c>
      <c r="O902" s="27">
        <v>45571.959027777775</v>
      </c>
      <c r="P902" s="16">
        <v>4.5999999999999996</v>
      </c>
      <c r="Q902" s="16" t="b">
        <f>FALSE()</f>
        <v>0</v>
      </c>
      <c r="R902" s="16" t="b">
        <f>FALSE()</f>
        <v>0</v>
      </c>
      <c r="S902" s="17">
        <f t="shared" si="14"/>
        <v>21</v>
      </c>
      <c r="T902">
        <f>COUNTIF('👤 Customers'!$A:$A, B902)</f>
        <v>1</v>
      </c>
      <c r="U902">
        <f>COUNTIF('🚴 Riders'!A901:A961, C902)</f>
        <v>0</v>
      </c>
      <c r="V902">
        <f>COUNTIF('🏭 Facilities'!A901:A909, D902)</f>
        <v>0</v>
      </c>
    </row>
    <row r="903" spans="1:22">
      <c r="A903" s="18" t="s">
        <v>2415</v>
      </c>
      <c r="B903" s="18" t="s">
        <v>286</v>
      </c>
      <c r="C903" s="18" t="s">
        <v>322</v>
      </c>
      <c r="D903" s="18" t="s">
        <v>158</v>
      </c>
      <c r="E903" s="26">
        <v>45079</v>
      </c>
      <c r="F903" s="18" t="s">
        <v>2416</v>
      </c>
      <c r="G903" s="18" t="s">
        <v>117</v>
      </c>
      <c r="H903" s="18">
        <v>7.3</v>
      </c>
      <c r="I903" s="18">
        <v>149</v>
      </c>
      <c r="J903" s="18">
        <v>0</v>
      </c>
      <c r="K903" s="18">
        <v>1087.7</v>
      </c>
      <c r="L903" s="18" t="s">
        <v>207</v>
      </c>
      <c r="M903" s="18" t="s">
        <v>140</v>
      </c>
      <c r="N903" s="28">
        <v>45079.122916666667</v>
      </c>
      <c r="O903" s="28">
        <v>45079.486805555556</v>
      </c>
      <c r="P903" s="20"/>
      <c r="Q903" s="18" t="b">
        <f>FALSE()</f>
        <v>0</v>
      </c>
      <c r="R903" s="18" t="b">
        <f>TRUE()</f>
        <v>1</v>
      </c>
      <c r="S903" s="19">
        <f t="shared" si="14"/>
        <v>8.6999999999999993</v>
      </c>
      <c r="T903">
        <f>COUNTIF('👤 Customers'!$A:$A, B903)</f>
        <v>1</v>
      </c>
      <c r="U903">
        <f>COUNTIF('🚴 Riders'!A902:A962, C903)</f>
        <v>0</v>
      </c>
      <c r="V903">
        <f>COUNTIF('🏭 Facilities'!A902:A910, D903)</f>
        <v>0</v>
      </c>
    </row>
    <row r="904" spans="1:22">
      <c r="A904" s="16" t="s">
        <v>2417</v>
      </c>
      <c r="B904" s="16" t="s">
        <v>1382</v>
      </c>
      <c r="C904" s="16" t="s">
        <v>257</v>
      </c>
      <c r="D904" s="16" t="s">
        <v>130</v>
      </c>
      <c r="E904" s="25">
        <v>45551</v>
      </c>
      <c r="F904" s="16" t="s">
        <v>2418</v>
      </c>
      <c r="G904" s="16" t="s">
        <v>125</v>
      </c>
      <c r="H904" s="16">
        <v>6.2</v>
      </c>
      <c r="I904" s="16">
        <v>199</v>
      </c>
      <c r="J904" s="16">
        <v>20</v>
      </c>
      <c r="K904" s="16">
        <v>987.04</v>
      </c>
      <c r="L904" s="16" t="s">
        <v>146</v>
      </c>
      <c r="M904" s="16" t="s">
        <v>119</v>
      </c>
      <c r="N904" s="27">
        <v>45552.11041666667</v>
      </c>
      <c r="O904" s="27">
        <v>45552.978472222225</v>
      </c>
      <c r="P904" s="16">
        <v>4.5</v>
      </c>
      <c r="Q904" s="16" t="b">
        <f>FALSE()</f>
        <v>0</v>
      </c>
      <c r="R904" s="16" t="b">
        <f>TRUE()</f>
        <v>1</v>
      </c>
      <c r="S904" s="17">
        <f t="shared" si="14"/>
        <v>20.8</v>
      </c>
      <c r="T904">
        <f>COUNTIF('👤 Customers'!$A:$A, B904)</f>
        <v>1</v>
      </c>
      <c r="U904">
        <f>COUNTIF('🚴 Riders'!A903:A963, C904)</f>
        <v>0</v>
      </c>
      <c r="V904">
        <f>COUNTIF('🏭 Facilities'!A903:A911, D904)</f>
        <v>0</v>
      </c>
    </row>
    <row r="905" spans="1:22">
      <c r="A905" s="18" t="s">
        <v>2419</v>
      </c>
      <c r="B905" s="18" t="s">
        <v>1342</v>
      </c>
      <c r="C905" s="18" t="s">
        <v>536</v>
      </c>
      <c r="D905" s="18" t="s">
        <v>205</v>
      </c>
      <c r="E905" s="26">
        <v>45413</v>
      </c>
      <c r="F905" s="18" t="s">
        <v>2420</v>
      </c>
      <c r="G905" s="18" t="s">
        <v>132</v>
      </c>
      <c r="H905" s="18">
        <v>5</v>
      </c>
      <c r="I905" s="18">
        <v>399</v>
      </c>
      <c r="J905" s="18">
        <v>20</v>
      </c>
      <c r="K905" s="18">
        <v>1596</v>
      </c>
      <c r="L905" s="18" t="s">
        <v>207</v>
      </c>
      <c r="M905" s="18" t="s">
        <v>119</v>
      </c>
      <c r="N905" s="28">
        <v>45413.37222222222</v>
      </c>
      <c r="O905" s="28">
        <v>45413.682638888888</v>
      </c>
      <c r="P905" s="18">
        <v>3.7</v>
      </c>
      <c r="Q905" s="18" t="b">
        <f>FALSE()</f>
        <v>0</v>
      </c>
      <c r="R905" s="18" t="b">
        <f>FALSE()</f>
        <v>0</v>
      </c>
      <c r="S905" s="19">
        <f t="shared" si="14"/>
        <v>7.5</v>
      </c>
      <c r="T905">
        <f>COUNTIF('👤 Customers'!$A:$A, B905)</f>
        <v>1</v>
      </c>
      <c r="U905">
        <f>COUNTIF('🚴 Riders'!A904:A964, C905)</f>
        <v>0</v>
      </c>
      <c r="V905">
        <f>COUNTIF('🏭 Facilities'!A904:A912, D905)</f>
        <v>0</v>
      </c>
    </row>
    <row r="906" spans="1:22">
      <c r="A906" s="16" t="s">
        <v>2421</v>
      </c>
      <c r="B906" s="16" t="s">
        <v>1041</v>
      </c>
      <c r="C906" s="16" t="s">
        <v>350</v>
      </c>
      <c r="D906" s="16" t="s">
        <v>130</v>
      </c>
      <c r="E906" s="25">
        <v>45282</v>
      </c>
      <c r="F906" s="16" t="s">
        <v>2422</v>
      </c>
      <c r="G906" s="16" t="s">
        <v>145</v>
      </c>
      <c r="H906" s="16">
        <v>5.2</v>
      </c>
      <c r="I906" s="16">
        <v>299</v>
      </c>
      <c r="J906" s="16">
        <v>0</v>
      </c>
      <c r="K906" s="16">
        <v>1554.8</v>
      </c>
      <c r="L906" s="16" t="s">
        <v>126</v>
      </c>
      <c r="M906" s="16" t="s">
        <v>119</v>
      </c>
      <c r="N906" s="27">
        <v>45282.739583333336</v>
      </c>
      <c r="O906" s="27">
        <v>45283.545138888891</v>
      </c>
      <c r="P906" s="16">
        <v>4</v>
      </c>
      <c r="Q906" s="16" t="b">
        <f>FALSE()</f>
        <v>0</v>
      </c>
      <c r="R906" s="16" t="b">
        <f>FALSE()</f>
        <v>0</v>
      </c>
      <c r="S906" s="17">
        <f t="shared" si="14"/>
        <v>19.3</v>
      </c>
      <c r="T906">
        <f>COUNTIF('👤 Customers'!$A:$A, B906)</f>
        <v>1</v>
      </c>
      <c r="U906">
        <f>COUNTIF('🚴 Riders'!A905:A965, C906)</f>
        <v>0</v>
      </c>
      <c r="V906">
        <f>COUNTIF('🏭 Facilities'!A905:A913, D906)</f>
        <v>0</v>
      </c>
    </row>
    <row r="907" spans="1:22">
      <c r="A907" s="18" t="s">
        <v>2423</v>
      </c>
      <c r="B907" s="18" t="s">
        <v>678</v>
      </c>
      <c r="C907" s="18" t="s">
        <v>228</v>
      </c>
      <c r="D907" s="18" t="s">
        <v>184</v>
      </c>
      <c r="E907" s="26">
        <v>45408</v>
      </c>
      <c r="F907" s="18" t="s">
        <v>2424</v>
      </c>
      <c r="G907" s="18" t="s">
        <v>125</v>
      </c>
      <c r="H907" s="18">
        <v>7</v>
      </c>
      <c r="I907" s="18">
        <v>199</v>
      </c>
      <c r="J907" s="18">
        <v>20</v>
      </c>
      <c r="K907" s="18">
        <v>1114.4000000000001</v>
      </c>
      <c r="L907" s="18" t="s">
        <v>118</v>
      </c>
      <c r="M907" s="18" t="s">
        <v>119</v>
      </c>
      <c r="N907" s="28">
        <v>45408.071527777778</v>
      </c>
      <c r="O907" s="28">
        <v>45408.696527777778</v>
      </c>
      <c r="P907" s="18">
        <v>3</v>
      </c>
      <c r="Q907" s="18" t="b">
        <f>FALSE()</f>
        <v>0</v>
      </c>
      <c r="R907" s="18" t="b">
        <f>FALSE()</f>
        <v>0</v>
      </c>
      <c r="S907" s="19">
        <f t="shared" si="14"/>
        <v>15</v>
      </c>
      <c r="T907">
        <f>COUNTIF('👤 Customers'!$A:$A, B907)</f>
        <v>1</v>
      </c>
      <c r="U907">
        <f>COUNTIF('🚴 Riders'!A906:A966, C907)</f>
        <v>0</v>
      </c>
      <c r="V907">
        <f>COUNTIF('🏭 Facilities'!A906:A914, D907)</f>
        <v>0</v>
      </c>
    </row>
    <row r="908" spans="1:22">
      <c r="A908" s="16" t="s">
        <v>2425</v>
      </c>
      <c r="B908" s="16" t="s">
        <v>419</v>
      </c>
      <c r="C908" s="16" t="s">
        <v>343</v>
      </c>
      <c r="D908" s="16" t="s">
        <v>115</v>
      </c>
      <c r="E908" s="25">
        <v>45607</v>
      </c>
      <c r="F908" s="16" t="s">
        <v>2426</v>
      </c>
      <c r="G908" s="16" t="s">
        <v>117</v>
      </c>
      <c r="H908" s="16">
        <v>1.5</v>
      </c>
      <c r="I908" s="16">
        <v>149</v>
      </c>
      <c r="J908" s="16">
        <v>0</v>
      </c>
      <c r="K908" s="16">
        <v>223.5</v>
      </c>
      <c r="L908" s="16" t="s">
        <v>207</v>
      </c>
      <c r="M908" s="16" t="s">
        <v>119</v>
      </c>
      <c r="N908" s="27">
        <v>45607.818749999999</v>
      </c>
      <c r="O908" s="27">
        <v>45608.146527777775</v>
      </c>
      <c r="P908" s="16">
        <v>2.8</v>
      </c>
      <c r="Q908" s="16" t="b">
        <f>FALSE()</f>
        <v>0</v>
      </c>
      <c r="R908" s="16" t="b">
        <f>FALSE()</f>
        <v>0</v>
      </c>
      <c r="S908" s="17">
        <f t="shared" si="14"/>
        <v>7.9</v>
      </c>
      <c r="T908">
        <f>COUNTIF('👤 Customers'!$A:$A, B908)</f>
        <v>1</v>
      </c>
      <c r="U908">
        <f>COUNTIF('🚴 Riders'!A907:A967, C908)</f>
        <v>0</v>
      </c>
      <c r="V908">
        <f>COUNTIF('🏭 Facilities'!A907:A915, D908)</f>
        <v>0</v>
      </c>
    </row>
    <row r="909" spans="1:22">
      <c r="A909" s="18" t="s">
        <v>2427</v>
      </c>
      <c r="B909" s="18" t="s">
        <v>1807</v>
      </c>
      <c r="C909" s="18" t="s">
        <v>479</v>
      </c>
      <c r="D909" s="18" t="s">
        <v>123</v>
      </c>
      <c r="E909" s="26">
        <v>45542</v>
      </c>
      <c r="F909" s="18" t="s">
        <v>2428</v>
      </c>
      <c r="G909" s="18" t="s">
        <v>125</v>
      </c>
      <c r="H909" s="18">
        <v>7.2</v>
      </c>
      <c r="I909" s="18">
        <v>199</v>
      </c>
      <c r="J909" s="18">
        <v>20</v>
      </c>
      <c r="K909" s="18">
        <v>1146.24</v>
      </c>
      <c r="L909" s="18" t="s">
        <v>118</v>
      </c>
      <c r="M909" s="18" t="s">
        <v>119</v>
      </c>
      <c r="N909" s="28">
        <v>45542.779166666667</v>
      </c>
      <c r="O909" s="28">
        <v>45543.155555555553</v>
      </c>
      <c r="P909" s="18">
        <v>2.6</v>
      </c>
      <c r="Q909" s="18" t="b">
        <f>FALSE()</f>
        <v>0</v>
      </c>
      <c r="R909" s="18" t="b">
        <f>TRUE()</f>
        <v>1</v>
      </c>
      <c r="S909" s="19">
        <f t="shared" si="14"/>
        <v>9</v>
      </c>
      <c r="T909">
        <f>COUNTIF('👤 Customers'!$A:$A, B909)</f>
        <v>1</v>
      </c>
      <c r="U909">
        <f>COUNTIF('🚴 Riders'!A908:A968, C909)</f>
        <v>0</v>
      </c>
      <c r="V909">
        <f>COUNTIF('🏭 Facilities'!A908:A916, D909)</f>
        <v>0</v>
      </c>
    </row>
    <row r="910" spans="1:22">
      <c r="A910" s="16" t="s">
        <v>2429</v>
      </c>
      <c r="B910" s="16" t="s">
        <v>660</v>
      </c>
      <c r="C910" s="16" t="s">
        <v>536</v>
      </c>
      <c r="D910" s="16" t="s">
        <v>184</v>
      </c>
      <c r="E910" s="25">
        <v>45464</v>
      </c>
      <c r="F910" s="16" t="s">
        <v>2430</v>
      </c>
      <c r="G910" s="16" t="s">
        <v>132</v>
      </c>
      <c r="H910" s="16">
        <v>2.5</v>
      </c>
      <c r="I910" s="16">
        <v>399</v>
      </c>
      <c r="J910" s="16">
        <v>0</v>
      </c>
      <c r="K910" s="16">
        <v>997.5</v>
      </c>
      <c r="L910" s="16" t="s">
        <v>146</v>
      </c>
      <c r="M910" s="16" t="s">
        <v>119</v>
      </c>
      <c r="N910" s="27">
        <v>45464.363194444442</v>
      </c>
      <c r="O910" s="27">
        <v>45465.097222222219</v>
      </c>
      <c r="P910" s="16">
        <v>4.7</v>
      </c>
      <c r="Q910" s="16" t="b">
        <f>FALSE()</f>
        <v>0</v>
      </c>
      <c r="R910" s="16" t="b">
        <f>FALSE()</f>
        <v>0</v>
      </c>
      <c r="S910" s="17">
        <f t="shared" si="14"/>
        <v>17.600000000000001</v>
      </c>
      <c r="T910">
        <f>COUNTIF('👤 Customers'!$A:$A, B910)</f>
        <v>1</v>
      </c>
      <c r="U910">
        <f>COUNTIF('🚴 Riders'!A909:A969, C910)</f>
        <v>0</v>
      </c>
      <c r="V910">
        <f>COUNTIF('🏭 Facilities'!A909:A917, D910)</f>
        <v>0</v>
      </c>
    </row>
    <row r="911" spans="1:22">
      <c r="A911" s="18" t="s">
        <v>2431</v>
      </c>
      <c r="B911" s="18" t="s">
        <v>2195</v>
      </c>
      <c r="C911" s="18" t="s">
        <v>232</v>
      </c>
      <c r="D911" s="18" t="s">
        <v>130</v>
      </c>
      <c r="E911" s="26">
        <v>45607</v>
      </c>
      <c r="F911" s="18" t="s">
        <v>2432</v>
      </c>
      <c r="G911" s="18" t="s">
        <v>117</v>
      </c>
      <c r="H911" s="18">
        <v>6</v>
      </c>
      <c r="I911" s="18">
        <v>149</v>
      </c>
      <c r="J911" s="18">
        <v>10</v>
      </c>
      <c r="K911" s="18">
        <v>804.6</v>
      </c>
      <c r="L911" s="18" t="s">
        <v>139</v>
      </c>
      <c r="M911" s="18" t="s">
        <v>119</v>
      </c>
      <c r="N911" s="28">
        <v>45607.838888888888</v>
      </c>
      <c r="O911" s="28">
        <v>45608.171527777777</v>
      </c>
      <c r="P911" s="18">
        <v>4.5</v>
      </c>
      <c r="Q911" s="18" t="b">
        <f>FALSE()</f>
        <v>0</v>
      </c>
      <c r="R911" s="18" t="b">
        <f>TRUE()</f>
        <v>1</v>
      </c>
      <c r="S911" s="19">
        <f t="shared" si="14"/>
        <v>8</v>
      </c>
      <c r="T911">
        <f>COUNTIF('👤 Customers'!$A:$A, B911)</f>
        <v>1</v>
      </c>
      <c r="U911">
        <f>COUNTIF('🚴 Riders'!A910:A970, C911)</f>
        <v>0</v>
      </c>
      <c r="V911">
        <f>COUNTIF('🏭 Facilities'!A910:A918, D911)</f>
        <v>0</v>
      </c>
    </row>
    <row r="912" spans="1:22">
      <c r="A912" s="16" t="s">
        <v>2433</v>
      </c>
      <c r="B912" s="16" t="s">
        <v>142</v>
      </c>
      <c r="C912" s="16" t="s">
        <v>287</v>
      </c>
      <c r="D912" s="16" t="s">
        <v>205</v>
      </c>
      <c r="E912" s="25">
        <v>45364</v>
      </c>
      <c r="F912" s="16" t="s">
        <v>2434</v>
      </c>
      <c r="G912" s="16" t="s">
        <v>145</v>
      </c>
      <c r="H912" s="16">
        <v>4.9000000000000004</v>
      </c>
      <c r="I912" s="16">
        <v>299</v>
      </c>
      <c r="J912" s="16">
        <v>10</v>
      </c>
      <c r="K912" s="16">
        <v>1318.59</v>
      </c>
      <c r="L912" s="16" t="s">
        <v>139</v>
      </c>
      <c r="M912" s="16" t="s">
        <v>119</v>
      </c>
      <c r="N912" s="27">
        <v>45364.584722222222</v>
      </c>
      <c r="O912" s="27">
        <v>45365.456944444442</v>
      </c>
      <c r="P912" s="16">
        <v>4.5999999999999996</v>
      </c>
      <c r="Q912" s="16" t="b">
        <f>FALSE()</f>
        <v>0</v>
      </c>
      <c r="R912" s="16" t="b">
        <f>FALSE()</f>
        <v>0</v>
      </c>
      <c r="S912" s="17">
        <f t="shared" si="14"/>
        <v>20.9</v>
      </c>
      <c r="T912">
        <f>COUNTIF('👤 Customers'!$A:$A, B912)</f>
        <v>1</v>
      </c>
      <c r="U912">
        <f>COUNTIF('🚴 Riders'!A911:A971, C912)</f>
        <v>0</v>
      </c>
      <c r="V912">
        <f>COUNTIF('🏭 Facilities'!A911:A919, D912)</f>
        <v>0</v>
      </c>
    </row>
    <row r="913" spans="1:22">
      <c r="A913" s="18" t="s">
        <v>2435</v>
      </c>
      <c r="B913" s="18" t="s">
        <v>1162</v>
      </c>
      <c r="C913" s="18" t="s">
        <v>358</v>
      </c>
      <c r="D913" s="18" t="s">
        <v>115</v>
      </c>
      <c r="E913" s="26">
        <v>45627</v>
      </c>
      <c r="F913" s="18" t="s">
        <v>2436</v>
      </c>
      <c r="G913" s="18" t="s">
        <v>117</v>
      </c>
      <c r="H913" s="18">
        <v>6.1</v>
      </c>
      <c r="I913" s="18">
        <v>149</v>
      </c>
      <c r="J913" s="18">
        <v>0</v>
      </c>
      <c r="K913" s="18">
        <v>908.9</v>
      </c>
      <c r="L913" s="18" t="s">
        <v>118</v>
      </c>
      <c r="M913" s="18" t="s">
        <v>119</v>
      </c>
      <c r="N913" s="28">
        <v>45627.592361111114</v>
      </c>
      <c r="O913" s="28">
        <v>45628.15902777778</v>
      </c>
      <c r="P913" s="18">
        <v>4.4000000000000004</v>
      </c>
      <c r="Q913" s="18" t="b">
        <f>TRUE()</f>
        <v>1</v>
      </c>
      <c r="R913" s="18" t="b">
        <f>FALSE()</f>
        <v>0</v>
      </c>
      <c r="S913" s="19">
        <f t="shared" si="14"/>
        <v>13.6</v>
      </c>
      <c r="T913">
        <f>COUNTIF('👤 Customers'!$A:$A, B913)</f>
        <v>1</v>
      </c>
      <c r="U913">
        <f>COUNTIF('🚴 Riders'!A912:A972, C913)</f>
        <v>0</v>
      </c>
      <c r="V913">
        <f>COUNTIF('🏭 Facilities'!A912:A920, D913)</f>
        <v>0</v>
      </c>
    </row>
    <row r="914" spans="1:22">
      <c r="A914" s="16" t="s">
        <v>2437</v>
      </c>
      <c r="B914" s="16" t="s">
        <v>893</v>
      </c>
      <c r="C914" s="16" t="s">
        <v>265</v>
      </c>
      <c r="D914" s="16" t="s">
        <v>115</v>
      </c>
      <c r="E914" s="25">
        <v>45617</v>
      </c>
      <c r="F914" s="16" t="s">
        <v>2438</v>
      </c>
      <c r="G914" s="16" t="s">
        <v>145</v>
      </c>
      <c r="H914" s="16">
        <v>5.7</v>
      </c>
      <c r="I914" s="16">
        <v>299</v>
      </c>
      <c r="J914" s="16">
        <v>0</v>
      </c>
      <c r="K914" s="16">
        <v>1704.3</v>
      </c>
      <c r="L914" s="16" t="s">
        <v>139</v>
      </c>
      <c r="M914" s="16" t="s">
        <v>119</v>
      </c>
      <c r="N914" s="27">
        <v>45617.872916666667</v>
      </c>
      <c r="O914" s="27">
        <v>45618.365972222222</v>
      </c>
      <c r="P914" s="16">
        <v>4.4000000000000004</v>
      </c>
      <c r="Q914" s="16" t="b">
        <f>FALSE()</f>
        <v>0</v>
      </c>
      <c r="R914" s="16" t="b">
        <f>TRUE()</f>
        <v>1</v>
      </c>
      <c r="S914" s="17">
        <f t="shared" si="14"/>
        <v>11.8</v>
      </c>
      <c r="T914">
        <f>COUNTIF('👤 Customers'!$A:$A, B914)</f>
        <v>1</v>
      </c>
      <c r="U914">
        <f>COUNTIF('🚴 Riders'!A913:A973, C914)</f>
        <v>0</v>
      </c>
      <c r="V914">
        <f>COUNTIF('🏭 Facilities'!A913:A921, D914)</f>
        <v>0</v>
      </c>
    </row>
    <row r="915" spans="1:22">
      <c r="A915" s="18" t="s">
        <v>2439</v>
      </c>
      <c r="B915" s="18" t="s">
        <v>264</v>
      </c>
      <c r="C915" s="18" t="s">
        <v>315</v>
      </c>
      <c r="D915" s="18" t="s">
        <v>137</v>
      </c>
      <c r="E915" s="26">
        <v>44960</v>
      </c>
      <c r="F915" s="18" t="s">
        <v>2440</v>
      </c>
      <c r="G915" s="18" t="s">
        <v>117</v>
      </c>
      <c r="H915" s="18">
        <v>4.5</v>
      </c>
      <c r="I915" s="18">
        <v>149</v>
      </c>
      <c r="J915" s="18">
        <v>20</v>
      </c>
      <c r="K915" s="18">
        <v>536.4</v>
      </c>
      <c r="L915" s="18" t="s">
        <v>207</v>
      </c>
      <c r="M915" s="18" t="s">
        <v>140</v>
      </c>
      <c r="N915" s="28">
        <v>44960.250694444447</v>
      </c>
      <c r="O915" s="28">
        <v>44960.851388888892</v>
      </c>
      <c r="P915" s="20"/>
      <c r="Q915" s="18" t="b">
        <f>FALSE()</f>
        <v>0</v>
      </c>
      <c r="R915" s="18" t="b">
        <f>FALSE()</f>
        <v>0</v>
      </c>
      <c r="S915" s="19">
        <f t="shared" si="14"/>
        <v>14.4</v>
      </c>
      <c r="T915">
        <f>COUNTIF('👤 Customers'!$A:$A, B915)</f>
        <v>1</v>
      </c>
      <c r="U915">
        <f>COUNTIF('🚴 Riders'!A914:A974, C915)</f>
        <v>0</v>
      </c>
      <c r="V915">
        <f>COUNTIF('🏭 Facilities'!A914:A922, D915)</f>
        <v>0</v>
      </c>
    </row>
    <row r="916" spans="1:22">
      <c r="A916" s="16" t="s">
        <v>2441</v>
      </c>
      <c r="B916" s="16" t="s">
        <v>243</v>
      </c>
      <c r="C916" s="16" t="s">
        <v>136</v>
      </c>
      <c r="D916" s="16" t="s">
        <v>137</v>
      </c>
      <c r="E916" s="25">
        <v>45566</v>
      </c>
      <c r="F916" s="16" t="s">
        <v>2442</v>
      </c>
      <c r="G916" s="16" t="s">
        <v>145</v>
      </c>
      <c r="H916" s="16">
        <v>7.2</v>
      </c>
      <c r="I916" s="16">
        <v>299</v>
      </c>
      <c r="J916" s="16">
        <v>30</v>
      </c>
      <c r="K916" s="16">
        <v>1506.96</v>
      </c>
      <c r="L916" s="16" t="s">
        <v>207</v>
      </c>
      <c r="M916" s="16" t="s">
        <v>133</v>
      </c>
      <c r="N916" s="20"/>
      <c r="O916" s="20"/>
      <c r="P916" s="20"/>
      <c r="Q916" s="16" t="b">
        <f>FALSE()</f>
        <v>0</v>
      </c>
      <c r="R916" s="16" t="b">
        <f>FALSE()</f>
        <v>0</v>
      </c>
      <c r="S916" s="17" t="str">
        <f t="shared" si="14"/>
        <v>N/A</v>
      </c>
      <c r="T916">
        <f>COUNTIF('👤 Customers'!$A:$A, B916)</f>
        <v>1</v>
      </c>
      <c r="U916">
        <f>COUNTIF('🚴 Riders'!A915:A975, C916)</f>
        <v>0</v>
      </c>
      <c r="V916">
        <f>COUNTIF('🏭 Facilities'!A915:A923, D916)</f>
        <v>0</v>
      </c>
    </row>
    <row r="917" spans="1:22">
      <c r="A917" s="18" t="s">
        <v>2443</v>
      </c>
      <c r="B917" s="18" t="s">
        <v>482</v>
      </c>
      <c r="C917" s="18" t="s">
        <v>192</v>
      </c>
      <c r="D917" s="18" t="s">
        <v>205</v>
      </c>
      <c r="E917" s="26">
        <v>45306</v>
      </c>
      <c r="F917" s="18" t="s">
        <v>2444</v>
      </c>
      <c r="G917" s="18" t="s">
        <v>125</v>
      </c>
      <c r="H917" s="18">
        <v>3.3</v>
      </c>
      <c r="I917" s="18">
        <v>199</v>
      </c>
      <c r="J917" s="18">
        <v>20</v>
      </c>
      <c r="K917" s="18">
        <v>525.36</v>
      </c>
      <c r="L917" s="18" t="s">
        <v>139</v>
      </c>
      <c r="M917" s="18" t="s">
        <v>119</v>
      </c>
      <c r="N917" s="28">
        <v>45307.057638888888</v>
      </c>
      <c r="O917" s="28">
        <v>45307.700694444444</v>
      </c>
      <c r="P917" s="18">
        <v>4.2</v>
      </c>
      <c r="Q917" s="18" t="b">
        <f>FALSE()</f>
        <v>0</v>
      </c>
      <c r="R917" s="18" t="b">
        <f>FALSE()</f>
        <v>0</v>
      </c>
      <c r="S917" s="19">
        <f t="shared" si="14"/>
        <v>15.4</v>
      </c>
      <c r="T917">
        <f>COUNTIF('👤 Customers'!$A:$A, B917)</f>
        <v>1</v>
      </c>
      <c r="U917">
        <f>COUNTIF('🚴 Riders'!A916:A976, C917)</f>
        <v>0</v>
      </c>
      <c r="V917">
        <f>COUNTIF('🏭 Facilities'!A916:A924, D917)</f>
        <v>0</v>
      </c>
    </row>
    <row r="918" spans="1:22">
      <c r="A918" s="16" t="s">
        <v>2445</v>
      </c>
      <c r="B918" s="16" t="s">
        <v>2446</v>
      </c>
      <c r="C918" s="16" t="s">
        <v>228</v>
      </c>
      <c r="D918" s="16" t="s">
        <v>115</v>
      </c>
      <c r="E918" s="25">
        <v>45427</v>
      </c>
      <c r="F918" s="16" t="s">
        <v>2447</v>
      </c>
      <c r="G918" s="16" t="s">
        <v>145</v>
      </c>
      <c r="H918" s="16">
        <v>2.1</v>
      </c>
      <c r="I918" s="16">
        <v>299</v>
      </c>
      <c r="J918" s="16">
        <v>10</v>
      </c>
      <c r="K918" s="16">
        <v>565.11</v>
      </c>
      <c r="L918" s="16" t="s">
        <v>207</v>
      </c>
      <c r="M918" s="16" t="s">
        <v>119</v>
      </c>
      <c r="N918" s="27">
        <v>45427.258333333331</v>
      </c>
      <c r="O918" s="27">
        <v>45428.300694444442</v>
      </c>
      <c r="P918" s="16">
        <v>4.8</v>
      </c>
      <c r="Q918" s="16" t="b">
        <f>FALSE()</f>
        <v>0</v>
      </c>
      <c r="R918" s="16" t="b">
        <f>FALSE()</f>
        <v>0</v>
      </c>
      <c r="S918" s="17">
        <f t="shared" si="14"/>
        <v>25</v>
      </c>
      <c r="T918">
        <f>COUNTIF('👤 Customers'!$A:$A, B918)</f>
        <v>1</v>
      </c>
      <c r="U918">
        <f>COUNTIF('🚴 Riders'!A917:A977, C918)</f>
        <v>0</v>
      </c>
      <c r="V918">
        <f>COUNTIF('🏭 Facilities'!A917:A925, D918)</f>
        <v>0</v>
      </c>
    </row>
    <row r="919" spans="1:22">
      <c r="A919" s="18" t="s">
        <v>2448</v>
      </c>
      <c r="B919" s="18" t="s">
        <v>335</v>
      </c>
      <c r="C919" s="18" t="s">
        <v>413</v>
      </c>
      <c r="D919" s="18" t="s">
        <v>197</v>
      </c>
      <c r="E919" s="26">
        <v>45514</v>
      </c>
      <c r="F919" s="18" t="s">
        <v>2449</v>
      </c>
      <c r="G919" s="18" t="s">
        <v>145</v>
      </c>
      <c r="H919" s="18">
        <v>3.1</v>
      </c>
      <c r="I919" s="18">
        <v>299</v>
      </c>
      <c r="J919" s="18">
        <v>0</v>
      </c>
      <c r="K919" s="18">
        <v>926.9</v>
      </c>
      <c r="L919" s="18" t="s">
        <v>207</v>
      </c>
      <c r="M919" s="18" t="s">
        <v>140</v>
      </c>
      <c r="N919" s="28">
        <v>45514.081944444442</v>
      </c>
      <c r="O919" s="28">
        <v>45514.986805555556</v>
      </c>
      <c r="P919" s="20"/>
      <c r="Q919" s="18" t="b">
        <f>FALSE()</f>
        <v>0</v>
      </c>
      <c r="R919" s="18" t="b">
        <f>FALSE()</f>
        <v>0</v>
      </c>
      <c r="S919" s="19">
        <f t="shared" si="14"/>
        <v>21.7</v>
      </c>
      <c r="T919">
        <f>COUNTIF('👤 Customers'!$A:$A, B919)</f>
        <v>1</v>
      </c>
      <c r="U919">
        <f>COUNTIF('🚴 Riders'!A918:A978, C919)</f>
        <v>0</v>
      </c>
      <c r="V919">
        <f>COUNTIF('🏭 Facilities'!A918:A926, D919)</f>
        <v>0</v>
      </c>
    </row>
    <row r="920" spans="1:22">
      <c r="A920" s="16" t="s">
        <v>2450</v>
      </c>
      <c r="B920" s="16" t="s">
        <v>2451</v>
      </c>
      <c r="C920" s="16" t="s">
        <v>261</v>
      </c>
      <c r="D920" s="16" t="s">
        <v>205</v>
      </c>
      <c r="E920" s="25">
        <v>44982</v>
      </c>
      <c r="F920" s="16" t="s">
        <v>2452</v>
      </c>
      <c r="G920" s="16" t="s">
        <v>125</v>
      </c>
      <c r="H920" s="16">
        <v>2.8</v>
      </c>
      <c r="I920" s="16">
        <v>199</v>
      </c>
      <c r="J920" s="16">
        <v>30</v>
      </c>
      <c r="K920" s="16">
        <v>390.04</v>
      </c>
      <c r="L920" s="16" t="s">
        <v>139</v>
      </c>
      <c r="M920" s="16" t="s">
        <v>119</v>
      </c>
      <c r="N920" s="27">
        <v>44982.566666666666</v>
      </c>
      <c r="O920" s="27">
        <v>44983.355555555558</v>
      </c>
      <c r="P920" s="16">
        <v>3.4</v>
      </c>
      <c r="Q920" s="16" t="b">
        <f>FALSE()</f>
        <v>0</v>
      </c>
      <c r="R920" s="16" t="b">
        <f>FALSE()</f>
        <v>0</v>
      </c>
      <c r="S920" s="17">
        <f t="shared" si="14"/>
        <v>18.899999999999999</v>
      </c>
      <c r="T920">
        <f>COUNTIF('👤 Customers'!$A:$A, B920)</f>
        <v>1</v>
      </c>
      <c r="U920">
        <f>COUNTIF('🚴 Riders'!A919:A979, C920)</f>
        <v>0</v>
      </c>
      <c r="V920">
        <f>COUNTIF('🏭 Facilities'!A919:A927, D920)</f>
        <v>0</v>
      </c>
    </row>
    <row r="921" spans="1:22">
      <c r="A921" s="18" t="s">
        <v>2453</v>
      </c>
      <c r="B921" s="18" t="s">
        <v>335</v>
      </c>
      <c r="C921" s="18" t="s">
        <v>343</v>
      </c>
      <c r="D921" s="18" t="s">
        <v>115</v>
      </c>
      <c r="E921" s="26">
        <v>45641</v>
      </c>
      <c r="F921" s="18" t="s">
        <v>2454</v>
      </c>
      <c r="G921" s="18" t="s">
        <v>145</v>
      </c>
      <c r="H921" s="18">
        <v>5.4</v>
      </c>
      <c r="I921" s="18">
        <v>299</v>
      </c>
      <c r="J921" s="18">
        <v>0</v>
      </c>
      <c r="K921" s="18">
        <v>1614.6</v>
      </c>
      <c r="L921" s="18" t="s">
        <v>139</v>
      </c>
      <c r="M921" s="18" t="s">
        <v>140</v>
      </c>
      <c r="N921" s="28">
        <v>45641.331944444442</v>
      </c>
      <c r="O921" s="28">
        <v>45641.674305555556</v>
      </c>
      <c r="P921" s="20"/>
      <c r="Q921" s="18" t="b">
        <f>FALSE()</f>
        <v>0</v>
      </c>
      <c r="R921" s="18" t="b">
        <f>FALSE()</f>
        <v>0</v>
      </c>
      <c r="S921" s="19">
        <f t="shared" si="14"/>
        <v>8.1999999999999993</v>
      </c>
      <c r="T921">
        <f>COUNTIF('👤 Customers'!$A:$A, B921)</f>
        <v>1</v>
      </c>
      <c r="U921">
        <f>COUNTIF('🚴 Riders'!A920:A980, C921)</f>
        <v>0</v>
      </c>
      <c r="V921">
        <f>COUNTIF('🏭 Facilities'!A920:A928, D921)</f>
        <v>0</v>
      </c>
    </row>
    <row r="922" spans="1:22">
      <c r="A922" s="16" t="s">
        <v>2455</v>
      </c>
      <c r="B922" s="16" t="s">
        <v>1615</v>
      </c>
      <c r="C922" s="16" t="s">
        <v>196</v>
      </c>
      <c r="D922" s="16" t="s">
        <v>197</v>
      </c>
      <c r="E922" s="25">
        <v>45255</v>
      </c>
      <c r="F922" s="16" t="s">
        <v>2456</v>
      </c>
      <c r="G922" s="16" t="s">
        <v>176</v>
      </c>
      <c r="H922" s="16">
        <v>5.3</v>
      </c>
      <c r="I922" s="16">
        <v>599</v>
      </c>
      <c r="J922" s="16">
        <v>0</v>
      </c>
      <c r="K922" s="16">
        <v>3174.7</v>
      </c>
      <c r="L922" s="16" t="s">
        <v>139</v>
      </c>
      <c r="M922" s="16" t="s">
        <v>140</v>
      </c>
      <c r="N922" s="27">
        <v>45255.413888888892</v>
      </c>
      <c r="O922" s="27">
        <v>45255.729166666664</v>
      </c>
      <c r="P922" s="20"/>
      <c r="Q922" s="16" t="b">
        <f>FALSE()</f>
        <v>0</v>
      </c>
      <c r="R922" s="16" t="b">
        <f>TRUE()</f>
        <v>1</v>
      </c>
      <c r="S922" s="17">
        <f t="shared" si="14"/>
        <v>7.6</v>
      </c>
      <c r="T922">
        <f>COUNTIF('👤 Customers'!$A:$A, B922)</f>
        <v>1</v>
      </c>
      <c r="U922">
        <f>COUNTIF('🚴 Riders'!A921:A981, C922)</f>
        <v>0</v>
      </c>
      <c r="V922">
        <f>COUNTIF('🏭 Facilities'!A921:A929, D922)</f>
        <v>0</v>
      </c>
    </row>
    <row r="923" spans="1:22">
      <c r="A923" s="18" t="s">
        <v>2457</v>
      </c>
      <c r="B923" s="18" t="s">
        <v>314</v>
      </c>
      <c r="C923" s="18" t="s">
        <v>204</v>
      </c>
      <c r="D923" s="18" t="s">
        <v>115</v>
      </c>
      <c r="E923" s="26">
        <v>45117</v>
      </c>
      <c r="F923" s="18" t="s">
        <v>2458</v>
      </c>
      <c r="G923" s="18" t="s">
        <v>125</v>
      </c>
      <c r="H923" s="18">
        <v>4.2</v>
      </c>
      <c r="I923" s="18">
        <v>199</v>
      </c>
      <c r="J923" s="18">
        <v>10</v>
      </c>
      <c r="K923" s="18">
        <v>752.22</v>
      </c>
      <c r="L923" s="18" t="s">
        <v>207</v>
      </c>
      <c r="M923" s="18" t="s">
        <v>119</v>
      </c>
      <c r="N923" s="28">
        <v>45117.708333333336</v>
      </c>
      <c r="O923" s="28">
        <v>45118.378472222219</v>
      </c>
      <c r="P923" s="18">
        <v>4</v>
      </c>
      <c r="Q923" s="18" t="b">
        <f>TRUE()</f>
        <v>1</v>
      </c>
      <c r="R923" s="18" t="b">
        <f>FALSE()</f>
        <v>0</v>
      </c>
      <c r="S923" s="19">
        <f t="shared" si="14"/>
        <v>16.100000000000001</v>
      </c>
      <c r="T923">
        <f>COUNTIF('👤 Customers'!$A:$A, B923)</f>
        <v>1</v>
      </c>
      <c r="U923">
        <f>COUNTIF('🚴 Riders'!A922:A982, C923)</f>
        <v>0</v>
      </c>
      <c r="V923">
        <f>COUNTIF('🏭 Facilities'!A922:A930, D923)</f>
        <v>0</v>
      </c>
    </row>
    <row r="924" spans="1:22">
      <c r="A924" s="16" t="s">
        <v>2459</v>
      </c>
      <c r="B924" s="16" t="s">
        <v>2460</v>
      </c>
      <c r="C924" s="16" t="s">
        <v>611</v>
      </c>
      <c r="D924" s="16" t="s">
        <v>184</v>
      </c>
      <c r="E924" s="25">
        <v>45387</v>
      </c>
      <c r="F924" s="16" t="s">
        <v>2461</v>
      </c>
      <c r="G924" s="16" t="s">
        <v>125</v>
      </c>
      <c r="H924" s="16">
        <v>7.5</v>
      </c>
      <c r="I924" s="16">
        <v>199</v>
      </c>
      <c r="J924" s="16">
        <v>0</v>
      </c>
      <c r="K924" s="16">
        <v>1492.5</v>
      </c>
      <c r="L924" s="16" t="s">
        <v>118</v>
      </c>
      <c r="M924" s="16" t="s">
        <v>133</v>
      </c>
      <c r="N924" s="20"/>
      <c r="O924" s="20"/>
      <c r="P924" s="20"/>
      <c r="Q924" s="16" t="b">
        <f>FALSE()</f>
        <v>0</v>
      </c>
      <c r="R924" s="16" t="b">
        <f>FALSE()</f>
        <v>0</v>
      </c>
      <c r="S924" s="17" t="str">
        <f t="shared" si="14"/>
        <v>N/A</v>
      </c>
      <c r="T924">
        <f>COUNTIF('👤 Customers'!$A:$A, B924)</f>
        <v>1</v>
      </c>
      <c r="U924">
        <f>COUNTIF('🚴 Riders'!A923:A983, C924)</f>
        <v>0</v>
      </c>
      <c r="V924">
        <f>COUNTIF('🏭 Facilities'!A923:A931, D924)</f>
        <v>0</v>
      </c>
    </row>
    <row r="925" spans="1:22">
      <c r="A925" s="18" t="s">
        <v>2462</v>
      </c>
      <c r="B925" s="18" t="s">
        <v>698</v>
      </c>
      <c r="C925" s="18" t="s">
        <v>842</v>
      </c>
      <c r="D925" s="18" t="s">
        <v>197</v>
      </c>
      <c r="E925" s="26">
        <v>45308</v>
      </c>
      <c r="F925" s="18" t="s">
        <v>2463</v>
      </c>
      <c r="G925" s="18" t="s">
        <v>132</v>
      </c>
      <c r="H925" s="18">
        <v>7.3</v>
      </c>
      <c r="I925" s="18">
        <v>399</v>
      </c>
      <c r="J925" s="18">
        <v>0</v>
      </c>
      <c r="K925" s="18">
        <v>2912.7</v>
      </c>
      <c r="L925" s="18" t="s">
        <v>207</v>
      </c>
      <c r="M925" s="18" t="s">
        <v>119</v>
      </c>
      <c r="N925" s="28">
        <v>45308.474305555559</v>
      </c>
      <c r="O925" s="28">
        <v>45309.252083333333</v>
      </c>
      <c r="P925" s="18">
        <v>3.7</v>
      </c>
      <c r="Q925" s="18" t="b">
        <f>FALSE()</f>
        <v>0</v>
      </c>
      <c r="R925" s="18" t="b">
        <f>FALSE()</f>
        <v>0</v>
      </c>
      <c r="S925" s="19">
        <f t="shared" si="14"/>
        <v>18.7</v>
      </c>
      <c r="T925">
        <f>COUNTIF('👤 Customers'!$A:$A, B925)</f>
        <v>1</v>
      </c>
      <c r="U925">
        <f>COUNTIF('🚴 Riders'!A924:A984, C925)</f>
        <v>0</v>
      </c>
      <c r="V925">
        <f>COUNTIF('🏭 Facilities'!A924:A932, D925)</f>
        <v>0</v>
      </c>
    </row>
    <row r="926" spans="1:22">
      <c r="A926" s="16" t="s">
        <v>2464</v>
      </c>
      <c r="B926" s="16" t="s">
        <v>2404</v>
      </c>
      <c r="C926" s="16" t="s">
        <v>192</v>
      </c>
      <c r="D926" s="16" t="s">
        <v>115</v>
      </c>
      <c r="E926" s="25">
        <v>45505</v>
      </c>
      <c r="F926" s="16" t="s">
        <v>2465</v>
      </c>
      <c r="G926" s="16" t="s">
        <v>132</v>
      </c>
      <c r="H926" s="16">
        <v>6.4</v>
      </c>
      <c r="I926" s="16">
        <v>399</v>
      </c>
      <c r="J926" s="16">
        <v>0</v>
      </c>
      <c r="K926" s="16">
        <v>2553.6</v>
      </c>
      <c r="L926" s="16" t="s">
        <v>126</v>
      </c>
      <c r="M926" s="16" t="s">
        <v>119</v>
      </c>
      <c r="N926" s="27">
        <v>45505.347222222219</v>
      </c>
      <c r="O926" s="27">
        <v>45506.336805555555</v>
      </c>
      <c r="P926" s="16">
        <v>2.8</v>
      </c>
      <c r="Q926" s="16" t="b">
        <f>TRUE()</f>
        <v>1</v>
      </c>
      <c r="R926" s="16" t="b">
        <f>FALSE()</f>
        <v>0</v>
      </c>
      <c r="S926" s="17">
        <f t="shared" si="14"/>
        <v>23.8</v>
      </c>
      <c r="T926">
        <f>COUNTIF('👤 Customers'!$A:$A, B926)</f>
        <v>1</v>
      </c>
      <c r="U926">
        <f>COUNTIF('🚴 Riders'!A925:A985, C926)</f>
        <v>0</v>
      </c>
      <c r="V926">
        <f>COUNTIF('🏭 Facilities'!A925:A933, D926)</f>
        <v>0</v>
      </c>
    </row>
    <row r="927" spans="1:22">
      <c r="A927" s="18" t="s">
        <v>2466</v>
      </c>
      <c r="B927" s="18" t="s">
        <v>922</v>
      </c>
      <c r="C927" s="18" t="s">
        <v>461</v>
      </c>
      <c r="D927" s="18" t="s">
        <v>197</v>
      </c>
      <c r="E927" s="26">
        <v>45397</v>
      </c>
      <c r="F927" s="18" t="s">
        <v>2467</v>
      </c>
      <c r="G927" s="18" t="s">
        <v>176</v>
      </c>
      <c r="H927" s="18">
        <v>1.2</v>
      </c>
      <c r="I927" s="18">
        <v>599</v>
      </c>
      <c r="J927" s="18">
        <v>0</v>
      </c>
      <c r="K927" s="18">
        <v>718.8</v>
      </c>
      <c r="L927" s="18" t="s">
        <v>139</v>
      </c>
      <c r="M927" s="18" t="s">
        <v>140</v>
      </c>
      <c r="N927" s="28">
        <v>45397.160416666666</v>
      </c>
      <c r="O927" s="28">
        <v>45398.058333333334</v>
      </c>
      <c r="P927" s="20"/>
      <c r="Q927" s="18" t="b">
        <f>FALSE()</f>
        <v>0</v>
      </c>
      <c r="R927" s="18" t="b">
        <f>FALSE()</f>
        <v>0</v>
      </c>
      <c r="S927" s="19">
        <f t="shared" si="14"/>
        <v>21.6</v>
      </c>
      <c r="T927">
        <f>COUNTIF('👤 Customers'!$A:$A, B927)</f>
        <v>1</v>
      </c>
      <c r="U927">
        <f>COUNTIF('🚴 Riders'!A926:A986, C927)</f>
        <v>0</v>
      </c>
      <c r="V927">
        <f>COUNTIF('🏭 Facilities'!A926:A934, D927)</f>
        <v>0</v>
      </c>
    </row>
    <row r="928" spans="1:22">
      <c r="A928" s="16" t="s">
        <v>2468</v>
      </c>
      <c r="B928" s="16" t="s">
        <v>2469</v>
      </c>
      <c r="C928" s="16" t="s">
        <v>611</v>
      </c>
      <c r="D928" s="16" t="s">
        <v>137</v>
      </c>
      <c r="E928" s="25">
        <v>45359</v>
      </c>
      <c r="F928" s="16" t="s">
        <v>2470</v>
      </c>
      <c r="G928" s="16" t="s">
        <v>145</v>
      </c>
      <c r="H928" s="16">
        <v>1.5</v>
      </c>
      <c r="I928" s="16">
        <v>299</v>
      </c>
      <c r="J928" s="16">
        <v>0</v>
      </c>
      <c r="K928" s="16">
        <v>448.5</v>
      </c>
      <c r="L928" s="16" t="s">
        <v>126</v>
      </c>
      <c r="M928" s="16" t="s">
        <v>140</v>
      </c>
      <c r="N928" s="27">
        <v>45359.925694444442</v>
      </c>
      <c r="O928" s="27">
        <v>45360.595138888886</v>
      </c>
      <c r="P928" s="20"/>
      <c r="Q928" s="16" t="b">
        <f>TRUE()</f>
        <v>1</v>
      </c>
      <c r="R928" s="16" t="b">
        <f>TRUE()</f>
        <v>1</v>
      </c>
      <c r="S928" s="17">
        <f t="shared" si="14"/>
        <v>16.100000000000001</v>
      </c>
      <c r="T928">
        <f>COUNTIF('👤 Customers'!$A:$A, B928)</f>
        <v>1</v>
      </c>
      <c r="U928">
        <f>COUNTIF('🚴 Riders'!A927:A987, C928)</f>
        <v>0</v>
      </c>
      <c r="V928">
        <f>COUNTIF('🏭 Facilities'!A927:A935, D928)</f>
        <v>0</v>
      </c>
    </row>
    <row r="929" spans="1:22">
      <c r="A929" s="18" t="s">
        <v>2471</v>
      </c>
      <c r="B929" s="18" t="s">
        <v>1245</v>
      </c>
      <c r="C929" s="18" t="s">
        <v>536</v>
      </c>
      <c r="D929" s="18" t="s">
        <v>158</v>
      </c>
      <c r="E929" s="26">
        <v>45072</v>
      </c>
      <c r="F929" s="18" t="s">
        <v>2472</v>
      </c>
      <c r="G929" s="18" t="s">
        <v>132</v>
      </c>
      <c r="H929" s="18">
        <v>4.0999999999999996</v>
      </c>
      <c r="I929" s="18">
        <v>399</v>
      </c>
      <c r="J929" s="18">
        <v>30</v>
      </c>
      <c r="K929" s="18">
        <v>1145.1300000000001</v>
      </c>
      <c r="L929" s="18" t="s">
        <v>126</v>
      </c>
      <c r="M929" s="18" t="s">
        <v>119</v>
      </c>
      <c r="N929" s="28">
        <v>45072.186111111114</v>
      </c>
      <c r="O929" s="28">
        <v>45072.917361111111</v>
      </c>
      <c r="P929" s="18">
        <v>3.9</v>
      </c>
      <c r="Q929" s="18" t="b">
        <f>FALSE()</f>
        <v>0</v>
      </c>
      <c r="R929" s="18" t="b">
        <f>TRUE()</f>
        <v>1</v>
      </c>
      <c r="S929" s="19">
        <f t="shared" si="14"/>
        <v>17.5</v>
      </c>
      <c r="T929">
        <f>COUNTIF('👤 Customers'!$A:$A, B929)</f>
        <v>1</v>
      </c>
      <c r="U929">
        <f>COUNTIF('🚴 Riders'!A928:A988, C929)</f>
        <v>0</v>
      </c>
      <c r="V929">
        <f>COUNTIF('🏭 Facilities'!A928:A936, D929)</f>
        <v>0</v>
      </c>
    </row>
    <row r="930" spans="1:22">
      <c r="A930" s="16" t="s">
        <v>2473</v>
      </c>
      <c r="B930" s="16" t="s">
        <v>869</v>
      </c>
      <c r="C930" s="16" t="s">
        <v>261</v>
      </c>
      <c r="D930" s="16" t="s">
        <v>137</v>
      </c>
      <c r="E930" s="25">
        <v>45030</v>
      </c>
      <c r="F930" s="16" t="s">
        <v>2474</v>
      </c>
      <c r="G930" s="16" t="s">
        <v>145</v>
      </c>
      <c r="H930" s="16">
        <v>1.1000000000000001</v>
      </c>
      <c r="I930" s="16">
        <v>299</v>
      </c>
      <c r="J930" s="16">
        <v>0</v>
      </c>
      <c r="K930" s="16">
        <v>328.9</v>
      </c>
      <c r="L930" s="16" t="s">
        <v>118</v>
      </c>
      <c r="M930" s="16" t="s">
        <v>119</v>
      </c>
      <c r="N930" s="27">
        <v>45030.507638888892</v>
      </c>
      <c r="O930" s="27">
        <v>45031.347916666666</v>
      </c>
      <c r="P930" s="16">
        <v>4.8</v>
      </c>
      <c r="Q930" s="16" t="b">
        <f>FALSE()</f>
        <v>0</v>
      </c>
      <c r="R930" s="16" t="b">
        <f>FALSE()</f>
        <v>0</v>
      </c>
      <c r="S930" s="17">
        <f t="shared" si="14"/>
        <v>20.2</v>
      </c>
      <c r="T930">
        <f>COUNTIF('👤 Customers'!$A:$A, B930)</f>
        <v>1</v>
      </c>
      <c r="U930">
        <f>COUNTIF('🚴 Riders'!A929:A989, C930)</f>
        <v>0</v>
      </c>
      <c r="V930">
        <f>COUNTIF('🏭 Facilities'!A929:A937, D930)</f>
        <v>0</v>
      </c>
    </row>
    <row r="931" spans="1:22">
      <c r="A931" s="18" t="s">
        <v>2475</v>
      </c>
      <c r="B931" s="18" t="s">
        <v>759</v>
      </c>
      <c r="C931" s="18" t="s">
        <v>183</v>
      </c>
      <c r="D931" s="18" t="s">
        <v>137</v>
      </c>
      <c r="E931" s="26">
        <v>45073</v>
      </c>
      <c r="F931" s="18" t="s">
        <v>2476</v>
      </c>
      <c r="G931" s="18" t="s">
        <v>145</v>
      </c>
      <c r="H931" s="18">
        <v>4.3</v>
      </c>
      <c r="I931" s="18">
        <v>299</v>
      </c>
      <c r="J931" s="18">
        <v>0</v>
      </c>
      <c r="K931" s="18">
        <v>1285.7</v>
      </c>
      <c r="L931" s="18" t="s">
        <v>207</v>
      </c>
      <c r="M931" s="18" t="s">
        <v>119</v>
      </c>
      <c r="N931" s="28">
        <v>45073.618750000001</v>
      </c>
      <c r="O931" s="28">
        <v>45074.430555555555</v>
      </c>
      <c r="P931" s="18">
        <v>4.5999999999999996</v>
      </c>
      <c r="Q931" s="18" t="b">
        <f>TRUE()</f>
        <v>1</v>
      </c>
      <c r="R931" s="18" t="b">
        <f>FALSE()</f>
        <v>0</v>
      </c>
      <c r="S931" s="19">
        <f t="shared" si="14"/>
        <v>19.5</v>
      </c>
      <c r="T931">
        <f>COUNTIF('👤 Customers'!$A:$A, B931)</f>
        <v>1</v>
      </c>
      <c r="U931">
        <f>COUNTIF('🚴 Riders'!A930:A990, C931)</f>
        <v>0</v>
      </c>
      <c r="V931">
        <f>COUNTIF('🏭 Facilities'!A930:A938, D931)</f>
        <v>0</v>
      </c>
    </row>
    <row r="932" spans="1:22">
      <c r="A932" s="16" t="s">
        <v>2477</v>
      </c>
      <c r="B932" s="16" t="s">
        <v>1137</v>
      </c>
      <c r="C932" s="16" t="s">
        <v>192</v>
      </c>
      <c r="D932" s="16" t="s">
        <v>123</v>
      </c>
      <c r="E932" s="25">
        <v>45298</v>
      </c>
      <c r="F932" s="16" t="s">
        <v>2478</v>
      </c>
      <c r="G932" s="16" t="s">
        <v>176</v>
      </c>
      <c r="H932" s="16">
        <v>7.9</v>
      </c>
      <c r="I932" s="16">
        <v>599</v>
      </c>
      <c r="J932" s="16">
        <v>0</v>
      </c>
      <c r="K932" s="16">
        <v>4732.1000000000004</v>
      </c>
      <c r="L932" s="16" t="s">
        <v>139</v>
      </c>
      <c r="M932" s="16" t="s">
        <v>119</v>
      </c>
      <c r="N932" s="27">
        <v>45298.088194444441</v>
      </c>
      <c r="O932" s="27">
        <v>45299.01458333333</v>
      </c>
      <c r="P932" s="16">
        <v>2.6</v>
      </c>
      <c r="Q932" s="16" t="b">
        <f>FALSE()</f>
        <v>0</v>
      </c>
      <c r="R932" s="16" t="b">
        <f>FALSE()</f>
        <v>0</v>
      </c>
      <c r="S932" s="17">
        <f t="shared" si="14"/>
        <v>22.2</v>
      </c>
      <c r="T932">
        <f>COUNTIF('👤 Customers'!$A:$A, B932)</f>
        <v>1</v>
      </c>
      <c r="U932">
        <f>COUNTIF('🚴 Riders'!A931:A991, C932)</f>
        <v>0</v>
      </c>
      <c r="V932">
        <f>COUNTIF('🏭 Facilities'!A931:A939, D932)</f>
        <v>0</v>
      </c>
    </row>
    <row r="933" spans="1:22">
      <c r="A933" s="18" t="s">
        <v>2479</v>
      </c>
      <c r="B933" s="18" t="s">
        <v>1518</v>
      </c>
      <c r="C933" s="18" t="s">
        <v>170</v>
      </c>
      <c r="D933" s="18" t="s">
        <v>137</v>
      </c>
      <c r="E933" s="26">
        <v>45533</v>
      </c>
      <c r="F933" s="18" t="s">
        <v>2480</v>
      </c>
      <c r="G933" s="18" t="s">
        <v>145</v>
      </c>
      <c r="H933" s="18">
        <v>1.2</v>
      </c>
      <c r="I933" s="18">
        <v>299</v>
      </c>
      <c r="J933" s="18">
        <v>10</v>
      </c>
      <c r="K933" s="18">
        <v>322.92</v>
      </c>
      <c r="L933" s="18" t="s">
        <v>139</v>
      </c>
      <c r="M933" s="18" t="s">
        <v>119</v>
      </c>
      <c r="N933" s="28">
        <v>45533.412499999999</v>
      </c>
      <c r="O933" s="28">
        <v>45534.231249999997</v>
      </c>
      <c r="P933" s="18">
        <v>4</v>
      </c>
      <c r="Q933" s="18" t="b">
        <f>FALSE()</f>
        <v>0</v>
      </c>
      <c r="R933" s="18" t="b">
        <f>FALSE()</f>
        <v>0</v>
      </c>
      <c r="S933" s="19">
        <f t="shared" si="14"/>
        <v>19.600000000000001</v>
      </c>
      <c r="T933">
        <f>COUNTIF('👤 Customers'!$A:$A, B933)</f>
        <v>1</v>
      </c>
      <c r="U933">
        <f>COUNTIF('🚴 Riders'!A932:A992, C933)</f>
        <v>0</v>
      </c>
      <c r="V933">
        <f>COUNTIF('🏭 Facilities'!A932:A940, D933)</f>
        <v>0</v>
      </c>
    </row>
    <row r="934" spans="1:22">
      <c r="A934" s="16" t="s">
        <v>2481</v>
      </c>
      <c r="B934" s="16" t="s">
        <v>1147</v>
      </c>
      <c r="C934" s="16" t="s">
        <v>136</v>
      </c>
      <c r="D934" s="16" t="s">
        <v>197</v>
      </c>
      <c r="E934" s="25">
        <v>45428</v>
      </c>
      <c r="F934" s="16" t="s">
        <v>2482</v>
      </c>
      <c r="G934" s="16" t="s">
        <v>132</v>
      </c>
      <c r="H934" s="16">
        <v>2.7</v>
      </c>
      <c r="I934" s="16">
        <v>399</v>
      </c>
      <c r="J934" s="16">
        <v>0</v>
      </c>
      <c r="K934" s="16">
        <v>1077.3</v>
      </c>
      <c r="L934" s="16" t="s">
        <v>207</v>
      </c>
      <c r="M934" s="16" t="s">
        <v>119</v>
      </c>
      <c r="N934" s="27">
        <v>45428.927777777775</v>
      </c>
      <c r="O934" s="27">
        <v>45429.546527777777</v>
      </c>
      <c r="P934" s="16">
        <v>4.4000000000000004</v>
      </c>
      <c r="Q934" s="16" t="b">
        <f>TRUE()</f>
        <v>1</v>
      </c>
      <c r="R934" s="16" t="b">
        <f>FALSE()</f>
        <v>0</v>
      </c>
      <c r="S934" s="17">
        <f t="shared" si="14"/>
        <v>14.9</v>
      </c>
      <c r="T934">
        <f>COUNTIF('👤 Customers'!$A:$A, B934)</f>
        <v>1</v>
      </c>
      <c r="U934">
        <f>COUNTIF('🚴 Riders'!A933:A993, C934)</f>
        <v>0</v>
      </c>
      <c r="V934">
        <f>COUNTIF('🏭 Facilities'!A933:A941, D934)</f>
        <v>0</v>
      </c>
    </row>
    <row r="935" spans="1:22">
      <c r="A935" s="18" t="s">
        <v>2483</v>
      </c>
      <c r="B935" s="18" t="s">
        <v>427</v>
      </c>
      <c r="C935" s="18" t="s">
        <v>350</v>
      </c>
      <c r="D935" s="18" t="s">
        <v>115</v>
      </c>
      <c r="E935" s="26">
        <v>45145</v>
      </c>
      <c r="F935" s="18" t="s">
        <v>2484</v>
      </c>
      <c r="G935" s="18" t="s">
        <v>145</v>
      </c>
      <c r="H935" s="18">
        <v>5.6</v>
      </c>
      <c r="I935" s="18">
        <v>299</v>
      </c>
      <c r="J935" s="18">
        <v>30</v>
      </c>
      <c r="K935" s="18">
        <v>1172.08</v>
      </c>
      <c r="L935" s="18" t="s">
        <v>146</v>
      </c>
      <c r="M935" s="18" t="s">
        <v>119</v>
      </c>
      <c r="N935" s="28">
        <v>45145.194444444445</v>
      </c>
      <c r="O935" s="28">
        <v>45145.915277777778</v>
      </c>
      <c r="P935" s="18">
        <v>3.7</v>
      </c>
      <c r="Q935" s="18" t="b">
        <f>FALSE()</f>
        <v>0</v>
      </c>
      <c r="R935" s="18" t="b">
        <f>FALSE()</f>
        <v>0</v>
      </c>
      <c r="S935" s="19">
        <f t="shared" si="14"/>
        <v>17.3</v>
      </c>
      <c r="T935">
        <f>COUNTIF('👤 Customers'!$A:$A, B935)</f>
        <v>1</v>
      </c>
      <c r="U935">
        <f>COUNTIF('🚴 Riders'!A934:A994, C935)</f>
        <v>0</v>
      </c>
      <c r="V935">
        <f>COUNTIF('🏭 Facilities'!A934:A942, D935)</f>
        <v>0</v>
      </c>
    </row>
    <row r="936" spans="1:22">
      <c r="A936" s="16" t="s">
        <v>2485</v>
      </c>
      <c r="B936" s="16" t="s">
        <v>1236</v>
      </c>
      <c r="C936" s="16" t="s">
        <v>236</v>
      </c>
      <c r="D936" s="16" t="s">
        <v>205</v>
      </c>
      <c r="E936" s="25">
        <v>45384</v>
      </c>
      <c r="F936" s="16" t="s">
        <v>2486</v>
      </c>
      <c r="G936" s="16" t="s">
        <v>176</v>
      </c>
      <c r="H936" s="16">
        <v>7.5</v>
      </c>
      <c r="I936" s="16">
        <v>599</v>
      </c>
      <c r="J936" s="16">
        <v>10</v>
      </c>
      <c r="K936" s="16">
        <v>4043.25</v>
      </c>
      <c r="L936" s="16" t="s">
        <v>146</v>
      </c>
      <c r="M936" s="16" t="s">
        <v>140</v>
      </c>
      <c r="N936" s="27">
        <v>45385.060416666667</v>
      </c>
      <c r="O936" s="27">
        <v>45385.48333333333</v>
      </c>
      <c r="P936" s="20"/>
      <c r="Q936" s="16" t="b">
        <f>FALSE()</f>
        <v>0</v>
      </c>
      <c r="R936" s="16" t="b">
        <f>FALSE()</f>
        <v>0</v>
      </c>
      <c r="S936" s="17">
        <f t="shared" si="14"/>
        <v>10.1</v>
      </c>
      <c r="T936">
        <f>COUNTIF('👤 Customers'!$A:$A, B936)</f>
        <v>1</v>
      </c>
      <c r="U936">
        <f>COUNTIF('🚴 Riders'!A935:A995, C936)</f>
        <v>0</v>
      </c>
      <c r="V936">
        <f>COUNTIF('🏭 Facilities'!A935:A943, D936)</f>
        <v>0</v>
      </c>
    </row>
    <row r="937" spans="1:22">
      <c r="A937" s="18" t="s">
        <v>2487</v>
      </c>
      <c r="B937" s="18" t="s">
        <v>2469</v>
      </c>
      <c r="C937" s="18" t="s">
        <v>129</v>
      </c>
      <c r="D937" s="18" t="s">
        <v>130</v>
      </c>
      <c r="E937" s="26">
        <v>45122</v>
      </c>
      <c r="F937" s="18" t="s">
        <v>2488</v>
      </c>
      <c r="G937" s="18" t="s">
        <v>117</v>
      </c>
      <c r="H937" s="18">
        <v>7.5</v>
      </c>
      <c r="I937" s="18">
        <v>149</v>
      </c>
      <c r="J937" s="18">
        <v>20</v>
      </c>
      <c r="K937" s="18">
        <v>894</v>
      </c>
      <c r="L937" s="18" t="s">
        <v>118</v>
      </c>
      <c r="M937" s="18" t="s">
        <v>133</v>
      </c>
      <c r="N937" s="20"/>
      <c r="O937" s="20"/>
      <c r="P937" s="20"/>
      <c r="Q937" s="18" t="b">
        <f>FALSE()</f>
        <v>0</v>
      </c>
      <c r="R937" s="18" t="b">
        <f>TRUE()</f>
        <v>1</v>
      </c>
      <c r="S937" s="19" t="str">
        <f t="shared" si="14"/>
        <v>N/A</v>
      </c>
      <c r="T937">
        <f>COUNTIF('👤 Customers'!$A:$A, B937)</f>
        <v>1</v>
      </c>
      <c r="U937">
        <f>COUNTIF('🚴 Riders'!A936:A996, C937)</f>
        <v>0</v>
      </c>
      <c r="V937">
        <f>COUNTIF('🏭 Facilities'!A936:A944, D937)</f>
        <v>0</v>
      </c>
    </row>
    <row r="938" spans="1:22">
      <c r="A938" s="16" t="s">
        <v>2489</v>
      </c>
      <c r="B938" s="16" t="s">
        <v>2490</v>
      </c>
      <c r="C938" s="16" t="s">
        <v>272</v>
      </c>
      <c r="D938" s="16" t="s">
        <v>137</v>
      </c>
      <c r="E938" s="25">
        <v>45187</v>
      </c>
      <c r="F938" s="16" t="s">
        <v>2491</v>
      </c>
      <c r="G938" s="16" t="s">
        <v>176</v>
      </c>
      <c r="H938" s="16">
        <v>5.7</v>
      </c>
      <c r="I938" s="16">
        <v>599</v>
      </c>
      <c r="J938" s="16">
        <v>0</v>
      </c>
      <c r="K938" s="16">
        <v>3414.3</v>
      </c>
      <c r="L938" s="16" t="s">
        <v>118</v>
      </c>
      <c r="M938" s="16" t="s">
        <v>133</v>
      </c>
      <c r="N938" s="20"/>
      <c r="O938" s="20"/>
      <c r="P938" s="20"/>
      <c r="Q938" s="16" t="b">
        <f>FALSE()</f>
        <v>0</v>
      </c>
      <c r="R938" s="16" t="b">
        <f>FALSE()</f>
        <v>0</v>
      </c>
      <c r="S938" s="17" t="str">
        <f t="shared" si="14"/>
        <v>N/A</v>
      </c>
      <c r="T938">
        <f>COUNTIF('👤 Customers'!$A:$A, B938)</f>
        <v>1</v>
      </c>
      <c r="U938">
        <f>COUNTIF('🚴 Riders'!A937:A997, C938)</f>
        <v>0</v>
      </c>
      <c r="V938">
        <f>COUNTIF('🏭 Facilities'!A937:A945, D938)</f>
        <v>0</v>
      </c>
    </row>
    <row r="939" spans="1:22">
      <c r="A939" s="18" t="s">
        <v>2492</v>
      </c>
      <c r="B939" s="18" t="s">
        <v>368</v>
      </c>
      <c r="C939" s="18" t="s">
        <v>413</v>
      </c>
      <c r="D939" s="18" t="s">
        <v>130</v>
      </c>
      <c r="E939" s="26">
        <v>45480</v>
      </c>
      <c r="F939" s="18" t="s">
        <v>2493</v>
      </c>
      <c r="G939" s="18" t="s">
        <v>176</v>
      </c>
      <c r="H939" s="18">
        <v>4.9000000000000004</v>
      </c>
      <c r="I939" s="18">
        <v>599</v>
      </c>
      <c r="J939" s="18">
        <v>0</v>
      </c>
      <c r="K939" s="18">
        <v>2935.1</v>
      </c>
      <c r="L939" s="18" t="s">
        <v>207</v>
      </c>
      <c r="M939" s="18" t="s">
        <v>119</v>
      </c>
      <c r="N939" s="28">
        <v>45480.614583333336</v>
      </c>
      <c r="O939" s="28">
        <v>45481.09652777778</v>
      </c>
      <c r="P939" s="18">
        <v>4</v>
      </c>
      <c r="Q939" s="18" t="b">
        <f>FALSE()</f>
        <v>0</v>
      </c>
      <c r="R939" s="18" t="b">
        <f>FALSE()</f>
        <v>0</v>
      </c>
      <c r="S939" s="19">
        <f t="shared" si="14"/>
        <v>11.6</v>
      </c>
      <c r="T939">
        <f>COUNTIF('👤 Customers'!$A:$A, B939)</f>
        <v>1</v>
      </c>
      <c r="U939">
        <f>COUNTIF('🚴 Riders'!A938:A998, C939)</f>
        <v>0</v>
      </c>
      <c r="V939">
        <f>COUNTIF('🏭 Facilities'!A938:A946, D939)</f>
        <v>0</v>
      </c>
    </row>
    <row r="940" spans="1:22">
      <c r="A940" s="16" t="s">
        <v>2494</v>
      </c>
      <c r="B940" s="16" t="s">
        <v>1233</v>
      </c>
      <c r="C940" s="16" t="s">
        <v>343</v>
      </c>
      <c r="D940" s="16" t="s">
        <v>197</v>
      </c>
      <c r="E940" s="25">
        <v>45616</v>
      </c>
      <c r="F940" s="16" t="s">
        <v>2495</v>
      </c>
      <c r="G940" s="16" t="s">
        <v>145</v>
      </c>
      <c r="H940" s="16">
        <v>3.6</v>
      </c>
      <c r="I940" s="16">
        <v>299</v>
      </c>
      <c r="J940" s="16">
        <v>0</v>
      </c>
      <c r="K940" s="16">
        <v>1076.4000000000001</v>
      </c>
      <c r="L940" s="16" t="s">
        <v>118</v>
      </c>
      <c r="M940" s="16" t="s">
        <v>140</v>
      </c>
      <c r="N940" s="27">
        <v>45616.225694444445</v>
      </c>
      <c r="O940" s="27">
        <v>45616.988194444442</v>
      </c>
      <c r="P940" s="20"/>
      <c r="Q940" s="16" t="b">
        <f>TRUE()</f>
        <v>1</v>
      </c>
      <c r="R940" s="16" t="b">
        <f>FALSE()</f>
        <v>0</v>
      </c>
      <c r="S940" s="17">
        <f t="shared" si="14"/>
        <v>18.3</v>
      </c>
      <c r="T940">
        <f>COUNTIF('👤 Customers'!$A:$A, B940)</f>
        <v>1</v>
      </c>
      <c r="U940">
        <f>COUNTIF('🚴 Riders'!A939:A999, C940)</f>
        <v>0</v>
      </c>
      <c r="V940">
        <f>COUNTIF('🏭 Facilities'!A939:A947, D940)</f>
        <v>0</v>
      </c>
    </row>
    <row r="941" spans="1:22">
      <c r="A941" s="18" t="s">
        <v>2496</v>
      </c>
      <c r="B941" s="18" t="s">
        <v>2497</v>
      </c>
      <c r="C941" s="18" t="s">
        <v>240</v>
      </c>
      <c r="D941" s="18" t="s">
        <v>123</v>
      </c>
      <c r="E941" s="26">
        <v>45354</v>
      </c>
      <c r="F941" s="18" t="s">
        <v>2498</v>
      </c>
      <c r="G941" s="18" t="s">
        <v>145</v>
      </c>
      <c r="H941" s="18">
        <v>1</v>
      </c>
      <c r="I941" s="18">
        <v>299</v>
      </c>
      <c r="J941" s="18">
        <v>0</v>
      </c>
      <c r="K941" s="18">
        <v>299</v>
      </c>
      <c r="L941" s="18" t="s">
        <v>146</v>
      </c>
      <c r="M941" s="18" t="s">
        <v>119</v>
      </c>
      <c r="N941" s="28">
        <v>45354.884027777778</v>
      </c>
      <c r="O941" s="28">
        <v>45355.599305555559</v>
      </c>
      <c r="P941" s="18">
        <v>3.9</v>
      </c>
      <c r="Q941" s="18" t="b">
        <f>FALSE()</f>
        <v>0</v>
      </c>
      <c r="R941" s="18" t="b">
        <f>TRUE()</f>
        <v>1</v>
      </c>
      <c r="S941" s="19">
        <f t="shared" si="14"/>
        <v>17.2</v>
      </c>
      <c r="T941">
        <f>COUNTIF('👤 Customers'!$A:$A, B941)</f>
        <v>1</v>
      </c>
      <c r="U941">
        <f>COUNTIF('🚴 Riders'!A940:A1000, C941)</f>
        <v>0</v>
      </c>
      <c r="V941">
        <f>COUNTIF('🏭 Facilities'!A940:A948, D941)</f>
        <v>0</v>
      </c>
    </row>
    <row r="942" spans="1:22">
      <c r="A942" s="16" t="s">
        <v>2499</v>
      </c>
      <c r="B942" s="16" t="s">
        <v>219</v>
      </c>
      <c r="C942" s="16" t="s">
        <v>326</v>
      </c>
      <c r="D942" s="16" t="s">
        <v>184</v>
      </c>
      <c r="E942" s="25">
        <v>45259</v>
      </c>
      <c r="F942" s="16" t="s">
        <v>2500</v>
      </c>
      <c r="G942" s="16" t="s">
        <v>145</v>
      </c>
      <c r="H942" s="16">
        <v>5.2</v>
      </c>
      <c r="I942" s="16">
        <v>299</v>
      </c>
      <c r="J942" s="16">
        <v>0</v>
      </c>
      <c r="K942" s="16">
        <v>1554.8</v>
      </c>
      <c r="L942" s="16" t="s">
        <v>126</v>
      </c>
      <c r="M942" s="16" t="s">
        <v>119</v>
      </c>
      <c r="N942" s="27">
        <v>45259.276388888888</v>
      </c>
      <c r="O942" s="27">
        <v>45259.682638888888</v>
      </c>
      <c r="P942" s="16">
        <v>4.5999999999999996</v>
      </c>
      <c r="Q942" s="16" t="b">
        <f>FALSE()</f>
        <v>0</v>
      </c>
      <c r="R942" s="16" t="b">
        <f>FALSE()</f>
        <v>0</v>
      </c>
      <c r="S942" s="17">
        <f t="shared" si="14"/>
        <v>9.8000000000000007</v>
      </c>
      <c r="T942">
        <f>COUNTIF('👤 Customers'!$A:$A, B942)</f>
        <v>1</v>
      </c>
      <c r="U942">
        <f>COUNTIF('🚴 Riders'!A941:A1001, C942)</f>
        <v>0</v>
      </c>
      <c r="V942">
        <f>COUNTIF('🏭 Facilities'!A941:A949, D942)</f>
        <v>0</v>
      </c>
    </row>
    <row r="943" spans="1:22">
      <c r="A943" s="18" t="s">
        <v>2501</v>
      </c>
      <c r="B943" s="18" t="s">
        <v>1317</v>
      </c>
      <c r="C943" s="18" t="s">
        <v>304</v>
      </c>
      <c r="D943" s="18" t="s">
        <v>197</v>
      </c>
      <c r="E943" s="26">
        <v>45135</v>
      </c>
      <c r="F943" s="18" t="s">
        <v>2502</v>
      </c>
      <c r="G943" s="18" t="s">
        <v>132</v>
      </c>
      <c r="H943" s="18">
        <v>6.5</v>
      </c>
      <c r="I943" s="18">
        <v>399</v>
      </c>
      <c r="J943" s="18">
        <v>20</v>
      </c>
      <c r="K943" s="18">
        <v>2074.8000000000002</v>
      </c>
      <c r="L943" s="18" t="s">
        <v>118</v>
      </c>
      <c r="M943" s="18" t="s">
        <v>140</v>
      </c>
      <c r="N943" s="28">
        <v>45135.565972222219</v>
      </c>
      <c r="O943" s="28">
        <v>45135.942361111112</v>
      </c>
      <c r="P943" s="20"/>
      <c r="Q943" s="18" t="b">
        <f>FALSE()</f>
        <v>0</v>
      </c>
      <c r="R943" s="18" t="b">
        <f>FALSE()</f>
        <v>0</v>
      </c>
      <c r="S943" s="19">
        <f t="shared" si="14"/>
        <v>9</v>
      </c>
      <c r="T943">
        <f>COUNTIF('👤 Customers'!$A:$A, B943)</f>
        <v>1</v>
      </c>
      <c r="U943">
        <f>COUNTIF('🚴 Riders'!A942:A1002, C943)</f>
        <v>0</v>
      </c>
      <c r="V943">
        <f>COUNTIF('🏭 Facilities'!A942:A950, D943)</f>
        <v>0</v>
      </c>
    </row>
    <row r="944" spans="1:22">
      <c r="A944" s="16" t="s">
        <v>2503</v>
      </c>
      <c r="B944" s="16" t="s">
        <v>492</v>
      </c>
      <c r="C944" s="16" t="s">
        <v>129</v>
      </c>
      <c r="D944" s="16" t="s">
        <v>137</v>
      </c>
      <c r="E944" s="25">
        <v>45147</v>
      </c>
      <c r="F944" s="16" t="s">
        <v>2504</v>
      </c>
      <c r="G944" s="16" t="s">
        <v>145</v>
      </c>
      <c r="H944" s="16">
        <v>2.7</v>
      </c>
      <c r="I944" s="16">
        <v>299</v>
      </c>
      <c r="J944" s="16">
        <v>0</v>
      </c>
      <c r="K944" s="16">
        <v>807.3</v>
      </c>
      <c r="L944" s="16" t="s">
        <v>126</v>
      </c>
      <c r="M944" s="16" t="s">
        <v>133</v>
      </c>
      <c r="N944" s="20"/>
      <c r="O944" s="20"/>
      <c r="P944" s="20"/>
      <c r="Q944" s="16" t="b">
        <f>FALSE()</f>
        <v>0</v>
      </c>
      <c r="R944" s="16" t="b">
        <f>FALSE()</f>
        <v>0</v>
      </c>
      <c r="S944" s="17" t="str">
        <f t="shared" si="14"/>
        <v>N/A</v>
      </c>
      <c r="T944">
        <f>COUNTIF('👤 Customers'!$A:$A, B944)</f>
        <v>1</v>
      </c>
      <c r="U944">
        <f>COUNTIF('🚴 Riders'!A943:A1003, C944)</f>
        <v>0</v>
      </c>
      <c r="V944">
        <f>COUNTIF('🏭 Facilities'!A943:A951, D944)</f>
        <v>0</v>
      </c>
    </row>
    <row r="945" spans="1:22">
      <c r="A945" s="18" t="s">
        <v>2505</v>
      </c>
      <c r="B945" s="18" t="s">
        <v>495</v>
      </c>
      <c r="C945" s="18" t="s">
        <v>149</v>
      </c>
      <c r="D945" s="18" t="s">
        <v>123</v>
      </c>
      <c r="E945" s="26">
        <v>45097</v>
      </c>
      <c r="F945" s="18" t="s">
        <v>2506</v>
      </c>
      <c r="G945" s="18" t="s">
        <v>132</v>
      </c>
      <c r="H945" s="18">
        <v>6.6</v>
      </c>
      <c r="I945" s="18">
        <v>399</v>
      </c>
      <c r="J945" s="18">
        <v>20</v>
      </c>
      <c r="K945" s="18">
        <v>2106.7199999999998</v>
      </c>
      <c r="L945" s="18" t="s">
        <v>139</v>
      </c>
      <c r="M945" s="18" t="s">
        <v>119</v>
      </c>
      <c r="N945" s="28">
        <v>45097.879166666666</v>
      </c>
      <c r="O945" s="28">
        <v>45098.197222222225</v>
      </c>
      <c r="P945" s="18">
        <v>2.8</v>
      </c>
      <c r="Q945" s="18" t="b">
        <f>FALSE()</f>
        <v>0</v>
      </c>
      <c r="R945" s="18" t="b">
        <f>FALSE()</f>
        <v>0</v>
      </c>
      <c r="S945" s="19">
        <f t="shared" si="14"/>
        <v>7.6</v>
      </c>
      <c r="T945">
        <f>COUNTIF('👤 Customers'!$A:$A, B945)</f>
        <v>1</v>
      </c>
      <c r="U945">
        <f>COUNTIF('🚴 Riders'!A944:A1004, C945)</f>
        <v>0</v>
      </c>
      <c r="V945">
        <f>COUNTIF('🏭 Facilities'!A944:A952, D945)</f>
        <v>0</v>
      </c>
    </row>
    <row r="946" spans="1:22">
      <c r="A946" s="16" t="s">
        <v>2507</v>
      </c>
      <c r="B946" s="16" t="s">
        <v>2043</v>
      </c>
      <c r="C946" s="16" t="s">
        <v>220</v>
      </c>
      <c r="D946" s="16" t="s">
        <v>158</v>
      </c>
      <c r="E946" s="25">
        <v>45114</v>
      </c>
      <c r="F946" s="16" t="s">
        <v>2508</v>
      </c>
      <c r="G946" s="16" t="s">
        <v>145</v>
      </c>
      <c r="H946" s="16">
        <v>5.3</v>
      </c>
      <c r="I946" s="16">
        <v>299</v>
      </c>
      <c r="J946" s="16">
        <v>20</v>
      </c>
      <c r="K946" s="16">
        <v>1267.76</v>
      </c>
      <c r="L946" s="16" t="s">
        <v>139</v>
      </c>
      <c r="M946" s="16" t="s">
        <v>119</v>
      </c>
      <c r="N946" s="27">
        <v>45115.047222222223</v>
      </c>
      <c r="O946" s="27">
        <v>45115.397222222222</v>
      </c>
      <c r="P946" s="16">
        <v>3</v>
      </c>
      <c r="Q946" s="16" t="b">
        <f>TRUE()</f>
        <v>1</v>
      </c>
      <c r="R946" s="16" t="b">
        <f>TRUE()</f>
        <v>1</v>
      </c>
      <c r="S946" s="17">
        <f t="shared" si="14"/>
        <v>8.4</v>
      </c>
      <c r="T946">
        <f>COUNTIF('👤 Customers'!$A:$A, B946)</f>
        <v>1</v>
      </c>
      <c r="U946">
        <f>COUNTIF('🚴 Riders'!A945:A1005, C946)</f>
        <v>0</v>
      </c>
      <c r="V946">
        <f>COUNTIF('🏭 Facilities'!A945:A953, D946)</f>
        <v>0</v>
      </c>
    </row>
    <row r="947" spans="1:22">
      <c r="A947" s="18" t="s">
        <v>2509</v>
      </c>
      <c r="B947" s="18" t="s">
        <v>1165</v>
      </c>
      <c r="C947" s="18" t="s">
        <v>153</v>
      </c>
      <c r="D947" s="18" t="s">
        <v>130</v>
      </c>
      <c r="E947" s="26">
        <v>45480</v>
      </c>
      <c r="F947" s="18" t="s">
        <v>2510</v>
      </c>
      <c r="G947" s="18" t="s">
        <v>145</v>
      </c>
      <c r="H947" s="18">
        <v>4.0999999999999996</v>
      </c>
      <c r="I947" s="18">
        <v>299</v>
      </c>
      <c r="J947" s="18">
        <v>10</v>
      </c>
      <c r="K947" s="18">
        <v>1103.31</v>
      </c>
      <c r="L947" s="18" t="s">
        <v>139</v>
      </c>
      <c r="M947" s="18" t="s">
        <v>119</v>
      </c>
      <c r="N947" s="28">
        <v>45480.501388888886</v>
      </c>
      <c r="O947" s="28">
        <v>45481.35833333333</v>
      </c>
      <c r="P947" s="18">
        <v>3.6</v>
      </c>
      <c r="Q947" s="18" t="b">
        <f>FALSE()</f>
        <v>0</v>
      </c>
      <c r="R947" s="18" t="b">
        <f>FALSE()</f>
        <v>0</v>
      </c>
      <c r="S947" s="19">
        <f t="shared" si="14"/>
        <v>20.6</v>
      </c>
      <c r="T947">
        <f>COUNTIF('👤 Customers'!$A:$A, B947)</f>
        <v>1</v>
      </c>
      <c r="U947">
        <f>COUNTIF('🚴 Riders'!A946:A1006, C947)</f>
        <v>0</v>
      </c>
      <c r="V947">
        <f>COUNTIF('🏭 Facilities'!A946:A954, D947)</f>
        <v>0</v>
      </c>
    </row>
    <row r="948" spans="1:22">
      <c r="A948" s="16" t="s">
        <v>2511</v>
      </c>
      <c r="B948" s="16" t="s">
        <v>1548</v>
      </c>
      <c r="C948" s="16" t="s">
        <v>563</v>
      </c>
      <c r="D948" s="16" t="s">
        <v>158</v>
      </c>
      <c r="E948" s="25">
        <v>44943</v>
      </c>
      <c r="F948" s="16" t="s">
        <v>2512</v>
      </c>
      <c r="G948" s="16" t="s">
        <v>145</v>
      </c>
      <c r="H948" s="16">
        <v>4.5999999999999996</v>
      </c>
      <c r="I948" s="16">
        <v>299</v>
      </c>
      <c r="J948" s="16">
        <v>0</v>
      </c>
      <c r="K948" s="16">
        <v>1375.4</v>
      </c>
      <c r="L948" s="16" t="s">
        <v>207</v>
      </c>
      <c r="M948" s="16" t="s">
        <v>119</v>
      </c>
      <c r="N948" s="27">
        <v>44943.199305555558</v>
      </c>
      <c r="O948" s="27">
        <v>44943.82916666667</v>
      </c>
      <c r="P948" s="16">
        <v>4.5</v>
      </c>
      <c r="Q948" s="16" t="b">
        <f>FALSE()</f>
        <v>0</v>
      </c>
      <c r="R948" s="16" t="b">
        <f>FALSE()</f>
        <v>0</v>
      </c>
      <c r="S948" s="17">
        <f t="shared" si="14"/>
        <v>15.1</v>
      </c>
      <c r="T948">
        <f>COUNTIF('👤 Customers'!$A:$A, B948)</f>
        <v>1</v>
      </c>
      <c r="U948">
        <f>COUNTIF('🚴 Riders'!A947:A1007, C948)</f>
        <v>0</v>
      </c>
      <c r="V948">
        <f>COUNTIF('🏭 Facilities'!A947:A955, D948)</f>
        <v>0</v>
      </c>
    </row>
    <row r="949" spans="1:22">
      <c r="A949" s="18" t="s">
        <v>2513</v>
      </c>
      <c r="B949" s="18" t="s">
        <v>698</v>
      </c>
      <c r="C949" s="18" t="s">
        <v>611</v>
      </c>
      <c r="D949" s="18" t="s">
        <v>130</v>
      </c>
      <c r="E949" s="26">
        <v>45241</v>
      </c>
      <c r="F949" s="18" t="s">
        <v>2514</v>
      </c>
      <c r="G949" s="18" t="s">
        <v>117</v>
      </c>
      <c r="H949" s="18">
        <v>2.7</v>
      </c>
      <c r="I949" s="18">
        <v>149</v>
      </c>
      <c r="J949" s="18">
        <v>0</v>
      </c>
      <c r="K949" s="18">
        <v>402.3</v>
      </c>
      <c r="L949" s="18" t="s">
        <v>126</v>
      </c>
      <c r="M949" s="18" t="s">
        <v>119</v>
      </c>
      <c r="N949" s="28">
        <v>45241.727777777778</v>
      </c>
      <c r="O949" s="28">
        <v>45242.758333333331</v>
      </c>
      <c r="P949" s="18">
        <v>3.6</v>
      </c>
      <c r="Q949" s="18" t="b">
        <f>FALSE()</f>
        <v>0</v>
      </c>
      <c r="R949" s="18" t="b">
        <f>FALSE()</f>
        <v>0</v>
      </c>
      <c r="S949" s="19">
        <f t="shared" si="14"/>
        <v>24.7</v>
      </c>
      <c r="T949">
        <f>COUNTIF('👤 Customers'!$A:$A, B949)</f>
        <v>1</v>
      </c>
      <c r="U949">
        <f>COUNTIF('🚴 Riders'!A948:A1008, C949)</f>
        <v>0</v>
      </c>
      <c r="V949">
        <f>COUNTIF('🏭 Facilities'!A948:A956, D949)</f>
        <v>0</v>
      </c>
    </row>
    <row r="950" spans="1:22">
      <c r="A950" s="16" t="s">
        <v>2515</v>
      </c>
      <c r="B950" s="16" t="s">
        <v>2411</v>
      </c>
      <c r="C950" s="16" t="s">
        <v>192</v>
      </c>
      <c r="D950" s="16" t="s">
        <v>123</v>
      </c>
      <c r="E950" s="25">
        <v>45195</v>
      </c>
      <c r="F950" s="16" t="s">
        <v>2516</v>
      </c>
      <c r="G950" s="16" t="s">
        <v>117</v>
      </c>
      <c r="H950" s="16">
        <v>3.7</v>
      </c>
      <c r="I950" s="16">
        <v>149</v>
      </c>
      <c r="J950" s="16">
        <v>0</v>
      </c>
      <c r="K950" s="16">
        <v>551.29999999999995</v>
      </c>
      <c r="L950" s="16" t="s">
        <v>118</v>
      </c>
      <c r="M950" s="16" t="s">
        <v>140</v>
      </c>
      <c r="N950" s="27">
        <v>45195.197916666664</v>
      </c>
      <c r="O950" s="27">
        <v>45195.844444444447</v>
      </c>
      <c r="P950" s="20"/>
      <c r="Q950" s="16" t="b">
        <f>FALSE()</f>
        <v>0</v>
      </c>
      <c r="R950" s="16" t="b">
        <f>FALSE()</f>
        <v>0</v>
      </c>
      <c r="S950" s="17">
        <f t="shared" si="14"/>
        <v>15.5</v>
      </c>
      <c r="T950">
        <f>COUNTIF('👤 Customers'!$A:$A, B950)</f>
        <v>1</v>
      </c>
      <c r="U950">
        <f>COUNTIF('🚴 Riders'!A949:A1009, C950)</f>
        <v>0</v>
      </c>
      <c r="V950">
        <f>COUNTIF('🏭 Facilities'!A949:A957, D950)</f>
        <v>0</v>
      </c>
    </row>
    <row r="951" spans="1:22">
      <c r="A951" s="18" t="s">
        <v>2517</v>
      </c>
      <c r="B951" s="18" t="s">
        <v>1345</v>
      </c>
      <c r="C951" s="18" t="s">
        <v>358</v>
      </c>
      <c r="D951" s="18" t="s">
        <v>184</v>
      </c>
      <c r="E951" s="26">
        <v>45049</v>
      </c>
      <c r="F951" s="18" t="s">
        <v>2518</v>
      </c>
      <c r="G951" s="18" t="s">
        <v>132</v>
      </c>
      <c r="H951" s="18">
        <v>2.5</v>
      </c>
      <c r="I951" s="18">
        <v>399</v>
      </c>
      <c r="J951" s="18">
        <v>0</v>
      </c>
      <c r="K951" s="18">
        <v>997.5</v>
      </c>
      <c r="L951" s="18" t="s">
        <v>207</v>
      </c>
      <c r="M951" s="18" t="s">
        <v>133</v>
      </c>
      <c r="N951" s="20"/>
      <c r="O951" s="20"/>
      <c r="P951" s="20"/>
      <c r="Q951" s="18" t="b">
        <f>TRUE()</f>
        <v>1</v>
      </c>
      <c r="R951" s="18" t="b">
        <f>FALSE()</f>
        <v>0</v>
      </c>
      <c r="S951" s="19" t="str">
        <f t="shared" si="14"/>
        <v>N/A</v>
      </c>
      <c r="T951">
        <f>COUNTIF('👤 Customers'!$A:$A, B951)</f>
        <v>1</v>
      </c>
      <c r="U951">
        <f>COUNTIF('🚴 Riders'!A950:A1010, C951)</f>
        <v>0</v>
      </c>
      <c r="V951">
        <f>COUNTIF('🏭 Facilities'!A950:A958, D951)</f>
        <v>0</v>
      </c>
    </row>
    <row r="952" spans="1:22">
      <c r="A952" s="16" t="s">
        <v>2519</v>
      </c>
      <c r="B952" s="16" t="s">
        <v>419</v>
      </c>
      <c r="C952" s="16" t="s">
        <v>350</v>
      </c>
      <c r="D952" s="16" t="s">
        <v>158</v>
      </c>
      <c r="E952" s="25">
        <v>44998</v>
      </c>
      <c r="F952" s="16" t="s">
        <v>2520</v>
      </c>
      <c r="G952" s="16" t="s">
        <v>176</v>
      </c>
      <c r="H952" s="16">
        <v>5.9</v>
      </c>
      <c r="I952" s="16">
        <v>599</v>
      </c>
      <c r="J952" s="16">
        <v>0</v>
      </c>
      <c r="K952" s="16">
        <v>3534.1</v>
      </c>
      <c r="L952" s="16" t="s">
        <v>118</v>
      </c>
      <c r="M952" s="16" t="s">
        <v>119</v>
      </c>
      <c r="N952" s="27">
        <v>44998.847916666666</v>
      </c>
      <c r="O952" s="27">
        <v>44999.34375</v>
      </c>
      <c r="P952" s="16">
        <v>4.7</v>
      </c>
      <c r="Q952" s="16" t="b">
        <f>FALSE()</f>
        <v>0</v>
      </c>
      <c r="R952" s="16" t="b">
        <f>FALSE()</f>
        <v>0</v>
      </c>
      <c r="S952" s="17">
        <f t="shared" si="14"/>
        <v>11.9</v>
      </c>
      <c r="T952">
        <f>COUNTIF('👤 Customers'!$A:$A, B952)</f>
        <v>1</v>
      </c>
      <c r="U952">
        <f>COUNTIF('🚴 Riders'!A951:A1011, C952)</f>
        <v>0</v>
      </c>
      <c r="V952">
        <f>COUNTIF('🏭 Facilities'!A951:A959, D952)</f>
        <v>0</v>
      </c>
    </row>
    <row r="953" spans="1:22">
      <c r="A953" s="18" t="s">
        <v>2521</v>
      </c>
      <c r="B953" s="18" t="s">
        <v>161</v>
      </c>
      <c r="C953" s="18" t="s">
        <v>1092</v>
      </c>
      <c r="D953" s="18" t="s">
        <v>137</v>
      </c>
      <c r="E953" s="26">
        <v>45056</v>
      </c>
      <c r="F953" s="18" t="s">
        <v>2522</v>
      </c>
      <c r="G953" s="18" t="s">
        <v>176</v>
      </c>
      <c r="H953" s="18">
        <v>1.5</v>
      </c>
      <c r="I953" s="18">
        <v>599</v>
      </c>
      <c r="J953" s="18">
        <v>20</v>
      </c>
      <c r="K953" s="18">
        <v>718.8</v>
      </c>
      <c r="L953" s="18" t="s">
        <v>118</v>
      </c>
      <c r="M953" s="18" t="s">
        <v>133</v>
      </c>
      <c r="N953" s="20"/>
      <c r="O953" s="20"/>
      <c r="P953" s="20"/>
      <c r="Q953" s="18" t="b">
        <f>FALSE()</f>
        <v>0</v>
      </c>
      <c r="R953" s="18" t="b">
        <f>FALSE()</f>
        <v>0</v>
      </c>
      <c r="S953" s="19" t="str">
        <f t="shared" si="14"/>
        <v>N/A</v>
      </c>
      <c r="T953">
        <f>COUNTIF('👤 Customers'!$A:$A, B953)</f>
        <v>1</v>
      </c>
      <c r="U953">
        <f>COUNTIF('🚴 Riders'!A952:A1012, C953)</f>
        <v>0</v>
      </c>
      <c r="V953">
        <f>COUNTIF('🏭 Facilities'!A952:A960, D953)</f>
        <v>0</v>
      </c>
    </row>
    <row r="954" spans="1:22">
      <c r="A954" s="16" t="s">
        <v>2523</v>
      </c>
      <c r="B954" s="16" t="s">
        <v>1631</v>
      </c>
      <c r="C954" s="16" t="s">
        <v>240</v>
      </c>
      <c r="D954" s="16" t="s">
        <v>137</v>
      </c>
      <c r="E954" s="25">
        <v>45622</v>
      </c>
      <c r="F954" s="16" t="s">
        <v>2524</v>
      </c>
      <c r="G954" s="16" t="s">
        <v>132</v>
      </c>
      <c r="H954" s="16">
        <v>2.7</v>
      </c>
      <c r="I954" s="16">
        <v>399</v>
      </c>
      <c r="J954" s="16">
        <v>20</v>
      </c>
      <c r="K954" s="16">
        <v>861.84</v>
      </c>
      <c r="L954" s="16" t="s">
        <v>146</v>
      </c>
      <c r="M954" s="16" t="s">
        <v>119</v>
      </c>
      <c r="N954" s="27">
        <v>45622.214583333334</v>
      </c>
      <c r="O954" s="27">
        <v>45622.628472222219</v>
      </c>
      <c r="P954" s="16">
        <v>2.8</v>
      </c>
      <c r="Q954" s="16" t="b">
        <f>FALSE()</f>
        <v>0</v>
      </c>
      <c r="R954" s="16" t="b">
        <f>FALSE()</f>
        <v>0</v>
      </c>
      <c r="S954" s="17">
        <f t="shared" si="14"/>
        <v>9.9</v>
      </c>
      <c r="T954">
        <f>COUNTIF('👤 Customers'!$A:$A, B954)</f>
        <v>1</v>
      </c>
      <c r="U954">
        <f>COUNTIF('🚴 Riders'!A953:A1013, C954)</f>
        <v>0</v>
      </c>
      <c r="V954">
        <f>COUNTIF('🏭 Facilities'!A953:A961, D954)</f>
        <v>0</v>
      </c>
    </row>
    <row r="955" spans="1:22">
      <c r="A955" s="18" t="s">
        <v>2525</v>
      </c>
      <c r="B955" s="18" t="s">
        <v>424</v>
      </c>
      <c r="C955" s="18" t="s">
        <v>431</v>
      </c>
      <c r="D955" s="18" t="s">
        <v>184</v>
      </c>
      <c r="E955" s="26">
        <v>45488</v>
      </c>
      <c r="F955" s="18" t="s">
        <v>2526</v>
      </c>
      <c r="G955" s="18" t="s">
        <v>132</v>
      </c>
      <c r="H955" s="18">
        <v>2.1</v>
      </c>
      <c r="I955" s="18">
        <v>399</v>
      </c>
      <c r="J955" s="18">
        <v>20</v>
      </c>
      <c r="K955" s="18">
        <v>670.32</v>
      </c>
      <c r="L955" s="18" t="s">
        <v>146</v>
      </c>
      <c r="M955" s="18" t="s">
        <v>119</v>
      </c>
      <c r="N955" s="28">
        <v>45488.868055555555</v>
      </c>
      <c r="O955" s="28">
        <v>45489.418055555558</v>
      </c>
      <c r="P955" s="18">
        <v>3.8</v>
      </c>
      <c r="Q955" s="18" t="b">
        <f>TRUE()</f>
        <v>1</v>
      </c>
      <c r="R955" s="18" t="b">
        <f>TRUE()</f>
        <v>1</v>
      </c>
      <c r="S955" s="19">
        <f t="shared" si="14"/>
        <v>13.2</v>
      </c>
      <c r="T955">
        <f>COUNTIF('👤 Customers'!$A:$A, B955)</f>
        <v>1</v>
      </c>
      <c r="U955">
        <f>COUNTIF('🚴 Riders'!A954:A1014, C955)</f>
        <v>0</v>
      </c>
      <c r="V955">
        <f>COUNTIF('🏭 Facilities'!A954:A962, D955)</f>
        <v>0</v>
      </c>
    </row>
    <row r="956" spans="1:22">
      <c r="A956" s="16" t="s">
        <v>2527</v>
      </c>
      <c r="B956" s="16" t="s">
        <v>1130</v>
      </c>
      <c r="C956" s="16" t="s">
        <v>251</v>
      </c>
      <c r="D956" s="16" t="s">
        <v>137</v>
      </c>
      <c r="E956" s="25">
        <v>44964</v>
      </c>
      <c r="F956" s="16" t="s">
        <v>2528</v>
      </c>
      <c r="G956" s="16" t="s">
        <v>145</v>
      </c>
      <c r="H956" s="16">
        <v>2.1</v>
      </c>
      <c r="I956" s="16">
        <v>299</v>
      </c>
      <c r="J956" s="16">
        <v>0</v>
      </c>
      <c r="K956" s="16">
        <v>627.9</v>
      </c>
      <c r="L956" s="16" t="s">
        <v>126</v>
      </c>
      <c r="M956" s="16" t="s">
        <v>133</v>
      </c>
      <c r="N956" s="20"/>
      <c r="O956" s="20"/>
      <c r="P956" s="20"/>
      <c r="Q956" s="16" t="b">
        <f>FALSE()</f>
        <v>0</v>
      </c>
      <c r="R956" s="16" t="b">
        <f>TRUE()</f>
        <v>1</v>
      </c>
      <c r="S956" s="17" t="str">
        <f t="shared" si="14"/>
        <v>N/A</v>
      </c>
      <c r="T956">
        <f>COUNTIF('👤 Customers'!$A:$A, B956)</f>
        <v>1</v>
      </c>
      <c r="U956">
        <f>COUNTIF('🚴 Riders'!A955:A1015, C956)</f>
        <v>0</v>
      </c>
      <c r="V956">
        <f>COUNTIF('🏭 Facilities'!A955:A963, D956)</f>
        <v>0</v>
      </c>
    </row>
    <row r="957" spans="1:22">
      <c r="A957" s="18" t="s">
        <v>2529</v>
      </c>
      <c r="B957" s="18" t="s">
        <v>1995</v>
      </c>
      <c r="C957" s="18" t="s">
        <v>354</v>
      </c>
      <c r="D957" s="18" t="s">
        <v>158</v>
      </c>
      <c r="E957" s="26">
        <v>45397</v>
      </c>
      <c r="F957" s="18" t="s">
        <v>2530</v>
      </c>
      <c r="G957" s="18" t="s">
        <v>125</v>
      </c>
      <c r="H957" s="18">
        <v>1.5</v>
      </c>
      <c r="I957" s="18">
        <v>199</v>
      </c>
      <c r="J957" s="18">
        <v>0</v>
      </c>
      <c r="K957" s="18">
        <v>298.5</v>
      </c>
      <c r="L957" s="18" t="s">
        <v>146</v>
      </c>
      <c r="M957" s="18" t="s">
        <v>119</v>
      </c>
      <c r="N957" s="28">
        <v>45397.76458333333</v>
      </c>
      <c r="O957" s="28">
        <v>45398.493750000001</v>
      </c>
      <c r="P957" s="18">
        <v>3.7</v>
      </c>
      <c r="Q957" s="18" t="b">
        <f>FALSE()</f>
        <v>0</v>
      </c>
      <c r="R957" s="18" t="b">
        <f>FALSE()</f>
        <v>0</v>
      </c>
      <c r="S957" s="19">
        <f t="shared" si="14"/>
        <v>17.5</v>
      </c>
      <c r="T957">
        <f>COUNTIF('👤 Customers'!$A:$A, B957)</f>
        <v>1</v>
      </c>
      <c r="U957">
        <f>COUNTIF('🚴 Riders'!A956:A1016, C957)</f>
        <v>0</v>
      </c>
      <c r="V957">
        <f>COUNTIF('🏭 Facilities'!A956:A964, D957)</f>
        <v>0</v>
      </c>
    </row>
    <row r="958" spans="1:22">
      <c r="A958" s="16" t="s">
        <v>2531</v>
      </c>
      <c r="B958" s="16" t="s">
        <v>409</v>
      </c>
      <c r="C958" s="16" t="s">
        <v>350</v>
      </c>
      <c r="D958" s="16" t="s">
        <v>115</v>
      </c>
      <c r="E958" s="25">
        <v>45537</v>
      </c>
      <c r="F958" s="16" t="s">
        <v>2532</v>
      </c>
      <c r="G958" s="16" t="s">
        <v>176</v>
      </c>
      <c r="H958" s="16">
        <v>5</v>
      </c>
      <c r="I958" s="16">
        <v>599</v>
      </c>
      <c r="J958" s="16">
        <v>20</v>
      </c>
      <c r="K958" s="16">
        <v>2396</v>
      </c>
      <c r="L958" s="16" t="s">
        <v>207</v>
      </c>
      <c r="M958" s="16" t="s">
        <v>119</v>
      </c>
      <c r="N958" s="27">
        <v>45537.933333333334</v>
      </c>
      <c r="O958" s="27">
        <v>45538.651388888888</v>
      </c>
      <c r="P958" s="16">
        <v>4.5</v>
      </c>
      <c r="Q958" s="16" t="b">
        <f>FALSE()</f>
        <v>0</v>
      </c>
      <c r="R958" s="16" t="b">
        <f>FALSE()</f>
        <v>0</v>
      </c>
      <c r="S958" s="17">
        <f t="shared" si="14"/>
        <v>17.2</v>
      </c>
      <c r="T958">
        <f>COUNTIF('👤 Customers'!$A:$A, B958)</f>
        <v>1</v>
      </c>
      <c r="U958">
        <f>COUNTIF('🚴 Riders'!A957:A1017, C958)</f>
        <v>0</v>
      </c>
      <c r="V958">
        <f>COUNTIF('🏭 Facilities'!A957:A965, D958)</f>
        <v>0</v>
      </c>
    </row>
    <row r="959" spans="1:22">
      <c r="A959" s="18" t="s">
        <v>2533</v>
      </c>
      <c r="B959" s="18" t="s">
        <v>1064</v>
      </c>
      <c r="C959" s="18" t="s">
        <v>196</v>
      </c>
      <c r="D959" s="18" t="s">
        <v>184</v>
      </c>
      <c r="E959" s="26">
        <v>45212</v>
      </c>
      <c r="F959" s="18" t="s">
        <v>2534</v>
      </c>
      <c r="G959" s="18" t="s">
        <v>117</v>
      </c>
      <c r="H959" s="18">
        <v>1.8</v>
      </c>
      <c r="I959" s="18">
        <v>149</v>
      </c>
      <c r="J959" s="18">
        <v>20</v>
      </c>
      <c r="K959" s="18">
        <v>214.56</v>
      </c>
      <c r="L959" s="18" t="s">
        <v>207</v>
      </c>
      <c r="M959" s="18" t="s">
        <v>119</v>
      </c>
      <c r="N959" s="28">
        <v>45212.522222222222</v>
      </c>
      <c r="O959" s="28">
        <v>45213.120138888888</v>
      </c>
      <c r="P959" s="18">
        <v>3.6</v>
      </c>
      <c r="Q959" s="18" t="b">
        <f>FALSE()</f>
        <v>0</v>
      </c>
      <c r="R959" s="18" t="b">
        <f>TRUE()</f>
        <v>1</v>
      </c>
      <c r="S959" s="19">
        <f t="shared" si="14"/>
        <v>14.3</v>
      </c>
      <c r="T959">
        <f>COUNTIF('👤 Customers'!$A:$A, B959)</f>
        <v>1</v>
      </c>
      <c r="U959">
        <f>COUNTIF('🚴 Riders'!A958:A1018, C959)</f>
        <v>0</v>
      </c>
      <c r="V959">
        <f>COUNTIF('🏭 Facilities'!A958:A966, D959)</f>
        <v>0</v>
      </c>
    </row>
    <row r="960" spans="1:22">
      <c r="A960" s="16" t="s">
        <v>2535</v>
      </c>
      <c r="B960" s="16" t="s">
        <v>554</v>
      </c>
      <c r="C960" s="16" t="s">
        <v>192</v>
      </c>
      <c r="D960" s="16" t="s">
        <v>115</v>
      </c>
      <c r="E960" s="25">
        <v>45599</v>
      </c>
      <c r="F960" s="16" t="s">
        <v>2536</v>
      </c>
      <c r="G960" s="16" t="s">
        <v>176</v>
      </c>
      <c r="H960" s="16">
        <v>6.5</v>
      </c>
      <c r="I960" s="16">
        <v>599</v>
      </c>
      <c r="J960" s="16">
        <v>10</v>
      </c>
      <c r="K960" s="16">
        <v>3504.15</v>
      </c>
      <c r="L960" s="16" t="s">
        <v>118</v>
      </c>
      <c r="M960" s="16" t="s">
        <v>140</v>
      </c>
      <c r="N960" s="27">
        <v>45599.154861111114</v>
      </c>
      <c r="O960" s="27">
        <v>45599.755555555559</v>
      </c>
      <c r="P960" s="20"/>
      <c r="Q960" s="16" t="b">
        <f>FALSE()</f>
        <v>0</v>
      </c>
      <c r="R960" s="16" t="b">
        <f>FALSE()</f>
        <v>0</v>
      </c>
      <c r="S960" s="17">
        <f t="shared" si="14"/>
        <v>14.4</v>
      </c>
      <c r="T960">
        <f>COUNTIF('👤 Customers'!$A:$A, B960)</f>
        <v>1</v>
      </c>
      <c r="U960">
        <f>COUNTIF('🚴 Riders'!A959:A1019, C960)</f>
        <v>0</v>
      </c>
      <c r="V960">
        <f>COUNTIF('🏭 Facilities'!A959:A967, D960)</f>
        <v>0</v>
      </c>
    </row>
    <row r="961" spans="1:22">
      <c r="A961" s="18" t="s">
        <v>2537</v>
      </c>
      <c r="B961" s="18" t="s">
        <v>769</v>
      </c>
      <c r="C961" s="18" t="s">
        <v>611</v>
      </c>
      <c r="D961" s="18" t="s">
        <v>197</v>
      </c>
      <c r="E961" s="26">
        <v>45288</v>
      </c>
      <c r="F961" s="18" t="s">
        <v>2538</v>
      </c>
      <c r="G961" s="18" t="s">
        <v>117</v>
      </c>
      <c r="H961" s="18">
        <v>7.2</v>
      </c>
      <c r="I961" s="18">
        <v>149</v>
      </c>
      <c r="J961" s="18">
        <v>0</v>
      </c>
      <c r="K961" s="18">
        <v>1072.8</v>
      </c>
      <c r="L961" s="18" t="s">
        <v>118</v>
      </c>
      <c r="M961" s="18" t="s">
        <v>119</v>
      </c>
      <c r="N961" s="28">
        <v>45288.495833333334</v>
      </c>
      <c r="O961" s="28">
        <v>45288.98333333333</v>
      </c>
      <c r="P961" s="18">
        <v>3.4</v>
      </c>
      <c r="Q961" s="18" t="b">
        <f>FALSE()</f>
        <v>0</v>
      </c>
      <c r="R961" s="18" t="b">
        <f>FALSE()</f>
        <v>0</v>
      </c>
      <c r="S961" s="19">
        <f t="shared" si="14"/>
        <v>11.7</v>
      </c>
      <c r="T961">
        <f>COUNTIF('👤 Customers'!$A:$A, B961)</f>
        <v>1</v>
      </c>
      <c r="U961">
        <f>COUNTIF('🚴 Riders'!A960:A1020, C961)</f>
        <v>0</v>
      </c>
      <c r="V961">
        <f>COUNTIF('🏭 Facilities'!A960:A968, D961)</f>
        <v>0</v>
      </c>
    </row>
    <row r="962" spans="1:22">
      <c r="A962" s="16" t="s">
        <v>2539</v>
      </c>
      <c r="B962" s="16" t="s">
        <v>450</v>
      </c>
      <c r="C962" s="16" t="s">
        <v>213</v>
      </c>
      <c r="D962" s="16" t="s">
        <v>197</v>
      </c>
      <c r="E962" s="25">
        <v>45615</v>
      </c>
      <c r="F962" s="16" t="s">
        <v>2540</v>
      </c>
      <c r="G962" s="16" t="s">
        <v>145</v>
      </c>
      <c r="H962" s="16">
        <v>1.5</v>
      </c>
      <c r="I962" s="16">
        <v>299</v>
      </c>
      <c r="J962" s="16">
        <v>0</v>
      </c>
      <c r="K962" s="16">
        <v>448.5</v>
      </c>
      <c r="L962" s="16" t="s">
        <v>118</v>
      </c>
      <c r="M962" s="16" t="s">
        <v>133</v>
      </c>
      <c r="N962" s="20"/>
      <c r="O962" s="20"/>
      <c r="P962" s="20"/>
      <c r="Q962" s="16" t="b">
        <f>FALSE()</f>
        <v>0</v>
      </c>
      <c r="R962" s="16" t="b">
        <f>FALSE()</f>
        <v>0</v>
      </c>
      <c r="S962" s="17" t="str">
        <f t="shared" ref="S962:S1025" si="15">IF(OR(N962="",O962=""),"N/A",ROUND(((O962-N962)*24),1))</f>
        <v>N/A</v>
      </c>
      <c r="T962">
        <f>COUNTIF('👤 Customers'!$A:$A, B962)</f>
        <v>1</v>
      </c>
      <c r="U962">
        <f>COUNTIF('🚴 Riders'!A961:A1021, C962)</f>
        <v>0</v>
      </c>
      <c r="V962">
        <f>COUNTIF('🏭 Facilities'!A961:A969, D962)</f>
        <v>0</v>
      </c>
    </row>
    <row r="963" spans="1:22">
      <c r="A963" s="18" t="s">
        <v>2541</v>
      </c>
      <c r="B963" s="18" t="s">
        <v>1207</v>
      </c>
      <c r="C963" s="18" t="s">
        <v>461</v>
      </c>
      <c r="D963" s="18" t="s">
        <v>205</v>
      </c>
      <c r="E963" s="26">
        <v>45320</v>
      </c>
      <c r="F963" s="18" t="s">
        <v>2542</v>
      </c>
      <c r="G963" s="18" t="s">
        <v>132</v>
      </c>
      <c r="H963" s="18">
        <v>1.1000000000000001</v>
      </c>
      <c r="I963" s="18">
        <v>399</v>
      </c>
      <c r="J963" s="18">
        <v>0</v>
      </c>
      <c r="K963" s="18">
        <v>438.9</v>
      </c>
      <c r="L963" s="18" t="s">
        <v>126</v>
      </c>
      <c r="M963" s="18" t="s">
        <v>140</v>
      </c>
      <c r="N963" s="28">
        <v>45320.703472222223</v>
      </c>
      <c r="O963" s="28">
        <v>45321.199305555558</v>
      </c>
      <c r="P963" s="20"/>
      <c r="Q963" s="18" t="b">
        <f>FALSE()</f>
        <v>0</v>
      </c>
      <c r="R963" s="18" t="b">
        <f>FALSE()</f>
        <v>0</v>
      </c>
      <c r="S963" s="19">
        <f t="shared" si="15"/>
        <v>11.9</v>
      </c>
      <c r="T963">
        <f>COUNTIF('👤 Customers'!$A:$A, B963)</f>
        <v>1</v>
      </c>
      <c r="U963">
        <f>COUNTIF('🚴 Riders'!A962:A1022, C963)</f>
        <v>0</v>
      </c>
      <c r="V963">
        <f>COUNTIF('🏭 Facilities'!A962:A970, D963)</f>
        <v>0</v>
      </c>
    </row>
    <row r="964" spans="1:22">
      <c r="A964" s="16" t="s">
        <v>2543</v>
      </c>
      <c r="B964" s="16" t="s">
        <v>811</v>
      </c>
      <c r="C964" s="16" t="s">
        <v>196</v>
      </c>
      <c r="D964" s="16" t="s">
        <v>115</v>
      </c>
      <c r="E964" s="25">
        <v>45403</v>
      </c>
      <c r="F964" s="16" t="s">
        <v>2544</v>
      </c>
      <c r="G964" s="16" t="s">
        <v>145</v>
      </c>
      <c r="H964" s="16">
        <v>3.4</v>
      </c>
      <c r="I964" s="16">
        <v>299</v>
      </c>
      <c r="J964" s="16">
        <v>0</v>
      </c>
      <c r="K964" s="16">
        <v>1016.6</v>
      </c>
      <c r="L964" s="16" t="s">
        <v>139</v>
      </c>
      <c r="M964" s="16" t="s">
        <v>119</v>
      </c>
      <c r="N964" s="27">
        <v>45403.101388888892</v>
      </c>
      <c r="O964" s="27">
        <v>45403.791666666664</v>
      </c>
      <c r="P964" s="16">
        <v>4.4000000000000004</v>
      </c>
      <c r="Q964" s="16" t="b">
        <f>TRUE()</f>
        <v>1</v>
      </c>
      <c r="R964" s="16" t="b">
        <f>FALSE()</f>
        <v>0</v>
      </c>
      <c r="S964" s="17">
        <f t="shared" si="15"/>
        <v>16.600000000000001</v>
      </c>
      <c r="T964">
        <f>COUNTIF('👤 Customers'!$A:$A, B964)</f>
        <v>1</v>
      </c>
      <c r="U964">
        <f>COUNTIF('🚴 Riders'!A963:A1023, C964)</f>
        <v>0</v>
      </c>
      <c r="V964">
        <f>COUNTIF('🏭 Facilities'!A963:A971, D964)</f>
        <v>0</v>
      </c>
    </row>
    <row r="965" spans="1:22">
      <c r="A965" s="18" t="s">
        <v>2545</v>
      </c>
      <c r="B965" s="18" t="s">
        <v>2546</v>
      </c>
      <c r="C965" s="18" t="s">
        <v>283</v>
      </c>
      <c r="D965" s="18" t="s">
        <v>123</v>
      </c>
      <c r="E965" s="26">
        <v>45492</v>
      </c>
      <c r="F965" s="18" t="s">
        <v>2547</v>
      </c>
      <c r="G965" s="18" t="s">
        <v>176</v>
      </c>
      <c r="H965" s="18">
        <v>4.5</v>
      </c>
      <c r="I965" s="18">
        <v>599</v>
      </c>
      <c r="J965" s="18">
        <v>30</v>
      </c>
      <c r="K965" s="18">
        <v>1886.85</v>
      </c>
      <c r="L965" s="18" t="s">
        <v>207</v>
      </c>
      <c r="M965" s="18" t="s">
        <v>119</v>
      </c>
      <c r="N965" s="28">
        <v>45493.127083333333</v>
      </c>
      <c r="O965" s="28">
        <v>45493.756944444445</v>
      </c>
      <c r="P965" s="18">
        <v>2.9</v>
      </c>
      <c r="Q965" s="18" t="b">
        <f>FALSE()</f>
        <v>0</v>
      </c>
      <c r="R965" s="18" t="b">
        <f>TRUE()</f>
        <v>1</v>
      </c>
      <c r="S965" s="19">
        <f t="shared" si="15"/>
        <v>15.1</v>
      </c>
      <c r="T965">
        <f>COUNTIF('👤 Customers'!$A:$A, B965)</f>
        <v>1</v>
      </c>
      <c r="U965">
        <f>COUNTIF('🚴 Riders'!A964:A1024, C965)</f>
        <v>0</v>
      </c>
      <c r="V965">
        <f>COUNTIF('🏭 Facilities'!A964:A972, D965)</f>
        <v>0</v>
      </c>
    </row>
    <row r="966" spans="1:22">
      <c r="A966" s="16" t="s">
        <v>2548</v>
      </c>
      <c r="B966" s="16" t="s">
        <v>2549</v>
      </c>
      <c r="C966" s="16" t="s">
        <v>276</v>
      </c>
      <c r="D966" s="16" t="s">
        <v>137</v>
      </c>
      <c r="E966" s="25">
        <v>45225</v>
      </c>
      <c r="F966" s="16" t="s">
        <v>2550</v>
      </c>
      <c r="G966" s="16" t="s">
        <v>117</v>
      </c>
      <c r="H966" s="16">
        <v>3.8</v>
      </c>
      <c r="I966" s="16">
        <v>149</v>
      </c>
      <c r="J966" s="16">
        <v>0</v>
      </c>
      <c r="K966" s="16">
        <v>566.20000000000005</v>
      </c>
      <c r="L966" s="16" t="s">
        <v>139</v>
      </c>
      <c r="M966" s="16" t="s">
        <v>119</v>
      </c>
      <c r="N966" s="27">
        <v>45225.197916666664</v>
      </c>
      <c r="O966" s="27">
        <v>45225.624305555553</v>
      </c>
      <c r="P966" s="16">
        <v>3.9</v>
      </c>
      <c r="Q966" s="16" t="b">
        <f>FALSE()</f>
        <v>0</v>
      </c>
      <c r="R966" s="16" t="b">
        <f>FALSE()</f>
        <v>0</v>
      </c>
      <c r="S966" s="17">
        <f t="shared" si="15"/>
        <v>10.199999999999999</v>
      </c>
      <c r="T966">
        <f>COUNTIF('👤 Customers'!$A:$A, B966)</f>
        <v>1</v>
      </c>
      <c r="U966">
        <f>COUNTIF('🚴 Riders'!A965:A1025, C966)</f>
        <v>0</v>
      </c>
      <c r="V966">
        <f>COUNTIF('🏭 Facilities'!A965:A973, D966)</f>
        <v>0</v>
      </c>
    </row>
    <row r="967" spans="1:22">
      <c r="A967" s="18" t="s">
        <v>2551</v>
      </c>
      <c r="B967" s="18" t="s">
        <v>346</v>
      </c>
      <c r="C967" s="18" t="s">
        <v>611</v>
      </c>
      <c r="D967" s="18" t="s">
        <v>115</v>
      </c>
      <c r="E967" s="26">
        <v>44927</v>
      </c>
      <c r="F967" s="18" t="s">
        <v>2552</v>
      </c>
      <c r="G967" s="18" t="s">
        <v>125</v>
      </c>
      <c r="H967" s="18">
        <v>2.1</v>
      </c>
      <c r="I967" s="18">
        <v>199</v>
      </c>
      <c r="J967" s="18">
        <v>0</v>
      </c>
      <c r="K967" s="18">
        <v>417.9</v>
      </c>
      <c r="L967" s="18" t="s">
        <v>126</v>
      </c>
      <c r="M967" s="18" t="s">
        <v>140</v>
      </c>
      <c r="N967" s="28">
        <v>44927.53125</v>
      </c>
      <c r="O967" s="28">
        <v>44927.911805555559</v>
      </c>
      <c r="P967" s="20"/>
      <c r="Q967" s="18" t="b">
        <f>TRUE()</f>
        <v>1</v>
      </c>
      <c r="R967" s="18" t="b">
        <f>FALSE()</f>
        <v>0</v>
      </c>
      <c r="S967" s="19">
        <f t="shared" si="15"/>
        <v>9.1</v>
      </c>
      <c r="T967">
        <f>COUNTIF('👤 Customers'!$A:$A, B967)</f>
        <v>1</v>
      </c>
      <c r="U967">
        <f>COUNTIF('🚴 Riders'!A966:A1026, C967)</f>
        <v>0</v>
      </c>
      <c r="V967">
        <f>COUNTIF('🏭 Facilities'!A966:A974, D967)</f>
        <v>0</v>
      </c>
    </row>
    <row r="968" spans="1:22">
      <c r="A968" s="16" t="s">
        <v>2553</v>
      </c>
      <c r="B968" s="16" t="s">
        <v>2490</v>
      </c>
      <c r="C968" s="16" t="s">
        <v>580</v>
      </c>
      <c r="D968" s="16" t="s">
        <v>205</v>
      </c>
      <c r="E968" s="25">
        <v>45625</v>
      </c>
      <c r="F968" s="16" t="s">
        <v>2554</v>
      </c>
      <c r="G968" s="16" t="s">
        <v>117</v>
      </c>
      <c r="H968" s="16">
        <v>5.3</v>
      </c>
      <c r="I968" s="16">
        <v>149</v>
      </c>
      <c r="J968" s="16">
        <v>30</v>
      </c>
      <c r="K968" s="16">
        <v>552.79</v>
      </c>
      <c r="L968" s="16" t="s">
        <v>118</v>
      </c>
      <c r="M968" s="16" t="s">
        <v>119</v>
      </c>
      <c r="N968" s="27">
        <v>45625.748611111114</v>
      </c>
      <c r="O968" s="27">
        <v>45626.280555555553</v>
      </c>
      <c r="P968" s="16">
        <v>3.8</v>
      </c>
      <c r="Q968" s="16" t="b">
        <f>FALSE()</f>
        <v>0</v>
      </c>
      <c r="R968" s="16" t="b">
        <f>FALSE()</f>
        <v>0</v>
      </c>
      <c r="S968" s="17">
        <f t="shared" si="15"/>
        <v>12.8</v>
      </c>
      <c r="T968">
        <f>COUNTIF('👤 Customers'!$A:$A, B968)</f>
        <v>1</v>
      </c>
      <c r="U968">
        <f>COUNTIF('🚴 Riders'!A967:A1027, C968)</f>
        <v>0</v>
      </c>
      <c r="V968">
        <f>COUNTIF('🏭 Facilities'!A967:A975, D968)</f>
        <v>0</v>
      </c>
    </row>
    <row r="969" spans="1:22">
      <c r="A969" s="18" t="s">
        <v>2555</v>
      </c>
      <c r="B969" s="18" t="s">
        <v>1781</v>
      </c>
      <c r="C969" s="18" t="s">
        <v>431</v>
      </c>
      <c r="D969" s="18" t="s">
        <v>123</v>
      </c>
      <c r="E969" s="26">
        <v>45385</v>
      </c>
      <c r="F969" s="18" t="s">
        <v>2556</v>
      </c>
      <c r="G969" s="18" t="s">
        <v>176</v>
      </c>
      <c r="H969" s="18">
        <v>5.8</v>
      </c>
      <c r="I969" s="18">
        <v>599</v>
      </c>
      <c r="J969" s="18">
        <v>20</v>
      </c>
      <c r="K969" s="18">
        <v>2779.36</v>
      </c>
      <c r="L969" s="18" t="s">
        <v>139</v>
      </c>
      <c r="M969" s="18" t="s">
        <v>119</v>
      </c>
      <c r="N969" s="28">
        <v>45385.148611111108</v>
      </c>
      <c r="O969" s="28">
        <v>45385.49722222222</v>
      </c>
      <c r="P969" s="18">
        <v>4.9000000000000004</v>
      </c>
      <c r="Q969" s="18" t="b">
        <f>FALSE()</f>
        <v>0</v>
      </c>
      <c r="R969" s="18" t="b">
        <f>TRUE()</f>
        <v>1</v>
      </c>
      <c r="S969" s="19">
        <f t="shared" si="15"/>
        <v>8.4</v>
      </c>
      <c r="T969">
        <f>COUNTIF('👤 Customers'!$A:$A, B969)</f>
        <v>1</v>
      </c>
      <c r="U969">
        <f>COUNTIF('🚴 Riders'!A968:A1028, C969)</f>
        <v>0</v>
      </c>
      <c r="V969">
        <f>COUNTIF('🏭 Facilities'!A968:A976, D969)</f>
        <v>0</v>
      </c>
    </row>
    <row r="970" spans="1:22">
      <c r="A970" s="16" t="s">
        <v>2557</v>
      </c>
      <c r="B970" s="16" t="s">
        <v>1023</v>
      </c>
      <c r="C970" s="16" t="s">
        <v>129</v>
      </c>
      <c r="D970" s="16" t="s">
        <v>115</v>
      </c>
      <c r="E970" s="25">
        <v>45386</v>
      </c>
      <c r="F970" s="16" t="s">
        <v>2558</v>
      </c>
      <c r="G970" s="16" t="s">
        <v>117</v>
      </c>
      <c r="H970" s="16">
        <v>6.6</v>
      </c>
      <c r="I970" s="16">
        <v>149</v>
      </c>
      <c r="J970" s="16">
        <v>0</v>
      </c>
      <c r="K970" s="16">
        <v>983.4</v>
      </c>
      <c r="L970" s="16" t="s">
        <v>207</v>
      </c>
      <c r="M970" s="16" t="s">
        <v>119</v>
      </c>
      <c r="N970" s="27">
        <v>45386.682638888888</v>
      </c>
      <c r="O970" s="27">
        <v>45387.626388888886</v>
      </c>
      <c r="P970" s="16">
        <v>4.8</v>
      </c>
      <c r="Q970" s="16" t="b">
        <f>FALSE()</f>
        <v>0</v>
      </c>
      <c r="R970" s="16" t="b">
        <f>FALSE()</f>
        <v>0</v>
      </c>
      <c r="S970" s="17">
        <f t="shared" si="15"/>
        <v>22.6</v>
      </c>
      <c r="T970">
        <f>COUNTIF('👤 Customers'!$A:$A, B970)</f>
        <v>1</v>
      </c>
      <c r="U970">
        <f>COUNTIF('🚴 Riders'!A969:A1029, C970)</f>
        <v>0</v>
      </c>
      <c r="V970">
        <f>COUNTIF('🏭 Facilities'!A969:A977, D970)</f>
        <v>0</v>
      </c>
    </row>
    <row r="971" spans="1:22">
      <c r="A971" s="18" t="s">
        <v>2559</v>
      </c>
      <c r="B971" s="18" t="s">
        <v>2560</v>
      </c>
      <c r="C971" s="18" t="s">
        <v>183</v>
      </c>
      <c r="D971" s="18" t="s">
        <v>205</v>
      </c>
      <c r="E971" s="26">
        <v>45247</v>
      </c>
      <c r="F971" s="18" t="s">
        <v>2561</v>
      </c>
      <c r="G971" s="18" t="s">
        <v>145</v>
      </c>
      <c r="H971" s="18">
        <v>3.9</v>
      </c>
      <c r="I971" s="18">
        <v>299</v>
      </c>
      <c r="J971" s="18">
        <v>0</v>
      </c>
      <c r="K971" s="18">
        <v>1166.0999999999999</v>
      </c>
      <c r="L971" s="18" t="s">
        <v>126</v>
      </c>
      <c r="M971" s="18" t="s">
        <v>119</v>
      </c>
      <c r="N971" s="28">
        <v>45247.566666666666</v>
      </c>
      <c r="O971" s="28">
        <v>45248.404861111114</v>
      </c>
      <c r="P971" s="18">
        <v>3.6</v>
      </c>
      <c r="Q971" s="18" t="b">
        <f>FALSE()</f>
        <v>0</v>
      </c>
      <c r="R971" s="18" t="b">
        <f>TRUE()</f>
        <v>1</v>
      </c>
      <c r="S971" s="19">
        <f t="shared" si="15"/>
        <v>20.100000000000001</v>
      </c>
      <c r="T971">
        <f>COUNTIF('👤 Customers'!$A:$A, B971)</f>
        <v>1</v>
      </c>
      <c r="U971">
        <f>COUNTIF('🚴 Riders'!A970:A1030, C971)</f>
        <v>0</v>
      </c>
      <c r="V971">
        <f>COUNTIF('🏭 Facilities'!A970:A978, D971)</f>
        <v>0</v>
      </c>
    </row>
    <row r="972" spans="1:22">
      <c r="A972" s="16" t="s">
        <v>2562</v>
      </c>
      <c r="B972" s="16" t="s">
        <v>1155</v>
      </c>
      <c r="C972" s="16" t="s">
        <v>354</v>
      </c>
      <c r="D972" s="16" t="s">
        <v>130</v>
      </c>
      <c r="E972" s="25">
        <v>45294</v>
      </c>
      <c r="F972" s="16" t="s">
        <v>2563</v>
      </c>
      <c r="G972" s="16" t="s">
        <v>125</v>
      </c>
      <c r="H972" s="16">
        <v>3.3</v>
      </c>
      <c r="I972" s="16">
        <v>199</v>
      </c>
      <c r="J972" s="16">
        <v>0</v>
      </c>
      <c r="K972" s="16">
        <v>656.7</v>
      </c>
      <c r="L972" s="16" t="s">
        <v>139</v>
      </c>
      <c r="M972" s="16" t="s">
        <v>119</v>
      </c>
      <c r="N972" s="27">
        <v>45294.579861111109</v>
      </c>
      <c r="O972" s="27">
        <v>45295.572222222225</v>
      </c>
      <c r="P972" s="16">
        <v>3.6</v>
      </c>
      <c r="Q972" s="16" t="b">
        <f>FALSE()</f>
        <v>0</v>
      </c>
      <c r="R972" s="16" t="b">
        <f>FALSE()</f>
        <v>0</v>
      </c>
      <c r="S972" s="17">
        <f t="shared" si="15"/>
        <v>23.8</v>
      </c>
      <c r="T972">
        <f>COUNTIF('👤 Customers'!$A:$A, B972)</f>
        <v>1</v>
      </c>
      <c r="U972">
        <f>COUNTIF('🚴 Riders'!A971:A1031, C972)</f>
        <v>0</v>
      </c>
      <c r="V972">
        <f>COUNTIF('🏭 Facilities'!A971:A979, D972)</f>
        <v>0</v>
      </c>
    </row>
    <row r="973" spans="1:22">
      <c r="A973" s="18" t="s">
        <v>2564</v>
      </c>
      <c r="B973" s="18" t="s">
        <v>1416</v>
      </c>
      <c r="C973" s="18" t="s">
        <v>149</v>
      </c>
      <c r="D973" s="18" t="s">
        <v>184</v>
      </c>
      <c r="E973" s="26">
        <v>45551</v>
      </c>
      <c r="F973" s="18" t="s">
        <v>2565</v>
      </c>
      <c r="G973" s="18" t="s">
        <v>132</v>
      </c>
      <c r="H973" s="18">
        <v>3.4</v>
      </c>
      <c r="I973" s="18">
        <v>399</v>
      </c>
      <c r="J973" s="18">
        <v>0</v>
      </c>
      <c r="K973" s="18">
        <v>1356.6</v>
      </c>
      <c r="L973" s="18" t="s">
        <v>207</v>
      </c>
      <c r="M973" s="18" t="s">
        <v>133</v>
      </c>
      <c r="N973" s="20"/>
      <c r="O973" s="20"/>
      <c r="P973" s="20"/>
      <c r="Q973" s="18" t="b">
        <f>FALSE()</f>
        <v>0</v>
      </c>
      <c r="R973" s="18" t="b">
        <f>FALSE()</f>
        <v>0</v>
      </c>
      <c r="S973" s="19" t="str">
        <f t="shared" si="15"/>
        <v>N/A</v>
      </c>
      <c r="T973">
        <f>COUNTIF('👤 Customers'!$A:$A, B973)</f>
        <v>1</v>
      </c>
      <c r="U973">
        <f>COUNTIF('🚴 Riders'!A972:A1032, C973)</f>
        <v>0</v>
      </c>
      <c r="V973">
        <f>COUNTIF('🏭 Facilities'!A972:A980, D973)</f>
        <v>0</v>
      </c>
    </row>
    <row r="974" spans="1:22">
      <c r="A974" s="16" t="s">
        <v>2566</v>
      </c>
      <c r="B974" s="16" t="s">
        <v>1545</v>
      </c>
      <c r="C974" s="16" t="s">
        <v>257</v>
      </c>
      <c r="D974" s="16" t="s">
        <v>205</v>
      </c>
      <c r="E974" s="25">
        <v>44998</v>
      </c>
      <c r="F974" s="16" t="s">
        <v>2567</v>
      </c>
      <c r="G974" s="16" t="s">
        <v>132</v>
      </c>
      <c r="H974" s="16">
        <v>7.9</v>
      </c>
      <c r="I974" s="16">
        <v>399</v>
      </c>
      <c r="J974" s="16">
        <v>0</v>
      </c>
      <c r="K974" s="16">
        <v>3152.1</v>
      </c>
      <c r="L974" s="16" t="s">
        <v>146</v>
      </c>
      <c r="M974" s="16" t="s">
        <v>119</v>
      </c>
      <c r="N974" s="27">
        <v>44998.728472222225</v>
      </c>
      <c r="O974" s="27">
        <v>44999.309027777781</v>
      </c>
      <c r="P974" s="16">
        <v>2.7</v>
      </c>
      <c r="Q974" s="16" t="b">
        <f>FALSE()</f>
        <v>0</v>
      </c>
      <c r="R974" s="16" t="b">
        <f>FALSE()</f>
        <v>0</v>
      </c>
      <c r="S974" s="17">
        <f t="shared" si="15"/>
        <v>13.9</v>
      </c>
      <c r="T974">
        <f>COUNTIF('👤 Customers'!$A:$A, B974)</f>
        <v>1</v>
      </c>
      <c r="U974">
        <f>COUNTIF('🚴 Riders'!A973:A1033, C974)</f>
        <v>0</v>
      </c>
      <c r="V974">
        <f>COUNTIF('🏭 Facilities'!A973:A981, D974)</f>
        <v>0</v>
      </c>
    </row>
    <row r="975" spans="1:22">
      <c r="A975" s="18" t="s">
        <v>2568</v>
      </c>
      <c r="B975" s="18" t="s">
        <v>1444</v>
      </c>
      <c r="C975" s="18" t="s">
        <v>580</v>
      </c>
      <c r="D975" s="18" t="s">
        <v>158</v>
      </c>
      <c r="E975" s="26">
        <v>45004</v>
      </c>
      <c r="F975" s="18" t="s">
        <v>2569</v>
      </c>
      <c r="G975" s="18" t="s">
        <v>125</v>
      </c>
      <c r="H975" s="18">
        <v>8</v>
      </c>
      <c r="I975" s="18">
        <v>199</v>
      </c>
      <c r="J975" s="18">
        <v>0</v>
      </c>
      <c r="K975" s="18">
        <v>1592</v>
      </c>
      <c r="L975" s="18" t="s">
        <v>139</v>
      </c>
      <c r="M975" s="18" t="s">
        <v>119</v>
      </c>
      <c r="N975" s="28">
        <v>45004.760416666664</v>
      </c>
      <c r="O975" s="28">
        <v>45005.684027777781</v>
      </c>
      <c r="P975" s="18">
        <v>2.8</v>
      </c>
      <c r="Q975" s="18" t="b">
        <f>FALSE()</f>
        <v>0</v>
      </c>
      <c r="R975" s="18" t="b">
        <f>FALSE()</f>
        <v>0</v>
      </c>
      <c r="S975" s="19">
        <f t="shared" si="15"/>
        <v>22.2</v>
      </c>
      <c r="T975">
        <f>COUNTIF('👤 Customers'!$A:$A, B975)</f>
        <v>1</v>
      </c>
      <c r="U975">
        <f>COUNTIF('🚴 Riders'!A974:A1034, C975)</f>
        <v>0</v>
      </c>
      <c r="V975">
        <f>COUNTIF('🏭 Facilities'!A974:A982, D975)</f>
        <v>0</v>
      </c>
    </row>
    <row r="976" spans="1:22">
      <c r="A976" s="16" t="s">
        <v>2570</v>
      </c>
      <c r="B976" s="16" t="s">
        <v>799</v>
      </c>
      <c r="C976" s="16" t="s">
        <v>224</v>
      </c>
      <c r="D976" s="16" t="s">
        <v>197</v>
      </c>
      <c r="E976" s="25">
        <v>45335</v>
      </c>
      <c r="F976" s="16" t="s">
        <v>2571</v>
      </c>
      <c r="G976" s="16" t="s">
        <v>125</v>
      </c>
      <c r="H976" s="16">
        <v>6.8</v>
      </c>
      <c r="I976" s="16">
        <v>199</v>
      </c>
      <c r="J976" s="16">
        <v>0</v>
      </c>
      <c r="K976" s="16">
        <v>1353.2</v>
      </c>
      <c r="L976" s="16" t="s">
        <v>139</v>
      </c>
      <c r="M976" s="16" t="s">
        <v>119</v>
      </c>
      <c r="N976" s="27">
        <v>45335.711805555555</v>
      </c>
      <c r="O976" s="27">
        <v>45336.65625</v>
      </c>
      <c r="P976" s="16">
        <v>4</v>
      </c>
      <c r="Q976" s="16" t="b">
        <f>FALSE()</f>
        <v>0</v>
      </c>
      <c r="R976" s="16" t="b">
        <f>TRUE()</f>
        <v>1</v>
      </c>
      <c r="S976" s="17">
        <f t="shared" si="15"/>
        <v>22.7</v>
      </c>
      <c r="T976">
        <f>COUNTIF('👤 Customers'!$A:$A, B976)</f>
        <v>1</v>
      </c>
      <c r="U976">
        <f>COUNTIF('🚴 Riders'!A975:A1035, C976)</f>
        <v>0</v>
      </c>
      <c r="V976">
        <f>COUNTIF('🏭 Facilities'!A975:A983, D976)</f>
        <v>0</v>
      </c>
    </row>
    <row r="977" spans="1:22">
      <c r="A977" s="18" t="s">
        <v>2572</v>
      </c>
      <c r="B977" s="18" t="s">
        <v>325</v>
      </c>
      <c r="C977" s="18" t="s">
        <v>240</v>
      </c>
      <c r="D977" s="18" t="s">
        <v>158</v>
      </c>
      <c r="E977" s="26">
        <v>45588</v>
      </c>
      <c r="F977" s="18" t="s">
        <v>2573</v>
      </c>
      <c r="G977" s="18" t="s">
        <v>117</v>
      </c>
      <c r="H977" s="18">
        <v>5.7</v>
      </c>
      <c r="I977" s="18">
        <v>149</v>
      </c>
      <c r="J977" s="18">
        <v>10</v>
      </c>
      <c r="K977" s="18">
        <v>764.37</v>
      </c>
      <c r="L977" s="18" t="s">
        <v>139</v>
      </c>
      <c r="M977" s="18" t="s">
        <v>119</v>
      </c>
      <c r="N977" s="28">
        <v>45588.962500000001</v>
      </c>
      <c r="O977" s="28">
        <v>45589.659722222219</v>
      </c>
      <c r="P977" s="18">
        <v>4.5</v>
      </c>
      <c r="Q977" s="18" t="b">
        <f>FALSE()</f>
        <v>0</v>
      </c>
      <c r="R977" s="18" t="b">
        <f>FALSE()</f>
        <v>0</v>
      </c>
      <c r="S977" s="19">
        <f t="shared" si="15"/>
        <v>16.7</v>
      </c>
      <c r="T977">
        <f>COUNTIF('👤 Customers'!$A:$A, B977)</f>
        <v>1</v>
      </c>
      <c r="U977">
        <f>COUNTIF('🚴 Riders'!A976:A1036, C977)</f>
        <v>0</v>
      </c>
      <c r="V977">
        <f>COUNTIF('🏭 Facilities'!A976:A984, D977)</f>
        <v>0</v>
      </c>
    </row>
    <row r="978" spans="1:22">
      <c r="A978" s="16" t="s">
        <v>2574</v>
      </c>
      <c r="B978" s="16" t="s">
        <v>689</v>
      </c>
      <c r="C978" s="16" t="s">
        <v>842</v>
      </c>
      <c r="D978" s="16" t="s">
        <v>197</v>
      </c>
      <c r="E978" s="25">
        <v>45167</v>
      </c>
      <c r="F978" s="16" t="s">
        <v>2575</v>
      </c>
      <c r="G978" s="16" t="s">
        <v>117</v>
      </c>
      <c r="H978" s="16">
        <v>2.5</v>
      </c>
      <c r="I978" s="16">
        <v>149</v>
      </c>
      <c r="J978" s="16">
        <v>0</v>
      </c>
      <c r="K978" s="16">
        <v>372.5</v>
      </c>
      <c r="L978" s="16" t="s">
        <v>139</v>
      </c>
      <c r="M978" s="16" t="s">
        <v>140</v>
      </c>
      <c r="N978" s="27">
        <v>45167.303472222222</v>
      </c>
      <c r="O978" s="27">
        <v>45167.70416666667</v>
      </c>
      <c r="P978" s="20"/>
      <c r="Q978" s="16" t="b">
        <f>TRUE()</f>
        <v>1</v>
      </c>
      <c r="R978" s="16" t="b">
        <f>FALSE()</f>
        <v>0</v>
      </c>
      <c r="S978" s="17">
        <f t="shared" si="15"/>
        <v>9.6</v>
      </c>
      <c r="T978">
        <f>COUNTIF('👤 Customers'!$A:$A, B978)</f>
        <v>1</v>
      </c>
      <c r="U978">
        <f>COUNTIF('🚴 Riders'!A977:A1037, C978)</f>
        <v>0</v>
      </c>
      <c r="V978">
        <f>COUNTIF('🏭 Facilities'!A977:A985, D978)</f>
        <v>0</v>
      </c>
    </row>
    <row r="979" spans="1:22">
      <c r="A979" s="18" t="s">
        <v>2576</v>
      </c>
      <c r="B979" s="18" t="s">
        <v>2577</v>
      </c>
      <c r="C979" s="18" t="s">
        <v>322</v>
      </c>
      <c r="D979" s="18" t="s">
        <v>123</v>
      </c>
      <c r="E979" s="26">
        <v>45146</v>
      </c>
      <c r="F979" s="18" t="s">
        <v>2578</v>
      </c>
      <c r="G979" s="18" t="s">
        <v>117</v>
      </c>
      <c r="H979" s="18">
        <v>5.8</v>
      </c>
      <c r="I979" s="18">
        <v>149</v>
      </c>
      <c r="J979" s="18">
        <v>0</v>
      </c>
      <c r="K979" s="18">
        <v>864.2</v>
      </c>
      <c r="L979" s="18" t="s">
        <v>207</v>
      </c>
      <c r="M979" s="18" t="s">
        <v>140</v>
      </c>
      <c r="N979" s="28">
        <v>45146.495833333334</v>
      </c>
      <c r="O979" s="28">
        <v>45147.172222222223</v>
      </c>
      <c r="P979" s="20"/>
      <c r="Q979" s="18" t="b">
        <f>FALSE()</f>
        <v>0</v>
      </c>
      <c r="R979" s="18" t="b">
        <f>FALSE()</f>
        <v>0</v>
      </c>
      <c r="S979" s="19">
        <f t="shared" si="15"/>
        <v>16.2</v>
      </c>
      <c r="T979">
        <f>COUNTIF('👤 Customers'!$A:$A, B979)</f>
        <v>1</v>
      </c>
      <c r="U979">
        <f>COUNTIF('🚴 Riders'!A978:A1038, C979)</f>
        <v>0</v>
      </c>
      <c r="V979">
        <f>COUNTIF('🏭 Facilities'!A978:A986, D979)</f>
        <v>0</v>
      </c>
    </row>
    <row r="980" spans="1:22">
      <c r="A980" s="16" t="s">
        <v>2579</v>
      </c>
      <c r="B980" s="16" t="s">
        <v>2580</v>
      </c>
      <c r="C980" s="16" t="s">
        <v>240</v>
      </c>
      <c r="D980" s="16" t="s">
        <v>115</v>
      </c>
      <c r="E980" s="25">
        <v>45209</v>
      </c>
      <c r="F980" s="16" t="s">
        <v>2581</v>
      </c>
      <c r="G980" s="16" t="s">
        <v>132</v>
      </c>
      <c r="H980" s="16">
        <v>3.7</v>
      </c>
      <c r="I980" s="16">
        <v>399</v>
      </c>
      <c r="J980" s="16">
        <v>0</v>
      </c>
      <c r="K980" s="16">
        <v>1476.3</v>
      </c>
      <c r="L980" s="16" t="s">
        <v>139</v>
      </c>
      <c r="M980" s="16" t="s">
        <v>119</v>
      </c>
      <c r="N980" s="27">
        <v>45209.914583333331</v>
      </c>
      <c r="O980" s="27">
        <v>45210.867361111108</v>
      </c>
      <c r="P980" s="16">
        <v>4.0999999999999996</v>
      </c>
      <c r="Q980" s="16" t="b">
        <f>FALSE()</f>
        <v>0</v>
      </c>
      <c r="R980" s="16" t="b">
        <f>FALSE()</f>
        <v>0</v>
      </c>
      <c r="S980" s="17">
        <f t="shared" si="15"/>
        <v>22.9</v>
      </c>
      <c r="T980">
        <f>COUNTIF('👤 Customers'!$A:$A, B980)</f>
        <v>1</v>
      </c>
      <c r="U980">
        <f>COUNTIF('🚴 Riders'!A979:A1039, C980)</f>
        <v>0</v>
      </c>
      <c r="V980">
        <f>COUNTIF('🏭 Facilities'!A979:A987, D980)</f>
        <v>0</v>
      </c>
    </row>
    <row r="981" spans="1:22">
      <c r="A981" s="18" t="s">
        <v>2582</v>
      </c>
      <c r="B981" s="18" t="s">
        <v>814</v>
      </c>
      <c r="C981" s="18" t="s">
        <v>1092</v>
      </c>
      <c r="D981" s="18" t="s">
        <v>137</v>
      </c>
      <c r="E981" s="26">
        <v>45178</v>
      </c>
      <c r="F981" s="18" t="s">
        <v>2583</v>
      </c>
      <c r="G981" s="18" t="s">
        <v>145</v>
      </c>
      <c r="H981" s="18">
        <v>1.9</v>
      </c>
      <c r="I981" s="18">
        <v>299</v>
      </c>
      <c r="J981" s="18">
        <v>0</v>
      </c>
      <c r="K981" s="18">
        <v>568.1</v>
      </c>
      <c r="L981" s="18" t="s">
        <v>126</v>
      </c>
      <c r="M981" s="18" t="s">
        <v>140</v>
      </c>
      <c r="N981" s="28">
        <v>45178.413888888892</v>
      </c>
      <c r="O981" s="28">
        <v>45179.018055555556</v>
      </c>
      <c r="P981" s="20"/>
      <c r="Q981" s="18" t="b">
        <f>FALSE()</f>
        <v>0</v>
      </c>
      <c r="R981" s="18" t="b">
        <f>TRUE()</f>
        <v>1</v>
      </c>
      <c r="S981" s="19">
        <f t="shared" si="15"/>
        <v>14.5</v>
      </c>
      <c r="T981">
        <f>COUNTIF('👤 Customers'!$A:$A, B981)</f>
        <v>1</v>
      </c>
      <c r="U981">
        <f>COUNTIF('🚴 Riders'!A980:A1040, C981)</f>
        <v>0</v>
      </c>
      <c r="V981">
        <f>COUNTIF('🏭 Facilities'!A980:A988, D981)</f>
        <v>0</v>
      </c>
    </row>
    <row r="982" spans="1:22">
      <c r="A982" s="16" t="s">
        <v>2584</v>
      </c>
      <c r="B982" s="16" t="s">
        <v>2585</v>
      </c>
      <c r="C982" s="16" t="s">
        <v>236</v>
      </c>
      <c r="D982" s="16" t="s">
        <v>123</v>
      </c>
      <c r="E982" s="25">
        <v>45121</v>
      </c>
      <c r="F982" s="16" t="s">
        <v>2586</v>
      </c>
      <c r="G982" s="16" t="s">
        <v>145</v>
      </c>
      <c r="H982" s="16">
        <v>1.7</v>
      </c>
      <c r="I982" s="16">
        <v>299</v>
      </c>
      <c r="J982" s="16">
        <v>20</v>
      </c>
      <c r="K982" s="16">
        <v>406.64</v>
      </c>
      <c r="L982" s="16" t="s">
        <v>207</v>
      </c>
      <c r="M982" s="16" t="s">
        <v>119</v>
      </c>
      <c r="N982" s="27">
        <v>45121.688888888886</v>
      </c>
      <c r="O982" s="27">
        <v>45122.663888888892</v>
      </c>
      <c r="P982" s="16">
        <v>4.3</v>
      </c>
      <c r="Q982" s="16" t="b">
        <f>FALSE()</f>
        <v>0</v>
      </c>
      <c r="R982" s="16" t="b">
        <f>FALSE()</f>
        <v>0</v>
      </c>
      <c r="S982" s="17">
        <f t="shared" si="15"/>
        <v>23.4</v>
      </c>
      <c r="T982">
        <f>COUNTIF('👤 Customers'!$A:$A, B982)</f>
        <v>1</v>
      </c>
      <c r="U982">
        <f>COUNTIF('🚴 Riders'!A981:A1041, C982)</f>
        <v>0</v>
      </c>
      <c r="V982">
        <f>COUNTIF('🏭 Facilities'!A981:A989, D982)</f>
        <v>0</v>
      </c>
    </row>
    <row r="983" spans="1:22">
      <c r="A983" s="18" t="s">
        <v>2587</v>
      </c>
      <c r="B983" s="18" t="s">
        <v>1713</v>
      </c>
      <c r="C983" s="18" t="s">
        <v>431</v>
      </c>
      <c r="D983" s="18" t="s">
        <v>130</v>
      </c>
      <c r="E983" s="26">
        <v>45417</v>
      </c>
      <c r="F983" s="18" t="s">
        <v>2588</v>
      </c>
      <c r="G983" s="18" t="s">
        <v>117</v>
      </c>
      <c r="H983" s="18">
        <v>6</v>
      </c>
      <c r="I983" s="18">
        <v>149</v>
      </c>
      <c r="J983" s="18">
        <v>20</v>
      </c>
      <c r="K983" s="18">
        <v>715.2</v>
      </c>
      <c r="L983" s="18" t="s">
        <v>207</v>
      </c>
      <c r="M983" s="18" t="s">
        <v>119</v>
      </c>
      <c r="N983" s="28">
        <v>45417.599999999999</v>
      </c>
      <c r="O983" s="28">
        <v>45418.03402777778</v>
      </c>
      <c r="P983" s="18">
        <v>2.9</v>
      </c>
      <c r="Q983" s="18" t="b">
        <f>FALSE()</f>
        <v>0</v>
      </c>
      <c r="R983" s="18" t="b">
        <f>FALSE()</f>
        <v>0</v>
      </c>
      <c r="S983" s="19">
        <f t="shared" si="15"/>
        <v>10.4</v>
      </c>
      <c r="T983">
        <f>COUNTIF('👤 Customers'!$A:$A, B983)</f>
        <v>1</v>
      </c>
      <c r="U983">
        <f>COUNTIF('🚴 Riders'!A982:A1042, C983)</f>
        <v>0</v>
      </c>
      <c r="V983">
        <f>COUNTIF('🏭 Facilities'!A982:A990, D983)</f>
        <v>0</v>
      </c>
    </row>
    <row r="984" spans="1:22">
      <c r="A984" s="16" t="s">
        <v>2589</v>
      </c>
      <c r="B984" s="16" t="s">
        <v>2043</v>
      </c>
      <c r="C984" s="16" t="s">
        <v>204</v>
      </c>
      <c r="D984" s="16" t="s">
        <v>184</v>
      </c>
      <c r="E984" s="25">
        <v>45504</v>
      </c>
      <c r="F984" s="16" t="s">
        <v>2590</v>
      </c>
      <c r="G984" s="16" t="s">
        <v>176</v>
      </c>
      <c r="H984" s="16">
        <v>2.9</v>
      </c>
      <c r="I984" s="16">
        <v>599</v>
      </c>
      <c r="J984" s="16">
        <v>0</v>
      </c>
      <c r="K984" s="16">
        <v>1737.1</v>
      </c>
      <c r="L984" s="16" t="s">
        <v>139</v>
      </c>
      <c r="M984" s="16" t="s">
        <v>133</v>
      </c>
      <c r="N984" s="20"/>
      <c r="O984" s="20"/>
      <c r="P984" s="20"/>
      <c r="Q984" s="16" t="b">
        <f>FALSE()</f>
        <v>0</v>
      </c>
      <c r="R984" s="16" t="b">
        <f>FALSE()</f>
        <v>0</v>
      </c>
      <c r="S984" s="17" t="str">
        <f t="shared" si="15"/>
        <v>N/A</v>
      </c>
      <c r="T984">
        <f>COUNTIF('👤 Customers'!$A:$A, B984)</f>
        <v>1</v>
      </c>
      <c r="U984">
        <f>COUNTIF('🚴 Riders'!A983:A1043, C984)</f>
        <v>0</v>
      </c>
      <c r="V984">
        <f>COUNTIF('🏭 Facilities'!A983:A991, D984)</f>
        <v>0</v>
      </c>
    </row>
    <row r="985" spans="1:22">
      <c r="A985" s="18" t="s">
        <v>2591</v>
      </c>
      <c r="B985" s="18" t="s">
        <v>460</v>
      </c>
      <c r="C985" s="18" t="s">
        <v>183</v>
      </c>
      <c r="D985" s="18" t="s">
        <v>115</v>
      </c>
      <c r="E985" s="26">
        <v>45152</v>
      </c>
      <c r="F985" s="18" t="s">
        <v>2592</v>
      </c>
      <c r="G985" s="18" t="s">
        <v>176</v>
      </c>
      <c r="H985" s="18">
        <v>8</v>
      </c>
      <c r="I985" s="18">
        <v>599</v>
      </c>
      <c r="J985" s="18">
        <v>0</v>
      </c>
      <c r="K985" s="18">
        <v>4792</v>
      </c>
      <c r="L985" s="18" t="s">
        <v>139</v>
      </c>
      <c r="M985" s="18" t="s">
        <v>119</v>
      </c>
      <c r="N985" s="28">
        <v>45152.46875</v>
      </c>
      <c r="O985" s="28">
        <v>45153.118055555555</v>
      </c>
      <c r="P985" s="18">
        <v>4.8</v>
      </c>
      <c r="Q985" s="18" t="b">
        <f>FALSE()</f>
        <v>0</v>
      </c>
      <c r="R985" s="18" t="b">
        <f>FALSE()</f>
        <v>0</v>
      </c>
      <c r="S985" s="19">
        <f t="shared" si="15"/>
        <v>15.6</v>
      </c>
      <c r="T985">
        <f>COUNTIF('👤 Customers'!$A:$A, B985)</f>
        <v>1</v>
      </c>
      <c r="U985">
        <f>COUNTIF('🚴 Riders'!A984:A1044, C985)</f>
        <v>0</v>
      </c>
      <c r="V985">
        <f>COUNTIF('🏭 Facilities'!A984:A992, D985)</f>
        <v>0</v>
      </c>
    </row>
    <row r="986" spans="1:22">
      <c r="A986" s="16" t="s">
        <v>2593</v>
      </c>
      <c r="B986" s="16" t="s">
        <v>716</v>
      </c>
      <c r="C986" s="16" t="s">
        <v>322</v>
      </c>
      <c r="D986" s="16" t="s">
        <v>123</v>
      </c>
      <c r="E986" s="25">
        <v>45106</v>
      </c>
      <c r="F986" s="16" t="s">
        <v>2594</v>
      </c>
      <c r="G986" s="16" t="s">
        <v>117</v>
      </c>
      <c r="H986" s="16">
        <v>6.8</v>
      </c>
      <c r="I986" s="16">
        <v>149</v>
      </c>
      <c r="J986" s="16">
        <v>0</v>
      </c>
      <c r="K986" s="16">
        <v>1013.2</v>
      </c>
      <c r="L986" s="16" t="s">
        <v>139</v>
      </c>
      <c r="M986" s="16" t="s">
        <v>119</v>
      </c>
      <c r="N986" s="27">
        <v>45106.444444444445</v>
      </c>
      <c r="O986" s="27">
        <v>45107.228472222225</v>
      </c>
      <c r="P986" s="16">
        <v>3.2</v>
      </c>
      <c r="Q986" s="16" t="b">
        <f>FALSE()</f>
        <v>0</v>
      </c>
      <c r="R986" s="16" t="b">
        <f>TRUE()</f>
        <v>1</v>
      </c>
      <c r="S986" s="17">
        <f t="shared" si="15"/>
        <v>18.8</v>
      </c>
      <c r="T986">
        <f>COUNTIF('👤 Customers'!$A:$A, B986)</f>
        <v>1</v>
      </c>
      <c r="U986">
        <f>COUNTIF('🚴 Riders'!A985:A1045, C986)</f>
        <v>0</v>
      </c>
      <c r="V986">
        <f>COUNTIF('🏭 Facilities'!A985:A993, D986)</f>
        <v>0</v>
      </c>
    </row>
    <row r="987" spans="1:22">
      <c r="A987" s="18" t="s">
        <v>2595</v>
      </c>
      <c r="B987" s="18" t="s">
        <v>1572</v>
      </c>
      <c r="C987" s="18" t="s">
        <v>580</v>
      </c>
      <c r="D987" s="18" t="s">
        <v>158</v>
      </c>
      <c r="E987" s="26">
        <v>45565</v>
      </c>
      <c r="F987" s="18" t="s">
        <v>2596</v>
      </c>
      <c r="G987" s="18" t="s">
        <v>145</v>
      </c>
      <c r="H987" s="18">
        <v>2.7</v>
      </c>
      <c r="I987" s="18">
        <v>299</v>
      </c>
      <c r="J987" s="18">
        <v>0</v>
      </c>
      <c r="K987" s="18">
        <v>807.3</v>
      </c>
      <c r="L987" s="18" t="s">
        <v>126</v>
      </c>
      <c r="M987" s="18" t="s">
        <v>119</v>
      </c>
      <c r="N987" s="28">
        <v>45565.243750000001</v>
      </c>
      <c r="O987" s="28">
        <v>45566.159722222219</v>
      </c>
      <c r="P987" s="18">
        <v>3.8</v>
      </c>
      <c r="Q987" s="18" t="b">
        <f>FALSE()</f>
        <v>0</v>
      </c>
      <c r="R987" s="18" t="b">
        <f>FALSE()</f>
        <v>0</v>
      </c>
      <c r="S987" s="19">
        <f t="shared" si="15"/>
        <v>22</v>
      </c>
      <c r="T987">
        <f>COUNTIF('👤 Customers'!$A:$A, B987)</f>
        <v>1</v>
      </c>
      <c r="U987">
        <f>COUNTIF('🚴 Riders'!A986:A1046, C987)</f>
        <v>0</v>
      </c>
      <c r="V987">
        <f>COUNTIF('🏭 Facilities'!A986:A994, D987)</f>
        <v>0</v>
      </c>
    </row>
    <row r="988" spans="1:22">
      <c r="A988" s="16" t="s">
        <v>2597</v>
      </c>
      <c r="B988" s="16" t="s">
        <v>1455</v>
      </c>
      <c r="C988" s="16" t="s">
        <v>204</v>
      </c>
      <c r="D988" s="16" t="s">
        <v>197</v>
      </c>
      <c r="E988" s="25">
        <v>45424</v>
      </c>
      <c r="F988" s="16" t="s">
        <v>2598</v>
      </c>
      <c r="G988" s="16" t="s">
        <v>117</v>
      </c>
      <c r="H988" s="16">
        <v>6.4</v>
      </c>
      <c r="I988" s="16">
        <v>149</v>
      </c>
      <c r="J988" s="16">
        <v>10</v>
      </c>
      <c r="K988" s="16">
        <v>858.24</v>
      </c>
      <c r="L988" s="16" t="s">
        <v>207</v>
      </c>
      <c r="M988" s="16" t="s">
        <v>119</v>
      </c>
      <c r="N988" s="27">
        <v>45424.282638888886</v>
      </c>
      <c r="O988" s="27">
        <v>45424.789583333331</v>
      </c>
      <c r="P988" s="16">
        <v>4.8</v>
      </c>
      <c r="Q988" s="16" t="b">
        <f>FALSE()</f>
        <v>0</v>
      </c>
      <c r="R988" s="16" t="b">
        <f>FALSE()</f>
        <v>0</v>
      </c>
      <c r="S988" s="17">
        <f t="shared" si="15"/>
        <v>12.2</v>
      </c>
      <c r="T988">
        <f>COUNTIF('👤 Customers'!$A:$A, B988)</f>
        <v>1</v>
      </c>
      <c r="U988">
        <f>COUNTIF('🚴 Riders'!A987:A1047, C988)</f>
        <v>0</v>
      </c>
      <c r="V988">
        <f>COUNTIF('🏭 Facilities'!A987:A995, D988)</f>
        <v>0</v>
      </c>
    </row>
    <row r="989" spans="1:22">
      <c r="A989" s="18" t="s">
        <v>2599</v>
      </c>
      <c r="B989" s="18" t="s">
        <v>1279</v>
      </c>
      <c r="C989" s="18" t="s">
        <v>228</v>
      </c>
      <c r="D989" s="18" t="s">
        <v>137</v>
      </c>
      <c r="E989" s="26">
        <v>45064</v>
      </c>
      <c r="F989" s="18" t="s">
        <v>2600</v>
      </c>
      <c r="G989" s="18" t="s">
        <v>176</v>
      </c>
      <c r="H989" s="18">
        <v>5.6</v>
      </c>
      <c r="I989" s="18">
        <v>599</v>
      </c>
      <c r="J989" s="18">
        <v>0</v>
      </c>
      <c r="K989" s="18">
        <v>3354.4</v>
      </c>
      <c r="L989" s="18" t="s">
        <v>118</v>
      </c>
      <c r="M989" s="18" t="s">
        <v>119</v>
      </c>
      <c r="N989" s="28">
        <v>45064.695833333331</v>
      </c>
      <c r="O989" s="28">
        <v>45065.551388888889</v>
      </c>
      <c r="P989" s="18">
        <v>2.9</v>
      </c>
      <c r="Q989" s="18" t="b">
        <f>FALSE()</f>
        <v>0</v>
      </c>
      <c r="R989" s="18" t="b">
        <f>FALSE()</f>
        <v>0</v>
      </c>
      <c r="S989" s="19">
        <f t="shared" si="15"/>
        <v>20.5</v>
      </c>
      <c r="T989">
        <f>COUNTIF('👤 Customers'!$A:$A, B989)</f>
        <v>1</v>
      </c>
      <c r="U989">
        <f>COUNTIF('🚴 Riders'!A988:A1048, C989)</f>
        <v>0</v>
      </c>
      <c r="V989">
        <f>COUNTIF('🏭 Facilities'!A988:A996, D989)</f>
        <v>0</v>
      </c>
    </row>
    <row r="990" spans="1:22">
      <c r="A990" s="16" t="s">
        <v>2601</v>
      </c>
      <c r="B990" s="16" t="s">
        <v>1236</v>
      </c>
      <c r="C990" s="16" t="s">
        <v>136</v>
      </c>
      <c r="D990" s="16" t="s">
        <v>197</v>
      </c>
      <c r="E990" s="25">
        <v>45052</v>
      </c>
      <c r="F990" s="16" t="s">
        <v>2602</v>
      </c>
      <c r="G990" s="16" t="s">
        <v>145</v>
      </c>
      <c r="H990" s="16">
        <v>2.4</v>
      </c>
      <c r="I990" s="16">
        <v>299</v>
      </c>
      <c r="J990" s="16">
        <v>0</v>
      </c>
      <c r="K990" s="16">
        <v>717.6</v>
      </c>
      <c r="L990" s="16" t="s">
        <v>126</v>
      </c>
      <c r="M990" s="16" t="s">
        <v>119</v>
      </c>
      <c r="N990" s="27">
        <v>45052.853472222225</v>
      </c>
      <c r="O990" s="27">
        <v>45053.445138888892</v>
      </c>
      <c r="P990" s="16">
        <v>5</v>
      </c>
      <c r="Q990" s="16" t="b">
        <f>FALSE()</f>
        <v>0</v>
      </c>
      <c r="R990" s="16" t="b">
        <f>FALSE()</f>
        <v>0</v>
      </c>
      <c r="S990" s="17">
        <f t="shared" si="15"/>
        <v>14.2</v>
      </c>
      <c r="T990">
        <f>COUNTIF('👤 Customers'!$A:$A, B990)</f>
        <v>1</v>
      </c>
      <c r="U990">
        <f>COUNTIF('🚴 Riders'!A989:A1049, C990)</f>
        <v>0</v>
      </c>
      <c r="V990">
        <f>COUNTIF('🏭 Facilities'!A989:A997, D990)</f>
        <v>0</v>
      </c>
    </row>
    <row r="991" spans="1:22">
      <c r="A991" s="18" t="s">
        <v>2603</v>
      </c>
      <c r="B991" s="18" t="s">
        <v>2604</v>
      </c>
      <c r="C991" s="18" t="s">
        <v>431</v>
      </c>
      <c r="D991" s="18" t="s">
        <v>115</v>
      </c>
      <c r="E991" s="26">
        <v>44929</v>
      </c>
      <c r="F991" s="18" t="s">
        <v>2605</v>
      </c>
      <c r="G991" s="18" t="s">
        <v>132</v>
      </c>
      <c r="H991" s="18">
        <v>1.5</v>
      </c>
      <c r="I991" s="18">
        <v>399</v>
      </c>
      <c r="J991" s="18">
        <v>10</v>
      </c>
      <c r="K991" s="18">
        <v>538.65</v>
      </c>
      <c r="L991" s="18" t="s">
        <v>146</v>
      </c>
      <c r="M991" s="18" t="s">
        <v>119</v>
      </c>
      <c r="N991" s="28">
        <v>44929.746527777781</v>
      </c>
      <c r="O991" s="28">
        <v>44930.160416666666</v>
      </c>
      <c r="P991" s="18">
        <v>2.8</v>
      </c>
      <c r="Q991" s="18" t="b">
        <f>FALSE()</f>
        <v>0</v>
      </c>
      <c r="R991" s="18" t="b">
        <f>FALSE()</f>
        <v>0</v>
      </c>
      <c r="S991" s="19">
        <f t="shared" si="15"/>
        <v>9.9</v>
      </c>
      <c r="T991">
        <f>COUNTIF('👤 Customers'!$A:$A, B991)</f>
        <v>1</v>
      </c>
      <c r="U991">
        <f>COUNTIF('🚴 Riders'!A990:A1050, C991)</f>
        <v>0</v>
      </c>
      <c r="V991">
        <f>COUNTIF('🏭 Facilities'!A990:A998, D991)</f>
        <v>0</v>
      </c>
    </row>
    <row r="992" spans="1:22">
      <c r="A992" s="16" t="s">
        <v>2606</v>
      </c>
      <c r="B992" s="16" t="s">
        <v>1272</v>
      </c>
      <c r="C992" s="16" t="s">
        <v>170</v>
      </c>
      <c r="D992" s="16" t="s">
        <v>197</v>
      </c>
      <c r="E992" s="25">
        <v>44991</v>
      </c>
      <c r="F992" s="16" t="s">
        <v>2607</v>
      </c>
      <c r="G992" s="16" t="s">
        <v>117</v>
      </c>
      <c r="H992" s="16">
        <v>6.5</v>
      </c>
      <c r="I992" s="16">
        <v>149</v>
      </c>
      <c r="J992" s="16">
        <v>0</v>
      </c>
      <c r="K992" s="16">
        <v>968.5</v>
      </c>
      <c r="L992" s="16" t="s">
        <v>126</v>
      </c>
      <c r="M992" s="16" t="s">
        <v>119</v>
      </c>
      <c r="N992" s="27">
        <v>44991.814583333333</v>
      </c>
      <c r="O992" s="27">
        <v>44992.536111111112</v>
      </c>
      <c r="P992" s="16">
        <v>2.9</v>
      </c>
      <c r="Q992" s="16" t="b">
        <f>FALSE()</f>
        <v>0</v>
      </c>
      <c r="R992" s="16" t="b">
        <f>FALSE()</f>
        <v>0</v>
      </c>
      <c r="S992" s="17">
        <f t="shared" si="15"/>
        <v>17.3</v>
      </c>
      <c r="T992">
        <f>COUNTIF('👤 Customers'!$A:$A, B992)</f>
        <v>1</v>
      </c>
      <c r="U992">
        <f>COUNTIF('🚴 Riders'!A991:A1051, C992)</f>
        <v>0</v>
      </c>
      <c r="V992">
        <f>COUNTIF('🏭 Facilities'!A991:A999, D992)</f>
        <v>0</v>
      </c>
    </row>
    <row r="993" spans="1:22">
      <c r="A993" s="18" t="s">
        <v>2608</v>
      </c>
      <c r="B993" s="18" t="s">
        <v>2609</v>
      </c>
      <c r="C993" s="18" t="s">
        <v>247</v>
      </c>
      <c r="D993" s="18" t="s">
        <v>197</v>
      </c>
      <c r="E993" s="26">
        <v>45462</v>
      </c>
      <c r="F993" s="18" t="s">
        <v>2610</v>
      </c>
      <c r="G993" s="18" t="s">
        <v>176</v>
      </c>
      <c r="H993" s="18">
        <v>2.4</v>
      </c>
      <c r="I993" s="18">
        <v>599</v>
      </c>
      <c r="J993" s="18">
        <v>30</v>
      </c>
      <c r="K993" s="18">
        <v>1006.32</v>
      </c>
      <c r="L993" s="18" t="s">
        <v>146</v>
      </c>
      <c r="M993" s="18" t="s">
        <v>140</v>
      </c>
      <c r="N993" s="28">
        <v>45462.645138888889</v>
      </c>
      <c r="O993" s="28">
        <v>45463.224305555559</v>
      </c>
      <c r="P993" s="20"/>
      <c r="Q993" s="18" t="b">
        <f>FALSE()</f>
        <v>0</v>
      </c>
      <c r="R993" s="18" t="b">
        <f>FALSE()</f>
        <v>0</v>
      </c>
      <c r="S993" s="19">
        <f t="shared" si="15"/>
        <v>13.9</v>
      </c>
      <c r="T993">
        <f>COUNTIF('👤 Customers'!$A:$A, B993)</f>
        <v>1</v>
      </c>
      <c r="U993">
        <f>COUNTIF('🚴 Riders'!A992:A1052, C993)</f>
        <v>0</v>
      </c>
      <c r="V993">
        <f>COUNTIF('🏭 Facilities'!A992:A1000, D993)</f>
        <v>0</v>
      </c>
    </row>
    <row r="994" spans="1:22">
      <c r="A994" s="16" t="s">
        <v>2611</v>
      </c>
      <c r="B994" s="16" t="s">
        <v>2164</v>
      </c>
      <c r="C994" s="16" t="s">
        <v>563</v>
      </c>
      <c r="D994" s="16" t="s">
        <v>115</v>
      </c>
      <c r="E994" s="25">
        <v>45057</v>
      </c>
      <c r="F994" s="16" t="s">
        <v>2612</v>
      </c>
      <c r="G994" s="16" t="s">
        <v>132</v>
      </c>
      <c r="H994" s="16">
        <v>5.3</v>
      </c>
      <c r="I994" s="16">
        <v>399</v>
      </c>
      <c r="J994" s="16">
        <v>0</v>
      </c>
      <c r="K994" s="16">
        <v>2114.6999999999998</v>
      </c>
      <c r="L994" s="16" t="s">
        <v>146</v>
      </c>
      <c r="M994" s="16" t="s">
        <v>133</v>
      </c>
      <c r="N994" s="20"/>
      <c r="O994" s="20"/>
      <c r="P994" s="20"/>
      <c r="Q994" s="16" t="b">
        <f>FALSE()</f>
        <v>0</v>
      </c>
      <c r="R994" s="16" t="b">
        <f>FALSE()</f>
        <v>0</v>
      </c>
      <c r="S994" s="17" t="str">
        <f t="shared" si="15"/>
        <v>N/A</v>
      </c>
      <c r="T994">
        <f>COUNTIF('👤 Customers'!$A:$A, B994)</f>
        <v>1</v>
      </c>
      <c r="U994">
        <f>COUNTIF('🚴 Riders'!A993:A1053, C994)</f>
        <v>0</v>
      </c>
      <c r="V994">
        <f>COUNTIF('🏭 Facilities'!A993:A1001, D994)</f>
        <v>0</v>
      </c>
    </row>
    <row r="995" spans="1:22">
      <c r="A995" s="18" t="s">
        <v>2613</v>
      </c>
      <c r="B995" s="18" t="s">
        <v>2614</v>
      </c>
      <c r="C995" s="18" t="s">
        <v>611</v>
      </c>
      <c r="D995" s="18" t="s">
        <v>205</v>
      </c>
      <c r="E995" s="26">
        <v>45426</v>
      </c>
      <c r="F995" s="18" t="s">
        <v>2615</v>
      </c>
      <c r="G995" s="18" t="s">
        <v>117</v>
      </c>
      <c r="H995" s="18">
        <v>2.4</v>
      </c>
      <c r="I995" s="18">
        <v>149</v>
      </c>
      <c r="J995" s="18">
        <v>0</v>
      </c>
      <c r="K995" s="18">
        <v>357.6</v>
      </c>
      <c r="L995" s="18" t="s">
        <v>118</v>
      </c>
      <c r="M995" s="18" t="s">
        <v>119</v>
      </c>
      <c r="N995" s="28">
        <v>45426.113888888889</v>
      </c>
      <c r="O995" s="28">
        <v>45426.834722222222</v>
      </c>
      <c r="P995" s="18">
        <v>3.5</v>
      </c>
      <c r="Q995" s="18" t="b">
        <f>FALSE()</f>
        <v>0</v>
      </c>
      <c r="R995" s="18" t="b">
        <f>FALSE()</f>
        <v>0</v>
      </c>
      <c r="S995" s="19">
        <f t="shared" si="15"/>
        <v>17.3</v>
      </c>
      <c r="T995">
        <f>COUNTIF('👤 Customers'!$A:$A, B995)</f>
        <v>1</v>
      </c>
      <c r="U995">
        <f>COUNTIF('🚴 Riders'!A994:A1054, C995)</f>
        <v>0</v>
      </c>
      <c r="V995">
        <f>COUNTIF('🏭 Facilities'!A994:A1002, D995)</f>
        <v>0</v>
      </c>
    </row>
    <row r="996" spans="1:22">
      <c r="A996" s="16" t="s">
        <v>2616</v>
      </c>
      <c r="B996" s="16" t="s">
        <v>522</v>
      </c>
      <c r="C996" s="16" t="s">
        <v>236</v>
      </c>
      <c r="D996" s="16" t="s">
        <v>205</v>
      </c>
      <c r="E996" s="25">
        <v>45596</v>
      </c>
      <c r="F996" s="16" t="s">
        <v>2617</v>
      </c>
      <c r="G996" s="16" t="s">
        <v>145</v>
      </c>
      <c r="H996" s="16">
        <v>1.6</v>
      </c>
      <c r="I996" s="16">
        <v>299</v>
      </c>
      <c r="J996" s="16">
        <v>20</v>
      </c>
      <c r="K996" s="16">
        <v>382.72</v>
      </c>
      <c r="L996" s="16" t="s">
        <v>126</v>
      </c>
      <c r="M996" s="16" t="s">
        <v>133</v>
      </c>
      <c r="N996" s="20"/>
      <c r="O996" s="20"/>
      <c r="P996" s="20"/>
      <c r="Q996" s="16" t="b">
        <f>FALSE()</f>
        <v>0</v>
      </c>
      <c r="R996" s="16" t="b">
        <f>TRUE()</f>
        <v>1</v>
      </c>
      <c r="S996" s="17" t="str">
        <f t="shared" si="15"/>
        <v>N/A</v>
      </c>
      <c r="T996">
        <f>COUNTIF('👤 Customers'!$A:$A, B996)</f>
        <v>1</v>
      </c>
      <c r="U996">
        <f>COUNTIF('🚴 Riders'!A995:A1055, C996)</f>
        <v>0</v>
      </c>
      <c r="V996">
        <f>COUNTIF('🏭 Facilities'!A995:A1003, D996)</f>
        <v>0</v>
      </c>
    </row>
    <row r="997" spans="1:22">
      <c r="A997" s="18" t="s">
        <v>2618</v>
      </c>
      <c r="B997" s="18" t="s">
        <v>2619</v>
      </c>
      <c r="C997" s="18" t="s">
        <v>322</v>
      </c>
      <c r="D997" s="18" t="s">
        <v>137</v>
      </c>
      <c r="E997" s="26">
        <v>45575</v>
      </c>
      <c r="F997" s="18" t="s">
        <v>546</v>
      </c>
      <c r="G997" s="18" t="s">
        <v>117</v>
      </c>
      <c r="H997" s="18">
        <v>2.7</v>
      </c>
      <c r="I997" s="18">
        <v>149</v>
      </c>
      <c r="J997" s="18">
        <v>0</v>
      </c>
      <c r="K997" s="18">
        <v>402.3</v>
      </c>
      <c r="L997" s="18" t="s">
        <v>118</v>
      </c>
      <c r="M997" s="18" t="s">
        <v>119</v>
      </c>
      <c r="N997" s="28">
        <v>45575.802777777775</v>
      </c>
      <c r="O997" s="28">
        <v>45576.743055555555</v>
      </c>
      <c r="P997" s="18">
        <v>4.5</v>
      </c>
      <c r="Q997" s="18" t="b">
        <f>FALSE()</f>
        <v>0</v>
      </c>
      <c r="R997" s="18" t="b">
        <f>FALSE()</f>
        <v>0</v>
      </c>
      <c r="S997" s="19">
        <f t="shared" si="15"/>
        <v>22.6</v>
      </c>
      <c r="T997">
        <f>COUNTIF('👤 Customers'!$A:$A, B997)</f>
        <v>1</v>
      </c>
      <c r="U997">
        <f>COUNTIF('🚴 Riders'!A996:A1056, C997)</f>
        <v>0</v>
      </c>
      <c r="V997">
        <f>COUNTIF('🏭 Facilities'!A996:A1004, D997)</f>
        <v>0</v>
      </c>
    </row>
    <row r="998" spans="1:22">
      <c r="A998" s="16" t="s">
        <v>2620</v>
      </c>
      <c r="B998" s="16" t="s">
        <v>2621</v>
      </c>
      <c r="C998" s="16" t="s">
        <v>308</v>
      </c>
      <c r="D998" s="16" t="s">
        <v>123</v>
      </c>
      <c r="E998" s="25">
        <v>45587</v>
      </c>
      <c r="F998" s="16" t="s">
        <v>2622</v>
      </c>
      <c r="G998" s="16" t="s">
        <v>145</v>
      </c>
      <c r="H998" s="16">
        <v>7.9</v>
      </c>
      <c r="I998" s="16">
        <v>299</v>
      </c>
      <c r="J998" s="16">
        <v>30</v>
      </c>
      <c r="K998" s="16">
        <v>1653.47</v>
      </c>
      <c r="L998" s="16" t="s">
        <v>118</v>
      </c>
      <c r="M998" s="16" t="s">
        <v>119</v>
      </c>
      <c r="N998" s="27">
        <v>45587.041666666664</v>
      </c>
      <c r="O998" s="27">
        <v>45587.589583333334</v>
      </c>
      <c r="P998" s="16">
        <v>3</v>
      </c>
      <c r="Q998" s="16" t="b">
        <f>TRUE()</f>
        <v>1</v>
      </c>
      <c r="R998" s="16" t="b">
        <f>TRUE()</f>
        <v>1</v>
      </c>
      <c r="S998" s="17">
        <f t="shared" si="15"/>
        <v>13.2</v>
      </c>
      <c r="T998">
        <f>COUNTIF('👤 Customers'!$A:$A, B998)</f>
        <v>1</v>
      </c>
      <c r="U998">
        <f>COUNTIF('🚴 Riders'!A997:A1057, C998)</f>
        <v>0</v>
      </c>
      <c r="V998">
        <f>COUNTIF('🏭 Facilities'!A997:A1005, D998)</f>
        <v>0</v>
      </c>
    </row>
    <row r="999" spans="1:22">
      <c r="A999" s="18" t="s">
        <v>2623</v>
      </c>
      <c r="B999" s="18" t="s">
        <v>165</v>
      </c>
      <c r="C999" s="18" t="s">
        <v>487</v>
      </c>
      <c r="D999" s="18" t="s">
        <v>137</v>
      </c>
      <c r="E999" s="26">
        <v>45334</v>
      </c>
      <c r="F999" s="18" t="s">
        <v>2624</v>
      </c>
      <c r="G999" s="18" t="s">
        <v>176</v>
      </c>
      <c r="H999" s="18">
        <v>5.2</v>
      </c>
      <c r="I999" s="18">
        <v>599</v>
      </c>
      <c r="J999" s="18">
        <v>0</v>
      </c>
      <c r="K999" s="18">
        <v>3114.8</v>
      </c>
      <c r="L999" s="18" t="s">
        <v>146</v>
      </c>
      <c r="M999" s="18" t="s">
        <v>119</v>
      </c>
      <c r="N999" s="28">
        <v>45334.77847222222</v>
      </c>
      <c r="O999" s="28">
        <v>45335.29583333333</v>
      </c>
      <c r="P999" s="18">
        <v>3</v>
      </c>
      <c r="Q999" s="18" t="b">
        <f>FALSE()</f>
        <v>0</v>
      </c>
      <c r="R999" s="18" t="b">
        <f>FALSE()</f>
        <v>0</v>
      </c>
      <c r="S999" s="19">
        <f t="shared" si="15"/>
        <v>12.4</v>
      </c>
      <c r="T999">
        <f>COUNTIF('👤 Customers'!$A:$A, B999)</f>
        <v>1</v>
      </c>
      <c r="U999">
        <f>COUNTIF('🚴 Riders'!A998:A1058, C999)</f>
        <v>0</v>
      </c>
      <c r="V999">
        <f>COUNTIF('🏭 Facilities'!A998:A1006, D999)</f>
        <v>0</v>
      </c>
    </row>
    <row r="1000" spans="1:22">
      <c r="A1000" s="16" t="s">
        <v>2625</v>
      </c>
      <c r="B1000" s="16" t="s">
        <v>243</v>
      </c>
      <c r="C1000" s="16" t="s">
        <v>483</v>
      </c>
      <c r="D1000" s="16" t="s">
        <v>123</v>
      </c>
      <c r="E1000" s="25">
        <v>45141</v>
      </c>
      <c r="F1000" s="16" t="s">
        <v>2626</v>
      </c>
      <c r="G1000" s="16" t="s">
        <v>117</v>
      </c>
      <c r="H1000" s="16">
        <v>6.9</v>
      </c>
      <c r="I1000" s="16">
        <v>149</v>
      </c>
      <c r="J1000" s="16">
        <v>0</v>
      </c>
      <c r="K1000" s="16">
        <v>1028.0999999999999</v>
      </c>
      <c r="L1000" s="16" t="s">
        <v>146</v>
      </c>
      <c r="M1000" s="16" t="s">
        <v>133</v>
      </c>
      <c r="N1000" s="20"/>
      <c r="O1000" s="20"/>
      <c r="P1000" s="20"/>
      <c r="Q1000" s="16" t="b">
        <f>FALSE()</f>
        <v>0</v>
      </c>
      <c r="R1000" s="16" t="b">
        <f>TRUE()</f>
        <v>1</v>
      </c>
      <c r="S1000" s="17" t="str">
        <f t="shared" si="15"/>
        <v>N/A</v>
      </c>
      <c r="T1000">
        <f>COUNTIF('👤 Customers'!$A:$A, B1000)</f>
        <v>1</v>
      </c>
      <c r="U1000">
        <f>COUNTIF('🚴 Riders'!A999:A1059, C1000)</f>
        <v>0</v>
      </c>
      <c r="V1000">
        <f>COUNTIF('🏭 Facilities'!A999:A1007, D1000)</f>
        <v>0</v>
      </c>
    </row>
    <row r="1001" spans="1:22">
      <c r="A1001" s="18" t="s">
        <v>2627</v>
      </c>
      <c r="B1001" s="18" t="s">
        <v>1447</v>
      </c>
      <c r="C1001" s="18" t="s">
        <v>228</v>
      </c>
      <c r="D1001" s="18" t="s">
        <v>184</v>
      </c>
      <c r="E1001" s="26">
        <v>45240</v>
      </c>
      <c r="F1001" s="18" t="s">
        <v>2628</v>
      </c>
      <c r="G1001" s="18" t="s">
        <v>125</v>
      </c>
      <c r="H1001" s="18">
        <v>3.2</v>
      </c>
      <c r="I1001" s="18">
        <v>199</v>
      </c>
      <c r="J1001" s="18">
        <v>20</v>
      </c>
      <c r="K1001" s="18">
        <v>509.44</v>
      </c>
      <c r="L1001" s="18" t="s">
        <v>126</v>
      </c>
      <c r="M1001" s="18" t="s">
        <v>119</v>
      </c>
      <c r="N1001" s="28">
        <v>45240.640277777777</v>
      </c>
      <c r="O1001" s="28">
        <v>45241.138194444444</v>
      </c>
      <c r="P1001" s="18">
        <v>4.7</v>
      </c>
      <c r="Q1001" s="18" t="b">
        <f>TRUE()</f>
        <v>1</v>
      </c>
      <c r="R1001" s="18" t="b">
        <f>FALSE()</f>
        <v>0</v>
      </c>
      <c r="S1001" s="19">
        <f t="shared" si="15"/>
        <v>12</v>
      </c>
      <c r="T1001">
        <f>COUNTIF('👤 Customers'!$A:$A, B1001)</f>
        <v>1</v>
      </c>
      <c r="U1001">
        <f>COUNTIF('🚴 Riders'!A1000:A1060, C1001)</f>
        <v>0</v>
      </c>
      <c r="V1001">
        <f>COUNTIF('🏭 Facilities'!A1000:A1008, D1001)</f>
        <v>0</v>
      </c>
    </row>
    <row r="1002" spans="1:22">
      <c r="A1002" s="16" t="s">
        <v>2629</v>
      </c>
      <c r="B1002" s="16" t="s">
        <v>1697</v>
      </c>
      <c r="C1002" s="16" t="s">
        <v>143</v>
      </c>
      <c r="D1002" s="16" t="s">
        <v>197</v>
      </c>
      <c r="E1002" s="25">
        <v>45242</v>
      </c>
      <c r="F1002" s="16" t="s">
        <v>2630</v>
      </c>
      <c r="G1002" s="16" t="s">
        <v>176</v>
      </c>
      <c r="H1002" s="16">
        <v>1.7</v>
      </c>
      <c r="I1002" s="16">
        <v>599</v>
      </c>
      <c r="J1002" s="16">
        <v>0</v>
      </c>
      <c r="K1002" s="16">
        <v>1018.3</v>
      </c>
      <c r="L1002" s="16" t="s">
        <v>126</v>
      </c>
      <c r="M1002" s="16" t="s">
        <v>133</v>
      </c>
      <c r="N1002" s="20"/>
      <c r="O1002" s="20"/>
      <c r="P1002" s="20"/>
      <c r="Q1002" s="16" t="b">
        <f>FALSE()</f>
        <v>0</v>
      </c>
      <c r="R1002" s="16" t="b">
        <f>FALSE()</f>
        <v>0</v>
      </c>
      <c r="S1002" s="17" t="str">
        <f t="shared" si="15"/>
        <v>N/A</v>
      </c>
      <c r="T1002">
        <f>COUNTIF('👤 Customers'!$A:$A, B1002)</f>
        <v>1</v>
      </c>
      <c r="U1002">
        <f>COUNTIF('🚴 Riders'!A1001:A1061, C1002)</f>
        <v>0</v>
      </c>
      <c r="V1002">
        <f>COUNTIF('🏭 Facilities'!A1001:A1009, D1002)</f>
        <v>0</v>
      </c>
    </row>
    <row r="1003" spans="1:22">
      <c r="A1003" s="18" t="s">
        <v>2631</v>
      </c>
      <c r="B1003" s="18" t="s">
        <v>704</v>
      </c>
      <c r="C1003" s="18" t="s">
        <v>479</v>
      </c>
      <c r="D1003" s="18" t="s">
        <v>123</v>
      </c>
      <c r="E1003" s="26">
        <v>45025</v>
      </c>
      <c r="F1003" s="18" t="s">
        <v>2632</v>
      </c>
      <c r="G1003" s="18" t="s">
        <v>132</v>
      </c>
      <c r="H1003" s="18">
        <v>6.2</v>
      </c>
      <c r="I1003" s="18">
        <v>399</v>
      </c>
      <c r="J1003" s="18">
        <v>20</v>
      </c>
      <c r="K1003" s="18">
        <v>1979.04</v>
      </c>
      <c r="L1003" s="18" t="s">
        <v>146</v>
      </c>
      <c r="M1003" s="18" t="s">
        <v>140</v>
      </c>
      <c r="N1003" s="28">
        <v>45025.475694444445</v>
      </c>
      <c r="O1003" s="28">
        <v>45026.509722222225</v>
      </c>
      <c r="P1003" s="20"/>
      <c r="Q1003" s="18" t="b">
        <f>FALSE()</f>
        <v>0</v>
      </c>
      <c r="R1003" s="18" t="b">
        <f>FALSE()</f>
        <v>0</v>
      </c>
      <c r="S1003" s="19">
        <f t="shared" si="15"/>
        <v>24.8</v>
      </c>
      <c r="T1003">
        <f>COUNTIF('👤 Customers'!$A:$A, B1003)</f>
        <v>1</v>
      </c>
      <c r="U1003">
        <f>COUNTIF('🚴 Riders'!A1002:A1062, C1003)</f>
        <v>0</v>
      </c>
      <c r="V1003">
        <f>COUNTIF('🏭 Facilities'!A1002:A1010, D1003)</f>
        <v>0</v>
      </c>
    </row>
    <row r="1004" spans="1:22">
      <c r="A1004" s="16" t="s">
        <v>2633</v>
      </c>
      <c r="B1004" s="16" t="s">
        <v>1900</v>
      </c>
      <c r="C1004" s="16" t="s">
        <v>265</v>
      </c>
      <c r="D1004" s="16" t="s">
        <v>137</v>
      </c>
      <c r="E1004" s="25">
        <v>45072</v>
      </c>
      <c r="F1004" s="16" t="s">
        <v>2634</v>
      </c>
      <c r="G1004" s="16" t="s">
        <v>145</v>
      </c>
      <c r="H1004" s="16">
        <v>4.8</v>
      </c>
      <c r="I1004" s="16">
        <v>299</v>
      </c>
      <c r="J1004" s="16">
        <v>0</v>
      </c>
      <c r="K1004" s="16">
        <v>1435.2</v>
      </c>
      <c r="L1004" s="16" t="s">
        <v>139</v>
      </c>
      <c r="M1004" s="16" t="s">
        <v>119</v>
      </c>
      <c r="N1004" s="27">
        <v>45072.78402777778</v>
      </c>
      <c r="O1004" s="27">
        <v>45073.436111111114</v>
      </c>
      <c r="P1004" s="16">
        <v>4.9000000000000004</v>
      </c>
      <c r="Q1004" s="16" t="b">
        <f>FALSE()</f>
        <v>0</v>
      </c>
      <c r="R1004" s="16" t="b">
        <f>FALSE()</f>
        <v>0</v>
      </c>
      <c r="S1004" s="17">
        <f t="shared" si="15"/>
        <v>15.7</v>
      </c>
      <c r="T1004">
        <f>COUNTIF('👤 Customers'!$A:$A, B1004)</f>
        <v>1</v>
      </c>
      <c r="U1004">
        <f>COUNTIF('🚴 Riders'!A1003:A1063, C1004)</f>
        <v>0</v>
      </c>
      <c r="V1004">
        <f>COUNTIF('🏭 Facilities'!A1003:A1011, D1004)</f>
        <v>0</v>
      </c>
    </row>
    <row r="1005" spans="1:22">
      <c r="A1005" s="18" t="s">
        <v>2635</v>
      </c>
      <c r="B1005" s="18" t="s">
        <v>1405</v>
      </c>
      <c r="C1005" s="18" t="s">
        <v>354</v>
      </c>
      <c r="D1005" s="18" t="s">
        <v>130</v>
      </c>
      <c r="E1005" s="26">
        <v>45136</v>
      </c>
      <c r="F1005" s="18" t="s">
        <v>2636</v>
      </c>
      <c r="G1005" s="18" t="s">
        <v>132</v>
      </c>
      <c r="H1005" s="18">
        <v>5.3</v>
      </c>
      <c r="I1005" s="18">
        <v>399</v>
      </c>
      <c r="J1005" s="18">
        <v>20</v>
      </c>
      <c r="K1005" s="18">
        <v>1691.76</v>
      </c>
      <c r="L1005" s="18" t="s">
        <v>118</v>
      </c>
      <c r="M1005" s="18" t="s">
        <v>140</v>
      </c>
      <c r="N1005" s="28">
        <v>45136.3</v>
      </c>
      <c r="O1005" s="28">
        <v>45137.119444444441</v>
      </c>
      <c r="P1005" s="20"/>
      <c r="Q1005" s="18" t="b">
        <f>FALSE()</f>
        <v>0</v>
      </c>
      <c r="R1005" s="18" t="b">
        <f>FALSE()</f>
        <v>0</v>
      </c>
      <c r="S1005" s="19">
        <f t="shared" si="15"/>
        <v>19.7</v>
      </c>
      <c r="T1005">
        <f>COUNTIF('👤 Customers'!$A:$A, B1005)</f>
        <v>1</v>
      </c>
      <c r="U1005">
        <f>COUNTIF('🚴 Riders'!A1004:A1064, C1005)</f>
        <v>0</v>
      </c>
      <c r="V1005">
        <f>COUNTIF('🏭 Facilities'!A1004:A1012, D1005)</f>
        <v>0</v>
      </c>
    </row>
    <row r="1006" spans="1:22">
      <c r="A1006" s="16" t="s">
        <v>2637</v>
      </c>
      <c r="B1006" s="16" t="s">
        <v>365</v>
      </c>
      <c r="C1006" s="16" t="s">
        <v>283</v>
      </c>
      <c r="D1006" s="16" t="s">
        <v>197</v>
      </c>
      <c r="E1006" s="25">
        <v>45559</v>
      </c>
      <c r="F1006" s="16" t="s">
        <v>2638</v>
      </c>
      <c r="G1006" s="16" t="s">
        <v>176</v>
      </c>
      <c r="H1006" s="16">
        <v>1.8</v>
      </c>
      <c r="I1006" s="16">
        <v>599</v>
      </c>
      <c r="J1006" s="16">
        <v>10</v>
      </c>
      <c r="K1006" s="16">
        <v>970.38</v>
      </c>
      <c r="L1006" s="16" t="s">
        <v>139</v>
      </c>
      <c r="M1006" s="16" t="s">
        <v>119</v>
      </c>
      <c r="N1006" s="27">
        <v>45559.723611111112</v>
      </c>
      <c r="O1006" s="27">
        <v>45560.209027777775</v>
      </c>
      <c r="P1006" s="16">
        <v>2.8</v>
      </c>
      <c r="Q1006" s="16" t="b">
        <f>FALSE()</f>
        <v>0</v>
      </c>
      <c r="R1006" s="16" t="b">
        <f>FALSE()</f>
        <v>0</v>
      </c>
      <c r="S1006" s="17">
        <f t="shared" si="15"/>
        <v>11.6</v>
      </c>
      <c r="T1006">
        <f>COUNTIF('👤 Customers'!$A:$A, B1006)</f>
        <v>1</v>
      </c>
      <c r="U1006">
        <f>COUNTIF('🚴 Riders'!A1005:A1065, C1006)</f>
        <v>0</v>
      </c>
      <c r="V1006">
        <f>COUNTIF('🏭 Facilities'!A1005:A1013, D1006)</f>
        <v>0</v>
      </c>
    </row>
    <row r="1007" spans="1:22">
      <c r="A1007" s="18" t="s">
        <v>2639</v>
      </c>
      <c r="B1007" s="18" t="s">
        <v>1533</v>
      </c>
      <c r="C1007" s="18" t="s">
        <v>842</v>
      </c>
      <c r="D1007" s="18" t="s">
        <v>197</v>
      </c>
      <c r="E1007" s="26">
        <v>45373</v>
      </c>
      <c r="F1007" s="18" t="s">
        <v>2640</v>
      </c>
      <c r="G1007" s="18" t="s">
        <v>125</v>
      </c>
      <c r="H1007" s="18">
        <v>5.6</v>
      </c>
      <c r="I1007" s="18">
        <v>199</v>
      </c>
      <c r="J1007" s="18">
        <v>10</v>
      </c>
      <c r="K1007" s="18">
        <v>1002.96</v>
      </c>
      <c r="L1007" s="18" t="s">
        <v>118</v>
      </c>
      <c r="M1007" s="18" t="s">
        <v>140</v>
      </c>
      <c r="N1007" s="28">
        <v>45373.307638888888</v>
      </c>
      <c r="O1007" s="28">
        <v>45373.697222222225</v>
      </c>
      <c r="P1007" s="20"/>
      <c r="Q1007" s="18" t="b">
        <f>FALSE()</f>
        <v>0</v>
      </c>
      <c r="R1007" s="18" t="b">
        <f>FALSE()</f>
        <v>0</v>
      </c>
      <c r="S1007" s="19">
        <f t="shared" si="15"/>
        <v>9.4</v>
      </c>
      <c r="T1007">
        <f>COUNTIF('👤 Customers'!$A:$A, B1007)</f>
        <v>1</v>
      </c>
      <c r="U1007">
        <f>COUNTIF('🚴 Riders'!A1006:A1066, C1007)</f>
        <v>0</v>
      </c>
      <c r="V1007">
        <f>COUNTIF('🏭 Facilities'!A1006:A1014, D1007)</f>
        <v>0</v>
      </c>
    </row>
    <row r="1008" spans="1:22">
      <c r="A1008" s="16" t="s">
        <v>2641</v>
      </c>
      <c r="B1008" s="16" t="s">
        <v>788</v>
      </c>
      <c r="C1008" s="16" t="s">
        <v>1092</v>
      </c>
      <c r="D1008" s="16" t="s">
        <v>130</v>
      </c>
      <c r="E1008" s="25">
        <v>45439</v>
      </c>
      <c r="F1008" s="16" t="s">
        <v>2642</v>
      </c>
      <c r="G1008" s="16" t="s">
        <v>176</v>
      </c>
      <c r="H1008" s="16">
        <v>5.8</v>
      </c>
      <c r="I1008" s="16">
        <v>599</v>
      </c>
      <c r="J1008" s="16">
        <v>0</v>
      </c>
      <c r="K1008" s="16">
        <v>3474.2</v>
      </c>
      <c r="L1008" s="16" t="s">
        <v>139</v>
      </c>
      <c r="M1008" s="16" t="s">
        <v>119</v>
      </c>
      <c r="N1008" s="27">
        <v>45439.410416666666</v>
      </c>
      <c r="O1008" s="27">
        <v>45439.84375</v>
      </c>
      <c r="P1008" s="16">
        <v>3.7</v>
      </c>
      <c r="Q1008" s="16" t="b">
        <f>FALSE()</f>
        <v>0</v>
      </c>
      <c r="R1008" s="16" t="b">
        <f>TRUE()</f>
        <v>1</v>
      </c>
      <c r="S1008" s="17">
        <f t="shared" si="15"/>
        <v>10.4</v>
      </c>
      <c r="T1008">
        <f>COUNTIF('👤 Customers'!$A:$A, B1008)</f>
        <v>1</v>
      </c>
      <c r="U1008">
        <f>COUNTIF('🚴 Riders'!A1007:A1067, C1008)</f>
        <v>0</v>
      </c>
      <c r="V1008">
        <f>COUNTIF('🏭 Facilities'!A1007:A1015, D1008)</f>
        <v>0</v>
      </c>
    </row>
    <row r="1009" spans="1:22">
      <c r="A1009" s="18" t="s">
        <v>2643</v>
      </c>
      <c r="B1009" s="18" t="s">
        <v>1832</v>
      </c>
      <c r="C1009" s="18" t="s">
        <v>479</v>
      </c>
      <c r="D1009" s="18" t="s">
        <v>123</v>
      </c>
      <c r="E1009" s="26">
        <v>44929</v>
      </c>
      <c r="F1009" s="18" t="s">
        <v>2644</v>
      </c>
      <c r="G1009" s="18" t="s">
        <v>145</v>
      </c>
      <c r="H1009" s="18">
        <v>4.2</v>
      </c>
      <c r="I1009" s="18">
        <v>299</v>
      </c>
      <c r="J1009" s="18">
        <v>0</v>
      </c>
      <c r="K1009" s="18">
        <v>1255.8</v>
      </c>
      <c r="L1009" s="18" t="s">
        <v>207</v>
      </c>
      <c r="M1009" s="18" t="s">
        <v>119</v>
      </c>
      <c r="N1009" s="28">
        <v>44929.504166666666</v>
      </c>
      <c r="O1009" s="28">
        <v>44930.206250000003</v>
      </c>
      <c r="P1009" s="18">
        <v>3.2</v>
      </c>
      <c r="Q1009" s="18" t="b">
        <f>FALSE()</f>
        <v>0</v>
      </c>
      <c r="R1009" s="18" t="b">
        <f>FALSE()</f>
        <v>0</v>
      </c>
      <c r="S1009" s="19">
        <f t="shared" si="15"/>
        <v>16.899999999999999</v>
      </c>
      <c r="T1009">
        <f>COUNTIF('👤 Customers'!$A:$A, B1009)</f>
        <v>1</v>
      </c>
      <c r="U1009">
        <f>COUNTIF('🚴 Riders'!A1008:A1068, C1009)</f>
        <v>0</v>
      </c>
      <c r="V1009">
        <f>COUNTIF('🏭 Facilities'!A1008:A1016, D1009)</f>
        <v>0</v>
      </c>
    </row>
    <row r="1010" spans="1:22">
      <c r="A1010" s="16" t="s">
        <v>2645</v>
      </c>
      <c r="B1010" s="16" t="s">
        <v>1452</v>
      </c>
      <c r="C1010" s="16" t="s">
        <v>563</v>
      </c>
      <c r="D1010" s="16" t="s">
        <v>115</v>
      </c>
      <c r="E1010" s="25">
        <v>45294</v>
      </c>
      <c r="F1010" s="16" t="s">
        <v>2646</v>
      </c>
      <c r="G1010" s="16" t="s">
        <v>176</v>
      </c>
      <c r="H1010" s="16">
        <v>1.5</v>
      </c>
      <c r="I1010" s="16">
        <v>599</v>
      </c>
      <c r="J1010" s="16">
        <v>0</v>
      </c>
      <c r="K1010" s="16">
        <v>898.5</v>
      </c>
      <c r="L1010" s="16" t="s">
        <v>139</v>
      </c>
      <c r="M1010" s="16" t="s">
        <v>119</v>
      </c>
      <c r="N1010" s="27">
        <v>45294.686111111114</v>
      </c>
      <c r="O1010" s="27">
        <v>45295.37222222222</v>
      </c>
      <c r="P1010" s="16">
        <v>3.2</v>
      </c>
      <c r="Q1010" s="16" t="b">
        <f>FALSE()</f>
        <v>0</v>
      </c>
      <c r="R1010" s="16" t="b">
        <f>FALSE()</f>
        <v>0</v>
      </c>
      <c r="S1010" s="17">
        <f t="shared" si="15"/>
        <v>16.5</v>
      </c>
      <c r="T1010">
        <f>COUNTIF('👤 Customers'!$A:$A, B1010)</f>
        <v>1</v>
      </c>
      <c r="U1010">
        <f>COUNTIF('🚴 Riders'!A1009:A1069, C1010)</f>
        <v>0</v>
      </c>
      <c r="V1010">
        <f>COUNTIF('🏭 Facilities'!A1009:A1017, D1010)</f>
        <v>0</v>
      </c>
    </row>
    <row r="1011" spans="1:22">
      <c r="A1011" s="18" t="s">
        <v>2647</v>
      </c>
      <c r="B1011" s="18" t="s">
        <v>243</v>
      </c>
      <c r="C1011" s="18" t="s">
        <v>842</v>
      </c>
      <c r="D1011" s="18" t="s">
        <v>197</v>
      </c>
      <c r="E1011" s="26">
        <v>45030</v>
      </c>
      <c r="F1011" s="18" t="s">
        <v>2648</v>
      </c>
      <c r="G1011" s="18" t="s">
        <v>125</v>
      </c>
      <c r="H1011" s="18">
        <v>6.5</v>
      </c>
      <c r="I1011" s="18">
        <v>199</v>
      </c>
      <c r="J1011" s="18">
        <v>10</v>
      </c>
      <c r="K1011" s="18">
        <v>1164.1500000000001</v>
      </c>
      <c r="L1011" s="18" t="s">
        <v>118</v>
      </c>
      <c r="M1011" s="18" t="s">
        <v>119</v>
      </c>
      <c r="N1011" s="28">
        <v>45030.734722222223</v>
      </c>
      <c r="O1011" s="28">
        <v>45031.779861111114</v>
      </c>
      <c r="P1011" s="18">
        <v>4.3</v>
      </c>
      <c r="Q1011" s="18" t="b">
        <f>FALSE()</f>
        <v>0</v>
      </c>
      <c r="R1011" s="18" t="b">
        <f>FALSE()</f>
        <v>0</v>
      </c>
      <c r="S1011" s="19">
        <f t="shared" si="15"/>
        <v>25.1</v>
      </c>
      <c r="T1011">
        <f>COUNTIF('👤 Customers'!$A:$A, B1011)</f>
        <v>1</v>
      </c>
      <c r="U1011">
        <f>COUNTIF('🚴 Riders'!A1010:A1070, C1011)</f>
        <v>0</v>
      </c>
      <c r="V1011">
        <f>COUNTIF('🏭 Facilities'!A1010:A1018, D1011)</f>
        <v>0</v>
      </c>
    </row>
    <row r="1012" spans="1:22">
      <c r="A1012" s="16" t="s">
        <v>2649</v>
      </c>
      <c r="B1012" s="16" t="s">
        <v>530</v>
      </c>
      <c r="C1012" s="16" t="s">
        <v>413</v>
      </c>
      <c r="D1012" s="16" t="s">
        <v>123</v>
      </c>
      <c r="E1012" s="25">
        <v>45138</v>
      </c>
      <c r="F1012" s="16" t="s">
        <v>2650</v>
      </c>
      <c r="G1012" s="16" t="s">
        <v>176</v>
      </c>
      <c r="H1012" s="16">
        <v>6.6</v>
      </c>
      <c r="I1012" s="16">
        <v>599</v>
      </c>
      <c r="J1012" s="16">
        <v>10</v>
      </c>
      <c r="K1012" s="16">
        <v>3558.06</v>
      </c>
      <c r="L1012" s="16" t="s">
        <v>207</v>
      </c>
      <c r="M1012" s="16" t="s">
        <v>119</v>
      </c>
      <c r="N1012" s="27">
        <v>45138.152083333334</v>
      </c>
      <c r="O1012" s="27">
        <v>45139.17083333333</v>
      </c>
      <c r="P1012" s="16">
        <v>4.4000000000000004</v>
      </c>
      <c r="Q1012" s="16" t="b">
        <f>FALSE()</f>
        <v>0</v>
      </c>
      <c r="R1012" s="16" t="b">
        <f>FALSE()</f>
        <v>0</v>
      </c>
      <c r="S1012" s="17">
        <f t="shared" si="15"/>
        <v>24.4</v>
      </c>
      <c r="T1012">
        <f>COUNTIF('👤 Customers'!$A:$A, B1012)</f>
        <v>1</v>
      </c>
      <c r="U1012">
        <f>COUNTIF('🚴 Riders'!A1011:A1071, C1012)</f>
        <v>0</v>
      </c>
      <c r="V1012">
        <f>COUNTIF('🏭 Facilities'!A1011:A1019, D1012)</f>
        <v>0</v>
      </c>
    </row>
    <row r="1013" spans="1:22">
      <c r="A1013" s="18" t="s">
        <v>2651</v>
      </c>
      <c r="B1013" s="18" t="s">
        <v>1155</v>
      </c>
      <c r="C1013" s="18" t="s">
        <v>308</v>
      </c>
      <c r="D1013" s="18" t="s">
        <v>205</v>
      </c>
      <c r="E1013" s="26">
        <v>45403</v>
      </c>
      <c r="F1013" s="18" t="s">
        <v>2652</v>
      </c>
      <c r="G1013" s="18" t="s">
        <v>176</v>
      </c>
      <c r="H1013" s="18">
        <v>6.6</v>
      </c>
      <c r="I1013" s="18">
        <v>599</v>
      </c>
      <c r="J1013" s="18">
        <v>0</v>
      </c>
      <c r="K1013" s="18">
        <v>3953.4</v>
      </c>
      <c r="L1013" s="18" t="s">
        <v>146</v>
      </c>
      <c r="M1013" s="18" t="s">
        <v>119</v>
      </c>
      <c r="N1013" s="28">
        <v>45403.704861111109</v>
      </c>
      <c r="O1013" s="28">
        <v>45404.729861111111</v>
      </c>
      <c r="P1013" s="18">
        <v>3.5</v>
      </c>
      <c r="Q1013" s="18" t="b">
        <f>FALSE()</f>
        <v>0</v>
      </c>
      <c r="R1013" s="18" t="b">
        <f>FALSE()</f>
        <v>0</v>
      </c>
      <c r="S1013" s="19">
        <f t="shared" si="15"/>
        <v>24.6</v>
      </c>
      <c r="T1013">
        <f>COUNTIF('👤 Customers'!$A:$A, B1013)</f>
        <v>1</v>
      </c>
      <c r="U1013">
        <f>COUNTIF('🚴 Riders'!A1012:A1072, C1013)</f>
        <v>0</v>
      </c>
      <c r="V1013">
        <f>COUNTIF('🏭 Facilities'!A1012:A1020, D1013)</f>
        <v>0</v>
      </c>
    </row>
    <row r="1014" spans="1:22">
      <c r="A1014" s="16" t="s">
        <v>2653</v>
      </c>
      <c r="B1014" s="16" t="s">
        <v>2654</v>
      </c>
      <c r="C1014" s="16" t="s">
        <v>354</v>
      </c>
      <c r="D1014" s="16" t="s">
        <v>205</v>
      </c>
      <c r="E1014" s="25">
        <v>45072</v>
      </c>
      <c r="F1014" s="16" t="s">
        <v>2655</v>
      </c>
      <c r="G1014" s="16" t="s">
        <v>125</v>
      </c>
      <c r="H1014" s="16">
        <v>6.1</v>
      </c>
      <c r="I1014" s="16">
        <v>199</v>
      </c>
      <c r="J1014" s="16">
        <v>10</v>
      </c>
      <c r="K1014" s="16">
        <v>1092.51</v>
      </c>
      <c r="L1014" s="16" t="s">
        <v>126</v>
      </c>
      <c r="M1014" s="16" t="s">
        <v>119</v>
      </c>
      <c r="N1014" s="27">
        <v>45072.593055555553</v>
      </c>
      <c r="O1014" s="27">
        <v>45073.536805555559</v>
      </c>
      <c r="P1014" s="16">
        <v>3.4</v>
      </c>
      <c r="Q1014" s="16" t="b">
        <f>FALSE()</f>
        <v>0</v>
      </c>
      <c r="R1014" s="16" t="b">
        <f>FALSE()</f>
        <v>0</v>
      </c>
      <c r="S1014" s="17">
        <f t="shared" si="15"/>
        <v>22.7</v>
      </c>
      <c r="T1014">
        <f>COUNTIF('👤 Customers'!$A:$A, B1014)</f>
        <v>1</v>
      </c>
      <c r="U1014">
        <f>COUNTIF('🚴 Riders'!A1013:A1073, C1014)</f>
        <v>0</v>
      </c>
      <c r="V1014">
        <f>COUNTIF('🏭 Facilities'!A1013:A1021, D1014)</f>
        <v>0</v>
      </c>
    </row>
    <row r="1015" spans="1:22">
      <c r="A1015" s="18" t="s">
        <v>2656</v>
      </c>
      <c r="B1015" s="18" t="s">
        <v>1837</v>
      </c>
      <c r="C1015" s="18" t="s">
        <v>308</v>
      </c>
      <c r="D1015" s="18" t="s">
        <v>197</v>
      </c>
      <c r="E1015" s="26">
        <v>45179</v>
      </c>
      <c r="F1015" s="18" t="s">
        <v>2657</v>
      </c>
      <c r="G1015" s="18" t="s">
        <v>125</v>
      </c>
      <c r="H1015" s="18">
        <v>7</v>
      </c>
      <c r="I1015" s="18">
        <v>199</v>
      </c>
      <c r="J1015" s="18">
        <v>0</v>
      </c>
      <c r="K1015" s="18">
        <v>1393</v>
      </c>
      <c r="L1015" s="18" t="s">
        <v>126</v>
      </c>
      <c r="M1015" s="18" t="s">
        <v>119</v>
      </c>
      <c r="N1015" s="28">
        <v>45179.311805555553</v>
      </c>
      <c r="O1015" s="28">
        <v>45180.009027777778</v>
      </c>
      <c r="P1015" s="18">
        <v>3.9</v>
      </c>
      <c r="Q1015" s="18" t="b">
        <f>TRUE()</f>
        <v>1</v>
      </c>
      <c r="R1015" s="18" t="b">
        <f>FALSE()</f>
        <v>0</v>
      </c>
      <c r="S1015" s="19">
        <f t="shared" si="15"/>
        <v>16.7</v>
      </c>
      <c r="T1015">
        <f>COUNTIF('👤 Customers'!$A:$A, B1015)</f>
        <v>1</v>
      </c>
      <c r="U1015">
        <f>COUNTIF('🚴 Riders'!A1014:A1074, C1015)</f>
        <v>0</v>
      </c>
      <c r="V1015">
        <f>COUNTIF('🏭 Facilities'!A1014:A1022, D1015)</f>
        <v>0</v>
      </c>
    </row>
    <row r="1016" spans="1:22">
      <c r="A1016" s="16" t="s">
        <v>2658</v>
      </c>
      <c r="B1016" s="16" t="s">
        <v>2546</v>
      </c>
      <c r="C1016" s="16" t="s">
        <v>166</v>
      </c>
      <c r="D1016" s="16" t="s">
        <v>137</v>
      </c>
      <c r="E1016" s="25">
        <v>44961</v>
      </c>
      <c r="F1016" s="16" t="s">
        <v>2659</v>
      </c>
      <c r="G1016" s="16" t="s">
        <v>132</v>
      </c>
      <c r="H1016" s="16">
        <v>4.3</v>
      </c>
      <c r="I1016" s="16">
        <v>399</v>
      </c>
      <c r="J1016" s="16">
        <v>0</v>
      </c>
      <c r="K1016" s="16">
        <v>1715.7</v>
      </c>
      <c r="L1016" s="16" t="s">
        <v>207</v>
      </c>
      <c r="M1016" s="16" t="s">
        <v>140</v>
      </c>
      <c r="N1016" s="27">
        <v>44961.111111111109</v>
      </c>
      <c r="O1016" s="27">
        <v>44961.995138888888</v>
      </c>
      <c r="P1016" s="20"/>
      <c r="Q1016" s="16" t="b">
        <f>FALSE()</f>
        <v>0</v>
      </c>
      <c r="R1016" s="16" t="b">
        <f>FALSE()</f>
        <v>0</v>
      </c>
      <c r="S1016" s="17">
        <f t="shared" si="15"/>
        <v>21.2</v>
      </c>
      <c r="T1016">
        <f>COUNTIF('👤 Customers'!$A:$A, B1016)</f>
        <v>1</v>
      </c>
      <c r="U1016">
        <f>COUNTIF('🚴 Riders'!A1015:A1075, C1016)</f>
        <v>0</v>
      </c>
      <c r="V1016">
        <f>COUNTIF('🏭 Facilities'!A1015:A1023, D1016)</f>
        <v>0</v>
      </c>
    </row>
    <row r="1017" spans="1:22">
      <c r="A1017" s="18" t="s">
        <v>2660</v>
      </c>
      <c r="B1017" s="18" t="s">
        <v>342</v>
      </c>
      <c r="C1017" s="18" t="s">
        <v>580</v>
      </c>
      <c r="D1017" s="18" t="s">
        <v>130</v>
      </c>
      <c r="E1017" s="26">
        <v>45002</v>
      </c>
      <c r="F1017" s="18" t="s">
        <v>2661</v>
      </c>
      <c r="G1017" s="18" t="s">
        <v>125</v>
      </c>
      <c r="H1017" s="18">
        <v>2.8</v>
      </c>
      <c r="I1017" s="18">
        <v>199</v>
      </c>
      <c r="J1017" s="18">
        <v>20</v>
      </c>
      <c r="K1017" s="18">
        <v>445.76</v>
      </c>
      <c r="L1017" s="18" t="s">
        <v>126</v>
      </c>
      <c r="M1017" s="18" t="s">
        <v>119</v>
      </c>
      <c r="N1017" s="28">
        <v>45002.268750000003</v>
      </c>
      <c r="O1017" s="28">
        <v>45002.819444444445</v>
      </c>
      <c r="P1017" s="18">
        <v>3.4</v>
      </c>
      <c r="Q1017" s="18" t="b">
        <f>FALSE()</f>
        <v>0</v>
      </c>
      <c r="R1017" s="18" t="b">
        <f>TRUE()</f>
        <v>1</v>
      </c>
      <c r="S1017" s="19">
        <f t="shared" si="15"/>
        <v>13.2</v>
      </c>
      <c r="T1017">
        <f>COUNTIF('👤 Customers'!$A:$A, B1017)</f>
        <v>1</v>
      </c>
      <c r="U1017">
        <f>COUNTIF('🚴 Riders'!A1016:A1076, C1017)</f>
        <v>0</v>
      </c>
      <c r="V1017">
        <f>COUNTIF('🏭 Facilities'!A1016:A1024, D1017)</f>
        <v>0</v>
      </c>
    </row>
    <row r="1018" spans="1:22">
      <c r="A1018" s="16" t="s">
        <v>2662</v>
      </c>
      <c r="B1018" s="16" t="s">
        <v>1452</v>
      </c>
      <c r="C1018" s="16" t="s">
        <v>339</v>
      </c>
      <c r="D1018" s="16" t="s">
        <v>137</v>
      </c>
      <c r="E1018" s="25">
        <v>45552</v>
      </c>
      <c r="F1018" s="16" t="s">
        <v>2663</v>
      </c>
      <c r="G1018" s="16" t="s">
        <v>117</v>
      </c>
      <c r="H1018" s="16">
        <v>6.5</v>
      </c>
      <c r="I1018" s="16">
        <v>149</v>
      </c>
      <c r="J1018" s="16">
        <v>0</v>
      </c>
      <c r="K1018" s="16">
        <v>968.5</v>
      </c>
      <c r="L1018" s="16" t="s">
        <v>126</v>
      </c>
      <c r="M1018" s="16" t="s">
        <v>140</v>
      </c>
      <c r="N1018" s="27">
        <v>45552.742361111108</v>
      </c>
      <c r="O1018" s="27">
        <v>45553.254166666666</v>
      </c>
      <c r="P1018" s="20"/>
      <c r="Q1018" s="16" t="b">
        <f>FALSE()</f>
        <v>0</v>
      </c>
      <c r="R1018" s="16" t="b">
        <f>FALSE()</f>
        <v>0</v>
      </c>
      <c r="S1018" s="17">
        <f t="shared" si="15"/>
        <v>12.3</v>
      </c>
      <c r="T1018">
        <f>COUNTIF('👤 Customers'!$A:$A, B1018)</f>
        <v>1</v>
      </c>
      <c r="U1018">
        <f>COUNTIF('🚴 Riders'!A1017:A1077, C1018)</f>
        <v>0</v>
      </c>
      <c r="V1018">
        <f>COUNTIF('🏭 Facilities'!A1017:A1025, D1018)</f>
        <v>0</v>
      </c>
    </row>
    <row r="1019" spans="1:22">
      <c r="A1019" s="18" t="s">
        <v>2664</v>
      </c>
      <c r="B1019" s="18" t="s">
        <v>209</v>
      </c>
      <c r="C1019" s="18" t="s">
        <v>224</v>
      </c>
      <c r="D1019" s="18" t="s">
        <v>205</v>
      </c>
      <c r="E1019" s="26">
        <v>45095</v>
      </c>
      <c r="F1019" s="18" t="s">
        <v>2665</v>
      </c>
      <c r="G1019" s="18" t="s">
        <v>145</v>
      </c>
      <c r="H1019" s="18">
        <v>7.2</v>
      </c>
      <c r="I1019" s="18">
        <v>299</v>
      </c>
      <c r="J1019" s="18">
        <v>0</v>
      </c>
      <c r="K1019" s="18">
        <v>2152.8000000000002</v>
      </c>
      <c r="L1019" s="18" t="s">
        <v>118</v>
      </c>
      <c r="M1019" s="18" t="s">
        <v>133</v>
      </c>
      <c r="N1019" s="20"/>
      <c r="O1019" s="20"/>
      <c r="P1019" s="20"/>
      <c r="Q1019" s="18" t="b">
        <f>FALSE()</f>
        <v>0</v>
      </c>
      <c r="R1019" s="18" t="b">
        <f>FALSE()</f>
        <v>0</v>
      </c>
      <c r="S1019" s="19" t="str">
        <f t="shared" si="15"/>
        <v>N/A</v>
      </c>
      <c r="T1019">
        <f>COUNTIF('👤 Customers'!$A:$A, B1019)</f>
        <v>1</v>
      </c>
      <c r="U1019">
        <f>COUNTIF('🚴 Riders'!A1018:A1078, C1019)</f>
        <v>0</v>
      </c>
      <c r="V1019">
        <f>COUNTIF('🏭 Facilities'!A1018:A1026, D1019)</f>
        <v>0</v>
      </c>
    </row>
    <row r="1020" spans="1:22">
      <c r="A1020" s="16" t="s">
        <v>2666</v>
      </c>
      <c r="B1020" s="16" t="s">
        <v>654</v>
      </c>
      <c r="C1020" s="16" t="s">
        <v>192</v>
      </c>
      <c r="D1020" s="16" t="s">
        <v>184</v>
      </c>
      <c r="E1020" s="25">
        <v>45054</v>
      </c>
      <c r="F1020" s="16" t="s">
        <v>2667</v>
      </c>
      <c r="G1020" s="16" t="s">
        <v>125</v>
      </c>
      <c r="H1020" s="16">
        <v>6.2</v>
      </c>
      <c r="I1020" s="16">
        <v>199</v>
      </c>
      <c r="J1020" s="16">
        <v>30</v>
      </c>
      <c r="K1020" s="16">
        <v>863.66</v>
      </c>
      <c r="L1020" s="16" t="s">
        <v>207</v>
      </c>
      <c r="M1020" s="16" t="s">
        <v>133</v>
      </c>
      <c r="N1020" s="20"/>
      <c r="O1020" s="20"/>
      <c r="P1020" s="20"/>
      <c r="Q1020" s="16" t="b">
        <f>FALSE()</f>
        <v>0</v>
      </c>
      <c r="R1020" s="16" t="b">
        <f>FALSE()</f>
        <v>0</v>
      </c>
      <c r="S1020" s="17" t="str">
        <f t="shared" si="15"/>
        <v>N/A</v>
      </c>
      <c r="T1020">
        <f>COUNTIF('👤 Customers'!$A:$A, B1020)</f>
        <v>1</v>
      </c>
      <c r="U1020">
        <f>COUNTIF('🚴 Riders'!A1019:A1079, C1020)</f>
        <v>0</v>
      </c>
      <c r="V1020">
        <f>COUNTIF('🏭 Facilities'!A1019:A1027, D1020)</f>
        <v>0</v>
      </c>
    </row>
    <row r="1021" spans="1:22">
      <c r="A1021" s="18" t="s">
        <v>2668</v>
      </c>
      <c r="B1021" s="18" t="s">
        <v>583</v>
      </c>
      <c r="C1021" s="18" t="s">
        <v>362</v>
      </c>
      <c r="D1021" s="18" t="s">
        <v>205</v>
      </c>
      <c r="E1021" s="26">
        <v>45030</v>
      </c>
      <c r="F1021" s="18" t="s">
        <v>2669</v>
      </c>
      <c r="G1021" s="18" t="s">
        <v>117</v>
      </c>
      <c r="H1021" s="18">
        <v>4.2</v>
      </c>
      <c r="I1021" s="18">
        <v>149</v>
      </c>
      <c r="J1021" s="18">
        <v>10</v>
      </c>
      <c r="K1021" s="18">
        <v>563.22</v>
      </c>
      <c r="L1021" s="18" t="s">
        <v>118</v>
      </c>
      <c r="M1021" s="18" t="s">
        <v>119</v>
      </c>
      <c r="N1021" s="28">
        <v>45030.125694444447</v>
      </c>
      <c r="O1021" s="28">
        <v>45030.502083333333</v>
      </c>
      <c r="P1021" s="18">
        <v>4.5999999999999996</v>
      </c>
      <c r="Q1021" s="18" t="b">
        <f>FALSE()</f>
        <v>0</v>
      </c>
      <c r="R1021" s="18" t="b">
        <f>FALSE()</f>
        <v>0</v>
      </c>
      <c r="S1021" s="19">
        <f t="shared" si="15"/>
        <v>9</v>
      </c>
      <c r="T1021">
        <f>COUNTIF('👤 Customers'!$A:$A, B1021)</f>
        <v>1</v>
      </c>
      <c r="U1021">
        <f>COUNTIF('🚴 Riders'!A1020:A1080, C1021)</f>
        <v>0</v>
      </c>
      <c r="V1021">
        <f>COUNTIF('🏭 Facilities'!A1020:A1028, D1021)</f>
        <v>0</v>
      </c>
    </row>
    <row r="1022" spans="1:22">
      <c r="A1022" s="16" t="s">
        <v>2670</v>
      </c>
      <c r="B1022" s="16" t="s">
        <v>1737</v>
      </c>
      <c r="C1022" s="16" t="s">
        <v>228</v>
      </c>
      <c r="D1022" s="16" t="s">
        <v>197</v>
      </c>
      <c r="E1022" s="25">
        <v>45574</v>
      </c>
      <c r="F1022" s="16" t="s">
        <v>2671</v>
      </c>
      <c r="G1022" s="16" t="s">
        <v>132</v>
      </c>
      <c r="H1022" s="16">
        <v>4.3</v>
      </c>
      <c r="I1022" s="16">
        <v>399</v>
      </c>
      <c r="J1022" s="16">
        <v>0</v>
      </c>
      <c r="K1022" s="16">
        <v>1715.7</v>
      </c>
      <c r="L1022" s="16" t="s">
        <v>207</v>
      </c>
      <c r="M1022" s="16" t="s">
        <v>119</v>
      </c>
      <c r="N1022" s="27">
        <v>45574.517361111109</v>
      </c>
      <c r="O1022" s="27">
        <v>45575.010416666664</v>
      </c>
      <c r="P1022" s="16">
        <v>3</v>
      </c>
      <c r="Q1022" s="16" t="b">
        <f>FALSE()</f>
        <v>0</v>
      </c>
      <c r="R1022" s="16" t="b">
        <f>TRUE()</f>
        <v>1</v>
      </c>
      <c r="S1022" s="17">
        <f t="shared" si="15"/>
        <v>11.8</v>
      </c>
      <c r="T1022">
        <f>COUNTIF('👤 Customers'!$A:$A, B1022)</f>
        <v>1</v>
      </c>
      <c r="U1022">
        <f>COUNTIF('🚴 Riders'!A1021:A1081, C1022)</f>
        <v>0</v>
      </c>
      <c r="V1022">
        <f>COUNTIF('🏭 Facilities'!A1021:A1029, D1022)</f>
        <v>0</v>
      </c>
    </row>
    <row r="1023" spans="1:22">
      <c r="A1023" s="18" t="s">
        <v>2672</v>
      </c>
      <c r="B1023" s="18" t="s">
        <v>2673</v>
      </c>
      <c r="C1023" s="18" t="s">
        <v>580</v>
      </c>
      <c r="D1023" s="18" t="s">
        <v>205</v>
      </c>
      <c r="E1023" s="26">
        <v>45105</v>
      </c>
      <c r="F1023" s="18" t="s">
        <v>2674</v>
      </c>
      <c r="G1023" s="18" t="s">
        <v>132</v>
      </c>
      <c r="H1023" s="18">
        <v>2.9</v>
      </c>
      <c r="I1023" s="18">
        <v>399</v>
      </c>
      <c r="J1023" s="18">
        <v>0</v>
      </c>
      <c r="K1023" s="18">
        <v>1157.0999999999999</v>
      </c>
      <c r="L1023" s="18" t="s">
        <v>139</v>
      </c>
      <c r="M1023" s="18" t="s">
        <v>133</v>
      </c>
      <c r="N1023" s="20"/>
      <c r="O1023" s="20"/>
      <c r="P1023" s="20"/>
      <c r="Q1023" s="18" t="b">
        <f>FALSE()</f>
        <v>0</v>
      </c>
      <c r="R1023" s="18" t="b">
        <f>FALSE()</f>
        <v>0</v>
      </c>
      <c r="S1023" s="19" t="str">
        <f t="shared" si="15"/>
        <v>N/A</v>
      </c>
      <c r="T1023">
        <f>COUNTIF('👤 Customers'!$A:$A, B1023)</f>
        <v>1</v>
      </c>
      <c r="U1023">
        <f>COUNTIF('🚴 Riders'!A1022:A1082, C1023)</f>
        <v>0</v>
      </c>
      <c r="V1023">
        <f>COUNTIF('🏭 Facilities'!A1022:A1030, D1023)</f>
        <v>0</v>
      </c>
    </row>
    <row r="1024" spans="1:22">
      <c r="A1024" s="16" t="s">
        <v>2675</v>
      </c>
      <c r="B1024" s="16" t="s">
        <v>2676</v>
      </c>
      <c r="C1024" s="16" t="s">
        <v>287</v>
      </c>
      <c r="D1024" s="16" t="s">
        <v>130</v>
      </c>
      <c r="E1024" s="25">
        <v>45340</v>
      </c>
      <c r="F1024" s="16" t="s">
        <v>2677</v>
      </c>
      <c r="G1024" s="16" t="s">
        <v>176</v>
      </c>
      <c r="H1024" s="16">
        <v>2.5</v>
      </c>
      <c r="I1024" s="16">
        <v>599</v>
      </c>
      <c r="J1024" s="16">
        <v>0</v>
      </c>
      <c r="K1024" s="16">
        <v>1497.5</v>
      </c>
      <c r="L1024" s="16" t="s">
        <v>126</v>
      </c>
      <c r="M1024" s="16" t="s">
        <v>119</v>
      </c>
      <c r="N1024" s="27">
        <v>45340.984722222223</v>
      </c>
      <c r="O1024" s="27">
        <v>45341.895833333336</v>
      </c>
      <c r="P1024" s="16">
        <v>3</v>
      </c>
      <c r="Q1024" s="16" t="b">
        <f>FALSE()</f>
        <v>0</v>
      </c>
      <c r="R1024" s="16" t="b">
        <f>FALSE()</f>
        <v>0</v>
      </c>
      <c r="S1024" s="17">
        <f t="shared" si="15"/>
        <v>21.9</v>
      </c>
      <c r="T1024">
        <f>COUNTIF('👤 Customers'!$A:$A, B1024)</f>
        <v>1</v>
      </c>
      <c r="U1024">
        <f>COUNTIF('🚴 Riders'!A1023:A1083, C1024)</f>
        <v>0</v>
      </c>
      <c r="V1024">
        <f>COUNTIF('🏭 Facilities'!A1023:A1031, D1024)</f>
        <v>0</v>
      </c>
    </row>
    <row r="1025" spans="1:22">
      <c r="A1025" s="18" t="s">
        <v>2678</v>
      </c>
      <c r="B1025" s="18" t="s">
        <v>782</v>
      </c>
      <c r="C1025" s="18" t="s">
        <v>350</v>
      </c>
      <c r="D1025" s="18" t="s">
        <v>197</v>
      </c>
      <c r="E1025" s="26">
        <v>45288</v>
      </c>
      <c r="F1025" s="18" t="s">
        <v>2679</v>
      </c>
      <c r="G1025" s="18" t="s">
        <v>125</v>
      </c>
      <c r="H1025" s="18">
        <v>7.1</v>
      </c>
      <c r="I1025" s="18">
        <v>199</v>
      </c>
      <c r="J1025" s="18">
        <v>0</v>
      </c>
      <c r="K1025" s="18">
        <v>1412.9</v>
      </c>
      <c r="L1025" s="18" t="s">
        <v>146</v>
      </c>
      <c r="M1025" s="18" t="s">
        <v>140</v>
      </c>
      <c r="N1025" s="28">
        <v>45288.113194444442</v>
      </c>
      <c r="O1025" s="28">
        <v>45288.506249999999</v>
      </c>
      <c r="P1025" s="20"/>
      <c r="Q1025" s="18" t="b">
        <f>FALSE()</f>
        <v>0</v>
      </c>
      <c r="R1025" s="18" t="b">
        <f>FALSE()</f>
        <v>0</v>
      </c>
      <c r="S1025" s="19">
        <f t="shared" si="15"/>
        <v>9.4</v>
      </c>
      <c r="T1025">
        <f>COUNTIF('👤 Customers'!$A:$A, B1025)</f>
        <v>1</v>
      </c>
      <c r="U1025">
        <f>COUNTIF('🚴 Riders'!A1024:A1084, C1025)</f>
        <v>0</v>
      </c>
      <c r="V1025">
        <f>COUNTIF('🏭 Facilities'!A1024:A1032, D1025)</f>
        <v>0</v>
      </c>
    </row>
    <row r="1026" spans="1:22">
      <c r="A1026" s="16" t="s">
        <v>2680</v>
      </c>
      <c r="B1026" s="16" t="s">
        <v>2681</v>
      </c>
      <c r="C1026" s="16" t="s">
        <v>287</v>
      </c>
      <c r="D1026" s="16" t="s">
        <v>197</v>
      </c>
      <c r="E1026" s="25">
        <v>45378</v>
      </c>
      <c r="F1026" s="16" t="s">
        <v>2682</v>
      </c>
      <c r="G1026" s="16" t="s">
        <v>132</v>
      </c>
      <c r="H1026" s="16">
        <v>1.4</v>
      </c>
      <c r="I1026" s="16">
        <v>399</v>
      </c>
      <c r="J1026" s="16">
        <v>0</v>
      </c>
      <c r="K1026" s="16">
        <v>558.6</v>
      </c>
      <c r="L1026" s="16" t="s">
        <v>207</v>
      </c>
      <c r="M1026" s="16" t="s">
        <v>119</v>
      </c>
      <c r="N1026" s="27">
        <v>45378.150694444441</v>
      </c>
      <c r="O1026" s="27">
        <v>45378.627083333333</v>
      </c>
      <c r="P1026" s="16">
        <v>3.8</v>
      </c>
      <c r="Q1026" s="16" t="b">
        <f>TRUE()</f>
        <v>1</v>
      </c>
      <c r="R1026" s="16" t="b">
        <f>FALSE()</f>
        <v>0</v>
      </c>
      <c r="S1026" s="17">
        <f t="shared" ref="S1026:S1089" si="16">IF(OR(N1026="",O1026=""),"N/A",ROUND(((O1026-N1026)*24),1))</f>
        <v>11.4</v>
      </c>
      <c r="T1026">
        <f>COUNTIF('👤 Customers'!$A:$A, B1026)</f>
        <v>1</v>
      </c>
      <c r="U1026">
        <f>COUNTIF('🚴 Riders'!A1025:A1085, C1026)</f>
        <v>0</v>
      </c>
      <c r="V1026">
        <f>COUNTIF('🏭 Facilities'!A1025:A1033, D1026)</f>
        <v>0</v>
      </c>
    </row>
    <row r="1027" spans="1:22">
      <c r="A1027" s="18" t="s">
        <v>2683</v>
      </c>
      <c r="B1027" s="18" t="s">
        <v>1361</v>
      </c>
      <c r="C1027" s="18" t="s">
        <v>326</v>
      </c>
      <c r="D1027" s="18" t="s">
        <v>130</v>
      </c>
      <c r="E1027" s="26">
        <v>44999</v>
      </c>
      <c r="F1027" s="18" t="s">
        <v>2684</v>
      </c>
      <c r="G1027" s="18" t="s">
        <v>117</v>
      </c>
      <c r="H1027" s="18">
        <v>2.8</v>
      </c>
      <c r="I1027" s="18">
        <v>149</v>
      </c>
      <c r="J1027" s="18">
        <v>0</v>
      </c>
      <c r="K1027" s="18">
        <v>417.2</v>
      </c>
      <c r="L1027" s="18" t="s">
        <v>126</v>
      </c>
      <c r="M1027" s="18" t="s">
        <v>119</v>
      </c>
      <c r="N1027" s="28">
        <v>44999.679166666669</v>
      </c>
      <c r="O1027" s="28">
        <v>45000.408333333333</v>
      </c>
      <c r="P1027" s="18">
        <v>3.8</v>
      </c>
      <c r="Q1027" s="18" t="b">
        <f>FALSE()</f>
        <v>0</v>
      </c>
      <c r="R1027" s="18" t="b">
        <f>TRUE()</f>
        <v>1</v>
      </c>
      <c r="S1027" s="19">
        <f t="shared" si="16"/>
        <v>17.5</v>
      </c>
      <c r="T1027">
        <f>COUNTIF('👤 Customers'!$A:$A, B1027)</f>
        <v>1</v>
      </c>
      <c r="U1027">
        <f>COUNTIF('🚴 Riders'!A1026:A1086, C1027)</f>
        <v>0</v>
      </c>
      <c r="V1027">
        <f>COUNTIF('🏭 Facilities'!A1026:A1034, D1027)</f>
        <v>0</v>
      </c>
    </row>
    <row r="1028" spans="1:22">
      <c r="A1028" s="16" t="s">
        <v>2685</v>
      </c>
      <c r="B1028" s="16" t="s">
        <v>335</v>
      </c>
      <c r="C1028" s="16" t="s">
        <v>122</v>
      </c>
      <c r="D1028" s="16" t="s">
        <v>184</v>
      </c>
      <c r="E1028" s="25">
        <v>45486</v>
      </c>
      <c r="F1028" s="16" t="s">
        <v>2391</v>
      </c>
      <c r="G1028" s="16" t="s">
        <v>176</v>
      </c>
      <c r="H1028" s="16">
        <v>1.6</v>
      </c>
      <c r="I1028" s="16">
        <v>599</v>
      </c>
      <c r="J1028" s="16">
        <v>10</v>
      </c>
      <c r="K1028" s="16">
        <v>862.56</v>
      </c>
      <c r="L1028" s="16" t="s">
        <v>126</v>
      </c>
      <c r="M1028" s="16" t="s">
        <v>119</v>
      </c>
      <c r="N1028" s="27">
        <v>45486.999305555553</v>
      </c>
      <c r="O1028" s="27">
        <v>45487.568749999999</v>
      </c>
      <c r="P1028" s="16">
        <v>4.4000000000000004</v>
      </c>
      <c r="Q1028" s="16" t="b">
        <f>FALSE()</f>
        <v>0</v>
      </c>
      <c r="R1028" s="16" t="b">
        <f>FALSE()</f>
        <v>0</v>
      </c>
      <c r="S1028" s="17">
        <f t="shared" si="16"/>
        <v>13.7</v>
      </c>
      <c r="T1028">
        <f>COUNTIF('👤 Customers'!$A:$A, B1028)</f>
        <v>1</v>
      </c>
      <c r="U1028">
        <f>COUNTIF('🚴 Riders'!A1027:A1087, C1028)</f>
        <v>0</v>
      </c>
      <c r="V1028">
        <f>COUNTIF('🏭 Facilities'!A1027:A1035, D1028)</f>
        <v>0</v>
      </c>
    </row>
    <row r="1029" spans="1:22">
      <c r="A1029" s="18" t="s">
        <v>2686</v>
      </c>
      <c r="B1029" s="18" t="s">
        <v>1474</v>
      </c>
      <c r="C1029" s="18" t="s">
        <v>213</v>
      </c>
      <c r="D1029" s="18" t="s">
        <v>197</v>
      </c>
      <c r="E1029" s="26">
        <v>45488</v>
      </c>
      <c r="F1029" s="18" t="s">
        <v>2687</v>
      </c>
      <c r="G1029" s="18" t="s">
        <v>125</v>
      </c>
      <c r="H1029" s="18">
        <v>1.6</v>
      </c>
      <c r="I1029" s="18">
        <v>199</v>
      </c>
      <c r="J1029" s="18">
        <v>0</v>
      </c>
      <c r="K1029" s="18">
        <v>318.39999999999998</v>
      </c>
      <c r="L1029" s="18" t="s">
        <v>139</v>
      </c>
      <c r="M1029" s="18" t="s">
        <v>140</v>
      </c>
      <c r="N1029" s="28">
        <v>45488.779166666667</v>
      </c>
      <c r="O1029" s="28">
        <v>45489.51666666667</v>
      </c>
      <c r="P1029" s="20"/>
      <c r="Q1029" s="18" t="b">
        <f>FALSE()</f>
        <v>0</v>
      </c>
      <c r="R1029" s="18" t="b">
        <f>FALSE()</f>
        <v>0</v>
      </c>
      <c r="S1029" s="19">
        <f t="shared" si="16"/>
        <v>17.7</v>
      </c>
      <c r="T1029">
        <f>COUNTIF('👤 Customers'!$A:$A, B1029)</f>
        <v>1</v>
      </c>
      <c r="U1029">
        <f>COUNTIF('🚴 Riders'!A1028:A1088, C1029)</f>
        <v>0</v>
      </c>
      <c r="V1029">
        <f>COUNTIF('🏭 Facilities'!A1028:A1036, D1029)</f>
        <v>0</v>
      </c>
    </row>
    <row r="1030" spans="1:22">
      <c r="A1030" s="16" t="s">
        <v>2688</v>
      </c>
      <c r="B1030" s="16" t="s">
        <v>2038</v>
      </c>
      <c r="C1030" s="16" t="s">
        <v>257</v>
      </c>
      <c r="D1030" s="16" t="s">
        <v>197</v>
      </c>
      <c r="E1030" s="25">
        <v>45215</v>
      </c>
      <c r="F1030" s="16" t="s">
        <v>2689</v>
      </c>
      <c r="G1030" s="16" t="s">
        <v>125</v>
      </c>
      <c r="H1030" s="16">
        <v>6.5</v>
      </c>
      <c r="I1030" s="16">
        <v>199</v>
      </c>
      <c r="J1030" s="16">
        <v>10</v>
      </c>
      <c r="K1030" s="16">
        <v>1164.1500000000001</v>
      </c>
      <c r="L1030" s="16" t="s">
        <v>146</v>
      </c>
      <c r="M1030" s="16" t="s">
        <v>133</v>
      </c>
      <c r="N1030" s="20"/>
      <c r="O1030" s="20"/>
      <c r="P1030" s="20"/>
      <c r="Q1030" s="16" t="b">
        <f>FALSE()</f>
        <v>0</v>
      </c>
      <c r="R1030" s="16" t="b">
        <f>FALSE()</f>
        <v>0</v>
      </c>
      <c r="S1030" s="17" t="str">
        <f t="shared" si="16"/>
        <v>N/A</v>
      </c>
      <c r="T1030">
        <f>COUNTIF('👤 Customers'!$A:$A, B1030)</f>
        <v>1</v>
      </c>
      <c r="U1030">
        <f>COUNTIF('🚴 Riders'!A1029:A1089, C1030)</f>
        <v>0</v>
      </c>
      <c r="V1030">
        <f>COUNTIF('🏭 Facilities'!A1029:A1037, D1030)</f>
        <v>0</v>
      </c>
    </row>
    <row r="1031" spans="1:22">
      <c r="A1031" s="18" t="s">
        <v>2690</v>
      </c>
      <c r="B1031" s="18" t="s">
        <v>704</v>
      </c>
      <c r="C1031" s="18" t="s">
        <v>170</v>
      </c>
      <c r="D1031" s="18" t="s">
        <v>197</v>
      </c>
      <c r="E1031" s="26">
        <v>45129</v>
      </c>
      <c r="F1031" s="18" t="s">
        <v>1208</v>
      </c>
      <c r="G1031" s="18" t="s">
        <v>132</v>
      </c>
      <c r="H1031" s="18">
        <v>1.6</v>
      </c>
      <c r="I1031" s="18">
        <v>399</v>
      </c>
      <c r="J1031" s="18">
        <v>20</v>
      </c>
      <c r="K1031" s="18">
        <v>510.72</v>
      </c>
      <c r="L1031" s="18" t="s">
        <v>207</v>
      </c>
      <c r="M1031" s="18" t="s">
        <v>133</v>
      </c>
      <c r="N1031" s="20"/>
      <c r="O1031" s="20"/>
      <c r="P1031" s="20"/>
      <c r="Q1031" s="18" t="b">
        <f>FALSE()</f>
        <v>0</v>
      </c>
      <c r="R1031" s="18" t="b">
        <f>FALSE()</f>
        <v>0</v>
      </c>
      <c r="S1031" s="19" t="str">
        <f t="shared" si="16"/>
        <v>N/A</v>
      </c>
      <c r="T1031">
        <f>COUNTIF('👤 Customers'!$A:$A, B1031)</f>
        <v>1</v>
      </c>
      <c r="U1031">
        <f>COUNTIF('🚴 Riders'!A1030:A1090, C1031)</f>
        <v>0</v>
      </c>
      <c r="V1031">
        <f>COUNTIF('🏭 Facilities'!A1030:A1038, D1031)</f>
        <v>0</v>
      </c>
    </row>
    <row r="1032" spans="1:22">
      <c r="A1032" s="16" t="s">
        <v>2691</v>
      </c>
      <c r="B1032" s="16" t="s">
        <v>203</v>
      </c>
      <c r="C1032" s="16" t="s">
        <v>174</v>
      </c>
      <c r="D1032" s="16" t="s">
        <v>184</v>
      </c>
      <c r="E1032" s="25">
        <v>45316</v>
      </c>
      <c r="F1032" s="16" t="s">
        <v>2692</v>
      </c>
      <c r="G1032" s="16" t="s">
        <v>176</v>
      </c>
      <c r="H1032" s="16">
        <v>6.5</v>
      </c>
      <c r="I1032" s="16">
        <v>599</v>
      </c>
      <c r="J1032" s="16">
        <v>0</v>
      </c>
      <c r="K1032" s="16">
        <v>3893.5</v>
      </c>
      <c r="L1032" s="16" t="s">
        <v>118</v>
      </c>
      <c r="M1032" s="16" t="s">
        <v>119</v>
      </c>
      <c r="N1032" s="27">
        <v>45316.487500000003</v>
      </c>
      <c r="O1032" s="27">
        <v>45317.106944444444</v>
      </c>
      <c r="P1032" s="16">
        <v>4.7</v>
      </c>
      <c r="Q1032" s="16" t="b">
        <f>FALSE()</f>
        <v>0</v>
      </c>
      <c r="R1032" s="16" t="b">
        <f>FALSE()</f>
        <v>0</v>
      </c>
      <c r="S1032" s="17">
        <f t="shared" si="16"/>
        <v>14.9</v>
      </c>
      <c r="T1032">
        <f>COUNTIF('👤 Customers'!$A:$A, B1032)</f>
        <v>1</v>
      </c>
      <c r="U1032">
        <f>COUNTIF('🚴 Riders'!A1031:A1091, C1032)</f>
        <v>0</v>
      </c>
      <c r="V1032">
        <f>COUNTIF('🏭 Facilities'!A1031:A1039, D1032)</f>
        <v>0</v>
      </c>
    </row>
    <row r="1033" spans="1:22">
      <c r="A1033" s="18" t="s">
        <v>2693</v>
      </c>
      <c r="B1033" s="18" t="s">
        <v>569</v>
      </c>
      <c r="C1033" s="18" t="s">
        <v>326</v>
      </c>
      <c r="D1033" s="18" t="s">
        <v>123</v>
      </c>
      <c r="E1033" s="26">
        <v>44995</v>
      </c>
      <c r="F1033" s="18" t="s">
        <v>2694</v>
      </c>
      <c r="G1033" s="18" t="s">
        <v>117</v>
      </c>
      <c r="H1033" s="18">
        <v>6.1</v>
      </c>
      <c r="I1033" s="18">
        <v>149</v>
      </c>
      <c r="J1033" s="18">
        <v>0</v>
      </c>
      <c r="K1033" s="18">
        <v>908.9</v>
      </c>
      <c r="L1033" s="18" t="s">
        <v>146</v>
      </c>
      <c r="M1033" s="18" t="s">
        <v>119</v>
      </c>
      <c r="N1033" s="28">
        <v>44995.96597222222</v>
      </c>
      <c r="O1033" s="28">
        <v>44996.699305555558</v>
      </c>
      <c r="P1033" s="18">
        <v>3.1</v>
      </c>
      <c r="Q1033" s="18" t="b">
        <f>FALSE()</f>
        <v>0</v>
      </c>
      <c r="R1033" s="18" t="b">
        <f>FALSE()</f>
        <v>0</v>
      </c>
      <c r="S1033" s="19">
        <f t="shared" si="16"/>
        <v>17.600000000000001</v>
      </c>
      <c r="T1033">
        <f>COUNTIF('👤 Customers'!$A:$A, B1033)</f>
        <v>1</v>
      </c>
      <c r="U1033">
        <f>COUNTIF('🚴 Riders'!A1032:A1092, C1033)</f>
        <v>0</v>
      </c>
      <c r="V1033">
        <f>COUNTIF('🏭 Facilities'!A1032:A1040, D1033)</f>
        <v>0</v>
      </c>
    </row>
    <row r="1034" spans="1:22">
      <c r="A1034" s="16" t="s">
        <v>2695</v>
      </c>
      <c r="B1034" s="16" t="s">
        <v>1095</v>
      </c>
      <c r="C1034" s="16" t="s">
        <v>174</v>
      </c>
      <c r="D1034" s="16" t="s">
        <v>158</v>
      </c>
      <c r="E1034" s="25">
        <v>45211</v>
      </c>
      <c r="F1034" s="16" t="s">
        <v>2696</v>
      </c>
      <c r="G1034" s="16" t="s">
        <v>117</v>
      </c>
      <c r="H1034" s="16">
        <v>6.8</v>
      </c>
      <c r="I1034" s="16">
        <v>149</v>
      </c>
      <c r="J1034" s="16">
        <v>10</v>
      </c>
      <c r="K1034" s="16">
        <v>911.88</v>
      </c>
      <c r="L1034" s="16" t="s">
        <v>207</v>
      </c>
      <c r="M1034" s="16" t="s">
        <v>119</v>
      </c>
      <c r="N1034" s="27">
        <v>45211.570833333331</v>
      </c>
      <c r="O1034" s="27">
        <v>45212.280555555553</v>
      </c>
      <c r="P1034" s="16">
        <v>3.1</v>
      </c>
      <c r="Q1034" s="16" t="b">
        <f>FALSE()</f>
        <v>0</v>
      </c>
      <c r="R1034" s="16" t="b">
        <f>FALSE()</f>
        <v>0</v>
      </c>
      <c r="S1034" s="17">
        <f t="shared" si="16"/>
        <v>17</v>
      </c>
      <c r="T1034">
        <f>COUNTIF('👤 Customers'!$A:$A, B1034)</f>
        <v>1</v>
      </c>
      <c r="U1034">
        <f>COUNTIF('🚴 Riders'!A1033:A1093, C1034)</f>
        <v>0</v>
      </c>
      <c r="V1034">
        <f>COUNTIF('🏭 Facilities'!A1033:A1041, D1034)</f>
        <v>0</v>
      </c>
    </row>
    <row r="1035" spans="1:22">
      <c r="A1035" s="18" t="s">
        <v>2697</v>
      </c>
      <c r="B1035" s="18" t="s">
        <v>455</v>
      </c>
      <c r="C1035" s="18" t="s">
        <v>536</v>
      </c>
      <c r="D1035" s="18" t="s">
        <v>137</v>
      </c>
      <c r="E1035" s="26">
        <v>45284</v>
      </c>
      <c r="F1035" s="18" t="s">
        <v>2698</v>
      </c>
      <c r="G1035" s="18" t="s">
        <v>176</v>
      </c>
      <c r="H1035" s="18">
        <v>3.5</v>
      </c>
      <c r="I1035" s="18">
        <v>599</v>
      </c>
      <c r="J1035" s="18">
        <v>30</v>
      </c>
      <c r="K1035" s="18">
        <v>1467.55</v>
      </c>
      <c r="L1035" s="18" t="s">
        <v>126</v>
      </c>
      <c r="M1035" s="18" t="s">
        <v>133</v>
      </c>
      <c r="N1035" s="20"/>
      <c r="O1035" s="20"/>
      <c r="P1035" s="20"/>
      <c r="Q1035" s="18" t="b">
        <f>TRUE()</f>
        <v>1</v>
      </c>
      <c r="R1035" s="18" t="b">
        <f>FALSE()</f>
        <v>0</v>
      </c>
      <c r="S1035" s="19" t="str">
        <f t="shared" si="16"/>
        <v>N/A</v>
      </c>
      <c r="T1035">
        <f>COUNTIF('👤 Customers'!$A:$A, B1035)</f>
        <v>1</v>
      </c>
      <c r="U1035">
        <f>COUNTIF('🚴 Riders'!A1034:A1094, C1035)</f>
        <v>0</v>
      </c>
      <c r="V1035">
        <f>COUNTIF('🏭 Facilities'!A1034:A1042, D1035)</f>
        <v>0</v>
      </c>
    </row>
    <row r="1036" spans="1:22">
      <c r="A1036" s="16" t="s">
        <v>2699</v>
      </c>
      <c r="B1036" s="16" t="s">
        <v>731</v>
      </c>
      <c r="C1036" s="16" t="s">
        <v>343</v>
      </c>
      <c r="D1036" s="16" t="s">
        <v>123</v>
      </c>
      <c r="E1036" s="25">
        <v>45647</v>
      </c>
      <c r="F1036" s="16" t="s">
        <v>2700</v>
      </c>
      <c r="G1036" s="16" t="s">
        <v>125</v>
      </c>
      <c r="H1036" s="16">
        <v>7.1</v>
      </c>
      <c r="I1036" s="16">
        <v>199</v>
      </c>
      <c r="J1036" s="16">
        <v>0</v>
      </c>
      <c r="K1036" s="16">
        <v>1412.9</v>
      </c>
      <c r="L1036" s="16" t="s">
        <v>207</v>
      </c>
      <c r="M1036" s="16" t="s">
        <v>133</v>
      </c>
      <c r="N1036" s="20"/>
      <c r="O1036" s="20"/>
      <c r="P1036" s="20"/>
      <c r="Q1036" s="16" t="b">
        <f>FALSE()</f>
        <v>0</v>
      </c>
      <c r="R1036" s="16" t="b">
        <f>FALSE()</f>
        <v>0</v>
      </c>
      <c r="S1036" s="17" t="str">
        <f t="shared" si="16"/>
        <v>N/A</v>
      </c>
      <c r="T1036">
        <f>COUNTIF('👤 Customers'!$A:$A, B1036)</f>
        <v>1</v>
      </c>
      <c r="U1036">
        <f>COUNTIF('🚴 Riders'!A1035:A1095, C1036)</f>
        <v>0</v>
      </c>
      <c r="V1036">
        <f>COUNTIF('🏭 Facilities'!A1035:A1043, D1036)</f>
        <v>0</v>
      </c>
    </row>
    <row r="1037" spans="1:22">
      <c r="A1037" s="18" t="s">
        <v>2701</v>
      </c>
      <c r="B1037" s="18" t="s">
        <v>1691</v>
      </c>
      <c r="C1037" s="18" t="s">
        <v>257</v>
      </c>
      <c r="D1037" s="18" t="s">
        <v>197</v>
      </c>
      <c r="E1037" s="26">
        <v>45610</v>
      </c>
      <c r="F1037" s="18" t="s">
        <v>2702</v>
      </c>
      <c r="G1037" s="18" t="s">
        <v>132</v>
      </c>
      <c r="H1037" s="18">
        <v>4.5999999999999996</v>
      </c>
      <c r="I1037" s="18">
        <v>399</v>
      </c>
      <c r="J1037" s="18">
        <v>0</v>
      </c>
      <c r="K1037" s="18">
        <v>1835.4</v>
      </c>
      <c r="L1037" s="18" t="s">
        <v>207</v>
      </c>
      <c r="M1037" s="18" t="s">
        <v>119</v>
      </c>
      <c r="N1037" s="28">
        <v>45610.966666666667</v>
      </c>
      <c r="O1037" s="28">
        <v>45611.328472222223</v>
      </c>
      <c r="P1037" s="18">
        <v>4.2</v>
      </c>
      <c r="Q1037" s="18" t="b">
        <f>FALSE()</f>
        <v>0</v>
      </c>
      <c r="R1037" s="18" t="b">
        <f>FALSE()</f>
        <v>0</v>
      </c>
      <c r="S1037" s="19">
        <f t="shared" si="16"/>
        <v>8.6999999999999993</v>
      </c>
      <c r="T1037">
        <f>COUNTIF('👤 Customers'!$A:$A, B1037)</f>
        <v>1</v>
      </c>
      <c r="U1037">
        <f>COUNTIF('🚴 Riders'!A1036:A1096, C1037)</f>
        <v>0</v>
      </c>
      <c r="V1037">
        <f>COUNTIF('🏭 Facilities'!A1036:A1044, D1037)</f>
        <v>0</v>
      </c>
    </row>
    <row r="1038" spans="1:22">
      <c r="A1038" s="16" t="s">
        <v>2703</v>
      </c>
      <c r="B1038" s="16" t="s">
        <v>1173</v>
      </c>
      <c r="C1038" s="16" t="s">
        <v>276</v>
      </c>
      <c r="D1038" s="16" t="s">
        <v>137</v>
      </c>
      <c r="E1038" s="25">
        <v>45059</v>
      </c>
      <c r="F1038" s="16" t="s">
        <v>2704</v>
      </c>
      <c r="G1038" s="16" t="s">
        <v>176</v>
      </c>
      <c r="H1038" s="16">
        <v>5</v>
      </c>
      <c r="I1038" s="16">
        <v>599</v>
      </c>
      <c r="J1038" s="16">
        <v>10</v>
      </c>
      <c r="K1038" s="16">
        <v>2695.5</v>
      </c>
      <c r="L1038" s="16" t="s">
        <v>118</v>
      </c>
      <c r="M1038" s="16" t="s">
        <v>140</v>
      </c>
      <c r="N1038" s="27">
        <v>45059.784722222219</v>
      </c>
      <c r="O1038" s="27">
        <v>45060.301388888889</v>
      </c>
      <c r="P1038" s="20"/>
      <c r="Q1038" s="16" t="b">
        <f>FALSE()</f>
        <v>0</v>
      </c>
      <c r="R1038" s="16" t="b">
        <f>FALSE()</f>
        <v>0</v>
      </c>
      <c r="S1038" s="17">
        <f t="shared" si="16"/>
        <v>12.4</v>
      </c>
      <c r="T1038">
        <f>COUNTIF('👤 Customers'!$A:$A, B1038)</f>
        <v>1</v>
      </c>
      <c r="U1038">
        <f>COUNTIF('🚴 Riders'!A1037:A1097, C1038)</f>
        <v>0</v>
      </c>
      <c r="V1038">
        <f>COUNTIF('🏭 Facilities'!A1037:A1045, D1038)</f>
        <v>0</v>
      </c>
    </row>
    <row r="1039" spans="1:22">
      <c r="A1039" s="18" t="s">
        <v>2705</v>
      </c>
      <c r="B1039" s="18" t="s">
        <v>1900</v>
      </c>
      <c r="C1039" s="18" t="s">
        <v>461</v>
      </c>
      <c r="D1039" s="18" t="s">
        <v>158</v>
      </c>
      <c r="E1039" s="26">
        <v>45261</v>
      </c>
      <c r="F1039" s="18" t="s">
        <v>2706</v>
      </c>
      <c r="G1039" s="18" t="s">
        <v>132</v>
      </c>
      <c r="H1039" s="18">
        <v>1.7</v>
      </c>
      <c r="I1039" s="18">
        <v>399</v>
      </c>
      <c r="J1039" s="18">
        <v>30</v>
      </c>
      <c r="K1039" s="18">
        <v>474.81</v>
      </c>
      <c r="L1039" s="18" t="s">
        <v>207</v>
      </c>
      <c r="M1039" s="18" t="s">
        <v>119</v>
      </c>
      <c r="N1039" s="28">
        <v>45261.713888888888</v>
      </c>
      <c r="O1039" s="28">
        <v>45262.729166666664</v>
      </c>
      <c r="P1039" s="18">
        <v>3.4</v>
      </c>
      <c r="Q1039" s="18" t="b">
        <f>FALSE()</f>
        <v>0</v>
      </c>
      <c r="R1039" s="18" t="b">
        <f>FALSE()</f>
        <v>0</v>
      </c>
      <c r="S1039" s="19">
        <f t="shared" si="16"/>
        <v>24.4</v>
      </c>
      <c r="T1039">
        <f>COUNTIF('👤 Customers'!$A:$A, B1039)</f>
        <v>1</v>
      </c>
      <c r="U1039">
        <f>COUNTIF('🚴 Riders'!A1038:A1098, C1039)</f>
        <v>0</v>
      </c>
      <c r="V1039">
        <f>COUNTIF('🏭 Facilities'!A1038:A1046, D1039)</f>
        <v>0</v>
      </c>
    </row>
    <row r="1040" spans="1:22">
      <c r="A1040" s="16" t="s">
        <v>2707</v>
      </c>
      <c r="B1040" s="16" t="s">
        <v>464</v>
      </c>
      <c r="C1040" s="16" t="s">
        <v>232</v>
      </c>
      <c r="D1040" s="16" t="s">
        <v>184</v>
      </c>
      <c r="E1040" s="25">
        <v>45599</v>
      </c>
      <c r="F1040" s="16" t="s">
        <v>2708</v>
      </c>
      <c r="G1040" s="16" t="s">
        <v>125</v>
      </c>
      <c r="H1040" s="16">
        <v>2.2999999999999998</v>
      </c>
      <c r="I1040" s="16">
        <v>199</v>
      </c>
      <c r="J1040" s="16">
        <v>10</v>
      </c>
      <c r="K1040" s="16">
        <v>411.93</v>
      </c>
      <c r="L1040" s="16" t="s">
        <v>126</v>
      </c>
      <c r="M1040" s="16" t="s">
        <v>140</v>
      </c>
      <c r="N1040" s="27">
        <v>45599.973611111112</v>
      </c>
      <c r="O1040" s="27">
        <v>45600.57708333333</v>
      </c>
      <c r="P1040" s="20"/>
      <c r="Q1040" s="16" t="b">
        <f>FALSE()</f>
        <v>0</v>
      </c>
      <c r="R1040" s="16" t="b">
        <f>FALSE()</f>
        <v>0</v>
      </c>
      <c r="S1040" s="17">
        <f t="shared" si="16"/>
        <v>14.5</v>
      </c>
      <c r="T1040">
        <f>COUNTIF('👤 Customers'!$A:$A, B1040)</f>
        <v>1</v>
      </c>
      <c r="U1040">
        <f>COUNTIF('🚴 Riders'!A1039:A1099, C1040)</f>
        <v>0</v>
      </c>
      <c r="V1040">
        <f>COUNTIF('🏭 Facilities'!A1039:A1047, D1040)</f>
        <v>0</v>
      </c>
    </row>
    <row r="1041" spans="1:22">
      <c r="A1041" s="18" t="s">
        <v>2709</v>
      </c>
      <c r="B1041" s="18" t="s">
        <v>2229</v>
      </c>
      <c r="C1041" s="18" t="s">
        <v>228</v>
      </c>
      <c r="D1041" s="18" t="s">
        <v>205</v>
      </c>
      <c r="E1041" s="26">
        <v>45542</v>
      </c>
      <c r="F1041" s="18" t="s">
        <v>2710</v>
      </c>
      <c r="G1041" s="18" t="s">
        <v>117</v>
      </c>
      <c r="H1041" s="18">
        <v>7</v>
      </c>
      <c r="I1041" s="18">
        <v>149</v>
      </c>
      <c r="J1041" s="18">
        <v>0</v>
      </c>
      <c r="K1041" s="18">
        <v>1043</v>
      </c>
      <c r="L1041" s="18" t="s">
        <v>207</v>
      </c>
      <c r="M1041" s="18" t="s">
        <v>133</v>
      </c>
      <c r="N1041" s="20"/>
      <c r="O1041" s="20"/>
      <c r="P1041" s="20"/>
      <c r="Q1041" s="18" t="b">
        <f>FALSE()</f>
        <v>0</v>
      </c>
      <c r="R1041" s="18" t="b">
        <f>FALSE()</f>
        <v>0</v>
      </c>
      <c r="S1041" s="19" t="str">
        <f t="shared" si="16"/>
        <v>N/A</v>
      </c>
      <c r="T1041">
        <f>COUNTIF('👤 Customers'!$A:$A, B1041)</f>
        <v>1</v>
      </c>
      <c r="U1041">
        <f>COUNTIF('🚴 Riders'!A1040:A1100, C1041)</f>
        <v>0</v>
      </c>
      <c r="V1041">
        <f>COUNTIF('🏭 Facilities'!A1040:A1048, D1041)</f>
        <v>0</v>
      </c>
    </row>
    <row r="1042" spans="1:22">
      <c r="A1042" s="16" t="s">
        <v>2711</v>
      </c>
      <c r="B1042" s="16" t="s">
        <v>947</v>
      </c>
      <c r="C1042" s="16" t="s">
        <v>122</v>
      </c>
      <c r="D1042" s="16" t="s">
        <v>123</v>
      </c>
      <c r="E1042" s="25">
        <v>45065</v>
      </c>
      <c r="F1042" s="16" t="s">
        <v>2712</v>
      </c>
      <c r="G1042" s="16" t="s">
        <v>117</v>
      </c>
      <c r="H1042" s="16">
        <v>3.3</v>
      </c>
      <c r="I1042" s="16">
        <v>149</v>
      </c>
      <c r="J1042" s="16">
        <v>30</v>
      </c>
      <c r="K1042" s="16">
        <v>344.19</v>
      </c>
      <c r="L1042" s="16" t="s">
        <v>126</v>
      </c>
      <c r="M1042" s="16" t="s">
        <v>119</v>
      </c>
      <c r="N1042" s="27">
        <v>45065.719444444447</v>
      </c>
      <c r="O1042" s="27">
        <v>45066.590277777781</v>
      </c>
      <c r="P1042" s="16">
        <v>5</v>
      </c>
      <c r="Q1042" s="16" t="b">
        <f>FALSE()</f>
        <v>0</v>
      </c>
      <c r="R1042" s="16" t="b">
        <f>FALSE()</f>
        <v>0</v>
      </c>
      <c r="S1042" s="17">
        <f t="shared" si="16"/>
        <v>20.9</v>
      </c>
      <c r="T1042">
        <f>COUNTIF('👤 Customers'!$A:$A, B1042)</f>
        <v>1</v>
      </c>
      <c r="U1042">
        <f>COUNTIF('🚴 Riders'!A1041:A1101, C1042)</f>
        <v>0</v>
      </c>
      <c r="V1042">
        <f>COUNTIF('🏭 Facilities'!A1041:A1049, D1042)</f>
        <v>0</v>
      </c>
    </row>
    <row r="1043" spans="1:22">
      <c r="A1043" s="18" t="s">
        <v>2713</v>
      </c>
      <c r="B1043" s="18" t="s">
        <v>908</v>
      </c>
      <c r="C1043" s="18" t="s">
        <v>487</v>
      </c>
      <c r="D1043" s="18" t="s">
        <v>158</v>
      </c>
      <c r="E1043" s="26">
        <v>45094</v>
      </c>
      <c r="F1043" s="18" t="s">
        <v>2714</v>
      </c>
      <c r="G1043" s="18" t="s">
        <v>132</v>
      </c>
      <c r="H1043" s="18">
        <v>7.8</v>
      </c>
      <c r="I1043" s="18">
        <v>399</v>
      </c>
      <c r="J1043" s="18">
        <v>20</v>
      </c>
      <c r="K1043" s="18">
        <v>2489.7600000000002</v>
      </c>
      <c r="L1043" s="18" t="s">
        <v>207</v>
      </c>
      <c r="M1043" s="18" t="s">
        <v>119</v>
      </c>
      <c r="N1043" s="28">
        <v>45095.017361111109</v>
      </c>
      <c r="O1043" s="28">
        <v>45095.52847222222</v>
      </c>
      <c r="P1043" s="18">
        <v>4.5</v>
      </c>
      <c r="Q1043" s="18" t="b">
        <f>FALSE()</f>
        <v>0</v>
      </c>
      <c r="R1043" s="18" t="b">
        <f>TRUE()</f>
        <v>1</v>
      </c>
      <c r="S1043" s="19">
        <f t="shared" si="16"/>
        <v>12.3</v>
      </c>
      <c r="T1043">
        <f>COUNTIF('👤 Customers'!$A:$A, B1043)</f>
        <v>1</v>
      </c>
      <c r="U1043">
        <f>COUNTIF('🚴 Riders'!A1042:A1102, C1043)</f>
        <v>0</v>
      </c>
      <c r="V1043">
        <f>COUNTIF('🏭 Facilities'!A1042:A1050, D1043)</f>
        <v>0</v>
      </c>
    </row>
    <row r="1044" spans="1:22">
      <c r="A1044" s="16" t="s">
        <v>2715</v>
      </c>
      <c r="B1044" s="16" t="s">
        <v>318</v>
      </c>
      <c r="C1044" s="16" t="s">
        <v>300</v>
      </c>
      <c r="D1044" s="16" t="s">
        <v>130</v>
      </c>
      <c r="E1044" s="25">
        <v>45479</v>
      </c>
      <c r="F1044" s="16" t="s">
        <v>2716</v>
      </c>
      <c r="G1044" s="16" t="s">
        <v>176</v>
      </c>
      <c r="H1044" s="16">
        <v>4.2</v>
      </c>
      <c r="I1044" s="16">
        <v>599</v>
      </c>
      <c r="J1044" s="16">
        <v>0</v>
      </c>
      <c r="K1044" s="16">
        <v>2515.8000000000002</v>
      </c>
      <c r="L1044" s="16" t="s">
        <v>139</v>
      </c>
      <c r="M1044" s="16" t="s">
        <v>119</v>
      </c>
      <c r="N1044" s="27">
        <v>45479.587500000001</v>
      </c>
      <c r="O1044" s="27">
        <v>45480.35</v>
      </c>
      <c r="P1044" s="16">
        <v>3</v>
      </c>
      <c r="Q1044" s="16" t="b">
        <f>FALSE()</f>
        <v>0</v>
      </c>
      <c r="R1044" s="16" t="b">
        <f>FALSE()</f>
        <v>0</v>
      </c>
      <c r="S1044" s="17">
        <f t="shared" si="16"/>
        <v>18.3</v>
      </c>
      <c r="T1044">
        <f>COUNTIF('👤 Customers'!$A:$A, B1044)</f>
        <v>1</v>
      </c>
      <c r="U1044">
        <f>COUNTIF('🚴 Riders'!A1043:A1103, C1044)</f>
        <v>0</v>
      </c>
      <c r="V1044">
        <f>COUNTIF('🏭 Facilities'!A1043:A1051, D1044)</f>
        <v>0</v>
      </c>
    </row>
    <row r="1045" spans="1:22">
      <c r="A1045" s="18" t="s">
        <v>2717</v>
      </c>
      <c r="B1045" s="18" t="s">
        <v>219</v>
      </c>
      <c r="C1045" s="18" t="s">
        <v>431</v>
      </c>
      <c r="D1045" s="18" t="s">
        <v>115</v>
      </c>
      <c r="E1045" s="26">
        <v>45102</v>
      </c>
      <c r="F1045" s="18" t="s">
        <v>2718</v>
      </c>
      <c r="G1045" s="18" t="s">
        <v>125</v>
      </c>
      <c r="H1045" s="18">
        <v>7.2</v>
      </c>
      <c r="I1045" s="18">
        <v>199</v>
      </c>
      <c r="J1045" s="18">
        <v>20</v>
      </c>
      <c r="K1045" s="18">
        <v>1146.24</v>
      </c>
      <c r="L1045" s="18" t="s">
        <v>118</v>
      </c>
      <c r="M1045" s="18" t="s">
        <v>140</v>
      </c>
      <c r="N1045" s="28">
        <v>45102.352083333331</v>
      </c>
      <c r="O1045" s="28">
        <v>45102.768750000003</v>
      </c>
      <c r="P1045" s="20"/>
      <c r="Q1045" s="18" t="b">
        <f>FALSE()</f>
        <v>0</v>
      </c>
      <c r="R1045" s="18" t="b">
        <f>TRUE()</f>
        <v>1</v>
      </c>
      <c r="S1045" s="19">
        <f t="shared" si="16"/>
        <v>10</v>
      </c>
      <c r="T1045">
        <f>COUNTIF('👤 Customers'!$A:$A, B1045)</f>
        <v>1</v>
      </c>
      <c r="U1045">
        <f>COUNTIF('🚴 Riders'!A1044:A1104, C1045)</f>
        <v>0</v>
      </c>
      <c r="V1045">
        <f>COUNTIF('🏭 Facilities'!A1044:A1052, D1045)</f>
        <v>0</v>
      </c>
    </row>
    <row r="1046" spans="1:22">
      <c r="A1046" s="16" t="s">
        <v>2719</v>
      </c>
      <c r="B1046" s="16" t="s">
        <v>740</v>
      </c>
      <c r="C1046" s="16" t="s">
        <v>308</v>
      </c>
      <c r="D1046" s="16" t="s">
        <v>184</v>
      </c>
      <c r="E1046" s="25">
        <v>45315</v>
      </c>
      <c r="F1046" s="16" t="s">
        <v>2720</v>
      </c>
      <c r="G1046" s="16" t="s">
        <v>145</v>
      </c>
      <c r="H1046" s="16">
        <v>6.5</v>
      </c>
      <c r="I1046" s="16">
        <v>299</v>
      </c>
      <c r="J1046" s="16">
        <v>10</v>
      </c>
      <c r="K1046" s="16">
        <v>1749.15</v>
      </c>
      <c r="L1046" s="16" t="s">
        <v>146</v>
      </c>
      <c r="M1046" s="16" t="s">
        <v>133</v>
      </c>
      <c r="N1046" s="20"/>
      <c r="O1046" s="20"/>
      <c r="P1046" s="20"/>
      <c r="Q1046" s="16" t="b">
        <f>TRUE()</f>
        <v>1</v>
      </c>
      <c r="R1046" s="16" t="b">
        <f>FALSE()</f>
        <v>0</v>
      </c>
      <c r="S1046" s="17" t="str">
        <f t="shared" si="16"/>
        <v>N/A</v>
      </c>
      <c r="T1046">
        <f>COUNTIF('👤 Customers'!$A:$A, B1046)</f>
        <v>1</v>
      </c>
      <c r="U1046">
        <f>COUNTIF('🚴 Riders'!A1045:A1105, C1046)</f>
        <v>0</v>
      </c>
      <c r="V1046">
        <f>COUNTIF('🏭 Facilities'!A1045:A1053, D1046)</f>
        <v>0</v>
      </c>
    </row>
    <row r="1047" spans="1:22">
      <c r="A1047" s="18" t="s">
        <v>2721</v>
      </c>
      <c r="B1047" s="18" t="s">
        <v>2722</v>
      </c>
      <c r="C1047" s="18" t="s">
        <v>236</v>
      </c>
      <c r="D1047" s="18" t="s">
        <v>123</v>
      </c>
      <c r="E1047" s="26">
        <v>45014</v>
      </c>
      <c r="F1047" s="18" t="s">
        <v>2723</v>
      </c>
      <c r="G1047" s="18" t="s">
        <v>176</v>
      </c>
      <c r="H1047" s="18">
        <v>1.9</v>
      </c>
      <c r="I1047" s="18">
        <v>599</v>
      </c>
      <c r="J1047" s="18">
        <v>0</v>
      </c>
      <c r="K1047" s="18">
        <v>1138.0999999999999</v>
      </c>
      <c r="L1047" s="18" t="s">
        <v>118</v>
      </c>
      <c r="M1047" s="18" t="s">
        <v>119</v>
      </c>
      <c r="N1047" s="28">
        <v>45014.060416666667</v>
      </c>
      <c r="O1047" s="28">
        <v>45014.674305555556</v>
      </c>
      <c r="P1047" s="18">
        <v>4.5999999999999996</v>
      </c>
      <c r="Q1047" s="18" t="b">
        <f>FALSE()</f>
        <v>0</v>
      </c>
      <c r="R1047" s="18" t="b">
        <f>FALSE()</f>
        <v>0</v>
      </c>
      <c r="S1047" s="19">
        <f t="shared" si="16"/>
        <v>14.7</v>
      </c>
      <c r="T1047">
        <f>COUNTIF('👤 Customers'!$A:$A, B1047)</f>
        <v>1</v>
      </c>
      <c r="U1047">
        <f>COUNTIF('🚴 Riders'!A1046:A1106, C1047)</f>
        <v>0</v>
      </c>
      <c r="V1047">
        <f>COUNTIF('🏭 Facilities'!A1046:A1054, D1047)</f>
        <v>0</v>
      </c>
    </row>
    <row r="1048" spans="1:22">
      <c r="A1048" s="16" t="s">
        <v>2724</v>
      </c>
      <c r="B1048" s="16" t="s">
        <v>1423</v>
      </c>
      <c r="C1048" s="16" t="s">
        <v>479</v>
      </c>
      <c r="D1048" s="16" t="s">
        <v>184</v>
      </c>
      <c r="E1048" s="25">
        <v>45632</v>
      </c>
      <c r="F1048" s="16" t="s">
        <v>2725</v>
      </c>
      <c r="G1048" s="16" t="s">
        <v>145</v>
      </c>
      <c r="H1048" s="16">
        <v>7.4</v>
      </c>
      <c r="I1048" s="16">
        <v>299</v>
      </c>
      <c r="J1048" s="16">
        <v>20</v>
      </c>
      <c r="K1048" s="16">
        <v>1770.08</v>
      </c>
      <c r="L1048" s="16" t="s">
        <v>126</v>
      </c>
      <c r="M1048" s="16" t="s">
        <v>140</v>
      </c>
      <c r="N1048" s="27">
        <v>45632.267361111109</v>
      </c>
      <c r="O1048" s="27">
        <v>45632.900694444441</v>
      </c>
      <c r="P1048" s="20"/>
      <c r="Q1048" s="16" t="b">
        <f>FALSE()</f>
        <v>0</v>
      </c>
      <c r="R1048" s="16" t="b">
        <f>TRUE()</f>
        <v>1</v>
      </c>
      <c r="S1048" s="17">
        <f t="shared" si="16"/>
        <v>15.2</v>
      </c>
      <c r="T1048">
        <f>COUNTIF('👤 Customers'!$A:$A, B1048)</f>
        <v>1</v>
      </c>
      <c r="U1048">
        <f>COUNTIF('🚴 Riders'!A1047:A1107, C1048)</f>
        <v>0</v>
      </c>
      <c r="V1048">
        <f>COUNTIF('🏭 Facilities'!A1047:A1055, D1048)</f>
        <v>0</v>
      </c>
    </row>
    <row r="1049" spans="1:22">
      <c r="A1049" s="18" t="s">
        <v>2726</v>
      </c>
      <c r="B1049" s="18" t="s">
        <v>2727</v>
      </c>
      <c r="C1049" s="18" t="s">
        <v>162</v>
      </c>
      <c r="D1049" s="18" t="s">
        <v>184</v>
      </c>
      <c r="E1049" s="26">
        <v>45022</v>
      </c>
      <c r="F1049" s="18" t="s">
        <v>2728</v>
      </c>
      <c r="G1049" s="18" t="s">
        <v>176</v>
      </c>
      <c r="H1049" s="18">
        <v>5.5</v>
      </c>
      <c r="I1049" s="18">
        <v>599</v>
      </c>
      <c r="J1049" s="18">
        <v>0</v>
      </c>
      <c r="K1049" s="18">
        <v>3294.5</v>
      </c>
      <c r="L1049" s="18" t="s">
        <v>146</v>
      </c>
      <c r="M1049" s="18" t="s">
        <v>119</v>
      </c>
      <c r="N1049" s="28">
        <v>45022.770833333336</v>
      </c>
      <c r="O1049" s="28">
        <v>45023.265277777777</v>
      </c>
      <c r="P1049" s="18">
        <v>2.8</v>
      </c>
      <c r="Q1049" s="18" t="b">
        <f>FALSE()</f>
        <v>0</v>
      </c>
      <c r="R1049" s="18" t="b">
        <f>TRUE()</f>
        <v>1</v>
      </c>
      <c r="S1049" s="19">
        <f t="shared" si="16"/>
        <v>11.9</v>
      </c>
      <c r="T1049">
        <f>COUNTIF('👤 Customers'!$A:$A, B1049)</f>
        <v>1</v>
      </c>
      <c r="U1049">
        <f>COUNTIF('🚴 Riders'!A1048:A1108, C1049)</f>
        <v>0</v>
      </c>
      <c r="V1049">
        <f>COUNTIF('🏭 Facilities'!A1048:A1056, D1049)</f>
        <v>0</v>
      </c>
    </row>
    <row r="1050" spans="1:22">
      <c r="A1050" s="16" t="s">
        <v>2729</v>
      </c>
      <c r="B1050" s="16" t="s">
        <v>2375</v>
      </c>
      <c r="C1050" s="16" t="s">
        <v>276</v>
      </c>
      <c r="D1050" s="16" t="s">
        <v>197</v>
      </c>
      <c r="E1050" s="25">
        <v>45559</v>
      </c>
      <c r="F1050" s="16" t="s">
        <v>2730</v>
      </c>
      <c r="G1050" s="16" t="s">
        <v>132</v>
      </c>
      <c r="H1050" s="16">
        <v>7.6</v>
      </c>
      <c r="I1050" s="16">
        <v>399</v>
      </c>
      <c r="J1050" s="16">
        <v>10</v>
      </c>
      <c r="K1050" s="16">
        <v>2729.16</v>
      </c>
      <c r="L1050" s="16" t="s">
        <v>126</v>
      </c>
      <c r="M1050" s="16" t="s">
        <v>133</v>
      </c>
      <c r="N1050" s="20"/>
      <c r="O1050" s="20"/>
      <c r="P1050" s="20"/>
      <c r="Q1050" s="16" t="b">
        <f>FALSE()</f>
        <v>0</v>
      </c>
      <c r="R1050" s="16" t="b">
        <f>TRUE()</f>
        <v>1</v>
      </c>
      <c r="S1050" s="17" t="str">
        <f t="shared" si="16"/>
        <v>N/A</v>
      </c>
      <c r="T1050">
        <f>COUNTIF('👤 Customers'!$A:$A, B1050)</f>
        <v>1</v>
      </c>
      <c r="U1050">
        <f>COUNTIF('🚴 Riders'!A1049:A1109, C1050)</f>
        <v>0</v>
      </c>
      <c r="V1050">
        <f>COUNTIF('🏭 Facilities'!A1049:A1057, D1050)</f>
        <v>0</v>
      </c>
    </row>
    <row r="1051" spans="1:22">
      <c r="A1051" s="18" t="s">
        <v>2731</v>
      </c>
      <c r="B1051" s="18" t="s">
        <v>460</v>
      </c>
      <c r="C1051" s="18" t="s">
        <v>162</v>
      </c>
      <c r="D1051" s="18" t="s">
        <v>130</v>
      </c>
      <c r="E1051" s="26">
        <v>45506</v>
      </c>
      <c r="F1051" s="18" t="s">
        <v>2732</v>
      </c>
      <c r="G1051" s="18" t="s">
        <v>117</v>
      </c>
      <c r="H1051" s="18">
        <v>1.9</v>
      </c>
      <c r="I1051" s="18">
        <v>149</v>
      </c>
      <c r="J1051" s="18">
        <v>0</v>
      </c>
      <c r="K1051" s="18">
        <v>283.10000000000002</v>
      </c>
      <c r="L1051" s="18" t="s">
        <v>139</v>
      </c>
      <c r="M1051" s="18" t="s">
        <v>140</v>
      </c>
      <c r="N1051" s="28">
        <v>45506.474305555559</v>
      </c>
      <c r="O1051" s="28">
        <v>45507.043055555558</v>
      </c>
      <c r="P1051" s="20"/>
      <c r="Q1051" s="18" t="b">
        <f>FALSE()</f>
        <v>0</v>
      </c>
      <c r="R1051" s="18" t="b">
        <f>FALSE()</f>
        <v>0</v>
      </c>
      <c r="S1051" s="19">
        <f t="shared" si="16"/>
        <v>13.6</v>
      </c>
      <c r="T1051">
        <f>COUNTIF('👤 Customers'!$A:$A, B1051)</f>
        <v>1</v>
      </c>
      <c r="U1051">
        <f>COUNTIF('🚴 Riders'!A1050:A1110, C1051)</f>
        <v>0</v>
      </c>
      <c r="V1051">
        <f>COUNTIF('🏭 Facilities'!A1050:A1058, D1051)</f>
        <v>0</v>
      </c>
    </row>
    <row r="1052" spans="1:22">
      <c r="A1052" s="16" t="s">
        <v>2733</v>
      </c>
      <c r="B1052" s="16" t="s">
        <v>1011</v>
      </c>
      <c r="C1052" s="16" t="s">
        <v>232</v>
      </c>
      <c r="D1052" s="16" t="s">
        <v>184</v>
      </c>
      <c r="E1052" s="25">
        <v>45541</v>
      </c>
      <c r="F1052" s="16" t="s">
        <v>2734</v>
      </c>
      <c r="G1052" s="16" t="s">
        <v>125</v>
      </c>
      <c r="H1052" s="16">
        <v>4.5999999999999996</v>
      </c>
      <c r="I1052" s="16">
        <v>199</v>
      </c>
      <c r="J1052" s="16">
        <v>0</v>
      </c>
      <c r="K1052" s="16">
        <v>915.4</v>
      </c>
      <c r="L1052" s="16" t="s">
        <v>146</v>
      </c>
      <c r="M1052" s="16" t="s">
        <v>140</v>
      </c>
      <c r="N1052" s="27">
        <v>45541.21875</v>
      </c>
      <c r="O1052" s="27">
        <v>45542.097222222219</v>
      </c>
      <c r="P1052" s="20"/>
      <c r="Q1052" s="16" t="b">
        <f>FALSE()</f>
        <v>0</v>
      </c>
      <c r="R1052" s="16" t="b">
        <f>FALSE()</f>
        <v>0</v>
      </c>
      <c r="S1052" s="17">
        <f t="shared" si="16"/>
        <v>21.1</v>
      </c>
      <c r="T1052">
        <f>COUNTIF('👤 Customers'!$A:$A, B1052)</f>
        <v>1</v>
      </c>
      <c r="U1052">
        <f>COUNTIF('🚴 Riders'!A1051:A1111, C1052)</f>
        <v>0</v>
      </c>
      <c r="V1052">
        <f>COUNTIF('🏭 Facilities'!A1051:A1059, D1052)</f>
        <v>0</v>
      </c>
    </row>
    <row r="1053" spans="1:22">
      <c r="A1053" s="18" t="s">
        <v>2735</v>
      </c>
      <c r="B1053" s="18" t="s">
        <v>2736</v>
      </c>
      <c r="C1053" s="18" t="s">
        <v>149</v>
      </c>
      <c r="D1053" s="18" t="s">
        <v>130</v>
      </c>
      <c r="E1053" s="26">
        <v>45236</v>
      </c>
      <c r="F1053" s="18" t="s">
        <v>2737</v>
      </c>
      <c r="G1053" s="18" t="s">
        <v>176</v>
      </c>
      <c r="H1053" s="18">
        <v>1.6</v>
      </c>
      <c r="I1053" s="18">
        <v>599</v>
      </c>
      <c r="J1053" s="18">
        <v>20</v>
      </c>
      <c r="K1053" s="18">
        <v>766.72</v>
      </c>
      <c r="L1053" s="18" t="s">
        <v>126</v>
      </c>
      <c r="M1053" s="18" t="s">
        <v>119</v>
      </c>
      <c r="N1053" s="28">
        <v>45236.080555555556</v>
      </c>
      <c r="O1053" s="28">
        <v>45236.892361111109</v>
      </c>
      <c r="P1053" s="18">
        <v>4.9000000000000004</v>
      </c>
      <c r="Q1053" s="18" t="b">
        <f>FALSE()</f>
        <v>0</v>
      </c>
      <c r="R1053" s="18" t="b">
        <f>FALSE()</f>
        <v>0</v>
      </c>
      <c r="S1053" s="19">
        <f t="shared" si="16"/>
        <v>19.5</v>
      </c>
      <c r="T1053">
        <f>COUNTIF('👤 Customers'!$A:$A, B1053)</f>
        <v>1</v>
      </c>
      <c r="U1053">
        <f>COUNTIF('🚴 Riders'!A1052:A1112, C1053)</f>
        <v>0</v>
      </c>
      <c r="V1053">
        <f>COUNTIF('🏭 Facilities'!A1052:A1060, D1053)</f>
        <v>0</v>
      </c>
    </row>
    <row r="1054" spans="1:22">
      <c r="A1054" s="16" t="s">
        <v>2738</v>
      </c>
      <c r="B1054" s="16" t="s">
        <v>450</v>
      </c>
      <c r="C1054" s="16" t="s">
        <v>236</v>
      </c>
      <c r="D1054" s="16" t="s">
        <v>158</v>
      </c>
      <c r="E1054" s="25">
        <v>45191</v>
      </c>
      <c r="F1054" s="16" t="s">
        <v>2739</v>
      </c>
      <c r="G1054" s="16" t="s">
        <v>117</v>
      </c>
      <c r="H1054" s="16">
        <v>1.4</v>
      </c>
      <c r="I1054" s="16">
        <v>149</v>
      </c>
      <c r="J1054" s="16">
        <v>0</v>
      </c>
      <c r="K1054" s="16">
        <v>208.6</v>
      </c>
      <c r="L1054" s="16" t="s">
        <v>146</v>
      </c>
      <c r="M1054" s="16" t="s">
        <v>133</v>
      </c>
      <c r="N1054" s="20"/>
      <c r="O1054" s="20"/>
      <c r="P1054" s="20"/>
      <c r="Q1054" s="16" t="b">
        <f>FALSE()</f>
        <v>0</v>
      </c>
      <c r="R1054" s="16" t="b">
        <f>TRUE()</f>
        <v>1</v>
      </c>
      <c r="S1054" s="17" t="str">
        <f t="shared" si="16"/>
        <v>N/A</v>
      </c>
      <c r="T1054">
        <f>COUNTIF('👤 Customers'!$A:$A, B1054)</f>
        <v>1</v>
      </c>
      <c r="U1054">
        <f>COUNTIF('🚴 Riders'!A1053:A1113, C1054)</f>
        <v>0</v>
      </c>
      <c r="V1054">
        <f>COUNTIF('🏭 Facilities'!A1053:A1061, D1054)</f>
        <v>0</v>
      </c>
    </row>
    <row r="1055" spans="1:22">
      <c r="A1055" s="18" t="s">
        <v>2740</v>
      </c>
      <c r="B1055" s="18" t="s">
        <v>2741</v>
      </c>
      <c r="C1055" s="18" t="s">
        <v>750</v>
      </c>
      <c r="D1055" s="18" t="s">
        <v>115</v>
      </c>
      <c r="E1055" s="26">
        <v>45090</v>
      </c>
      <c r="F1055" s="18" t="s">
        <v>2742</v>
      </c>
      <c r="G1055" s="18" t="s">
        <v>176</v>
      </c>
      <c r="H1055" s="18">
        <v>6.8</v>
      </c>
      <c r="I1055" s="18">
        <v>599</v>
      </c>
      <c r="J1055" s="18">
        <v>0</v>
      </c>
      <c r="K1055" s="18">
        <v>4073.2</v>
      </c>
      <c r="L1055" s="18" t="s">
        <v>207</v>
      </c>
      <c r="M1055" s="18" t="s">
        <v>119</v>
      </c>
      <c r="N1055" s="28">
        <v>45090.815972222219</v>
      </c>
      <c r="O1055" s="28">
        <v>45091.381944444445</v>
      </c>
      <c r="P1055" s="18">
        <v>3.4</v>
      </c>
      <c r="Q1055" s="18" t="b">
        <f>FALSE()</f>
        <v>0</v>
      </c>
      <c r="R1055" s="18" t="b">
        <f>FALSE()</f>
        <v>0</v>
      </c>
      <c r="S1055" s="19">
        <f t="shared" si="16"/>
        <v>13.6</v>
      </c>
      <c r="T1055">
        <f>COUNTIF('👤 Customers'!$A:$A, B1055)</f>
        <v>1</v>
      </c>
      <c r="U1055">
        <f>COUNTIF('🚴 Riders'!A1054:A1114, C1055)</f>
        <v>0</v>
      </c>
      <c r="V1055">
        <f>COUNTIF('🏭 Facilities'!A1054:A1062, D1055)</f>
        <v>0</v>
      </c>
    </row>
    <row r="1056" spans="1:22">
      <c r="A1056" s="16" t="s">
        <v>2743</v>
      </c>
      <c r="B1056" s="16" t="s">
        <v>583</v>
      </c>
      <c r="C1056" s="16" t="s">
        <v>487</v>
      </c>
      <c r="D1056" s="16" t="s">
        <v>184</v>
      </c>
      <c r="E1056" s="25">
        <v>45635</v>
      </c>
      <c r="F1056" s="16" t="s">
        <v>2744</v>
      </c>
      <c r="G1056" s="16" t="s">
        <v>176</v>
      </c>
      <c r="H1056" s="16">
        <v>6.2</v>
      </c>
      <c r="I1056" s="16">
        <v>599</v>
      </c>
      <c r="J1056" s="16">
        <v>0</v>
      </c>
      <c r="K1056" s="16">
        <v>3713.8</v>
      </c>
      <c r="L1056" s="16" t="s">
        <v>126</v>
      </c>
      <c r="M1056" s="16" t="s">
        <v>119</v>
      </c>
      <c r="N1056" s="27">
        <v>45635.961111111108</v>
      </c>
      <c r="O1056" s="27">
        <v>45636.459027777775</v>
      </c>
      <c r="P1056" s="16">
        <v>4.2</v>
      </c>
      <c r="Q1056" s="16" t="b">
        <f>FALSE()</f>
        <v>0</v>
      </c>
      <c r="R1056" s="16" t="b">
        <f>FALSE()</f>
        <v>0</v>
      </c>
      <c r="S1056" s="17">
        <f t="shared" si="16"/>
        <v>12</v>
      </c>
      <c r="T1056">
        <f>COUNTIF('👤 Customers'!$A:$A, B1056)</f>
        <v>1</v>
      </c>
      <c r="U1056">
        <f>COUNTIF('🚴 Riders'!A1055:A1115, C1056)</f>
        <v>0</v>
      </c>
      <c r="V1056">
        <f>COUNTIF('🏭 Facilities'!A1055:A1063, D1056)</f>
        <v>0</v>
      </c>
    </row>
    <row r="1057" spans="1:22">
      <c r="A1057" s="18" t="s">
        <v>2745</v>
      </c>
      <c r="B1057" s="18" t="s">
        <v>1331</v>
      </c>
      <c r="C1057" s="18" t="s">
        <v>611</v>
      </c>
      <c r="D1057" s="18" t="s">
        <v>184</v>
      </c>
      <c r="E1057" s="26">
        <v>45397</v>
      </c>
      <c r="F1057" s="18" t="s">
        <v>214</v>
      </c>
      <c r="G1057" s="18" t="s">
        <v>125</v>
      </c>
      <c r="H1057" s="18">
        <v>4.5999999999999996</v>
      </c>
      <c r="I1057" s="18">
        <v>199</v>
      </c>
      <c r="J1057" s="18">
        <v>30</v>
      </c>
      <c r="K1057" s="18">
        <v>640.78</v>
      </c>
      <c r="L1057" s="18" t="s">
        <v>139</v>
      </c>
      <c r="M1057" s="18" t="s">
        <v>133</v>
      </c>
      <c r="N1057" s="20"/>
      <c r="O1057" s="20"/>
      <c r="P1057" s="20"/>
      <c r="Q1057" s="18" t="b">
        <f>FALSE()</f>
        <v>0</v>
      </c>
      <c r="R1057" s="18" t="b">
        <f>FALSE()</f>
        <v>0</v>
      </c>
      <c r="S1057" s="19" t="str">
        <f t="shared" si="16"/>
        <v>N/A</v>
      </c>
      <c r="T1057">
        <f>COUNTIF('👤 Customers'!$A:$A, B1057)</f>
        <v>1</v>
      </c>
      <c r="U1057">
        <f>COUNTIF('🚴 Riders'!A1056:A1116, C1057)</f>
        <v>0</v>
      </c>
      <c r="V1057">
        <f>COUNTIF('🏭 Facilities'!A1056:A1064, D1057)</f>
        <v>0</v>
      </c>
    </row>
    <row r="1058" spans="1:22">
      <c r="A1058" s="16" t="s">
        <v>2746</v>
      </c>
      <c r="B1058" s="16" t="s">
        <v>791</v>
      </c>
      <c r="C1058" s="16" t="s">
        <v>188</v>
      </c>
      <c r="D1058" s="16" t="s">
        <v>123</v>
      </c>
      <c r="E1058" s="25">
        <v>45055</v>
      </c>
      <c r="F1058" s="16" t="s">
        <v>2747</v>
      </c>
      <c r="G1058" s="16" t="s">
        <v>145</v>
      </c>
      <c r="H1058" s="16">
        <v>6.3</v>
      </c>
      <c r="I1058" s="16">
        <v>299</v>
      </c>
      <c r="J1058" s="16">
        <v>10</v>
      </c>
      <c r="K1058" s="16">
        <v>1695.33</v>
      </c>
      <c r="L1058" s="16" t="s">
        <v>146</v>
      </c>
      <c r="M1058" s="16" t="s">
        <v>133</v>
      </c>
      <c r="N1058" s="20"/>
      <c r="O1058" s="20"/>
      <c r="P1058" s="20"/>
      <c r="Q1058" s="16" t="b">
        <f>FALSE()</f>
        <v>0</v>
      </c>
      <c r="R1058" s="16" t="b">
        <f>FALSE()</f>
        <v>0</v>
      </c>
      <c r="S1058" s="17" t="str">
        <f t="shared" si="16"/>
        <v>N/A</v>
      </c>
      <c r="T1058">
        <f>COUNTIF('👤 Customers'!$A:$A, B1058)</f>
        <v>1</v>
      </c>
      <c r="U1058">
        <f>COUNTIF('🚴 Riders'!A1057:A1117, C1058)</f>
        <v>0</v>
      </c>
      <c r="V1058">
        <f>COUNTIF('🏭 Facilities'!A1057:A1065, D1058)</f>
        <v>0</v>
      </c>
    </row>
    <row r="1059" spans="1:22">
      <c r="A1059" s="18" t="s">
        <v>2748</v>
      </c>
      <c r="B1059" s="18" t="s">
        <v>1434</v>
      </c>
      <c r="C1059" s="18" t="s">
        <v>483</v>
      </c>
      <c r="D1059" s="18" t="s">
        <v>130</v>
      </c>
      <c r="E1059" s="26">
        <v>45506</v>
      </c>
      <c r="F1059" s="18" t="s">
        <v>2749</v>
      </c>
      <c r="G1059" s="18" t="s">
        <v>145</v>
      </c>
      <c r="H1059" s="18">
        <v>1.6</v>
      </c>
      <c r="I1059" s="18">
        <v>299</v>
      </c>
      <c r="J1059" s="18">
        <v>0</v>
      </c>
      <c r="K1059" s="18">
        <v>478.4</v>
      </c>
      <c r="L1059" s="18" t="s">
        <v>207</v>
      </c>
      <c r="M1059" s="18" t="s">
        <v>119</v>
      </c>
      <c r="N1059" s="28">
        <v>45506.548611111109</v>
      </c>
      <c r="O1059" s="28">
        <v>45507.147222222222</v>
      </c>
      <c r="P1059" s="18">
        <v>3.3</v>
      </c>
      <c r="Q1059" s="18" t="b">
        <f>TRUE()</f>
        <v>1</v>
      </c>
      <c r="R1059" s="18" t="b">
        <f>TRUE()</f>
        <v>1</v>
      </c>
      <c r="S1059" s="19">
        <f t="shared" si="16"/>
        <v>14.4</v>
      </c>
      <c r="T1059">
        <f>COUNTIF('👤 Customers'!$A:$A, B1059)</f>
        <v>1</v>
      </c>
      <c r="U1059">
        <f>COUNTIF('🚴 Riders'!A1058:A1118, C1059)</f>
        <v>0</v>
      </c>
      <c r="V1059">
        <f>COUNTIF('🏭 Facilities'!A1058:A1066, D1059)</f>
        <v>0</v>
      </c>
    </row>
    <row r="1060" spans="1:22">
      <c r="A1060" s="16" t="s">
        <v>2750</v>
      </c>
      <c r="B1060" s="16" t="s">
        <v>586</v>
      </c>
      <c r="C1060" s="16" t="s">
        <v>204</v>
      </c>
      <c r="D1060" s="16" t="s">
        <v>130</v>
      </c>
      <c r="E1060" s="25">
        <v>45315</v>
      </c>
      <c r="F1060" s="16" t="s">
        <v>2751</v>
      </c>
      <c r="G1060" s="16" t="s">
        <v>117</v>
      </c>
      <c r="H1060" s="16">
        <v>5</v>
      </c>
      <c r="I1060" s="16">
        <v>149</v>
      </c>
      <c r="J1060" s="16">
        <v>10</v>
      </c>
      <c r="K1060" s="16">
        <v>670.5</v>
      </c>
      <c r="L1060" s="16" t="s">
        <v>118</v>
      </c>
      <c r="M1060" s="16" t="s">
        <v>119</v>
      </c>
      <c r="N1060" s="27">
        <v>45315.861805555556</v>
      </c>
      <c r="O1060" s="27">
        <v>45316.829861111109</v>
      </c>
      <c r="P1060" s="16">
        <v>4.5</v>
      </c>
      <c r="Q1060" s="16" t="b">
        <f>FALSE()</f>
        <v>0</v>
      </c>
      <c r="R1060" s="16" t="b">
        <f>FALSE()</f>
        <v>0</v>
      </c>
      <c r="S1060" s="17">
        <f t="shared" si="16"/>
        <v>23.2</v>
      </c>
      <c r="T1060">
        <f>COUNTIF('👤 Customers'!$A:$A, B1060)</f>
        <v>1</v>
      </c>
      <c r="U1060">
        <f>COUNTIF('🚴 Riders'!A1059:A1119, C1060)</f>
        <v>0</v>
      </c>
      <c r="V1060">
        <f>COUNTIF('🏭 Facilities'!A1059:A1067, D1060)</f>
        <v>0</v>
      </c>
    </row>
    <row r="1061" spans="1:22">
      <c r="A1061" s="18" t="s">
        <v>2752</v>
      </c>
      <c r="B1061" s="18" t="s">
        <v>361</v>
      </c>
      <c r="C1061" s="18" t="s">
        <v>461</v>
      </c>
      <c r="D1061" s="18" t="s">
        <v>197</v>
      </c>
      <c r="E1061" s="26">
        <v>45365</v>
      </c>
      <c r="F1061" s="18" t="s">
        <v>2753</v>
      </c>
      <c r="G1061" s="18" t="s">
        <v>176</v>
      </c>
      <c r="H1061" s="18">
        <v>7.7</v>
      </c>
      <c r="I1061" s="18">
        <v>599</v>
      </c>
      <c r="J1061" s="18">
        <v>0</v>
      </c>
      <c r="K1061" s="18">
        <v>4612.3</v>
      </c>
      <c r="L1061" s="18" t="s">
        <v>139</v>
      </c>
      <c r="M1061" s="18" t="s">
        <v>133</v>
      </c>
      <c r="N1061" s="20"/>
      <c r="O1061" s="20"/>
      <c r="P1061" s="20"/>
      <c r="Q1061" s="18" t="b">
        <f>FALSE()</f>
        <v>0</v>
      </c>
      <c r="R1061" s="18" t="b">
        <f>FALSE()</f>
        <v>0</v>
      </c>
      <c r="S1061" s="19" t="str">
        <f t="shared" si="16"/>
        <v>N/A</v>
      </c>
      <c r="T1061">
        <f>COUNTIF('👤 Customers'!$A:$A, B1061)</f>
        <v>1</v>
      </c>
      <c r="U1061">
        <f>COUNTIF('🚴 Riders'!A1060:A1120, C1061)</f>
        <v>0</v>
      </c>
      <c r="V1061">
        <f>COUNTIF('🏭 Facilities'!A1060:A1068, D1061)</f>
        <v>0</v>
      </c>
    </row>
    <row r="1062" spans="1:22">
      <c r="A1062" s="16" t="s">
        <v>2754</v>
      </c>
      <c r="B1062" s="16" t="s">
        <v>1058</v>
      </c>
      <c r="C1062" s="16" t="s">
        <v>114</v>
      </c>
      <c r="D1062" s="16" t="s">
        <v>205</v>
      </c>
      <c r="E1062" s="25">
        <v>44950</v>
      </c>
      <c r="F1062" s="16" t="s">
        <v>2755</v>
      </c>
      <c r="G1062" s="16" t="s">
        <v>145</v>
      </c>
      <c r="H1062" s="16">
        <v>2.2000000000000002</v>
      </c>
      <c r="I1062" s="16">
        <v>299</v>
      </c>
      <c r="J1062" s="16">
        <v>0</v>
      </c>
      <c r="K1062" s="16">
        <v>657.8</v>
      </c>
      <c r="L1062" s="16" t="s">
        <v>207</v>
      </c>
      <c r="M1062" s="16" t="s">
        <v>133</v>
      </c>
      <c r="N1062" s="20"/>
      <c r="O1062" s="20"/>
      <c r="P1062" s="20"/>
      <c r="Q1062" s="16" t="b">
        <f>FALSE()</f>
        <v>0</v>
      </c>
      <c r="R1062" s="16" t="b">
        <f>FALSE()</f>
        <v>0</v>
      </c>
      <c r="S1062" s="17" t="str">
        <f t="shared" si="16"/>
        <v>N/A</v>
      </c>
      <c r="T1062">
        <f>COUNTIF('👤 Customers'!$A:$A, B1062)</f>
        <v>1</v>
      </c>
      <c r="U1062">
        <f>COUNTIF('🚴 Riders'!A1061:A1121, C1062)</f>
        <v>0</v>
      </c>
      <c r="V1062">
        <f>COUNTIF('🏭 Facilities'!A1061:A1069, D1062)</f>
        <v>0</v>
      </c>
    </row>
    <row r="1063" spans="1:22">
      <c r="A1063" s="18" t="s">
        <v>2756</v>
      </c>
      <c r="B1063" s="18" t="s">
        <v>165</v>
      </c>
      <c r="C1063" s="18" t="s">
        <v>322</v>
      </c>
      <c r="D1063" s="18" t="s">
        <v>197</v>
      </c>
      <c r="E1063" s="26">
        <v>45437</v>
      </c>
      <c r="F1063" s="18" t="s">
        <v>2757</v>
      </c>
      <c r="G1063" s="18" t="s">
        <v>176</v>
      </c>
      <c r="H1063" s="18">
        <v>6.3</v>
      </c>
      <c r="I1063" s="18">
        <v>599</v>
      </c>
      <c r="J1063" s="18">
        <v>20</v>
      </c>
      <c r="K1063" s="18">
        <v>3018.96</v>
      </c>
      <c r="L1063" s="18" t="s">
        <v>207</v>
      </c>
      <c r="M1063" s="18" t="s">
        <v>119</v>
      </c>
      <c r="N1063" s="28">
        <v>45437.649305555555</v>
      </c>
      <c r="O1063" s="28">
        <v>45438.694444444445</v>
      </c>
      <c r="P1063" s="18">
        <v>4.8</v>
      </c>
      <c r="Q1063" s="18" t="b">
        <f>FALSE()</f>
        <v>0</v>
      </c>
      <c r="R1063" s="18" t="b">
        <f>FALSE()</f>
        <v>0</v>
      </c>
      <c r="S1063" s="19">
        <f t="shared" si="16"/>
        <v>25.1</v>
      </c>
      <c r="T1063">
        <f>COUNTIF('👤 Customers'!$A:$A, B1063)</f>
        <v>1</v>
      </c>
      <c r="U1063">
        <f>COUNTIF('🚴 Riders'!A1062:A1122, C1063)</f>
        <v>0</v>
      </c>
      <c r="V1063">
        <f>COUNTIF('🏭 Facilities'!A1062:A1070, D1063)</f>
        <v>0</v>
      </c>
    </row>
    <row r="1064" spans="1:22">
      <c r="A1064" s="16" t="s">
        <v>2758</v>
      </c>
      <c r="B1064" s="16" t="s">
        <v>2043</v>
      </c>
      <c r="C1064" s="16" t="s">
        <v>322</v>
      </c>
      <c r="D1064" s="16" t="s">
        <v>123</v>
      </c>
      <c r="E1064" s="25">
        <v>44950</v>
      </c>
      <c r="F1064" s="16" t="s">
        <v>2759</v>
      </c>
      <c r="G1064" s="16" t="s">
        <v>176</v>
      </c>
      <c r="H1064" s="16">
        <v>6.6</v>
      </c>
      <c r="I1064" s="16">
        <v>599</v>
      </c>
      <c r="J1064" s="16">
        <v>10</v>
      </c>
      <c r="K1064" s="16">
        <v>3558.06</v>
      </c>
      <c r="L1064" s="16" t="s">
        <v>126</v>
      </c>
      <c r="M1064" s="16" t="s">
        <v>119</v>
      </c>
      <c r="N1064" s="27">
        <v>44950.361805555556</v>
      </c>
      <c r="O1064" s="27">
        <v>44950.978472222225</v>
      </c>
      <c r="P1064" s="16">
        <v>4.5</v>
      </c>
      <c r="Q1064" s="16" t="b">
        <f>FALSE()</f>
        <v>0</v>
      </c>
      <c r="R1064" s="16" t="b">
        <f>FALSE()</f>
        <v>0</v>
      </c>
      <c r="S1064" s="17">
        <f t="shared" si="16"/>
        <v>14.8</v>
      </c>
      <c r="T1064">
        <f>COUNTIF('👤 Customers'!$A:$A, B1064)</f>
        <v>1</v>
      </c>
      <c r="U1064">
        <f>COUNTIF('🚴 Riders'!A1063:A1123, C1064)</f>
        <v>0</v>
      </c>
      <c r="V1064">
        <f>COUNTIF('🏭 Facilities'!A1063:A1071, D1064)</f>
        <v>0</v>
      </c>
    </row>
    <row r="1065" spans="1:22">
      <c r="A1065" s="18" t="s">
        <v>2760</v>
      </c>
      <c r="B1065" s="18" t="s">
        <v>698</v>
      </c>
      <c r="C1065" s="18" t="s">
        <v>479</v>
      </c>
      <c r="D1065" s="18" t="s">
        <v>137</v>
      </c>
      <c r="E1065" s="26">
        <v>45243</v>
      </c>
      <c r="F1065" s="18" t="s">
        <v>2761</v>
      </c>
      <c r="G1065" s="18" t="s">
        <v>125</v>
      </c>
      <c r="H1065" s="18">
        <v>7.5</v>
      </c>
      <c r="I1065" s="18">
        <v>199</v>
      </c>
      <c r="J1065" s="18">
        <v>0</v>
      </c>
      <c r="K1065" s="18">
        <v>1492.5</v>
      </c>
      <c r="L1065" s="18" t="s">
        <v>207</v>
      </c>
      <c r="M1065" s="18" t="s">
        <v>133</v>
      </c>
      <c r="N1065" s="20"/>
      <c r="O1065" s="20"/>
      <c r="P1065" s="20"/>
      <c r="Q1065" s="18" t="b">
        <f>FALSE()</f>
        <v>0</v>
      </c>
      <c r="R1065" s="18" t="b">
        <f>FALSE()</f>
        <v>0</v>
      </c>
      <c r="S1065" s="19" t="str">
        <f t="shared" si="16"/>
        <v>N/A</v>
      </c>
      <c r="T1065">
        <f>COUNTIF('👤 Customers'!$A:$A, B1065)</f>
        <v>1</v>
      </c>
      <c r="U1065">
        <f>COUNTIF('🚴 Riders'!A1064:A1124, C1065)</f>
        <v>0</v>
      </c>
      <c r="V1065">
        <f>COUNTIF('🏭 Facilities'!A1064:A1072, D1065)</f>
        <v>0</v>
      </c>
    </row>
    <row r="1066" spans="1:22">
      <c r="A1066" s="16" t="s">
        <v>2762</v>
      </c>
      <c r="B1066" s="16" t="s">
        <v>2763</v>
      </c>
      <c r="C1066" s="16" t="s">
        <v>261</v>
      </c>
      <c r="D1066" s="16" t="s">
        <v>123</v>
      </c>
      <c r="E1066" s="25">
        <v>45188</v>
      </c>
      <c r="F1066" s="16" t="s">
        <v>2764</v>
      </c>
      <c r="G1066" s="16" t="s">
        <v>125</v>
      </c>
      <c r="H1066" s="16">
        <v>2.8</v>
      </c>
      <c r="I1066" s="16">
        <v>199</v>
      </c>
      <c r="J1066" s="16">
        <v>0</v>
      </c>
      <c r="K1066" s="16">
        <v>557.20000000000005</v>
      </c>
      <c r="L1066" s="16" t="s">
        <v>126</v>
      </c>
      <c r="M1066" s="16" t="s">
        <v>119</v>
      </c>
      <c r="N1066" s="27">
        <v>45188.719444444447</v>
      </c>
      <c r="O1066" s="27">
        <v>45189.172222222223</v>
      </c>
      <c r="P1066" s="16">
        <v>4.5999999999999996</v>
      </c>
      <c r="Q1066" s="16" t="b">
        <f>FALSE()</f>
        <v>0</v>
      </c>
      <c r="R1066" s="16" t="b">
        <f>TRUE()</f>
        <v>1</v>
      </c>
      <c r="S1066" s="17">
        <f t="shared" si="16"/>
        <v>10.9</v>
      </c>
      <c r="T1066">
        <f>COUNTIF('👤 Customers'!$A:$A, B1066)</f>
        <v>1</v>
      </c>
      <c r="U1066">
        <f>COUNTIF('🚴 Riders'!A1065:A1125, C1066)</f>
        <v>0</v>
      </c>
      <c r="V1066">
        <f>COUNTIF('🏭 Facilities'!A1065:A1073, D1066)</f>
        <v>0</v>
      </c>
    </row>
    <row r="1067" spans="1:22">
      <c r="A1067" s="18" t="s">
        <v>2765</v>
      </c>
      <c r="B1067" s="18" t="s">
        <v>1870</v>
      </c>
      <c r="C1067" s="18" t="s">
        <v>174</v>
      </c>
      <c r="D1067" s="18" t="s">
        <v>197</v>
      </c>
      <c r="E1067" s="26">
        <v>45511</v>
      </c>
      <c r="F1067" s="18" t="s">
        <v>2766</v>
      </c>
      <c r="G1067" s="18" t="s">
        <v>132</v>
      </c>
      <c r="H1067" s="18">
        <v>1</v>
      </c>
      <c r="I1067" s="18">
        <v>399</v>
      </c>
      <c r="J1067" s="18">
        <v>10</v>
      </c>
      <c r="K1067" s="18">
        <v>359.1</v>
      </c>
      <c r="L1067" s="18" t="s">
        <v>139</v>
      </c>
      <c r="M1067" s="18" t="s">
        <v>133</v>
      </c>
      <c r="N1067" s="20"/>
      <c r="O1067" s="20"/>
      <c r="P1067" s="20"/>
      <c r="Q1067" s="18" t="b">
        <f>FALSE()</f>
        <v>0</v>
      </c>
      <c r="R1067" s="18" t="b">
        <f>TRUE()</f>
        <v>1</v>
      </c>
      <c r="S1067" s="19" t="str">
        <f t="shared" si="16"/>
        <v>N/A</v>
      </c>
      <c r="T1067">
        <f>COUNTIF('👤 Customers'!$A:$A, B1067)</f>
        <v>1</v>
      </c>
      <c r="U1067">
        <f>COUNTIF('🚴 Riders'!A1066:A1126, C1067)</f>
        <v>0</v>
      </c>
      <c r="V1067">
        <f>COUNTIF('🏭 Facilities'!A1066:A1074, D1067)</f>
        <v>0</v>
      </c>
    </row>
    <row r="1068" spans="1:22">
      <c r="A1068" s="16" t="s">
        <v>2767</v>
      </c>
      <c r="B1068" s="16" t="s">
        <v>925</v>
      </c>
      <c r="C1068" s="16" t="s">
        <v>143</v>
      </c>
      <c r="D1068" s="16" t="s">
        <v>123</v>
      </c>
      <c r="E1068" s="25">
        <v>45446</v>
      </c>
      <c r="F1068" s="16" t="s">
        <v>2768</v>
      </c>
      <c r="G1068" s="16" t="s">
        <v>132</v>
      </c>
      <c r="H1068" s="16">
        <v>6.7</v>
      </c>
      <c r="I1068" s="16">
        <v>399</v>
      </c>
      <c r="J1068" s="16">
        <v>0</v>
      </c>
      <c r="K1068" s="16">
        <v>2673.3</v>
      </c>
      <c r="L1068" s="16" t="s">
        <v>126</v>
      </c>
      <c r="M1068" s="16" t="s">
        <v>119</v>
      </c>
      <c r="N1068" s="27">
        <v>45446.122916666667</v>
      </c>
      <c r="O1068" s="27">
        <v>45446.508333333331</v>
      </c>
      <c r="P1068" s="16">
        <v>3.2</v>
      </c>
      <c r="Q1068" s="16" t="b">
        <f>FALSE()</f>
        <v>0</v>
      </c>
      <c r="R1068" s="16" t="b">
        <f>FALSE()</f>
        <v>0</v>
      </c>
      <c r="S1068" s="17">
        <f t="shared" si="16"/>
        <v>9.1999999999999993</v>
      </c>
      <c r="T1068">
        <f>COUNTIF('👤 Customers'!$A:$A, B1068)</f>
        <v>1</v>
      </c>
      <c r="U1068">
        <f>COUNTIF('🚴 Riders'!A1067:A1127, C1068)</f>
        <v>0</v>
      </c>
      <c r="V1068">
        <f>COUNTIF('🏭 Facilities'!A1067:A1075, D1068)</f>
        <v>0</v>
      </c>
    </row>
    <row r="1069" spans="1:22">
      <c r="A1069" s="18" t="s">
        <v>2769</v>
      </c>
      <c r="B1069" s="18" t="s">
        <v>2120</v>
      </c>
      <c r="C1069" s="18" t="s">
        <v>276</v>
      </c>
      <c r="D1069" s="18" t="s">
        <v>137</v>
      </c>
      <c r="E1069" s="26">
        <v>45176</v>
      </c>
      <c r="F1069" s="18" t="s">
        <v>2770</v>
      </c>
      <c r="G1069" s="18" t="s">
        <v>125</v>
      </c>
      <c r="H1069" s="18">
        <v>4.2</v>
      </c>
      <c r="I1069" s="18">
        <v>199</v>
      </c>
      <c r="J1069" s="18">
        <v>10</v>
      </c>
      <c r="K1069" s="18">
        <v>752.22</v>
      </c>
      <c r="L1069" s="18" t="s">
        <v>126</v>
      </c>
      <c r="M1069" s="18" t="s">
        <v>140</v>
      </c>
      <c r="N1069" s="28">
        <v>45176.729861111111</v>
      </c>
      <c r="O1069" s="28">
        <v>45177.754166666666</v>
      </c>
      <c r="P1069" s="20"/>
      <c r="Q1069" s="18" t="b">
        <f>FALSE()</f>
        <v>0</v>
      </c>
      <c r="R1069" s="18" t="b">
        <f>FALSE()</f>
        <v>0</v>
      </c>
      <c r="S1069" s="19">
        <f t="shared" si="16"/>
        <v>24.6</v>
      </c>
      <c r="T1069">
        <f>COUNTIF('👤 Customers'!$A:$A, B1069)</f>
        <v>1</v>
      </c>
      <c r="U1069">
        <f>COUNTIF('🚴 Riders'!A1068:A1128, C1069)</f>
        <v>0</v>
      </c>
      <c r="V1069">
        <f>COUNTIF('🏭 Facilities'!A1068:A1076, D1069)</f>
        <v>0</v>
      </c>
    </row>
    <row r="1070" spans="1:22">
      <c r="A1070" s="16" t="s">
        <v>2771</v>
      </c>
      <c r="B1070" s="16" t="s">
        <v>1168</v>
      </c>
      <c r="C1070" s="16" t="s">
        <v>717</v>
      </c>
      <c r="D1070" s="16" t="s">
        <v>137</v>
      </c>
      <c r="E1070" s="25">
        <v>45144</v>
      </c>
      <c r="F1070" s="16" t="s">
        <v>2772</v>
      </c>
      <c r="G1070" s="16" t="s">
        <v>117</v>
      </c>
      <c r="H1070" s="16">
        <v>1.1000000000000001</v>
      </c>
      <c r="I1070" s="16">
        <v>149</v>
      </c>
      <c r="J1070" s="16">
        <v>0</v>
      </c>
      <c r="K1070" s="16">
        <v>163.9</v>
      </c>
      <c r="L1070" s="16" t="s">
        <v>139</v>
      </c>
      <c r="M1070" s="16" t="s">
        <v>119</v>
      </c>
      <c r="N1070" s="27">
        <v>45144.435416666667</v>
      </c>
      <c r="O1070" s="27">
        <v>45145.024305555555</v>
      </c>
      <c r="P1070" s="16">
        <v>4.4000000000000004</v>
      </c>
      <c r="Q1070" s="16" t="b">
        <f>FALSE()</f>
        <v>0</v>
      </c>
      <c r="R1070" s="16" t="b">
        <f>TRUE()</f>
        <v>1</v>
      </c>
      <c r="S1070" s="17">
        <f t="shared" si="16"/>
        <v>14.1</v>
      </c>
      <c r="T1070">
        <f>COUNTIF('👤 Customers'!$A:$A, B1070)</f>
        <v>1</v>
      </c>
      <c r="U1070">
        <f>COUNTIF('🚴 Riders'!A1069:A1129, C1070)</f>
        <v>0</v>
      </c>
      <c r="V1070">
        <f>COUNTIF('🏭 Facilities'!A1069:A1077, D1070)</f>
        <v>0</v>
      </c>
    </row>
    <row r="1071" spans="1:22">
      <c r="A1071" s="18" t="s">
        <v>2773</v>
      </c>
      <c r="B1071" s="18" t="s">
        <v>935</v>
      </c>
      <c r="C1071" s="18" t="s">
        <v>188</v>
      </c>
      <c r="D1071" s="18" t="s">
        <v>184</v>
      </c>
      <c r="E1071" s="26">
        <v>45033</v>
      </c>
      <c r="F1071" s="18" t="s">
        <v>2774</v>
      </c>
      <c r="G1071" s="18" t="s">
        <v>117</v>
      </c>
      <c r="H1071" s="18">
        <v>1.1000000000000001</v>
      </c>
      <c r="I1071" s="18">
        <v>149</v>
      </c>
      <c r="J1071" s="18">
        <v>10</v>
      </c>
      <c r="K1071" s="18">
        <v>147.51</v>
      </c>
      <c r="L1071" s="18" t="s">
        <v>207</v>
      </c>
      <c r="M1071" s="18" t="s">
        <v>140</v>
      </c>
      <c r="N1071" s="28">
        <v>45033.709027777775</v>
      </c>
      <c r="O1071" s="28">
        <v>45034.613194444442</v>
      </c>
      <c r="P1071" s="20"/>
      <c r="Q1071" s="18" t="b">
        <f>FALSE()</f>
        <v>0</v>
      </c>
      <c r="R1071" s="18" t="b">
        <f>FALSE()</f>
        <v>0</v>
      </c>
      <c r="S1071" s="19">
        <f t="shared" si="16"/>
        <v>21.7</v>
      </c>
      <c r="T1071">
        <f>COUNTIF('👤 Customers'!$A:$A, B1071)</f>
        <v>1</v>
      </c>
      <c r="U1071">
        <f>COUNTIF('🚴 Riders'!A1070:A1130, C1071)</f>
        <v>0</v>
      </c>
      <c r="V1071">
        <f>COUNTIF('🏭 Facilities'!A1070:A1078, D1071)</f>
        <v>0</v>
      </c>
    </row>
    <row r="1072" spans="1:22">
      <c r="A1072" s="16" t="s">
        <v>2775</v>
      </c>
      <c r="B1072" s="16" t="s">
        <v>822</v>
      </c>
      <c r="C1072" s="16" t="s">
        <v>251</v>
      </c>
      <c r="D1072" s="16" t="s">
        <v>130</v>
      </c>
      <c r="E1072" s="25">
        <v>44978</v>
      </c>
      <c r="F1072" s="16" t="s">
        <v>2776</v>
      </c>
      <c r="G1072" s="16" t="s">
        <v>117</v>
      </c>
      <c r="H1072" s="16">
        <v>1.2</v>
      </c>
      <c r="I1072" s="16">
        <v>149</v>
      </c>
      <c r="J1072" s="16">
        <v>20</v>
      </c>
      <c r="K1072" s="16">
        <v>143.04</v>
      </c>
      <c r="L1072" s="16" t="s">
        <v>126</v>
      </c>
      <c r="M1072" s="16" t="s">
        <v>140</v>
      </c>
      <c r="N1072" s="27">
        <v>44978.978472222225</v>
      </c>
      <c r="O1072" s="27">
        <v>44979.336805555555</v>
      </c>
      <c r="P1072" s="20"/>
      <c r="Q1072" s="16" t="b">
        <f>FALSE()</f>
        <v>0</v>
      </c>
      <c r="R1072" s="16" t="b">
        <f>FALSE()</f>
        <v>0</v>
      </c>
      <c r="S1072" s="17">
        <f t="shared" si="16"/>
        <v>8.6</v>
      </c>
      <c r="T1072">
        <f>COUNTIF('👤 Customers'!$A:$A, B1072)</f>
        <v>1</v>
      </c>
      <c r="U1072">
        <f>COUNTIF('🚴 Riders'!A1071:A1131, C1072)</f>
        <v>0</v>
      </c>
      <c r="V1072">
        <f>COUNTIF('🏭 Facilities'!A1071:A1079, D1072)</f>
        <v>0</v>
      </c>
    </row>
    <row r="1073" spans="1:22">
      <c r="A1073" s="18" t="s">
        <v>2777</v>
      </c>
      <c r="B1073" s="18" t="s">
        <v>863</v>
      </c>
      <c r="C1073" s="18" t="s">
        <v>300</v>
      </c>
      <c r="D1073" s="18" t="s">
        <v>115</v>
      </c>
      <c r="E1073" s="26">
        <v>45171</v>
      </c>
      <c r="F1073" s="18" t="s">
        <v>2778</v>
      </c>
      <c r="G1073" s="18" t="s">
        <v>117</v>
      </c>
      <c r="H1073" s="18">
        <v>6</v>
      </c>
      <c r="I1073" s="18">
        <v>149</v>
      </c>
      <c r="J1073" s="18">
        <v>0</v>
      </c>
      <c r="K1073" s="18">
        <v>894</v>
      </c>
      <c r="L1073" s="18" t="s">
        <v>126</v>
      </c>
      <c r="M1073" s="18" t="s">
        <v>119</v>
      </c>
      <c r="N1073" s="28">
        <v>45171.200694444444</v>
      </c>
      <c r="O1073" s="28">
        <v>45171.831944444442</v>
      </c>
      <c r="P1073" s="18">
        <v>3</v>
      </c>
      <c r="Q1073" s="18" t="b">
        <f>FALSE()</f>
        <v>0</v>
      </c>
      <c r="R1073" s="18" t="b">
        <f>FALSE()</f>
        <v>0</v>
      </c>
      <c r="S1073" s="19">
        <f t="shared" si="16"/>
        <v>15.1</v>
      </c>
      <c r="T1073">
        <f>COUNTIF('👤 Customers'!$A:$A, B1073)</f>
        <v>1</v>
      </c>
      <c r="U1073">
        <f>COUNTIF('🚴 Riders'!A1072:A1132, C1073)</f>
        <v>0</v>
      </c>
      <c r="V1073">
        <f>COUNTIF('🏭 Facilities'!A1072:A1080, D1073)</f>
        <v>0</v>
      </c>
    </row>
    <row r="1074" spans="1:22">
      <c r="A1074" s="16" t="s">
        <v>2779</v>
      </c>
      <c r="B1074" s="16" t="s">
        <v>275</v>
      </c>
      <c r="C1074" s="16" t="s">
        <v>322</v>
      </c>
      <c r="D1074" s="16" t="s">
        <v>205</v>
      </c>
      <c r="E1074" s="25">
        <v>45453</v>
      </c>
      <c r="F1074" s="16" t="s">
        <v>2780</v>
      </c>
      <c r="G1074" s="16" t="s">
        <v>125</v>
      </c>
      <c r="H1074" s="16">
        <v>1.6</v>
      </c>
      <c r="I1074" s="16">
        <v>199</v>
      </c>
      <c r="J1074" s="16">
        <v>0</v>
      </c>
      <c r="K1074" s="16">
        <v>318.39999999999998</v>
      </c>
      <c r="L1074" s="16" t="s">
        <v>207</v>
      </c>
      <c r="M1074" s="16" t="s">
        <v>119</v>
      </c>
      <c r="N1074" s="27">
        <v>45453.680555555555</v>
      </c>
      <c r="O1074" s="27">
        <v>45454.554861111108</v>
      </c>
      <c r="P1074" s="16">
        <v>3.7</v>
      </c>
      <c r="Q1074" s="16" t="b">
        <f>FALSE()</f>
        <v>0</v>
      </c>
      <c r="R1074" s="16" t="b">
        <f>FALSE()</f>
        <v>0</v>
      </c>
      <c r="S1074" s="17">
        <f t="shared" si="16"/>
        <v>21</v>
      </c>
      <c r="T1074">
        <f>COUNTIF('👤 Customers'!$A:$A, B1074)</f>
        <v>1</v>
      </c>
      <c r="U1074">
        <f>COUNTIF('🚴 Riders'!A1073:A1133, C1074)</f>
        <v>0</v>
      </c>
      <c r="V1074">
        <f>COUNTIF('🏭 Facilities'!A1073:A1081, D1074)</f>
        <v>0</v>
      </c>
    </row>
    <row r="1075" spans="1:22">
      <c r="A1075" s="18" t="s">
        <v>2781</v>
      </c>
      <c r="B1075" s="18" t="s">
        <v>195</v>
      </c>
      <c r="C1075" s="18" t="s">
        <v>315</v>
      </c>
      <c r="D1075" s="18" t="s">
        <v>205</v>
      </c>
      <c r="E1075" s="26">
        <v>45219</v>
      </c>
      <c r="F1075" s="18" t="s">
        <v>2782</v>
      </c>
      <c r="G1075" s="18" t="s">
        <v>125</v>
      </c>
      <c r="H1075" s="18">
        <v>2.2999999999999998</v>
      </c>
      <c r="I1075" s="18">
        <v>199</v>
      </c>
      <c r="J1075" s="18">
        <v>0</v>
      </c>
      <c r="K1075" s="18">
        <v>457.7</v>
      </c>
      <c r="L1075" s="18" t="s">
        <v>126</v>
      </c>
      <c r="M1075" s="18" t="s">
        <v>140</v>
      </c>
      <c r="N1075" s="28">
        <v>45219.133333333331</v>
      </c>
      <c r="O1075" s="28">
        <v>45219.704861111109</v>
      </c>
      <c r="P1075" s="20"/>
      <c r="Q1075" s="18" t="b">
        <f>TRUE()</f>
        <v>1</v>
      </c>
      <c r="R1075" s="18" t="b">
        <f>FALSE()</f>
        <v>0</v>
      </c>
      <c r="S1075" s="19">
        <f t="shared" si="16"/>
        <v>13.7</v>
      </c>
      <c r="T1075">
        <f>COUNTIF('👤 Customers'!$A:$A, B1075)</f>
        <v>1</v>
      </c>
      <c r="U1075">
        <f>COUNTIF('🚴 Riders'!A1074:A1134, C1075)</f>
        <v>0</v>
      </c>
      <c r="V1075">
        <f>COUNTIF('🏭 Facilities'!A1074:A1082, D1075)</f>
        <v>0</v>
      </c>
    </row>
    <row r="1076" spans="1:22">
      <c r="A1076" s="16" t="s">
        <v>2783</v>
      </c>
      <c r="B1076" s="16" t="s">
        <v>439</v>
      </c>
      <c r="C1076" s="16" t="s">
        <v>343</v>
      </c>
      <c r="D1076" s="16" t="s">
        <v>197</v>
      </c>
      <c r="E1076" s="25">
        <v>45323</v>
      </c>
      <c r="F1076" s="16" t="s">
        <v>2784</v>
      </c>
      <c r="G1076" s="16" t="s">
        <v>125</v>
      </c>
      <c r="H1076" s="16">
        <v>7.8</v>
      </c>
      <c r="I1076" s="16">
        <v>199</v>
      </c>
      <c r="J1076" s="16">
        <v>0</v>
      </c>
      <c r="K1076" s="16">
        <v>1552.2</v>
      </c>
      <c r="L1076" s="16" t="s">
        <v>139</v>
      </c>
      <c r="M1076" s="16" t="s">
        <v>119</v>
      </c>
      <c r="N1076" s="27">
        <v>45323.399305555555</v>
      </c>
      <c r="O1076" s="27">
        <v>45323.768055555556</v>
      </c>
      <c r="P1076" s="16">
        <v>3.7</v>
      </c>
      <c r="Q1076" s="16" t="b">
        <f>TRUE()</f>
        <v>1</v>
      </c>
      <c r="R1076" s="16" t="b">
        <f>TRUE()</f>
        <v>1</v>
      </c>
      <c r="S1076" s="17">
        <f t="shared" si="16"/>
        <v>8.9</v>
      </c>
      <c r="T1076">
        <f>COUNTIF('👤 Customers'!$A:$A, B1076)</f>
        <v>1</v>
      </c>
      <c r="U1076">
        <f>COUNTIF('🚴 Riders'!A1075:A1135, C1076)</f>
        <v>0</v>
      </c>
      <c r="V1076">
        <f>COUNTIF('🏭 Facilities'!A1075:A1083, D1076)</f>
        <v>0</v>
      </c>
    </row>
    <row r="1077" spans="1:22">
      <c r="A1077" s="18" t="s">
        <v>2785</v>
      </c>
      <c r="B1077" s="18" t="s">
        <v>357</v>
      </c>
      <c r="C1077" s="18" t="s">
        <v>236</v>
      </c>
      <c r="D1077" s="18" t="s">
        <v>137</v>
      </c>
      <c r="E1077" s="26">
        <v>45286</v>
      </c>
      <c r="F1077" s="18" t="s">
        <v>2786</v>
      </c>
      <c r="G1077" s="18" t="s">
        <v>145</v>
      </c>
      <c r="H1077" s="18">
        <v>5.7</v>
      </c>
      <c r="I1077" s="18">
        <v>299</v>
      </c>
      <c r="J1077" s="18">
        <v>0</v>
      </c>
      <c r="K1077" s="18">
        <v>1704.3</v>
      </c>
      <c r="L1077" s="18" t="s">
        <v>126</v>
      </c>
      <c r="M1077" s="18" t="s">
        <v>119</v>
      </c>
      <c r="N1077" s="28">
        <v>45286.813194444447</v>
      </c>
      <c r="O1077" s="28">
        <v>45287.78402777778</v>
      </c>
      <c r="P1077" s="18">
        <v>4.0999999999999996</v>
      </c>
      <c r="Q1077" s="18" t="b">
        <f>FALSE()</f>
        <v>0</v>
      </c>
      <c r="R1077" s="18" t="b">
        <f>FALSE()</f>
        <v>0</v>
      </c>
      <c r="S1077" s="19">
        <f t="shared" si="16"/>
        <v>23.3</v>
      </c>
      <c r="T1077">
        <f>COUNTIF('👤 Customers'!$A:$A, B1077)</f>
        <v>1</v>
      </c>
      <c r="U1077">
        <f>COUNTIF('🚴 Riders'!A1076:A1136, C1077)</f>
        <v>0</v>
      </c>
      <c r="V1077">
        <f>COUNTIF('🏭 Facilities'!A1076:A1084, D1077)</f>
        <v>0</v>
      </c>
    </row>
    <row r="1078" spans="1:22">
      <c r="A1078" s="16" t="s">
        <v>2787</v>
      </c>
      <c r="B1078" s="16" t="s">
        <v>952</v>
      </c>
      <c r="C1078" s="16" t="s">
        <v>247</v>
      </c>
      <c r="D1078" s="16" t="s">
        <v>130</v>
      </c>
      <c r="E1078" s="25">
        <v>45253</v>
      </c>
      <c r="F1078" s="16" t="s">
        <v>2788</v>
      </c>
      <c r="G1078" s="16" t="s">
        <v>132</v>
      </c>
      <c r="H1078" s="16">
        <v>5</v>
      </c>
      <c r="I1078" s="16">
        <v>399</v>
      </c>
      <c r="J1078" s="16">
        <v>0</v>
      </c>
      <c r="K1078" s="16">
        <v>1995</v>
      </c>
      <c r="L1078" s="16" t="s">
        <v>146</v>
      </c>
      <c r="M1078" s="16" t="s">
        <v>119</v>
      </c>
      <c r="N1078" s="27">
        <v>45253.255555555559</v>
      </c>
      <c r="O1078" s="27">
        <v>45254.099305555559</v>
      </c>
      <c r="P1078" s="16">
        <v>3.1</v>
      </c>
      <c r="Q1078" s="16" t="b">
        <f>TRUE()</f>
        <v>1</v>
      </c>
      <c r="R1078" s="16" t="b">
        <f>FALSE()</f>
        <v>0</v>
      </c>
      <c r="S1078" s="17">
        <f t="shared" si="16"/>
        <v>20.3</v>
      </c>
      <c r="T1078">
        <f>COUNTIF('👤 Customers'!$A:$A, B1078)</f>
        <v>1</v>
      </c>
      <c r="U1078">
        <f>COUNTIF('🚴 Riders'!A1077:A1137, C1078)</f>
        <v>0</v>
      </c>
      <c r="V1078">
        <f>COUNTIF('🏭 Facilities'!A1077:A1085, D1078)</f>
        <v>0</v>
      </c>
    </row>
    <row r="1079" spans="1:22">
      <c r="A1079" s="18" t="s">
        <v>2789</v>
      </c>
      <c r="B1079" s="18" t="s">
        <v>667</v>
      </c>
      <c r="C1079" s="18" t="s">
        <v>224</v>
      </c>
      <c r="D1079" s="18" t="s">
        <v>158</v>
      </c>
      <c r="E1079" s="26">
        <v>45349</v>
      </c>
      <c r="F1079" s="18" t="s">
        <v>2790</v>
      </c>
      <c r="G1079" s="18" t="s">
        <v>117</v>
      </c>
      <c r="H1079" s="18">
        <v>3.9</v>
      </c>
      <c r="I1079" s="18">
        <v>149</v>
      </c>
      <c r="J1079" s="18">
        <v>0</v>
      </c>
      <c r="K1079" s="18">
        <v>581.1</v>
      </c>
      <c r="L1079" s="18" t="s">
        <v>139</v>
      </c>
      <c r="M1079" s="18" t="s">
        <v>133</v>
      </c>
      <c r="N1079" s="20"/>
      <c r="O1079" s="20"/>
      <c r="P1079" s="20"/>
      <c r="Q1079" s="18" t="b">
        <f>FALSE()</f>
        <v>0</v>
      </c>
      <c r="R1079" s="18" t="b">
        <f>FALSE()</f>
        <v>0</v>
      </c>
      <c r="S1079" s="19" t="str">
        <f t="shared" si="16"/>
        <v>N/A</v>
      </c>
      <c r="T1079">
        <f>COUNTIF('👤 Customers'!$A:$A, B1079)</f>
        <v>1</v>
      </c>
      <c r="U1079">
        <f>COUNTIF('🚴 Riders'!A1078:A1138, C1079)</f>
        <v>0</v>
      </c>
      <c r="V1079">
        <f>COUNTIF('🏭 Facilities'!A1078:A1086, D1079)</f>
        <v>0</v>
      </c>
    </row>
    <row r="1080" spans="1:22">
      <c r="A1080" s="16" t="s">
        <v>2791</v>
      </c>
      <c r="B1080" s="16" t="s">
        <v>2792</v>
      </c>
      <c r="C1080" s="16" t="s">
        <v>1092</v>
      </c>
      <c r="D1080" s="16" t="s">
        <v>184</v>
      </c>
      <c r="E1080" s="25">
        <v>45279</v>
      </c>
      <c r="F1080" s="16" t="s">
        <v>2793</v>
      </c>
      <c r="G1080" s="16" t="s">
        <v>145</v>
      </c>
      <c r="H1080" s="16">
        <v>5.9</v>
      </c>
      <c r="I1080" s="16">
        <v>299</v>
      </c>
      <c r="J1080" s="16">
        <v>0</v>
      </c>
      <c r="K1080" s="16">
        <v>1764.1</v>
      </c>
      <c r="L1080" s="16" t="s">
        <v>118</v>
      </c>
      <c r="M1080" s="16" t="s">
        <v>119</v>
      </c>
      <c r="N1080" s="27">
        <v>45279.356249999997</v>
      </c>
      <c r="O1080" s="27">
        <v>45280.01666666667</v>
      </c>
      <c r="P1080" s="16">
        <v>4.4000000000000004</v>
      </c>
      <c r="Q1080" s="16" t="b">
        <f>FALSE()</f>
        <v>0</v>
      </c>
      <c r="R1080" s="16" t="b">
        <f>TRUE()</f>
        <v>1</v>
      </c>
      <c r="S1080" s="17">
        <f t="shared" si="16"/>
        <v>15.9</v>
      </c>
      <c r="T1080">
        <f>COUNTIF('👤 Customers'!$A:$A, B1080)</f>
        <v>1</v>
      </c>
      <c r="U1080">
        <f>COUNTIF('🚴 Riders'!A1079:A1139, C1080)</f>
        <v>0</v>
      </c>
      <c r="V1080">
        <f>COUNTIF('🏭 Facilities'!A1079:A1087, D1080)</f>
        <v>0</v>
      </c>
    </row>
    <row r="1081" spans="1:22">
      <c r="A1081" s="18" t="s">
        <v>2794</v>
      </c>
      <c r="B1081" s="18" t="s">
        <v>657</v>
      </c>
      <c r="C1081" s="18" t="s">
        <v>322</v>
      </c>
      <c r="D1081" s="18" t="s">
        <v>205</v>
      </c>
      <c r="E1081" s="26">
        <v>45438</v>
      </c>
      <c r="F1081" s="18" t="s">
        <v>2795</v>
      </c>
      <c r="G1081" s="18" t="s">
        <v>132</v>
      </c>
      <c r="H1081" s="18">
        <v>2.2999999999999998</v>
      </c>
      <c r="I1081" s="18">
        <v>399</v>
      </c>
      <c r="J1081" s="18">
        <v>10</v>
      </c>
      <c r="K1081" s="18">
        <v>825.93</v>
      </c>
      <c r="L1081" s="18" t="s">
        <v>126</v>
      </c>
      <c r="M1081" s="18" t="s">
        <v>119</v>
      </c>
      <c r="N1081" s="28">
        <v>45438.909722222219</v>
      </c>
      <c r="O1081" s="28">
        <v>45439.298611111109</v>
      </c>
      <c r="P1081" s="18">
        <v>4.4000000000000004</v>
      </c>
      <c r="Q1081" s="18" t="b">
        <f>FALSE()</f>
        <v>0</v>
      </c>
      <c r="R1081" s="18" t="b">
        <f>FALSE()</f>
        <v>0</v>
      </c>
      <c r="S1081" s="19">
        <f t="shared" si="16"/>
        <v>9.3000000000000007</v>
      </c>
      <c r="T1081">
        <f>COUNTIF('👤 Customers'!$A:$A, B1081)</f>
        <v>1</v>
      </c>
      <c r="U1081">
        <f>COUNTIF('🚴 Riders'!A1080:A1140, C1081)</f>
        <v>0</v>
      </c>
      <c r="V1081">
        <f>COUNTIF('🏭 Facilities'!A1080:A1088, D1081)</f>
        <v>0</v>
      </c>
    </row>
    <row r="1082" spans="1:22">
      <c r="A1082" s="16" t="s">
        <v>2796</v>
      </c>
      <c r="B1082" s="16" t="s">
        <v>495</v>
      </c>
      <c r="C1082" s="16" t="s">
        <v>179</v>
      </c>
      <c r="D1082" s="16" t="s">
        <v>205</v>
      </c>
      <c r="E1082" s="25">
        <v>45008</v>
      </c>
      <c r="F1082" s="16" t="s">
        <v>2797</v>
      </c>
      <c r="G1082" s="16" t="s">
        <v>117</v>
      </c>
      <c r="H1082" s="16">
        <v>3.8</v>
      </c>
      <c r="I1082" s="16">
        <v>149</v>
      </c>
      <c r="J1082" s="16">
        <v>0</v>
      </c>
      <c r="K1082" s="16">
        <v>566.20000000000005</v>
      </c>
      <c r="L1082" s="16" t="s">
        <v>146</v>
      </c>
      <c r="M1082" s="16" t="s">
        <v>119</v>
      </c>
      <c r="N1082" s="27">
        <v>45008.575694444444</v>
      </c>
      <c r="O1082" s="27">
        <v>45009.459722222222</v>
      </c>
      <c r="P1082" s="16">
        <v>3.5</v>
      </c>
      <c r="Q1082" s="16" t="b">
        <f>FALSE()</f>
        <v>0</v>
      </c>
      <c r="R1082" s="16" t="b">
        <f>FALSE()</f>
        <v>0</v>
      </c>
      <c r="S1082" s="17">
        <f t="shared" si="16"/>
        <v>21.2</v>
      </c>
      <c r="T1082">
        <f>COUNTIF('👤 Customers'!$A:$A, B1082)</f>
        <v>1</v>
      </c>
      <c r="U1082">
        <f>COUNTIF('🚴 Riders'!A1081:A1141, C1082)</f>
        <v>0</v>
      </c>
      <c r="V1082">
        <f>COUNTIF('🏭 Facilities'!A1081:A1089, D1082)</f>
        <v>0</v>
      </c>
    </row>
    <row r="1083" spans="1:22">
      <c r="A1083" s="18" t="s">
        <v>2798</v>
      </c>
      <c r="B1083" s="18" t="s">
        <v>2799</v>
      </c>
      <c r="C1083" s="18" t="s">
        <v>339</v>
      </c>
      <c r="D1083" s="18" t="s">
        <v>184</v>
      </c>
      <c r="E1083" s="26">
        <v>44957</v>
      </c>
      <c r="F1083" s="18" t="s">
        <v>2800</v>
      </c>
      <c r="G1083" s="18" t="s">
        <v>176</v>
      </c>
      <c r="H1083" s="18">
        <v>5.0999999999999996</v>
      </c>
      <c r="I1083" s="18">
        <v>599</v>
      </c>
      <c r="J1083" s="18">
        <v>10</v>
      </c>
      <c r="K1083" s="18">
        <v>2749.41</v>
      </c>
      <c r="L1083" s="18" t="s">
        <v>207</v>
      </c>
      <c r="M1083" s="18" t="s">
        <v>119</v>
      </c>
      <c r="N1083" s="28">
        <v>44957.68472222222</v>
      </c>
      <c r="O1083" s="28">
        <v>44958.488888888889</v>
      </c>
      <c r="P1083" s="18">
        <v>2.8</v>
      </c>
      <c r="Q1083" s="18" t="b">
        <f>FALSE()</f>
        <v>0</v>
      </c>
      <c r="R1083" s="18" t="b">
        <f>FALSE()</f>
        <v>0</v>
      </c>
      <c r="S1083" s="19">
        <f t="shared" si="16"/>
        <v>19.3</v>
      </c>
      <c r="T1083">
        <f>COUNTIF('👤 Customers'!$A:$A, B1083)</f>
        <v>1</v>
      </c>
      <c r="U1083">
        <f>COUNTIF('🚴 Riders'!A1082:A1142, C1083)</f>
        <v>0</v>
      </c>
      <c r="V1083">
        <f>COUNTIF('🏭 Facilities'!A1082:A1090, D1083)</f>
        <v>0</v>
      </c>
    </row>
    <row r="1084" spans="1:22">
      <c r="A1084" s="16" t="s">
        <v>2801</v>
      </c>
      <c r="B1084" s="16" t="s">
        <v>203</v>
      </c>
      <c r="C1084" s="16" t="s">
        <v>166</v>
      </c>
      <c r="D1084" s="16" t="s">
        <v>123</v>
      </c>
      <c r="E1084" s="25">
        <v>45547</v>
      </c>
      <c r="F1084" s="16" t="s">
        <v>2802</v>
      </c>
      <c r="G1084" s="16" t="s">
        <v>125</v>
      </c>
      <c r="H1084" s="16">
        <v>7.7</v>
      </c>
      <c r="I1084" s="16">
        <v>199</v>
      </c>
      <c r="J1084" s="16">
        <v>10</v>
      </c>
      <c r="K1084" s="16">
        <v>1379.07</v>
      </c>
      <c r="L1084" s="16" t="s">
        <v>146</v>
      </c>
      <c r="M1084" s="16" t="s">
        <v>119</v>
      </c>
      <c r="N1084" s="27">
        <v>45547.240972222222</v>
      </c>
      <c r="O1084" s="27">
        <v>45548.020833333336</v>
      </c>
      <c r="P1084" s="16">
        <v>4.9000000000000004</v>
      </c>
      <c r="Q1084" s="16" t="b">
        <f>FALSE()</f>
        <v>0</v>
      </c>
      <c r="R1084" s="16" t="b">
        <f>FALSE()</f>
        <v>0</v>
      </c>
      <c r="S1084" s="17">
        <f t="shared" si="16"/>
        <v>18.7</v>
      </c>
      <c r="T1084">
        <f>COUNTIF('👤 Customers'!$A:$A, B1084)</f>
        <v>1</v>
      </c>
      <c r="U1084">
        <f>COUNTIF('🚴 Riders'!A1083:A1143, C1084)</f>
        <v>0</v>
      </c>
      <c r="V1084">
        <f>COUNTIF('🏭 Facilities'!A1083:A1091, D1084)</f>
        <v>0</v>
      </c>
    </row>
    <row r="1085" spans="1:22">
      <c r="A1085" s="18" t="s">
        <v>2803</v>
      </c>
      <c r="B1085" s="18" t="s">
        <v>620</v>
      </c>
      <c r="C1085" s="18" t="s">
        <v>461</v>
      </c>
      <c r="D1085" s="18" t="s">
        <v>115</v>
      </c>
      <c r="E1085" s="26">
        <v>45397</v>
      </c>
      <c r="F1085" s="18" t="s">
        <v>2804</v>
      </c>
      <c r="G1085" s="18" t="s">
        <v>117</v>
      </c>
      <c r="H1085" s="18">
        <v>6.9</v>
      </c>
      <c r="I1085" s="18">
        <v>149</v>
      </c>
      <c r="J1085" s="18">
        <v>10</v>
      </c>
      <c r="K1085" s="18">
        <v>925.29</v>
      </c>
      <c r="L1085" s="18" t="s">
        <v>126</v>
      </c>
      <c r="M1085" s="18" t="s">
        <v>133</v>
      </c>
      <c r="N1085" s="20"/>
      <c r="O1085" s="20"/>
      <c r="P1085" s="20"/>
      <c r="Q1085" s="18" t="b">
        <f>FALSE()</f>
        <v>0</v>
      </c>
      <c r="R1085" s="18" t="b">
        <f>FALSE()</f>
        <v>0</v>
      </c>
      <c r="S1085" s="19" t="str">
        <f t="shared" si="16"/>
        <v>N/A</v>
      </c>
      <c r="T1085">
        <f>COUNTIF('👤 Customers'!$A:$A, B1085)</f>
        <v>1</v>
      </c>
      <c r="U1085">
        <f>COUNTIF('🚴 Riders'!A1084:A1144, C1085)</f>
        <v>0</v>
      </c>
      <c r="V1085">
        <f>COUNTIF('🏭 Facilities'!A1084:A1092, D1085)</f>
        <v>0</v>
      </c>
    </row>
    <row r="1086" spans="1:22">
      <c r="A1086" s="16" t="s">
        <v>2805</v>
      </c>
      <c r="B1086" s="16" t="s">
        <v>1245</v>
      </c>
      <c r="C1086" s="16" t="s">
        <v>536</v>
      </c>
      <c r="D1086" s="16" t="s">
        <v>184</v>
      </c>
      <c r="E1086" s="25">
        <v>45204</v>
      </c>
      <c r="F1086" s="16" t="s">
        <v>2806</v>
      </c>
      <c r="G1086" s="16" t="s">
        <v>132</v>
      </c>
      <c r="H1086" s="16">
        <v>2.6</v>
      </c>
      <c r="I1086" s="16">
        <v>399</v>
      </c>
      <c r="J1086" s="16">
        <v>0</v>
      </c>
      <c r="K1086" s="16">
        <v>1037.4000000000001</v>
      </c>
      <c r="L1086" s="16" t="s">
        <v>146</v>
      </c>
      <c r="M1086" s="16" t="s">
        <v>119</v>
      </c>
      <c r="N1086" s="27">
        <v>45204.319444444445</v>
      </c>
      <c r="O1086" s="27">
        <v>45204.822222222225</v>
      </c>
      <c r="P1086" s="16">
        <v>3.6</v>
      </c>
      <c r="Q1086" s="16" t="b">
        <f>FALSE()</f>
        <v>0</v>
      </c>
      <c r="R1086" s="16" t="b">
        <f>TRUE()</f>
        <v>1</v>
      </c>
      <c r="S1086" s="17">
        <f t="shared" si="16"/>
        <v>12.1</v>
      </c>
      <c r="T1086">
        <f>COUNTIF('👤 Customers'!$A:$A, B1086)</f>
        <v>1</v>
      </c>
      <c r="U1086">
        <f>COUNTIF('🚴 Riders'!A1085:A1145, C1086)</f>
        <v>0</v>
      </c>
      <c r="V1086">
        <f>COUNTIF('🏭 Facilities'!A1085:A1093, D1086)</f>
        <v>0</v>
      </c>
    </row>
    <row r="1087" spans="1:22">
      <c r="A1087" s="18" t="s">
        <v>2807</v>
      </c>
      <c r="B1087" s="18" t="s">
        <v>569</v>
      </c>
      <c r="C1087" s="18" t="s">
        <v>350</v>
      </c>
      <c r="D1087" s="18" t="s">
        <v>158</v>
      </c>
      <c r="E1087" s="26">
        <v>45403</v>
      </c>
      <c r="F1087" s="18" t="s">
        <v>2808</v>
      </c>
      <c r="G1087" s="18" t="s">
        <v>125</v>
      </c>
      <c r="H1087" s="18">
        <v>6</v>
      </c>
      <c r="I1087" s="18">
        <v>199</v>
      </c>
      <c r="J1087" s="18">
        <v>10</v>
      </c>
      <c r="K1087" s="18">
        <v>1074.5999999999999</v>
      </c>
      <c r="L1087" s="18" t="s">
        <v>146</v>
      </c>
      <c r="M1087" s="18" t="s">
        <v>119</v>
      </c>
      <c r="N1087" s="28">
        <v>45404.019444444442</v>
      </c>
      <c r="O1087" s="28">
        <v>45404.742361111108</v>
      </c>
      <c r="P1087" s="18">
        <v>3.7</v>
      </c>
      <c r="Q1087" s="18" t="b">
        <f>FALSE()</f>
        <v>0</v>
      </c>
      <c r="R1087" s="18" t="b">
        <f>FALSE()</f>
        <v>0</v>
      </c>
      <c r="S1087" s="19">
        <f t="shared" si="16"/>
        <v>17.3</v>
      </c>
      <c r="T1087">
        <f>COUNTIF('👤 Customers'!$A:$A, B1087)</f>
        <v>1</v>
      </c>
      <c r="U1087">
        <f>COUNTIF('🚴 Riders'!A1086:A1146, C1087)</f>
        <v>0</v>
      </c>
      <c r="V1087">
        <f>COUNTIF('🏭 Facilities'!A1086:A1094, D1087)</f>
        <v>0</v>
      </c>
    </row>
    <row r="1088" spans="1:22">
      <c r="A1088" s="16" t="s">
        <v>2809</v>
      </c>
      <c r="B1088" s="16" t="s">
        <v>1515</v>
      </c>
      <c r="C1088" s="16" t="s">
        <v>304</v>
      </c>
      <c r="D1088" s="16" t="s">
        <v>158</v>
      </c>
      <c r="E1088" s="25">
        <v>45027</v>
      </c>
      <c r="F1088" s="16" t="s">
        <v>2810</v>
      </c>
      <c r="G1088" s="16" t="s">
        <v>117</v>
      </c>
      <c r="H1088" s="16">
        <v>4.5999999999999996</v>
      </c>
      <c r="I1088" s="16">
        <v>149</v>
      </c>
      <c r="J1088" s="16">
        <v>0</v>
      </c>
      <c r="K1088" s="16">
        <v>685.4</v>
      </c>
      <c r="L1088" s="16" t="s">
        <v>207</v>
      </c>
      <c r="M1088" s="16" t="s">
        <v>140</v>
      </c>
      <c r="N1088" s="27">
        <v>45027.602083333331</v>
      </c>
      <c r="O1088" s="27">
        <v>45028.402777777781</v>
      </c>
      <c r="P1088" s="20"/>
      <c r="Q1088" s="16" t="b">
        <f>FALSE()</f>
        <v>0</v>
      </c>
      <c r="R1088" s="16" t="b">
        <f>FALSE()</f>
        <v>0</v>
      </c>
      <c r="S1088" s="17">
        <f t="shared" si="16"/>
        <v>19.2</v>
      </c>
      <c r="T1088">
        <f>COUNTIF('👤 Customers'!$A:$A, B1088)</f>
        <v>1</v>
      </c>
      <c r="U1088">
        <f>COUNTIF('🚴 Riders'!A1087:A1147, C1088)</f>
        <v>0</v>
      </c>
      <c r="V1088">
        <f>COUNTIF('🏭 Facilities'!A1087:A1095, D1088)</f>
        <v>0</v>
      </c>
    </row>
    <row r="1089" spans="1:22">
      <c r="A1089" s="18" t="s">
        <v>2811</v>
      </c>
      <c r="B1089" s="18" t="s">
        <v>1345</v>
      </c>
      <c r="C1089" s="18" t="s">
        <v>283</v>
      </c>
      <c r="D1089" s="18" t="s">
        <v>205</v>
      </c>
      <c r="E1089" s="26">
        <v>45213</v>
      </c>
      <c r="F1089" s="18" t="s">
        <v>2812</v>
      </c>
      <c r="G1089" s="18" t="s">
        <v>125</v>
      </c>
      <c r="H1089" s="18">
        <v>5.9</v>
      </c>
      <c r="I1089" s="18">
        <v>199</v>
      </c>
      <c r="J1089" s="18">
        <v>20</v>
      </c>
      <c r="K1089" s="18">
        <v>939.28</v>
      </c>
      <c r="L1089" s="18" t="s">
        <v>139</v>
      </c>
      <c r="M1089" s="18" t="s">
        <v>140</v>
      </c>
      <c r="N1089" s="28">
        <v>45213.513888888891</v>
      </c>
      <c r="O1089" s="28">
        <v>45214.15902777778</v>
      </c>
      <c r="P1089" s="20"/>
      <c r="Q1089" s="18" t="b">
        <f>FALSE()</f>
        <v>0</v>
      </c>
      <c r="R1089" s="18" t="b">
        <f>TRUE()</f>
        <v>1</v>
      </c>
      <c r="S1089" s="19">
        <f t="shared" si="16"/>
        <v>15.5</v>
      </c>
      <c r="T1089">
        <f>COUNTIF('👤 Customers'!$A:$A, B1089)</f>
        <v>1</v>
      </c>
      <c r="U1089">
        <f>COUNTIF('🚴 Riders'!A1088:A1148, C1089)</f>
        <v>0</v>
      </c>
      <c r="V1089">
        <f>COUNTIF('🏭 Facilities'!A1088:A1096, D1089)</f>
        <v>0</v>
      </c>
    </row>
    <row r="1090" spans="1:22">
      <c r="A1090" s="16" t="s">
        <v>2813</v>
      </c>
      <c r="B1090" s="16" t="s">
        <v>243</v>
      </c>
      <c r="C1090" s="16" t="s">
        <v>750</v>
      </c>
      <c r="D1090" s="16" t="s">
        <v>158</v>
      </c>
      <c r="E1090" s="25">
        <v>45023</v>
      </c>
      <c r="F1090" s="16" t="s">
        <v>2814</v>
      </c>
      <c r="G1090" s="16" t="s">
        <v>132</v>
      </c>
      <c r="H1090" s="16">
        <v>3</v>
      </c>
      <c r="I1090" s="16">
        <v>399</v>
      </c>
      <c r="J1090" s="16">
        <v>0</v>
      </c>
      <c r="K1090" s="16">
        <v>1197</v>
      </c>
      <c r="L1090" s="16" t="s">
        <v>139</v>
      </c>
      <c r="M1090" s="16" t="s">
        <v>140</v>
      </c>
      <c r="N1090" s="27">
        <v>45024.025000000001</v>
      </c>
      <c r="O1090" s="27">
        <v>45024.618750000001</v>
      </c>
      <c r="P1090" s="20"/>
      <c r="Q1090" s="16" t="b">
        <f>FALSE()</f>
        <v>0</v>
      </c>
      <c r="R1090" s="16" t="b">
        <f>TRUE()</f>
        <v>1</v>
      </c>
      <c r="S1090" s="17">
        <f t="shared" ref="S1090:S1153" si="17">IF(OR(N1090="",O1090=""),"N/A",ROUND(((O1090-N1090)*24),1))</f>
        <v>14.3</v>
      </c>
      <c r="T1090">
        <f>COUNTIF('👤 Customers'!$A:$A, B1090)</f>
        <v>1</v>
      </c>
      <c r="U1090">
        <f>COUNTIF('🚴 Riders'!A1089:A1149, C1090)</f>
        <v>0</v>
      </c>
      <c r="V1090">
        <f>COUNTIF('🏭 Facilities'!A1089:A1097, D1090)</f>
        <v>0</v>
      </c>
    </row>
    <row r="1091" spans="1:22">
      <c r="A1091" s="18" t="s">
        <v>2815</v>
      </c>
      <c r="B1091" s="18" t="s">
        <v>450</v>
      </c>
      <c r="C1091" s="18" t="s">
        <v>153</v>
      </c>
      <c r="D1091" s="18" t="s">
        <v>158</v>
      </c>
      <c r="E1091" s="26">
        <v>45201</v>
      </c>
      <c r="F1091" s="18" t="s">
        <v>2816</v>
      </c>
      <c r="G1091" s="18" t="s">
        <v>176</v>
      </c>
      <c r="H1091" s="18">
        <v>3.1</v>
      </c>
      <c r="I1091" s="18">
        <v>599</v>
      </c>
      <c r="J1091" s="18">
        <v>10</v>
      </c>
      <c r="K1091" s="18">
        <v>1671.21</v>
      </c>
      <c r="L1091" s="18" t="s">
        <v>207</v>
      </c>
      <c r="M1091" s="18" t="s">
        <v>140</v>
      </c>
      <c r="N1091" s="28">
        <v>45201.357638888891</v>
      </c>
      <c r="O1091" s="28">
        <v>45202.223611111112</v>
      </c>
      <c r="P1091" s="20"/>
      <c r="Q1091" s="18" t="b">
        <f>FALSE()</f>
        <v>0</v>
      </c>
      <c r="R1091" s="18" t="b">
        <f>TRUE()</f>
        <v>1</v>
      </c>
      <c r="S1091" s="19">
        <f t="shared" si="17"/>
        <v>20.8</v>
      </c>
      <c r="T1091">
        <f>COUNTIF('👤 Customers'!$A:$A, B1091)</f>
        <v>1</v>
      </c>
      <c r="U1091">
        <f>COUNTIF('🚴 Riders'!A1090:A1150, C1091)</f>
        <v>0</v>
      </c>
      <c r="V1091">
        <f>COUNTIF('🏭 Facilities'!A1090:A1098, D1091)</f>
        <v>0</v>
      </c>
    </row>
    <row r="1092" spans="1:22">
      <c r="A1092" s="16" t="s">
        <v>2817</v>
      </c>
      <c r="B1092" s="16" t="s">
        <v>2580</v>
      </c>
      <c r="C1092" s="16" t="s">
        <v>339</v>
      </c>
      <c r="D1092" s="16" t="s">
        <v>205</v>
      </c>
      <c r="E1092" s="25">
        <v>45627</v>
      </c>
      <c r="F1092" s="16" t="s">
        <v>2818</v>
      </c>
      <c r="G1092" s="16" t="s">
        <v>176</v>
      </c>
      <c r="H1092" s="16">
        <v>7.5</v>
      </c>
      <c r="I1092" s="16">
        <v>599</v>
      </c>
      <c r="J1092" s="16">
        <v>0</v>
      </c>
      <c r="K1092" s="16">
        <v>4492.5</v>
      </c>
      <c r="L1092" s="16" t="s">
        <v>139</v>
      </c>
      <c r="M1092" s="16" t="s">
        <v>119</v>
      </c>
      <c r="N1092" s="27">
        <v>45627.288194444445</v>
      </c>
      <c r="O1092" s="27">
        <v>45628.169444444444</v>
      </c>
      <c r="P1092" s="16">
        <v>2.9</v>
      </c>
      <c r="Q1092" s="16" t="b">
        <f>FALSE()</f>
        <v>0</v>
      </c>
      <c r="R1092" s="16" t="b">
        <f>FALSE()</f>
        <v>0</v>
      </c>
      <c r="S1092" s="17">
        <f t="shared" si="17"/>
        <v>21.1</v>
      </c>
      <c r="T1092">
        <f>COUNTIF('👤 Customers'!$A:$A, B1092)</f>
        <v>1</v>
      </c>
      <c r="U1092">
        <f>COUNTIF('🚴 Riders'!A1091:A1151, C1092)</f>
        <v>0</v>
      </c>
      <c r="V1092">
        <f>COUNTIF('🏭 Facilities'!A1091:A1099, D1092)</f>
        <v>0</v>
      </c>
    </row>
    <row r="1093" spans="1:22">
      <c r="A1093" s="18" t="s">
        <v>2819</v>
      </c>
      <c r="B1093" s="18" t="s">
        <v>1410</v>
      </c>
      <c r="C1093" s="18" t="s">
        <v>228</v>
      </c>
      <c r="D1093" s="18" t="s">
        <v>130</v>
      </c>
      <c r="E1093" s="26">
        <v>45373</v>
      </c>
      <c r="F1093" s="18" t="s">
        <v>2820</v>
      </c>
      <c r="G1093" s="18" t="s">
        <v>132</v>
      </c>
      <c r="H1093" s="18">
        <v>3.8</v>
      </c>
      <c r="I1093" s="18">
        <v>399</v>
      </c>
      <c r="J1093" s="18">
        <v>0</v>
      </c>
      <c r="K1093" s="18">
        <v>1516.2</v>
      </c>
      <c r="L1093" s="18" t="s">
        <v>146</v>
      </c>
      <c r="M1093" s="18" t="s">
        <v>140</v>
      </c>
      <c r="N1093" s="28">
        <v>45374.013194444444</v>
      </c>
      <c r="O1093" s="28">
        <v>45374.767361111109</v>
      </c>
      <c r="P1093" s="20"/>
      <c r="Q1093" s="18" t="b">
        <f>TRUE()</f>
        <v>1</v>
      </c>
      <c r="R1093" s="18" t="b">
        <f>FALSE()</f>
        <v>0</v>
      </c>
      <c r="S1093" s="19">
        <f t="shared" si="17"/>
        <v>18.100000000000001</v>
      </c>
      <c r="T1093">
        <f>COUNTIF('👤 Customers'!$A:$A, B1093)</f>
        <v>1</v>
      </c>
      <c r="U1093">
        <f>COUNTIF('🚴 Riders'!A1092:A1152, C1093)</f>
        <v>0</v>
      </c>
      <c r="V1093">
        <f>COUNTIF('🏭 Facilities'!A1092:A1100, D1093)</f>
        <v>0</v>
      </c>
    </row>
    <row r="1094" spans="1:22">
      <c r="A1094" s="16" t="s">
        <v>2821</v>
      </c>
      <c r="B1094" s="16" t="s">
        <v>845</v>
      </c>
      <c r="C1094" s="16" t="s">
        <v>308</v>
      </c>
      <c r="D1094" s="16" t="s">
        <v>205</v>
      </c>
      <c r="E1094" s="25">
        <v>45213</v>
      </c>
      <c r="F1094" s="16" t="s">
        <v>2822</v>
      </c>
      <c r="G1094" s="16" t="s">
        <v>117</v>
      </c>
      <c r="H1094" s="16">
        <v>1.2</v>
      </c>
      <c r="I1094" s="16">
        <v>149</v>
      </c>
      <c r="J1094" s="16">
        <v>10</v>
      </c>
      <c r="K1094" s="16">
        <v>160.91999999999999</v>
      </c>
      <c r="L1094" s="16" t="s">
        <v>139</v>
      </c>
      <c r="M1094" s="16" t="s">
        <v>133</v>
      </c>
      <c r="N1094" s="20"/>
      <c r="O1094" s="20"/>
      <c r="P1094" s="20"/>
      <c r="Q1094" s="16" t="b">
        <f>FALSE()</f>
        <v>0</v>
      </c>
      <c r="R1094" s="16" t="b">
        <f>FALSE()</f>
        <v>0</v>
      </c>
      <c r="S1094" s="17" t="str">
        <f t="shared" si="17"/>
        <v>N/A</v>
      </c>
      <c r="T1094">
        <f>COUNTIF('👤 Customers'!$A:$A, B1094)</f>
        <v>1</v>
      </c>
      <c r="U1094">
        <f>COUNTIF('🚴 Riders'!A1093:A1153, C1094)</f>
        <v>0</v>
      </c>
      <c r="V1094">
        <f>COUNTIF('🏭 Facilities'!A1093:A1101, D1094)</f>
        <v>0</v>
      </c>
    </row>
    <row r="1095" spans="1:22">
      <c r="A1095" s="18" t="s">
        <v>2823</v>
      </c>
      <c r="B1095" s="18" t="s">
        <v>990</v>
      </c>
      <c r="C1095" s="18" t="s">
        <v>183</v>
      </c>
      <c r="D1095" s="18" t="s">
        <v>197</v>
      </c>
      <c r="E1095" s="26">
        <v>45130</v>
      </c>
      <c r="F1095" s="18" t="s">
        <v>2824</v>
      </c>
      <c r="G1095" s="18" t="s">
        <v>132</v>
      </c>
      <c r="H1095" s="18">
        <v>1.1000000000000001</v>
      </c>
      <c r="I1095" s="18">
        <v>399</v>
      </c>
      <c r="J1095" s="18">
        <v>0</v>
      </c>
      <c r="K1095" s="18">
        <v>438.9</v>
      </c>
      <c r="L1095" s="18" t="s">
        <v>139</v>
      </c>
      <c r="M1095" s="18" t="s">
        <v>133</v>
      </c>
      <c r="N1095" s="20"/>
      <c r="O1095" s="20"/>
      <c r="P1095" s="20"/>
      <c r="Q1095" s="18" t="b">
        <f>FALSE()</f>
        <v>0</v>
      </c>
      <c r="R1095" s="18" t="b">
        <f>TRUE()</f>
        <v>1</v>
      </c>
      <c r="S1095" s="19" t="str">
        <f t="shared" si="17"/>
        <v>N/A</v>
      </c>
      <c r="T1095">
        <f>COUNTIF('👤 Customers'!$A:$A, B1095)</f>
        <v>1</v>
      </c>
      <c r="U1095">
        <f>COUNTIF('🚴 Riders'!A1094:A1154, C1095)</f>
        <v>0</v>
      </c>
      <c r="V1095">
        <f>COUNTIF('🏭 Facilities'!A1094:A1102, D1095)</f>
        <v>0</v>
      </c>
    </row>
    <row r="1096" spans="1:22">
      <c r="A1096" s="16" t="s">
        <v>2825</v>
      </c>
      <c r="B1096" s="16" t="s">
        <v>1006</v>
      </c>
      <c r="C1096" s="16" t="s">
        <v>354</v>
      </c>
      <c r="D1096" s="16" t="s">
        <v>123</v>
      </c>
      <c r="E1096" s="25">
        <v>45081</v>
      </c>
      <c r="F1096" s="16" t="s">
        <v>2826</v>
      </c>
      <c r="G1096" s="16" t="s">
        <v>176</v>
      </c>
      <c r="H1096" s="16">
        <v>6.8</v>
      </c>
      <c r="I1096" s="16">
        <v>599</v>
      </c>
      <c r="J1096" s="16">
        <v>0</v>
      </c>
      <c r="K1096" s="16">
        <v>4073.2</v>
      </c>
      <c r="L1096" s="16" t="s">
        <v>126</v>
      </c>
      <c r="M1096" s="16" t="s">
        <v>119</v>
      </c>
      <c r="N1096" s="27">
        <v>45081.742361111108</v>
      </c>
      <c r="O1096" s="27">
        <v>45082.131944444445</v>
      </c>
      <c r="P1096" s="16">
        <v>3.3</v>
      </c>
      <c r="Q1096" s="16" t="b">
        <f>FALSE()</f>
        <v>0</v>
      </c>
      <c r="R1096" s="16" t="b">
        <f>FALSE()</f>
        <v>0</v>
      </c>
      <c r="S1096" s="17">
        <f t="shared" si="17"/>
        <v>9.4</v>
      </c>
      <c r="T1096">
        <f>COUNTIF('👤 Customers'!$A:$A, B1096)</f>
        <v>1</v>
      </c>
      <c r="U1096">
        <f>COUNTIF('🚴 Riders'!A1095:A1155, C1096)</f>
        <v>0</v>
      </c>
      <c r="V1096">
        <f>COUNTIF('🏭 Facilities'!A1095:A1103, D1096)</f>
        <v>0</v>
      </c>
    </row>
    <row r="1097" spans="1:22">
      <c r="A1097" s="18" t="s">
        <v>2827</v>
      </c>
      <c r="B1097" s="18" t="s">
        <v>191</v>
      </c>
      <c r="C1097" s="18" t="s">
        <v>350</v>
      </c>
      <c r="D1097" s="18" t="s">
        <v>197</v>
      </c>
      <c r="E1097" s="26">
        <v>45181</v>
      </c>
      <c r="F1097" s="18" t="s">
        <v>2828</v>
      </c>
      <c r="G1097" s="18" t="s">
        <v>132</v>
      </c>
      <c r="H1097" s="18">
        <v>1.8</v>
      </c>
      <c r="I1097" s="18">
        <v>399</v>
      </c>
      <c r="J1097" s="18">
        <v>10</v>
      </c>
      <c r="K1097" s="18">
        <v>646.38</v>
      </c>
      <c r="L1097" s="18" t="s">
        <v>207</v>
      </c>
      <c r="M1097" s="18" t="s">
        <v>119</v>
      </c>
      <c r="N1097" s="28">
        <v>45181.694444444445</v>
      </c>
      <c r="O1097" s="28">
        <v>45182.181944444441</v>
      </c>
      <c r="P1097" s="18">
        <v>4.5</v>
      </c>
      <c r="Q1097" s="18" t="b">
        <f>FALSE()</f>
        <v>0</v>
      </c>
      <c r="R1097" s="18" t="b">
        <f>FALSE()</f>
        <v>0</v>
      </c>
      <c r="S1097" s="19">
        <f t="shared" si="17"/>
        <v>11.7</v>
      </c>
      <c r="T1097">
        <f>COUNTIF('👤 Customers'!$A:$A, B1097)</f>
        <v>1</v>
      </c>
      <c r="U1097">
        <f>COUNTIF('🚴 Riders'!A1096:A1156, C1097)</f>
        <v>0</v>
      </c>
      <c r="V1097">
        <f>COUNTIF('🏭 Facilities'!A1096:A1104, D1097)</f>
        <v>0</v>
      </c>
    </row>
    <row r="1098" spans="1:22">
      <c r="A1098" s="16" t="s">
        <v>2829</v>
      </c>
      <c r="B1098" s="16" t="s">
        <v>2830</v>
      </c>
      <c r="C1098" s="16" t="s">
        <v>272</v>
      </c>
      <c r="D1098" s="16" t="s">
        <v>197</v>
      </c>
      <c r="E1098" s="25">
        <v>44939</v>
      </c>
      <c r="F1098" s="16" t="s">
        <v>2831</v>
      </c>
      <c r="G1098" s="16" t="s">
        <v>176</v>
      </c>
      <c r="H1098" s="16">
        <v>2.9</v>
      </c>
      <c r="I1098" s="16">
        <v>599</v>
      </c>
      <c r="J1098" s="16">
        <v>20</v>
      </c>
      <c r="K1098" s="16">
        <v>1389.68</v>
      </c>
      <c r="L1098" s="16" t="s">
        <v>126</v>
      </c>
      <c r="M1098" s="16" t="s">
        <v>140</v>
      </c>
      <c r="N1098" s="27">
        <v>44939.618055555555</v>
      </c>
      <c r="O1098" s="27">
        <v>44940.535416666666</v>
      </c>
      <c r="P1098" s="20"/>
      <c r="Q1098" s="16" t="b">
        <f>FALSE()</f>
        <v>0</v>
      </c>
      <c r="R1098" s="16" t="b">
        <f>TRUE()</f>
        <v>1</v>
      </c>
      <c r="S1098" s="17">
        <f t="shared" si="17"/>
        <v>22</v>
      </c>
      <c r="T1098">
        <f>COUNTIF('👤 Customers'!$A:$A, B1098)</f>
        <v>1</v>
      </c>
      <c r="U1098">
        <f>COUNTIF('🚴 Riders'!A1097:A1157, C1098)</f>
        <v>0</v>
      </c>
      <c r="V1098">
        <f>COUNTIF('🏭 Facilities'!A1097:A1105, D1098)</f>
        <v>0</v>
      </c>
    </row>
    <row r="1099" spans="1:22">
      <c r="A1099" s="18" t="s">
        <v>2832</v>
      </c>
      <c r="B1099" s="18" t="s">
        <v>574</v>
      </c>
      <c r="C1099" s="18" t="s">
        <v>563</v>
      </c>
      <c r="D1099" s="18" t="s">
        <v>137</v>
      </c>
      <c r="E1099" s="26">
        <v>45224</v>
      </c>
      <c r="F1099" s="18" t="s">
        <v>2833</v>
      </c>
      <c r="G1099" s="18" t="s">
        <v>176</v>
      </c>
      <c r="H1099" s="18">
        <v>4.7</v>
      </c>
      <c r="I1099" s="18">
        <v>599</v>
      </c>
      <c r="J1099" s="18">
        <v>30</v>
      </c>
      <c r="K1099" s="18">
        <v>1970.71</v>
      </c>
      <c r="L1099" s="18" t="s">
        <v>139</v>
      </c>
      <c r="M1099" s="18" t="s">
        <v>140</v>
      </c>
      <c r="N1099" s="28">
        <v>45224.538888888892</v>
      </c>
      <c r="O1099" s="28">
        <v>45225.19027777778</v>
      </c>
      <c r="P1099" s="20"/>
      <c r="Q1099" s="18" t="b">
        <f>TRUE()</f>
        <v>1</v>
      </c>
      <c r="R1099" s="18" t="b">
        <f>FALSE()</f>
        <v>0</v>
      </c>
      <c r="S1099" s="19">
        <f t="shared" si="17"/>
        <v>15.6</v>
      </c>
      <c r="T1099">
        <f>COUNTIF('👤 Customers'!$A:$A, B1099)</f>
        <v>1</v>
      </c>
      <c r="U1099">
        <f>COUNTIF('🚴 Riders'!A1098:A1158, C1099)</f>
        <v>0</v>
      </c>
      <c r="V1099">
        <f>COUNTIF('🏭 Facilities'!A1098:A1106, D1099)</f>
        <v>0</v>
      </c>
    </row>
    <row r="1100" spans="1:22">
      <c r="A1100" s="16" t="s">
        <v>2834</v>
      </c>
      <c r="B1100" s="16" t="s">
        <v>535</v>
      </c>
      <c r="C1100" s="16" t="s">
        <v>326</v>
      </c>
      <c r="D1100" s="16" t="s">
        <v>158</v>
      </c>
      <c r="E1100" s="25">
        <v>45109</v>
      </c>
      <c r="F1100" s="16" t="s">
        <v>2835</v>
      </c>
      <c r="G1100" s="16" t="s">
        <v>176</v>
      </c>
      <c r="H1100" s="16">
        <v>4.7</v>
      </c>
      <c r="I1100" s="16">
        <v>599</v>
      </c>
      <c r="J1100" s="16">
        <v>20</v>
      </c>
      <c r="K1100" s="16">
        <v>2252.2399999999998</v>
      </c>
      <c r="L1100" s="16" t="s">
        <v>139</v>
      </c>
      <c r="M1100" s="16" t="s">
        <v>119</v>
      </c>
      <c r="N1100" s="27">
        <v>45109.616666666669</v>
      </c>
      <c r="O1100" s="27">
        <v>45110.654166666667</v>
      </c>
      <c r="P1100" s="16">
        <v>2.6</v>
      </c>
      <c r="Q1100" s="16" t="b">
        <f>FALSE()</f>
        <v>0</v>
      </c>
      <c r="R1100" s="16" t="b">
        <f>FALSE()</f>
        <v>0</v>
      </c>
      <c r="S1100" s="17">
        <f t="shared" si="17"/>
        <v>24.9</v>
      </c>
      <c r="T1100">
        <f>COUNTIF('👤 Customers'!$A:$A, B1100)</f>
        <v>1</v>
      </c>
      <c r="U1100">
        <f>COUNTIF('🚴 Riders'!A1099:A1159, C1100)</f>
        <v>0</v>
      </c>
      <c r="V1100">
        <f>COUNTIF('🏭 Facilities'!A1099:A1107, D1100)</f>
        <v>0</v>
      </c>
    </row>
    <row r="1101" spans="1:22">
      <c r="A1101" s="18" t="s">
        <v>2836</v>
      </c>
      <c r="B1101" s="18" t="s">
        <v>325</v>
      </c>
      <c r="C1101" s="18" t="s">
        <v>162</v>
      </c>
      <c r="D1101" s="18" t="s">
        <v>205</v>
      </c>
      <c r="E1101" s="26">
        <v>45320</v>
      </c>
      <c r="F1101" s="18" t="s">
        <v>2837</v>
      </c>
      <c r="G1101" s="18" t="s">
        <v>145</v>
      </c>
      <c r="H1101" s="18">
        <v>6.5</v>
      </c>
      <c r="I1101" s="18">
        <v>299</v>
      </c>
      <c r="J1101" s="18">
        <v>0</v>
      </c>
      <c r="K1101" s="18">
        <v>1943.5</v>
      </c>
      <c r="L1101" s="18" t="s">
        <v>118</v>
      </c>
      <c r="M1101" s="18" t="s">
        <v>119</v>
      </c>
      <c r="N1101" s="28">
        <v>45320.424305555556</v>
      </c>
      <c r="O1101" s="28">
        <v>45321.374305555553</v>
      </c>
      <c r="P1101" s="18">
        <v>3.9</v>
      </c>
      <c r="Q1101" s="18" t="b">
        <f>FALSE()</f>
        <v>0</v>
      </c>
      <c r="R1101" s="18" t="b">
        <f>FALSE()</f>
        <v>0</v>
      </c>
      <c r="S1101" s="19">
        <f t="shared" si="17"/>
        <v>22.8</v>
      </c>
      <c r="T1101">
        <f>COUNTIF('👤 Customers'!$A:$A, B1101)</f>
        <v>1</v>
      </c>
      <c r="U1101">
        <f>COUNTIF('🚴 Riders'!A1100:A1160, C1101)</f>
        <v>0</v>
      </c>
      <c r="V1101">
        <f>COUNTIF('🏭 Facilities'!A1100:A1108, D1101)</f>
        <v>0</v>
      </c>
    </row>
    <row r="1102" spans="1:22">
      <c r="A1102" s="16" t="s">
        <v>2838</v>
      </c>
      <c r="B1102" s="16" t="s">
        <v>1933</v>
      </c>
      <c r="C1102" s="16" t="s">
        <v>487</v>
      </c>
      <c r="D1102" s="16" t="s">
        <v>197</v>
      </c>
      <c r="E1102" s="25">
        <v>45209</v>
      </c>
      <c r="F1102" s="16" t="s">
        <v>2839</v>
      </c>
      <c r="G1102" s="16" t="s">
        <v>117</v>
      </c>
      <c r="H1102" s="16">
        <v>6.5</v>
      </c>
      <c r="I1102" s="16">
        <v>149</v>
      </c>
      <c r="J1102" s="16">
        <v>20</v>
      </c>
      <c r="K1102" s="16">
        <v>774.8</v>
      </c>
      <c r="L1102" s="16" t="s">
        <v>139</v>
      </c>
      <c r="M1102" s="16" t="s">
        <v>119</v>
      </c>
      <c r="N1102" s="27">
        <v>45209.54791666667</v>
      </c>
      <c r="O1102" s="27">
        <v>45210.015972222223</v>
      </c>
      <c r="P1102" s="16">
        <v>5</v>
      </c>
      <c r="Q1102" s="16" t="b">
        <f>TRUE()</f>
        <v>1</v>
      </c>
      <c r="R1102" s="16" t="b">
        <f>FALSE()</f>
        <v>0</v>
      </c>
      <c r="S1102" s="17">
        <f t="shared" si="17"/>
        <v>11.2</v>
      </c>
      <c r="T1102">
        <f>COUNTIF('👤 Customers'!$A:$A, B1102)</f>
        <v>1</v>
      </c>
      <c r="U1102">
        <f>COUNTIF('🚴 Riders'!A1101:A1161, C1102)</f>
        <v>0</v>
      </c>
      <c r="V1102">
        <f>COUNTIF('🏭 Facilities'!A1101:A1109, D1102)</f>
        <v>0</v>
      </c>
    </row>
    <row r="1103" spans="1:22">
      <c r="A1103" s="18" t="s">
        <v>2840</v>
      </c>
      <c r="B1103" s="18" t="s">
        <v>475</v>
      </c>
      <c r="C1103" s="18" t="s">
        <v>129</v>
      </c>
      <c r="D1103" s="18" t="s">
        <v>137</v>
      </c>
      <c r="E1103" s="26">
        <v>44931</v>
      </c>
      <c r="F1103" s="18" t="s">
        <v>2841</v>
      </c>
      <c r="G1103" s="18" t="s">
        <v>125</v>
      </c>
      <c r="H1103" s="18">
        <v>1.3</v>
      </c>
      <c r="I1103" s="18">
        <v>199</v>
      </c>
      <c r="J1103" s="18">
        <v>20</v>
      </c>
      <c r="K1103" s="18">
        <v>206.96</v>
      </c>
      <c r="L1103" s="18" t="s">
        <v>126</v>
      </c>
      <c r="M1103" s="18" t="s">
        <v>119</v>
      </c>
      <c r="N1103" s="28">
        <v>44931.974305555559</v>
      </c>
      <c r="O1103" s="28">
        <v>44932.77847222222</v>
      </c>
      <c r="P1103" s="18">
        <v>4.5</v>
      </c>
      <c r="Q1103" s="18" t="b">
        <f>FALSE()</f>
        <v>0</v>
      </c>
      <c r="R1103" s="18" t="b">
        <f>TRUE()</f>
        <v>1</v>
      </c>
      <c r="S1103" s="19">
        <f t="shared" si="17"/>
        <v>19.3</v>
      </c>
      <c r="T1103">
        <f>COUNTIF('👤 Customers'!$A:$A, B1103)</f>
        <v>1</v>
      </c>
      <c r="U1103">
        <f>COUNTIF('🚴 Riders'!A1102:A1162, C1103)</f>
        <v>0</v>
      </c>
      <c r="V1103">
        <f>COUNTIF('🏭 Facilities'!A1102:A1110, D1103)</f>
        <v>0</v>
      </c>
    </row>
    <row r="1104" spans="1:22">
      <c r="A1104" s="16" t="s">
        <v>2842</v>
      </c>
      <c r="B1104" s="16" t="s">
        <v>439</v>
      </c>
      <c r="C1104" s="16" t="s">
        <v>228</v>
      </c>
      <c r="D1104" s="16" t="s">
        <v>123</v>
      </c>
      <c r="E1104" s="25">
        <v>44931</v>
      </c>
      <c r="F1104" s="16" t="s">
        <v>2843</v>
      </c>
      <c r="G1104" s="16" t="s">
        <v>117</v>
      </c>
      <c r="H1104" s="16">
        <v>3.4</v>
      </c>
      <c r="I1104" s="16">
        <v>149</v>
      </c>
      <c r="J1104" s="16">
        <v>0</v>
      </c>
      <c r="K1104" s="16">
        <v>506.6</v>
      </c>
      <c r="L1104" s="16" t="s">
        <v>118</v>
      </c>
      <c r="M1104" s="16" t="s">
        <v>119</v>
      </c>
      <c r="N1104" s="27">
        <v>44931.438888888886</v>
      </c>
      <c r="O1104" s="27">
        <v>44932.111111111109</v>
      </c>
      <c r="P1104" s="16">
        <v>3.2</v>
      </c>
      <c r="Q1104" s="16" t="b">
        <f>FALSE()</f>
        <v>0</v>
      </c>
      <c r="R1104" s="16" t="b">
        <f>FALSE()</f>
        <v>0</v>
      </c>
      <c r="S1104" s="17">
        <f t="shared" si="17"/>
        <v>16.100000000000001</v>
      </c>
      <c r="T1104">
        <f>COUNTIF('👤 Customers'!$A:$A, B1104)</f>
        <v>1</v>
      </c>
      <c r="U1104">
        <f>COUNTIF('🚴 Riders'!A1103:A1163, C1104)</f>
        <v>0</v>
      </c>
      <c r="V1104">
        <f>COUNTIF('🏭 Facilities'!A1103:A1111, D1104)</f>
        <v>0</v>
      </c>
    </row>
    <row r="1105" spans="1:22">
      <c r="A1105" s="18" t="s">
        <v>2844</v>
      </c>
      <c r="B1105" s="18" t="s">
        <v>598</v>
      </c>
      <c r="C1105" s="18" t="s">
        <v>247</v>
      </c>
      <c r="D1105" s="18" t="s">
        <v>115</v>
      </c>
      <c r="E1105" s="26">
        <v>45226</v>
      </c>
      <c r="F1105" s="18" t="s">
        <v>2845</v>
      </c>
      <c r="G1105" s="18" t="s">
        <v>176</v>
      </c>
      <c r="H1105" s="18">
        <v>5.3</v>
      </c>
      <c r="I1105" s="18">
        <v>599</v>
      </c>
      <c r="J1105" s="18">
        <v>10</v>
      </c>
      <c r="K1105" s="18">
        <v>2857.23</v>
      </c>
      <c r="L1105" s="18" t="s">
        <v>139</v>
      </c>
      <c r="M1105" s="18" t="s">
        <v>119</v>
      </c>
      <c r="N1105" s="28">
        <v>45226.772916666669</v>
      </c>
      <c r="O1105" s="28">
        <v>45227.784722222219</v>
      </c>
      <c r="P1105" s="18">
        <v>4.3</v>
      </c>
      <c r="Q1105" s="18" t="b">
        <f>FALSE()</f>
        <v>0</v>
      </c>
      <c r="R1105" s="18" t="b">
        <f>FALSE()</f>
        <v>0</v>
      </c>
      <c r="S1105" s="19">
        <f t="shared" si="17"/>
        <v>24.3</v>
      </c>
      <c r="T1105">
        <f>COUNTIF('👤 Customers'!$A:$A, B1105)</f>
        <v>1</v>
      </c>
      <c r="U1105">
        <f>COUNTIF('🚴 Riders'!A1104:A1164, C1105)</f>
        <v>0</v>
      </c>
      <c r="V1105">
        <f>COUNTIF('🏭 Facilities'!A1104:A1112, D1105)</f>
        <v>0</v>
      </c>
    </row>
    <row r="1106" spans="1:22">
      <c r="A1106" s="16" t="s">
        <v>2846</v>
      </c>
      <c r="B1106" s="16" t="s">
        <v>2847</v>
      </c>
      <c r="C1106" s="16" t="s">
        <v>183</v>
      </c>
      <c r="D1106" s="16" t="s">
        <v>130</v>
      </c>
      <c r="E1106" s="25">
        <v>45507</v>
      </c>
      <c r="F1106" s="16" t="s">
        <v>2848</v>
      </c>
      <c r="G1106" s="16" t="s">
        <v>125</v>
      </c>
      <c r="H1106" s="16">
        <v>1.9</v>
      </c>
      <c r="I1106" s="16">
        <v>199</v>
      </c>
      <c r="J1106" s="16">
        <v>20</v>
      </c>
      <c r="K1106" s="16">
        <v>302.48</v>
      </c>
      <c r="L1106" s="16" t="s">
        <v>207</v>
      </c>
      <c r="M1106" s="16" t="s">
        <v>140</v>
      </c>
      <c r="N1106" s="27">
        <v>45507.257638888892</v>
      </c>
      <c r="O1106" s="27">
        <v>45508.262499999997</v>
      </c>
      <c r="P1106" s="20"/>
      <c r="Q1106" s="16" t="b">
        <f>FALSE()</f>
        <v>0</v>
      </c>
      <c r="R1106" s="16" t="b">
        <f>FALSE()</f>
        <v>0</v>
      </c>
      <c r="S1106" s="17">
        <f t="shared" si="17"/>
        <v>24.1</v>
      </c>
      <c r="T1106">
        <f>COUNTIF('👤 Customers'!$A:$A, B1106)</f>
        <v>1</v>
      </c>
      <c r="U1106">
        <f>COUNTIF('🚴 Riders'!A1105:A1165, C1106)</f>
        <v>0</v>
      </c>
      <c r="V1106">
        <f>COUNTIF('🏭 Facilities'!A1105:A1113, D1106)</f>
        <v>0</v>
      </c>
    </row>
    <row r="1107" spans="1:22">
      <c r="A1107" s="18" t="s">
        <v>2849</v>
      </c>
      <c r="B1107" s="18" t="s">
        <v>830</v>
      </c>
      <c r="C1107" s="18" t="s">
        <v>261</v>
      </c>
      <c r="D1107" s="18" t="s">
        <v>197</v>
      </c>
      <c r="E1107" s="26">
        <v>45009</v>
      </c>
      <c r="F1107" s="18" t="s">
        <v>2850</v>
      </c>
      <c r="G1107" s="18" t="s">
        <v>132</v>
      </c>
      <c r="H1107" s="18">
        <v>2.2999999999999998</v>
      </c>
      <c r="I1107" s="18">
        <v>399</v>
      </c>
      <c r="J1107" s="18">
        <v>0</v>
      </c>
      <c r="K1107" s="18">
        <v>917.7</v>
      </c>
      <c r="L1107" s="18" t="s">
        <v>126</v>
      </c>
      <c r="M1107" s="18" t="s">
        <v>119</v>
      </c>
      <c r="N1107" s="28">
        <v>45009.334027777775</v>
      </c>
      <c r="O1107" s="28">
        <v>45010.338194444441</v>
      </c>
      <c r="P1107" s="18">
        <v>3.4</v>
      </c>
      <c r="Q1107" s="18" t="b">
        <f>TRUE()</f>
        <v>1</v>
      </c>
      <c r="R1107" s="18" t="b">
        <f>TRUE()</f>
        <v>1</v>
      </c>
      <c r="S1107" s="19">
        <f t="shared" si="17"/>
        <v>24.1</v>
      </c>
      <c r="T1107">
        <f>COUNTIF('👤 Customers'!$A:$A, B1107)</f>
        <v>1</v>
      </c>
      <c r="U1107">
        <f>COUNTIF('🚴 Riders'!A1106:A1166, C1107)</f>
        <v>0</v>
      </c>
      <c r="V1107">
        <f>COUNTIF('🏭 Facilities'!A1106:A1114, D1107)</f>
        <v>0</v>
      </c>
    </row>
    <row r="1108" spans="1:22">
      <c r="A1108" s="16" t="s">
        <v>2851</v>
      </c>
      <c r="B1108" s="16" t="s">
        <v>707</v>
      </c>
      <c r="C1108" s="16" t="s">
        <v>213</v>
      </c>
      <c r="D1108" s="16" t="s">
        <v>158</v>
      </c>
      <c r="E1108" s="25">
        <v>45117</v>
      </c>
      <c r="F1108" s="16" t="s">
        <v>2852</v>
      </c>
      <c r="G1108" s="16" t="s">
        <v>145</v>
      </c>
      <c r="H1108" s="16">
        <v>2.8</v>
      </c>
      <c r="I1108" s="16">
        <v>299</v>
      </c>
      <c r="J1108" s="16">
        <v>0</v>
      </c>
      <c r="K1108" s="16">
        <v>837.2</v>
      </c>
      <c r="L1108" s="16" t="s">
        <v>146</v>
      </c>
      <c r="M1108" s="16" t="s">
        <v>140</v>
      </c>
      <c r="N1108" s="27">
        <v>45117.202777777777</v>
      </c>
      <c r="O1108" s="27">
        <v>45117.79791666667</v>
      </c>
      <c r="P1108" s="20"/>
      <c r="Q1108" s="16" t="b">
        <f>FALSE()</f>
        <v>0</v>
      </c>
      <c r="R1108" s="16" t="b">
        <f>FALSE()</f>
        <v>0</v>
      </c>
      <c r="S1108" s="17">
        <f t="shared" si="17"/>
        <v>14.3</v>
      </c>
      <c r="T1108">
        <f>COUNTIF('👤 Customers'!$A:$A, B1108)</f>
        <v>1</v>
      </c>
      <c r="U1108">
        <f>COUNTIF('🚴 Riders'!A1107:A1167, C1108)</f>
        <v>0</v>
      </c>
      <c r="V1108">
        <f>COUNTIF('🏭 Facilities'!A1107:A1115, D1108)</f>
        <v>0</v>
      </c>
    </row>
    <row r="1109" spans="1:22">
      <c r="A1109" s="18" t="s">
        <v>2853</v>
      </c>
      <c r="B1109" s="18" t="s">
        <v>349</v>
      </c>
      <c r="C1109" s="18" t="s">
        <v>213</v>
      </c>
      <c r="D1109" s="18" t="s">
        <v>137</v>
      </c>
      <c r="E1109" s="26">
        <v>45064</v>
      </c>
      <c r="F1109" s="18" t="s">
        <v>2854</v>
      </c>
      <c r="G1109" s="18" t="s">
        <v>132</v>
      </c>
      <c r="H1109" s="18">
        <v>7.3</v>
      </c>
      <c r="I1109" s="18">
        <v>399</v>
      </c>
      <c r="J1109" s="18">
        <v>0</v>
      </c>
      <c r="K1109" s="18">
        <v>2912.7</v>
      </c>
      <c r="L1109" s="18" t="s">
        <v>139</v>
      </c>
      <c r="M1109" s="18" t="s">
        <v>119</v>
      </c>
      <c r="N1109" s="28">
        <v>45064.493055555555</v>
      </c>
      <c r="O1109" s="28">
        <v>45065.561111111114</v>
      </c>
      <c r="P1109" s="18">
        <v>2.9</v>
      </c>
      <c r="Q1109" s="18" t="b">
        <f>FALSE()</f>
        <v>0</v>
      </c>
      <c r="R1109" s="18" t="b">
        <f>TRUE()</f>
        <v>1</v>
      </c>
      <c r="S1109" s="19">
        <f t="shared" si="17"/>
        <v>25.6</v>
      </c>
      <c r="T1109">
        <f>COUNTIF('👤 Customers'!$A:$A, B1109)</f>
        <v>1</v>
      </c>
      <c r="U1109">
        <f>COUNTIF('🚴 Riders'!A1108:A1168, C1109)</f>
        <v>0</v>
      </c>
      <c r="V1109">
        <f>COUNTIF('🏭 Facilities'!A1108:A1116, D1109)</f>
        <v>0</v>
      </c>
    </row>
    <row r="1110" spans="1:22">
      <c r="A1110" s="16" t="s">
        <v>2855</v>
      </c>
      <c r="B1110" s="16" t="s">
        <v>516</v>
      </c>
      <c r="C1110" s="16" t="s">
        <v>283</v>
      </c>
      <c r="D1110" s="16" t="s">
        <v>197</v>
      </c>
      <c r="E1110" s="25">
        <v>45037</v>
      </c>
      <c r="F1110" s="16" t="s">
        <v>2856</v>
      </c>
      <c r="G1110" s="16" t="s">
        <v>176</v>
      </c>
      <c r="H1110" s="16">
        <v>1.6</v>
      </c>
      <c r="I1110" s="16">
        <v>599</v>
      </c>
      <c r="J1110" s="16">
        <v>20</v>
      </c>
      <c r="K1110" s="16">
        <v>766.72</v>
      </c>
      <c r="L1110" s="16" t="s">
        <v>139</v>
      </c>
      <c r="M1110" s="16" t="s">
        <v>140</v>
      </c>
      <c r="N1110" s="27">
        <v>45037.769444444442</v>
      </c>
      <c r="O1110" s="27">
        <v>45038.402777777781</v>
      </c>
      <c r="P1110" s="20"/>
      <c r="Q1110" s="16" t="b">
        <f>TRUE()</f>
        <v>1</v>
      </c>
      <c r="R1110" s="16" t="b">
        <f>FALSE()</f>
        <v>0</v>
      </c>
      <c r="S1110" s="17">
        <f t="shared" si="17"/>
        <v>15.2</v>
      </c>
      <c r="T1110">
        <f>COUNTIF('👤 Customers'!$A:$A, B1110)</f>
        <v>1</v>
      </c>
      <c r="U1110">
        <f>COUNTIF('🚴 Riders'!A1109:A1169, C1110)</f>
        <v>0</v>
      </c>
      <c r="V1110">
        <f>COUNTIF('🏭 Facilities'!A1109:A1117, D1110)</f>
        <v>0</v>
      </c>
    </row>
    <row r="1111" spans="1:22">
      <c r="A1111" s="18" t="s">
        <v>2857</v>
      </c>
      <c r="B1111" s="18" t="s">
        <v>2858</v>
      </c>
      <c r="C1111" s="18" t="s">
        <v>166</v>
      </c>
      <c r="D1111" s="18" t="s">
        <v>130</v>
      </c>
      <c r="E1111" s="26">
        <v>45484</v>
      </c>
      <c r="F1111" s="18" t="s">
        <v>2859</v>
      </c>
      <c r="G1111" s="18" t="s">
        <v>145</v>
      </c>
      <c r="H1111" s="18">
        <v>7.7</v>
      </c>
      <c r="I1111" s="18">
        <v>299</v>
      </c>
      <c r="J1111" s="18">
        <v>10</v>
      </c>
      <c r="K1111" s="18">
        <v>2072.0700000000002</v>
      </c>
      <c r="L1111" s="18" t="s">
        <v>146</v>
      </c>
      <c r="M1111" s="18" t="s">
        <v>119</v>
      </c>
      <c r="N1111" s="28">
        <v>45484.941666666666</v>
      </c>
      <c r="O1111" s="28">
        <v>45485.765277777777</v>
      </c>
      <c r="P1111" s="18">
        <v>4.0999999999999996</v>
      </c>
      <c r="Q1111" s="18" t="b">
        <f>FALSE()</f>
        <v>0</v>
      </c>
      <c r="R1111" s="18" t="b">
        <f>FALSE()</f>
        <v>0</v>
      </c>
      <c r="S1111" s="19">
        <f t="shared" si="17"/>
        <v>19.8</v>
      </c>
      <c r="T1111">
        <f>COUNTIF('👤 Customers'!$A:$A, B1111)</f>
        <v>1</v>
      </c>
      <c r="U1111">
        <f>COUNTIF('🚴 Riders'!A1110:A1170, C1111)</f>
        <v>0</v>
      </c>
      <c r="V1111">
        <f>COUNTIF('🏭 Facilities'!A1110:A1118, D1111)</f>
        <v>0</v>
      </c>
    </row>
    <row r="1112" spans="1:22">
      <c r="A1112" s="16" t="s">
        <v>2860</v>
      </c>
      <c r="B1112" s="16" t="s">
        <v>2220</v>
      </c>
      <c r="C1112" s="16" t="s">
        <v>479</v>
      </c>
      <c r="D1112" s="16" t="s">
        <v>137</v>
      </c>
      <c r="E1112" s="25">
        <v>45646</v>
      </c>
      <c r="F1112" s="16" t="s">
        <v>2861</v>
      </c>
      <c r="G1112" s="16" t="s">
        <v>125</v>
      </c>
      <c r="H1112" s="16">
        <v>3.3</v>
      </c>
      <c r="I1112" s="16">
        <v>199</v>
      </c>
      <c r="J1112" s="16">
        <v>0</v>
      </c>
      <c r="K1112" s="16">
        <v>656.7</v>
      </c>
      <c r="L1112" s="16" t="s">
        <v>126</v>
      </c>
      <c r="M1112" s="16" t="s">
        <v>133</v>
      </c>
      <c r="N1112" s="20"/>
      <c r="O1112" s="20"/>
      <c r="P1112" s="20"/>
      <c r="Q1112" s="16" t="b">
        <f>FALSE()</f>
        <v>0</v>
      </c>
      <c r="R1112" s="16" t="b">
        <f>FALSE()</f>
        <v>0</v>
      </c>
      <c r="S1112" s="17" t="str">
        <f t="shared" si="17"/>
        <v>N/A</v>
      </c>
      <c r="T1112">
        <f>COUNTIF('👤 Customers'!$A:$A, B1112)</f>
        <v>1</v>
      </c>
      <c r="U1112">
        <f>COUNTIF('🚴 Riders'!A1111:A1171, C1112)</f>
        <v>0</v>
      </c>
      <c r="V1112">
        <f>COUNTIF('🏭 Facilities'!A1111:A1119, D1112)</f>
        <v>0</v>
      </c>
    </row>
    <row r="1113" spans="1:22">
      <c r="A1113" s="18" t="s">
        <v>2862</v>
      </c>
      <c r="B1113" s="18" t="s">
        <v>684</v>
      </c>
      <c r="C1113" s="18" t="s">
        <v>358</v>
      </c>
      <c r="D1113" s="18" t="s">
        <v>130</v>
      </c>
      <c r="E1113" s="26">
        <v>45437</v>
      </c>
      <c r="F1113" s="18" t="s">
        <v>2863</v>
      </c>
      <c r="G1113" s="18" t="s">
        <v>176</v>
      </c>
      <c r="H1113" s="18">
        <v>1.5</v>
      </c>
      <c r="I1113" s="18">
        <v>599</v>
      </c>
      <c r="J1113" s="18">
        <v>0</v>
      </c>
      <c r="K1113" s="18">
        <v>898.5</v>
      </c>
      <c r="L1113" s="18" t="s">
        <v>146</v>
      </c>
      <c r="M1113" s="18" t="s">
        <v>133</v>
      </c>
      <c r="N1113" s="20"/>
      <c r="O1113" s="20"/>
      <c r="P1113" s="20"/>
      <c r="Q1113" s="18" t="b">
        <f>FALSE()</f>
        <v>0</v>
      </c>
      <c r="R1113" s="18" t="b">
        <f>FALSE()</f>
        <v>0</v>
      </c>
      <c r="S1113" s="19" t="str">
        <f t="shared" si="17"/>
        <v>N/A</v>
      </c>
      <c r="T1113">
        <f>COUNTIF('👤 Customers'!$A:$A, B1113)</f>
        <v>1</v>
      </c>
      <c r="U1113">
        <f>COUNTIF('🚴 Riders'!A1112:A1172, C1113)</f>
        <v>0</v>
      </c>
      <c r="V1113">
        <f>COUNTIF('🏭 Facilities'!A1112:A1120, D1113)</f>
        <v>0</v>
      </c>
    </row>
    <row r="1114" spans="1:22">
      <c r="A1114" s="16" t="s">
        <v>2864</v>
      </c>
      <c r="B1114" s="16" t="s">
        <v>2865</v>
      </c>
      <c r="C1114" s="16" t="s">
        <v>236</v>
      </c>
      <c r="D1114" s="16" t="s">
        <v>130</v>
      </c>
      <c r="E1114" s="25">
        <v>45175</v>
      </c>
      <c r="F1114" s="16" t="s">
        <v>2866</v>
      </c>
      <c r="G1114" s="16" t="s">
        <v>176</v>
      </c>
      <c r="H1114" s="16">
        <v>7.6</v>
      </c>
      <c r="I1114" s="16">
        <v>599</v>
      </c>
      <c r="J1114" s="16">
        <v>0</v>
      </c>
      <c r="K1114" s="16">
        <v>4552.3999999999996</v>
      </c>
      <c r="L1114" s="16" t="s">
        <v>207</v>
      </c>
      <c r="M1114" s="16" t="s">
        <v>119</v>
      </c>
      <c r="N1114" s="27">
        <v>45175.801388888889</v>
      </c>
      <c r="O1114" s="27">
        <v>45176.638194444444</v>
      </c>
      <c r="P1114" s="16">
        <v>4.5</v>
      </c>
      <c r="Q1114" s="16" t="b">
        <f>FALSE()</f>
        <v>0</v>
      </c>
      <c r="R1114" s="16" t="b">
        <f>FALSE()</f>
        <v>0</v>
      </c>
      <c r="S1114" s="17">
        <f t="shared" si="17"/>
        <v>20.100000000000001</v>
      </c>
      <c r="T1114">
        <f>COUNTIF('👤 Customers'!$A:$A, B1114)</f>
        <v>1</v>
      </c>
      <c r="U1114">
        <f>COUNTIF('🚴 Riders'!A1113:A1173, C1114)</f>
        <v>0</v>
      </c>
      <c r="V1114">
        <f>COUNTIF('🏭 Facilities'!A1113:A1121, D1114)</f>
        <v>0</v>
      </c>
    </row>
    <row r="1115" spans="1:22">
      <c r="A1115" s="18" t="s">
        <v>2867</v>
      </c>
      <c r="B1115" s="18" t="s">
        <v>853</v>
      </c>
      <c r="C1115" s="18" t="s">
        <v>287</v>
      </c>
      <c r="D1115" s="18" t="s">
        <v>115</v>
      </c>
      <c r="E1115" s="26">
        <v>45370</v>
      </c>
      <c r="F1115" s="18" t="s">
        <v>2868</v>
      </c>
      <c r="G1115" s="18" t="s">
        <v>117</v>
      </c>
      <c r="H1115" s="18">
        <v>2.8</v>
      </c>
      <c r="I1115" s="18">
        <v>149</v>
      </c>
      <c r="J1115" s="18">
        <v>0</v>
      </c>
      <c r="K1115" s="18">
        <v>417.2</v>
      </c>
      <c r="L1115" s="18" t="s">
        <v>126</v>
      </c>
      <c r="M1115" s="18" t="s">
        <v>119</v>
      </c>
      <c r="N1115" s="28">
        <v>45370.652083333334</v>
      </c>
      <c r="O1115" s="28">
        <v>45371.50277777778</v>
      </c>
      <c r="P1115" s="18">
        <v>3</v>
      </c>
      <c r="Q1115" s="18" t="b">
        <f>FALSE()</f>
        <v>0</v>
      </c>
      <c r="R1115" s="18" t="b">
        <f>TRUE()</f>
        <v>1</v>
      </c>
      <c r="S1115" s="19">
        <f t="shared" si="17"/>
        <v>20.399999999999999</v>
      </c>
      <c r="T1115">
        <f>COUNTIF('👤 Customers'!$A:$A, B1115)</f>
        <v>1</v>
      </c>
      <c r="U1115">
        <f>COUNTIF('🚴 Riders'!A1114:A1174, C1115)</f>
        <v>0</v>
      </c>
      <c r="V1115">
        <f>COUNTIF('🏭 Facilities'!A1114:A1122, D1115)</f>
        <v>0</v>
      </c>
    </row>
    <row r="1116" spans="1:22">
      <c r="A1116" s="16" t="s">
        <v>2869</v>
      </c>
      <c r="B1116" s="16" t="s">
        <v>1048</v>
      </c>
      <c r="C1116" s="16" t="s">
        <v>236</v>
      </c>
      <c r="D1116" s="16" t="s">
        <v>205</v>
      </c>
      <c r="E1116" s="25">
        <v>44970</v>
      </c>
      <c r="F1116" s="16" t="s">
        <v>2870</v>
      </c>
      <c r="G1116" s="16" t="s">
        <v>117</v>
      </c>
      <c r="H1116" s="16">
        <v>2.7</v>
      </c>
      <c r="I1116" s="16">
        <v>149</v>
      </c>
      <c r="J1116" s="16">
        <v>20</v>
      </c>
      <c r="K1116" s="16">
        <v>321.83999999999997</v>
      </c>
      <c r="L1116" s="16" t="s">
        <v>207</v>
      </c>
      <c r="M1116" s="16" t="s">
        <v>119</v>
      </c>
      <c r="N1116" s="27">
        <v>44970.190972222219</v>
      </c>
      <c r="O1116" s="27">
        <v>44971.225694444445</v>
      </c>
      <c r="P1116" s="16">
        <v>3.9</v>
      </c>
      <c r="Q1116" s="16" t="b">
        <f>FALSE()</f>
        <v>0</v>
      </c>
      <c r="R1116" s="16" t="b">
        <f>FALSE()</f>
        <v>0</v>
      </c>
      <c r="S1116" s="17">
        <f t="shared" si="17"/>
        <v>24.8</v>
      </c>
      <c r="T1116">
        <f>COUNTIF('👤 Customers'!$A:$A, B1116)</f>
        <v>1</v>
      </c>
      <c r="U1116">
        <f>COUNTIF('🚴 Riders'!A1115:A1175, C1116)</f>
        <v>0</v>
      </c>
      <c r="V1116">
        <f>COUNTIF('🏭 Facilities'!A1115:A1123, D1116)</f>
        <v>0</v>
      </c>
    </row>
    <row r="1117" spans="1:22">
      <c r="A1117" s="18" t="s">
        <v>2871</v>
      </c>
      <c r="B1117" s="18" t="s">
        <v>195</v>
      </c>
      <c r="C1117" s="18" t="s">
        <v>1092</v>
      </c>
      <c r="D1117" s="18" t="s">
        <v>184</v>
      </c>
      <c r="E1117" s="26">
        <v>45115</v>
      </c>
      <c r="F1117" s="18" t="s">
        <v>2872</v>
      </c>
      <c r="G1117" s="18" t="s">
        <v>132</v>
      </c>
      <c r="H1117" s="18">
        <v>2</v>
      </c>
      <c r="I1117" s="18">
        <v>399</v>
      </c>
      <c r="J1117" s="18">
        <v>20</v>
      </c>
      <c r="K1117" s="18">
        <v>638.4</v>
      </c>
      <c r="L1117" s="18" t="s">
        <v>146</v>
      </c>
      <c r="M1117" s="18" t="s">
        <v>119</v>
      </c>
      <c r="N1117" s="28">
        <v>45115.804861111108</v>
      </c>
      <c r="O1117" s="28">
        <v>45116.430555555555</v>
      </c>
      <c r="P1117" s="18">
        <v>3</v>
      </c>
      <c r="Q1117" s="18" t="b">
        <f>TRUE()</f>
        <v>1</v>
      </c>
      <c r="R1117" s="18" t="b">
        <f>TRUE()</f>
        <v>1</v>
      </c>
      <c r="S1117" s="19">
        <f t="shared" si="17"/>
        <v>15</v>
      </c>
      <c r="T1117">
        <f>COUNTIF('👤 Customers'!$A:$A, B1117)</f>
        <v>1</v>
      </c>
      <c r="U1117">
        <f>COUNTIF('🚴 Riders'!A1116:A1176, C1117)</f>
        <v>0</v>
      </c>
      <c r="V1117">
        <f>COUNTIF('🏭 Facilities'!A1116:A1124, D1117)</f>
        <v>0</v>
      </c>
    </row>
    <row r="1118" spans="1:22">
      <c r="A1118" s="16" t="s">
        <v>2873</v>
      </c>
      <c r="B1118" s="16" t="s">
        <v>1480</v>
      </c>
      <c r="C1118" s="16" t="s">
        <v>717</v>
      </c>
      <c r="D1118" s="16" t="s">
        <v>205</v>
      </c>
      <c r="E1118" s="25">
        <v>45518</v>
      </c>
      <c r="F1118" s="16" t="s">
        <v>2874</v>
      </c>
      <c r="G1118" s="16" t="s">
        <v>176</v>
      </c>
      <c r="H1118" s="16">
        <v>4.4000000000000004</v>
      </c>
      <c r="I1118" s="16">
        <v>599</v>
      </c>
      <c r="J1118" s="16">
        <v>20</v>
      </c>
      <c r="K1118" s="16">
        <v>2108.48</v>
      </c>
      <c r="L1118" s="16" t="s">
        <v>207</v>
      </c>
      <c r="M1118" s="16" t="s">
        <v>140</v>
      </c>
      <c r="N1118" s="27">
        <v>45518.23333333333</v>
      </c>
      <c r="O1118" s="27">
        <v>45518.956250000003</v>
      </c>
      <c r="P1118" s="20"/>
      <c r="Q1118" s="16" t="b">
        <f>FALSE()</f>
        <v>0</v>
      </c>
      <c r="R1118" s="16" t="b">
        <f>FALSE()</f>
        <v>0</v>
      </c>
      <c r="S1118" s="17">
        <f t="shared" si="17"/>
        <v>17.399999999999999</v>
      </c>
      <c r="T1118">
        <f>COUNTIF('👤 Customers'!$A:$A, B1118)</f>
        <v>1</v>
      </c>
      <c r="U1118">
        <f>COUNTIF('🚴 Riders'!A1117:A1177, C1118)</f>
        <v>0</v>
      </c>
      <c r="V1118">
        <f>COUNTIF('🏭 Facilities'!A1117:A1125, D1118)</f>
        <v>0</v>
      </c>
    </row>
    <row r="1119" spans="1:22">
      <c r="A1119" s="18" t="s">
        <v>2875</v>
      </c>
      <c r="B1119" s="18" t="s">
        <v>513</v>
      </c>
      <c r="C1119" s="18" t="s">
        <v>611</v>
      </c>
      <c r="D1119" s="18" t="s">
        <v>184</v>
      </c>
      <c r="E1119" s="26">
        <v>45609</v>
      </c>
      <c r="F1119" s="18" t="s">
        <v>2876</v>
      </c>
      <c r="G1119" s="18" t="s">
        <v>117</v>
      </c>
      <c r="H1119" s="18">
        <v>5.7</v>
      </c>
      <c r="I1119" s="18">
        <v>149</v>
      </c>
      <c r="J1119" s="18">
        <v>0</v>
      </c>
      <c r="K1119" s="18">
        <v>849.3</v>
      </c>
      <c r="L1119" s="18" t="s">
        <v>207</v>
      </c>
      <c r="M1119" s="18" t="s">
        <v>119</v>
      </c>
      <c r="N1119" s="28">
        <v>45609.476388888892</v>
      </c>
      <c r="O1119" s="28">
        <v>45610.068749999999</v>
      </c>
      <c r="P1119" s="18">
        <v>2.5</v>
      </c>
      <c r="Q1119" s="18" t="b">
        <f>FALSE()</f>
        <v>0</v>
      </c>
      <c r="R1119" s="18" t="b">
        <f>FALSE()</f>
        <v>0</v>
      </c>
      <c r="S1119" s="19">
        <f t="shared" si="17"/>
        <v>14.2</v>
      </c>
      <c r="T1119">
        <f>COUNTIF('👤 Customers'!$A:$A, B1119)</f>
        <v>1</v>
      </c>
      <c r="U1119">
        <f>COUNTIF('🚴 Riders'!A1118:A1178, C1119)</f>
        <v>0</v>
      </c>
      <c r="V1119">
        <f>COUNTIF('🏭 Facilities'!A1118:A1126, D1119)</f>
        <v>0</v>
      </c>
    </row>
    <row r="1120" spans="1:22">
      <c r="A1120" s="16" t="s">
        <v>2877</v>
      </c>
      <c r="B1120" s="16" t="s">
        <v>2195</v>
      </c>
      <c r="C1120" s="16" t="s">
        <v>315</v>
      </c>
      <c r="D1120" s="16" t="s">
        <v>130</v>
      </c>
      <c r="E1120" s="25">
        <v>45228</v>
      </c>
      <c r="F1120" s="16" t="s">
        <v>2878</v>
      </c>
      <c r="G1120" s="16" t="s">
        <v>125</v>
      </c>
      <c r="H1120" s="16">
        <v>6.7</v>
      </c>
      <c r="I1120" s="16">
        <v>199</v>
      </c>
      <c r="J1120" s="16">
        <v>20</v>
      </c>
      <c r="K1120" s="16">
        <v>1066.6400000000001</v>
      </c>
      <c r="L1120" s="16" t="s">
        <v>146</v>
      </c>
      <c r="M1120" s="16" t="s">
        <v>133</v>
      </c>
      <c r="N1120" s="20"/>
      <c r="O1120" s="20"/>
      <c r="P1120" s="20"/>
      <c r="Q1120" s="16" t="b">
        <f>FALSE()</f>
        <v>0</v>
      </c>
      <c r="R1120" s="16" t="b">
        <f>FALSE()</f>
        <v>0</v>
      </c>
      <c r="S1120" s="17" t="str">
        <f t="shared" si="17"/>
        <v>N/A</v>
      </c>
      <c r="T1120">
        <f>COUNTIF('👤 Customers'!$A:$A, B1120)</f>
        <v>1</v>
      </c>
      <c r="U1120">
        <f>COUNTIF('🚴 Riders'!A1119:A1179, C1120)</f>
        <v>0</v>
      </c>
      <c r="V1120">
        <f>COUNTIF('🏭 Facilities'!A1119:A1127, D1120)</f>
        <v>0</v>
      </c>
    </row>
    <row r="1121" spans="1:22">
      <c r="A1121" s="18" t="s">
        <v>2879</v>
      </c>
      <c r="B1121" s="18" t="s">
        <v>2170</v>
      </c>
      <c r="C1121" s="18" t="s">
        <v>261</v>
      </c>
      <c r="D1121" s="18" t="s">
        <v>130</v>
      </c>
      <c r="E1121" s="26">
        <v>44944</v>
      </c>
      <c r="F1121" s="18" t="s">
        <v>2880</v>
      </c>
      <c r="G1121" s="18" t="s">
        <v>132</v>
      </c>
      <c r="H1121" s="18">
        <v>5.5</v>
      </c>
      <c r="I1121" s="18">
        <v>399</v>
      </c>
      <c r="J1121" s="18">
        <v>0</v>
      </c>
      <c r="K1121" s="18">
        <v>2194.5</v>
      </c>
      <c r="L1121" s="18" t="s">
        <v>139</v>
      </c>
      <c r="M1121" s="18" t="s">
        <v>140</v>
      </c>
      <c r="N1121" s="28">
        <v>44944.898611111108</v>
      </c>
      <c r="O1121" s="28">
        <v>44945.807638888888</v>
      </c>
      <c r="P1121" s="20"/>
      <c r="Q1121" s="18" t="b">
        <f>FALSE()</f>
        <v>0</v>
      </c>
      <c r="R1121" s="18" t="b">
        <f>FALSE()</f>
        <v>0</v>
      </c>
      <c r="S1121" s="19">
        <f t="shared" si="17"/>
        <v>21.8</v>
      </c>
      <c r="T1121">
        <f>COUNTIF('👤 Customers'!$A:$A, B1121)</f>
        <v>1</v>
      </c>
      <c r="U1121">
        <f>COUNTIF('🚴 Riders'!A1120:A1180, C1121)</f>
        <v>0</v>
      </c>
      <c r="V1121">
        <f>COUNTIF('🏭 Facilities'!A1120:A1128, D1121)</f>
        <v>0</v>
      </c>
    </row>
    <row r="1122" spans="1:22">
      <c r="A1122" s="16" t="s">
        <v>2881</v>
      </c>
      <c r="B1122" s="16" t="s">
        <v>698</v>
      </c>
      <c r="C1122" s="16" t="s">
        <v>220</v>
      </c>
      <c r="D1122" s="16" t="s">
        <v>115</v>
      </c>
      <c r="E1122" s="25">
        <v>45324</v>
      </c>
      <c r="F1122" s="16" t="s">
        <v>2882</v>
      </c>
      <c r="G1122" s="16" t="s">
        <v>132</v>
      </c>
      <c r="H1122" s="16">
        <v>1.4</v>
      </c>
      <c r="I1122" s="16">
        <v>399</v>
      </c>
      <c r="J1122" s="16">
        <v>20</v>
      </c>
      <c r="K1122" s="16">
        <v>446.88</v>
      </c>
      <c r="L1122" s="16" t="s">
        <v>126</v>
      </c>
      <c r="M1122" s="16" t="s">
        <v>119</v>
      </c>
      <c r="N1122" s="27">
        <v>45324.306250000001</v>
      </c>
      <c r="O1122" s="27">
        <v>45325.348611111112</v>
      </c>
      <c r="P1122" s="16">
        <v>4</v>
      </c>
      <c r="Q1122" s="16" t="b">
        <f>TRUE()</f>
        <v>1</v>
      </c>
      <c r="R1122" s="16" t="b">
        <f>FALSE()</f>
        <v>0</v>
      </c>
      <c r="S1122" s="17">
        <f t="shared" si="17"/>
        <v>25</v>
      </c>
      <c r="T1122">
        <f>COUNTIF('👤 Customers'!$A:$A, B1122)</f>
        <v>1</v>
      </c>
      <c r="U1122">
        <f>COUNTIF('🚴 Riders'!A1121:A1181, C1122)</f>
        <v>0</v>
      </c>
      <c r="V1122">
        <f>COUNTIF('🏭 Facilities'!A1121:A1129, D1122)</f>
        <v>0</v>
      </c>
    </row>
    <row r="1123" spans="1:22">
      <c r="A1123" s="18" t="s">
        <v>2883</v>
      </c>
      <c r="B1123" s="18" t="s">
        <v>2238</v>
      </c>
      <c r="C1123" s="18" t="s">
        <v>276</v>
      </c>
      <c r="D1123" s="18" t="s">
        <v>115</v>
      </c>
      <c r="E1123" s="26">
        <v>45418</v>
      </c>
      <c r="F1123" s="18" t="s">
        <v>2884</v>
      </c>
      <c r="G1123" s="18" t="s">
        <v>132</v>
      </c>
      <c r="H1123" s="18">
        <v>6.1</v>
      </c>
      <c r="I1123" s="18">
        <v>399</v>
      </c>
      <c r="J1123" s="18">
        <v>0</v>
      </c>
      <c r="K1123" s="18">
        <v>2433.9</v>
      </c>
      <c r="L1123" s="18" t="s">
        <v>207</v>
      </c>
      <c r="M1123" s="18" t="s">
        <v>119</v>
      </c>
      <c r="N1123" s="28">
        <v>45418.929166666669</v>
      </c>
      <c r="O1123" s="28">
        <v>45419.794444444444</v>
      </c>
      <c r="P1123" s="18">
        <v>2.6</v>
      </c>
      <c r="Q1123" s="18" t="b">
        <f>FALSE()</f>
        <v>0</v>
      </c>
      <c r="R1123" s="18" t="b">
        <f>FALSE()</f>
        <v>0</v>
      </c>
      <c r="S1123" s="19">
        <f t="shared" si="17"/>
        <v>20.8</v>
      </c>
      <c r="T1123">
        <f>COUNTIF('👤 Customers'!$A:$A, B1123)</f>
        <v>1</v>
      </c>
      <c r="U1123">
        <f>COUNTIF('🚴 Riders'!A1122:A1182, C1123)</f>
        <v>0</v>
      </c>
      <c r="V1123">
        <f>COUNTIF('🏭 Facilities'!A1122:A1130, D1123)</f>
        <v>0</v>
      </c>
    </row>
    <row r="1124" spans="1:22">
      <c r="A1124" s="16" t="s">
        <v>2885</v>
      </c>
      <c r="B1124" s="16" t="s">
        <v>1003</v>
      </c>
      <c r="C1124" s="16" t="s">
        <v>717</v>
      </c>
      <c r="D1124" s="16" t="s">
        <v>137</v>
      </c>
      <c r="E1124" s="25">
        <v>44996</v>
      </c>
      <c r="F1124" s="16" t="s">
        <v>2886</v>
      </c>
      <c r="G1124" s="16" t="s">
        <v>125</v>
      </c>
      <c r="H1124" s="16">
        <v>1.8</v>
      </c>
      <c r="I1124" s="16">
        <v>199</v>
      </c>
      <c r="J1124" s="16">
        <v>0</v>
      </c>
      <c r="K1124" s="16">
        <v>358.2</v>
      </c>
      <c r="L1124" s="16" t="s">
        <v>118</v>
      </c>
      <c r="M1124" s="16" t="s">
        <v>119</v>
      </c>
      <c r="N1124" s="27">
        <v>44996.46597222222</v>
      </c>
      <c r="O1124" s="27">
        <v>44996.840277777781</v>
      </c>
      <c r="P1124" s="16">
        <v>4.2</v>
      </c>
      <c r="Q1124" s="16" t="b">
        <f>FALSE()</f>
        <v>0</v>
      </c>
      <c r="R1124" s="16" t="b">
        <f>FALSE()</f>
        <v>0</v>
      </c>
      <c r="S1124" s="17">
        <f t="shared" si="17"/>
        <v>9</v>
      </c>
      <c r="T1124">
        <f>COUNTIF('👤 Customers'!$A:$A, B1124)</f>
        <v>1</v>
      </c>
      <c r="U1124">
        <f>COUNTIF('🚴 Riders'!A1123:A1183, C1124)</f>
        <v>0</v>
      </c>
      <c r="V1124">
        <f>COUNTIF('🏭 Facilities'!A1123:A1131, D1124)</f>
        <v>0</v>
      </c>
    </row>
    <row r="1125" spans="1:22">
      <c r="A1125" s="18" t="s">
        <v>2887</v>
      </c>
      <c r="B1125" s="18" t="s">
        <v>2038</v>
      </c>
      <c r="C1125" s="18" t="s">
        <v>162</v>
      </c>
      <c r="D1125" s="18" t="s">
        <v>130</v>
      </c>
      <c r="E1125" s="26">
        <v>45651</v>
      </c>
      <c r="F1125" s="18" t="s">
        <v>2888</v>
      </c>
      <c r="G1125" s="18" t="s">
        <v>132</v>
      </c>
      <c r="H1125" s="18">
        <v>2.4</v>
      </c>
      <c r="I1125" s="18">
        <v>399</v>
      </c>
      <c r="J1125" s="18">
        <v>10</v>
      </c>
      <c r="K1125" s="18">
        <v>861.84</v>
      </c>
      <c r="L1125" s="18" t="s">
        <v>146</v>
      </c>
      <c r="M1125" s="18" t="s">
        <v>140</v>
      </c>
      <c r="N1125" s="28">
        <v>45651.270138888889</v>
      </c>
      <c r="O1125" s="28">
        <v>45651.79791666667</v>
      </c>
      <c r="P1125" s="20"/>
      <c r="Q1125" s="18" t="b">
        <f>TRUE()</f>
        <v>1</v>
      </c>
      <c r="R1125" s="18" t="b">
        <f>TRUE()</f>
        <v>1</v>
      </c>
      <c r="S1125" s="19">
        <f t="shared" si="17"/>
        <v>12.7</v>
      </c>
      <c r="T1125">
        <f>COUNTIF('👤 Customers'!$A:$A, B1125)</f>
        <v>1</v>
      </c>
      <c r="U1125">
        <f>COUNTIF('🚴 Riders'!A1124:A1184, C1125)</f>
        <v>0</v>
      </c>
      <c r="V1125">
        <f>COUNTIF('🏭 Facilities'!A1124:A1132, D1125)</f>
        <v>0</v>
      </c>
    </row>
    <row r="1126" spans="1:22">
      <c r="A1126" s="16" t="s">
        <v>2889</v>
      </c>
      <c r="B1126" s="16" t="s">
        <v>535</v>
      </c>
      <c r="C1126" s="16" t="s">
        <v>257</v>
      </c>
      <c r="D1126" s="16" t="s">
        <v>158</v>
      </c>
      <c r="E1126" s="25">
        <v>45432</v>
      </c>
      <c r="F1126" s="16" t="s">
        <v>2890</v>
      </c>
      <c r="G1126" s="16" t="s">
        <v>117</v>
      </c>
      <c r="H1126" s="16">
        <v>6.4</v>
      </c>
      <c r="I1126" s="16">
        <v>149</v>
      </c>
      <c r="J1126" s="16">
        <v>0</v>
      </c>
      <c r="K1126" s="16">
        <v>953.6</v>
      </c>
      <c r="L1126" s="16" t="s">
        <v>146</v>
      </c>
      <c r="M1126" s="16" t="s">
        <v>119</v>
      </c>
      <c r="N1126" s="27">
        <v>45432.402777777781</v>
      </c>
      <c r="O1126" s="27">
        <v>45432.763888888891</v>
      </c>
      <c r="P1126" s="16">
        <v>2.9</v>
      </c>
      <c r="Q1126" s="16" t="b">
        <f>FALSE()</f>
        <v>0</v>
      </c>
      <c r="R1126" s="16" t="b">
        <f>TRUE()</f>
        <v>1</v>
      </c>
      <c r="S1126" s="17">
        <f t="shared" si="17"/>
        <v>8.6999999999999993</v>
      </c>
      <c r="T1126">
        <f>COUNTIF('👤 Customers'!$A:$A, B1126)</f>
        <v>1</v>
      </c>
      <c r="U1126">
        <f>COUNTIF('🚴 Riders'!A1125:A1185, C1126)</f>
        <v>0</v>
      </c>
      <c r="V1126">
        <f>COUNTIF('🏭 Facilities'!A1125:A1133, D1126)</f>
        <v>0</v>
      </c>
    </row>
    <row r="1127" spans="1:22">
      <c r="A1127" s="18" t="s">
        <v>2891</v>
      </c>
      <c r="B1127" s="18" t="s">
        <v>2549</v>
      </c>
      <c r="C1127" s="18" t="s">
        <v>224</v>
      </c>
      <c r="D1127" s="18" t="s">
        <v>205</v>
      </c>
      <c r="E1127" s="26">
        <v>45443</v>
      </c>
      <c r="F1127" s="18" t="s">
        <v>2892</v>
      </c>
      <c r="G1127" s="18" t="s">
        <v>117</v>
      </c>
      <c r="H1127" s="18">
        <v>7.9</v>
      </c>
      <c r="I1127" s="18">
        <v>149</v>
      </c>
      <c r="J1127" s="18">
        <v>0</v>
      </c>
      <c r="K1127" s="18">
        <v>1177.0999999999999</v>
      </c>
      <c r="L1127" s="18" t="s">
        <v>118</v>
      </c>
      <c r="M1127" s="18" t="s">
        <v>119</v>
      </c>
      <c r="N1127" s="28">
        <v>45443.536805555559</v>
      </c>
      <c r="O1127" s="28">
        <v>45443.909722222219</v>
      </c>
      <c r="P1127" s="18">
        <v>4.3</v>
      </c>
      <c r="Q1127" s="18" t="b">
        <f>FALSE()</f>
        <v>0</v>
      </c>
      <c r="R1127" s="18" t="b">
        <f>TRUE()</f>
        <v>1</v>
      </c>
      <c r="S1127" s="19">
        <f t="shared" si="17"/>
        <v>8.9</v>
      </c>
      <c r="T1127">
        <f>COUNTIF('👤 Customers'!$A:$A, B1127)</f>
        <v>1</v>
      </c>
      <c r="U1127">
        <f>COUNTIF('🚴 Riders'!A1126:A1186, C1127)</f>
        <v>0</v>
      </c>
      <c r="V1127">
        <f>COUNTIF('🏭 Facilities'!A1126:A1134, D1127)</f>
        <v>0</v>
      </c>
    </row>
    <row r="1128" spans="1:22">
      <c r="A1128" s="16" t="s">
        <v>2893</v>
      </c>
      <c r="B1128" s="16" t="s">
        <v>2497</v>
      </c>
      <c r="C1128" s="16" t="s">
        <v>236</v>
      </c>
      <c r="D1128" s="16" t="s">
        <v>184</v>
      </c>
      <c r="E1128" s="25">
        <v>45503</v>
      </c>
      <c r="F1128" s="16" t="s">
        <v>2894</v>
      </c>
      <c r="G1128" s="16" t="s">
        <v>125</v>
      </c>
      <c r="H1128" s="16">
        <v>6.6</v>
      </c>
      <c r="I1128" s="16">
        <v>199</v>
      </c>
      <c r="J1128" s="16">
        <v>0</v>
      </c>
      <c r="K1128" s="16">
        <v>1313.4</v>
      </c>
      <c r="L1128" s="16" t="s">
        <v>126</v>
      </c>
      <c r="M1128" s="16" t="s">
        <v>140</v>
      </c>
      <c r="N1128" s="27">
        <v>45503.518750000003</v>
      </c>
      <c r="O1128" s="27">
        <v>45504.134722222225</v>
      </c>
      <c r="P1128" s="20"/>
      <c r="Q1128" s="16" t="b">
        <f>FALSE()</f>
        <v>0</v>
      </c>
      <c r="R1128" s="16" t="b">
        <f>FALSE()</f>
        <v>0</v>
      </c>
      <c r="S1128" s="17">
        <f t="shared" si="17"/>
        <v>14.8</v>
      </c>
      <c r="T1128">
        <f>COUNTIF('👤 Customers'!$A:$A, B1128)</f>
        <v>1</v>
      </c>
      <c r="U1128">
        <f>COUNTIF('🚴 Riders'!A1127:A1187, C1128)</f>
        <v>0</v>
      </c>
      <c r="V1128">
        <f>COUNTIF('🏭 Facilities'!A1127:A1135, D1128)</f>
        <v>0</v>
      </c>
    </row>
    <row r="1129" spans="1:22">
      <c r="A1129" s="18" t="s">
        <v>2895</v>
      </c>
      <c r="B1129" s="18" t="s">
        <v>893</v>
      </c>
      <c r="C1129" s="18" t="s">
        <v>179</v>
      </c>
      <c r="D1129" s="18" t="s">
        <v>130</v>
      </c>
      <c r="E1129" s="26">
        <v>45037</v>
      </c>
      <c r="F1129" s="18" t="s">
        <v>2896</v>
      </c>
      <c r="G1129" s="18" t="s">
        <v>117</v>
      </c>
      <c r="H1129" s="18">
        <v>2.2999999999999998</v>
      </c>
      <c r="I1129" s="18">
        <v>149</v>
      </c>
      <c r="J1129" s="18">
        <v>20</v>
      </c>
      <c r="K1129" s="18">
        <v>274.16000000000003</v>
      </c>
      <c r="L1129" s="18" t="s">
        <v>126</v>
      </c>
      <c r="M1129" s="18" t="s">
        <v>133</v>
      </c>
      <c r="N1129" s="20"/>
      <c r="O1129" s="20"/>
      <c r="P1129" s="20"/>
      <c r="Q1129" s="18" t="b">
        <f>FALSE()</f>
        <v>0</v>
      </c>
      <c r="R1129" s="18" t="b">
        <f>TRUE()</f>
        <v>1</v>
      </c>
      <c r="S1129" s="19" t="str">
        <f t="shared" si="17"/>
        <v>N/A</v>
      </c>
      <c r="T1129">
        <f>COUNTIF('👤 Customers'!$A:$A, B1129)</f>
        <v>1</v>
      </c>
      <c r="U1129">
        <f>COUNTIF('🚴 Riders'!A1128:A1188, C1129)</f>
        <v>0</v>
      </c>
      <c r="V1129">
        <f>COUNTIF('🏭 Facilities'!A1128:A1136, D1129)</f>
        <v>0</v>
      </c>
    </row>
    <row r="1130" spans="1:22">
      <c r="A1130" s="16" t="s">
        <v>2897</v>
      </c>
      <c r="B1130" s="16" t="s">
        <v>1948</v>
      </c>
      <c r="C1130" s="16" t="s">
        <v>136</v>
      </c>
      <c r="D1130" s="16" t="s">
        <v>115</v>
      </c>
      <c r="E1130" s="25">
        <v>45503</v>
      </c>
      <c r="F1130" s="16" t="s">
        <v>2898</v>
      </c>
      <c r="G1130" s="16" t="s">
        <v>132</v>
      </c>
      <c r="H1130" s="16">
        <v>1.2</v>
      </c>
      <c r="I1130" s="16">
        <v>399</v>
      </c>
      <c r="J1130" s="16">
        <v>30</v>
      </c>
      <c r="K1130" s="16">
        <v>335.16</v>
      </c>
      <c r="L1130" s="16" t="s">
        <v>118</v>
      </c>
      <c r="M1130" s="16" t="s">
        <v>119</v>
      </c>
      <c r="N1130" s="27">
        <v>45503.911805555559</v>
      </c>
      <c r="O1130" s="27">
        <v>45504.488194444442</v>
      </c>
      <c r="P1130" s="16">
        <v>2.7</v>
      </c>
      <c r="Q1130" s="16" t="b">
        <f>FALSE()</f>
        <v>0</v>
      </c>
      <c r="R1130" s="16" t="b">
        <f>TRUE()</f>
        <v>1</v>
      </c>
      <c r="S1130" s="17">
        <f t="shared" si="17"/>
        <v>13.8</v>
      </c>
      <c r="T1130">
        <f>COUNTIF('👤 Customers'!$A:$A, B1130)</f>
        <v>1</v>
      </c>
      <c r="U1130">
        <f>COUNTIF('🚴 Riders'!A1129:A1189, C1130)</f>
        <v>0</v>
      </c>
      <c r="V1130">
        <f>COUNTIF('🏭 Facilities'!A1129:A1137, D1130)</f>
        <v>0</v>
      </c>
    </row>
    <row r="1131" spans="1:22">
      <c r="A1131" s="18" t="s">
        <v>2899</v>
      </c>
      <c r="B1131" s="18" t="s">
        <v>1672</v>
      </c>
      <c r="C1131" s="18" t="s">
        <v>143</v>
      </c>
      <c r="D1131" s="18" t="s">
        <v>197</v>
      </c>
      <c r="E1131" s="26">
        <v>45485</v>
      </c>
      <c r="F1131" s="18" t="s">
        <v>2900</v>
      </c>
      <c r="G1131" s="18" t="s">
        <v>125</v>
      </c>
      <c r="H1131" s="18">
        <v>4</v>
      </c>
      <c r="I1131" s="18">
        <v>199</v>
      </c>
      <c r="J1131" s="18">
        <v>20</v>
      </c>
      <c r="K1131" s="18">
        <v>636.79999999999995</v>
      </c>
      <c r="L1131" s="18" t="s">
        <v>118</v>
      </c>
      <c r="M1131" s="18" t="s">
        <v>119</v>
      </c>
      <c r="N1131" s="28">
        <v>45485.42083333333</v>
      </c>
      <c r="O1131" s="28">
        <v>45485.881944444445</v>
      </c>
      <c r="P1131" s="18">
        <v>3.3</v>
      </c>
      <c r="Q1131" s="18" t="b">
        <f>FALSE()</f>
        <v>0</v>
      </c>
      <c r="R1131" s="18" t="b">
        <f>TRUE()</f>
        <v>1</v>
      </c>
      <c r="S1131" s="19">
        <f t="shared" si="17"/>
        <v>11.1</v>
      </c>
      <c r="T1131">
        <f>COUNTIF('👤 Customers'!$A:$A, B1131)</f>
        <v>1</v>
      </c>
      <c r="U1131">
        <f>COUNTIF('🚴 Riders'!A1130:A1190, C1131)</f>
        <v>0</v>
      </c>
      <c r="V1131">
        <f>COUNTIF('🏭 Facilities'!A1130:A1138, D1131)</f>
        <v>0</v>
      </c>
    </row>
    <row r="1132" spans="1:22">
      <c r="A1132" s="16" t="s">
        <v>2901</v>
      </c>
      <c r="B1132" s="16" t="s">
        <v>1137</v>
      </c>
      <c r="C1132" s="16" t="s">
        <v>170</v>
      </c>
      <c r="D1132" s="16" t="s">
        <v>158</v>
      </c>
      <c r="E1132" s="25">
        <v>45609</v>
      </c>
      <c r="F1132" s="16" t="s">
        <v>2902</v>
      </c>
      <c r="G1132" s="16" t="s">
        <v>125</v>
      </c>
      <c r="H1132" s="16">
        <v>2.6</v>
      </c>
      <c r="I1132" s="16">
        <v>199</v>
      </c>
      <c r="J1132" s="16">
        <v>10</v>
      </c>
      <c r="K1132" s="16">
        <v>465.66</v>
      </c>
      <c r="L1132" s="16" t="s">
        <v>139</v>
      </c>
      <c r="M1132" s="16" t="s">
        <v>119</v>
      </c>
      <c r="N1132" s="27">
        <v>45609.443749999999</v>
      </c>
      <c r="O1132" s="27">
        <v>45609.78125</v>
      </c>
      <c r="P1132" s="16">
        <v>3.9</v>
      </c>
      <c r="Q1132" s="16" t="b">
        <f>FALSE()</f>
        <v>0</v>
      </c>
      <c r="R1132" s="16" t="b">
        <f>FALSE()</f>
        <v>0</v>
      </c>
      <c r="S1132" s="17">
        <f t="shared" si="17"/>
        <v>8.1</v>
      </c>
      <c r="T1132">
        <f>COUNTIF('👤 Customers'!$A:$A, B1132)</f>
        <v>1</v>
      </c>
      <c r="U1132">
        <f>COUNTIF('🚴 Riders'!A1131:A1191, C1132)</f>
        <v>0</v>
      </c>
      <c r="V1132">
        <f>COUNTIF('🏭 Facilities'!A1131:A1139, D1132)</f>
        <v>0</v>
      </c>
    </row>
    <row r="1133" spans="1:22">
      <c r="A1133" s="18" t="s">
        <v>2903</v>
      </c>
      <c r="B1133" s="18" t="s">
        <v>1144</v>
      </c>
      <c r="C1133" s="18" t="s">
        <v>563</v>
      </c>
      <c r="D1133" s="18" t="s">
        <v>137</v>
      </c>
      <c r="E1133" s="26">
        <v>45255</v>
      </c>
      <c r="F1133" s="18" t="s">
        <v>2904</v>
      </c>
      <c r="G1133" s="18" t="s">
        <v>117</v>
      </c>
      <c r="H1133" s="18">
        <v>5.4</v>
      </c>
      <c r="I1133" s="18">
        <v>149</v>
      </c>
      <c r="J1133" s="18">
        <v>0</v>
      </c>
      <c r="K1133" s="18">
        <v>804.6</v>
      </c>
      <c r="L1133" s="18" t="s">
        <v>207</v>
      </c>
      <c r="M1133" s="18" t="s">
        <v>133</v>
      </c>
      <c r="N1133" s="20"/>
      <c r="O1133" s="20"/>
      <c r="P1133" s="20"/>
      <c r="Q1133" s="18" t="b">
        <f>FALSE()</f>
        <v>0</v>
      </c>
      <c r="R1133" s="18" t="b">
        <f>FALSE()</f>
        <v>0</v>
      </c>
      <c r="S1133" s="19" t="str">
        <f t="shared" si="17"/>
        <v>N/A</v>
      </c>
      <c r="T1133">
        <f>COUNTIF('👤 Customers'!$A:$A, B1133)</f>
        <v>1</v>
      </c>
      <c r="U1133">
        <f>COUNTIF('🚴 Riders'!A1132:A1192, C1133)</f>
        <v>0</v>
      </c>
      <c r="V1133">
        <f>COUNTIF('🏭 Facilities'!A1132:A1140, D1133)</f>
        <v>0</v>
      </c>
    </row>
    <row r="1134" spans="1:22">
      <c r="A1134" s="16" t="s">
        <v>2905</v>
      </c>
      <c r="B1134" s="16" t="s">
        <v>2906</v>
      </c>
      <c r="C1134" s="16" t="s">
        <v>487</v>
      </c>
      <c r="D1134" s="16" t="s">
        <v>184</v>
      </c>
      <c r="E1134" s="25">
        <v>45033</v>
      </c>
      <c r="F1134" s="16" t="s">
        <v>2907</v>
      </c>
      <c r="G1134" s="16" t="s">
        <v>117</v>
      </c>
      <c r="H1134" s="16">
        <v>4.2</v>
      </c>
      <c r="I1134" s="16">
        <v>149</v>
      </c>
      <c r="J1134" s="16">
        <v>0</v>
      </c>
      <c r="K1134" s="16">
        <v>625.79999999999995</v>
      </c>
      <c r="L1134" s="16" t="s">
        <v>207</v>
      </c>
      <c r="M1134" s="16" t="s">
        <v>119</v>
      </c>
      <c r="N1134" s="27">
        <v>45033.402777777781</v>
      </c>
      <c r="O1134" s="27">
        <v>45034.338194444441</v>
      </c>
      <c r="P1134" s="16">
        <v>2.6</v>
      </c>
      <c r="Q1134" s="16" t="b">
        <f>FALSE()</f>
        <v>0</v>
      </c>
      <c r="R1134" s="16" t="b">
        <f>FALSE()</f>
        <v>0</v>
      </c>
      <c r="S1134" s="17">
        <f t="shared" si="17"/>
        <v>22.4</v>
      </c>
      <c r="T1134">
        <f>COUNTIF('👤 Customers'!$A:$A, B1134)</f>
        <v>1</v>
      </c>
      <c r="U1134">
        <f>COUNTIF('🚴 Riders'!A1133:A1193, C1134)</f>
        <v>0</v>
      </c>
      <c r="V1134">
        <f>COUNTIF('🏭 Facilities'!A1133:A1141, D1134)</f>
        <v>0</v>
      </c>
    </row>
    <row r="1135" spans="1:22">
      <c r="A1135" s="18" t="s">
        <v>2908</v>
      </c>
      <c r="B1135" s="18" t="s">
        <v>397</v>
      </c>
      <c r="C1135" s="18" t="s">
        <v>750</v>
      </c>
      <c r="D1135" s="18" t="s">
        <v>197</v>
      </c>
      <c r="E1135" s="26">
        <v>45357</v>
      </c>
      <c r="F1135" s="18" t="s">
        <v>2909</v>
      </c>
      <c r="G1135" s="18" t="s">
        <v>132</v>
      </c>
      <c r="H1135" s="18">
        <v>1.7</v>
      </c>
      <c r="I1135" s="18">
        <v>399</v>
      </c>
      <c r="J1135" s="18">
        <v>0</v>
      </c>
      <c r="K1135" s="18">
        <v>678.3</v>
      </c>
      <c r="L1135" s="18" t="s">
        <v>118</v>
      </c>
      <c r="M1135" s="18" t="s">
        <v>119</v>
      </c>
      <c r="N1135" s="28">
        <v>45357.274305555555</v>
      </c>
      <c r="O1135" s="28">
        <v>45357.887499999997</v>
      </c>
      <c r="P1135" s="18">
        <v>3.6</v>
      </c>
      <c r="Q1135" s="18" t="b">
        <f>TRUE()</f>
        <v>1</v>
      </c>
      <c r="R1135" s="18" t="b">
        <f>TRUE()</f>
        <v>1</v>
      </c>
      <c r="S1135" s="19">
        <f t="shared" si="17"/>
        <v>14.7</v>
      </c>
      <c r="T1135">
        <f>COUNTIF('👤 Customers'!$A:$A, B1135)</f>
        <v>1</v>
      </c>
      <c r="U1135">
        <f>COUNTIF('🚴 Riders'!A1134:A1194, C1135)</f>
        <v>0</v>
      </c>
      <c r="V1135">
        <f>COUNTIF('🏭 Facilities'!A1134:A1142, D1135)</f>
        <v>0</v>
      </c>
    </row>
    <row r="1136" spans="1:22">
      <c r="A1136" s="16" t="s">
        <v>2910</v>
      </c>
      <c r="B1136" s="16" t="s">
        <v>592</v>
      </c>
      <c r="C1136" s="16" t="s">
        <v>129</v>
      </c>
      <c r="D1136" s="16" t="s">
        <v>184</v>
      </c>
      <c r="E1136" s="25">
        <v>45486</v>
      </c>
      <c r="F1136" s="16" t="s">
        <v>2911</v>
      </c>
      <c r="G1136" s="16" t="s">
        <v>125</v>
      </c>
      <c r="H1136" s="16">
        <v>7.8</v>
      </c>
      <c r="I1136" s="16">
        <v>199</v>
      </c>
      <c r="J1136" s="16">
        <v>10</v>
      </c>
      <c r="K1136" s="16">
        <v>1396.98</v>
      </c>
      <c r="L1136" s="16" t="s">
        <v>139</v>
      </c>
      <c r="M1136" s="16" t="s">
        <v>119</v>
      </c>
      <c r="N1136" s="27">
        <v>45486.112500000003</v>
      </c>
      <c r="O1136" s="27">
        <v>45486.819444444445</v>
      </c>
      <c r="P1136" s="16">
        <v>4.3</v>
      </c>
      <c r="Q1136" s="16" t="b">
        <f>FALSE()</f>
        <v>0</v>
      </c>
      <c r="R1136" s="16" t="b">
        <f>FALSE()</f>
        <v>0</v>
      </c>
      <c r="S1136" s="17">
        <f t="shared" si="17"/>
        <v>17</v>
      </c>
      <c r="T1136">
        <f>COUNTIF('👤 Customers'!$A:$A, B1136)</f>
        <v>1</v>
      </c>
      <c r="U1136">
        <f>COUNTIF('🚴 Riders'!A1135:A1195, C1136)</f>
        <v>0</v>
      </c>
      <c r="V1136">
        <f>COUNTIF('🏭 Facilities'!A1135:A1143, D1136)</f>
        <v>0</v>
      </c>
    </row>
    <row r="1137" spans="1:22">
      <c r="A1137" s="18" t="s">
        <v>2912</v>
      </c>
      <c r="B1137" s="18" t="s">
        <v>1405</v>
      </c>
      <c r="C1137" s="18" t="s">
        <v>166</v>
      </c>
      <c r="D1137" s="18" t="s">
        <v>130</v>
      </c>
      <c r="E1137" s="26">
        <v>45558</v>
      </c>
      <c r="F1137" s="18" t="s">
        <v>2913</v>
      </c>
      <c r="G1137" s="18" t="s">
        <v>117</v>
      </c>
      <c r="H1137" s="18">
        <v>3.5</v>
      </c>
      <c r="I1137" s="18">
        <v>149</v>
      </c>
      <c r="J1137" s="18">
        <v>0</v>
      </c>
      <c r="K1137" s="18">
        <v>521.5</v>
      </c>
      <c r="L1137" s="18" t="s">
        <v>126</v>
      </c>
      <c r="M1137" s="18" t="s">
        <v>119</v>
      </c>
      <c r="N1137" s="28">
        <v>45558.565972222219</v>
      </c>
      <c r="O1137" s="28">
        <v>45559.040277777778</v>
      </c>
      <c r="P1137" s="18">
        <v>2.5</v>
      </c>
      <c r="Q1137" s="18" t="b">
        <f>FALSE()</f>
        <v>0</v>
      </c>
      <c r="R1137" s="18" t="b">
        <f>FALSE()</f>
        <v>0</v>
      </c>
      <c r="S1137" s="19">
        <f t="shared" si="17"/>
        <v>11.4</v>
      </c>
      <c r="T1137">
        <f>COUNTIF('👤 Customers'!$A:$A, B1137)</f>
        <v>1</v>
      </c>
      <c r="U1137">
        <f>COUNTIF('🚴 Riders'!A1136:A1196, C1137)</f>
        <v>0</v>
      </c>
      <c r="V1137">
        <f>COUNTIF('🏭 Facilities'!A1136:A1144, D1137)</f>
        <v>0</v>
      </c>
    </row>
    <row r="1138" spans="1:22">
      <c r="A1138" s="16" t="s">
        <v>2914</v>
      </c>
      <c r="B1138" s="16" t="s">
        <v>806</v>
      </c>
      <c r="C1138" s="16" t="s">
        <v>136</v>
      </c>
      <c r="D1138" s="16" t="s">
        <v>184</v>
      </c>
      <c r="E1138" s="25">
        <v>45594</v>
      </c>
      <c r="F1138" s="16" t="s">
        <v>2915</v>
      </c>
      <c r="G1138" s="16" t="s">
        <v>176</v>
      </c>
      <c r="H1138" s="16">
        <v>5.7</v>
      </c>
      <c r="I1138" s="16">
        <v>599</v>
      </c>
      <c r="J1138" s="16">
        <v>0</v>
      </c>
      <c r="K1138" s="16">
        <v>3414.3</v>
      </c>
      <c r="L1138" s="16" t="s">
        <v>118</v>
      </c>
      <c r="M1138" s="16" t="s">
        <v>140</v>
      </c>
      <c r="N1138" s="27">
        <v>45594.602083333331</v>
      </c>
      <c r="O1138" s="27">
        <v>45595.086805555555</v>
      </c>
      <c r="P1138" s="20"/>
      <c r="Q1138" s="16" t="b">
        <f>FALSE()</f>
        <v>0</v>
      </c>
      <c r="R1138" s="16" t="b">
        <f>FALSE()</f>
        <v>0</v>
      </c>
      <c r="S1138" s="17">
        <f t="shared" si="17"/>
        <v>11.6</v>
      </c>
      <c r="T1138">
        <f>COUNTIF('👤 Customers'!$A:$A, B1138)</f>
        <v>1</v>
      </c>
      <c r="U1138">
        <f>COUNTIF('🚴 Riders'!A1137:A1197, C1138)</f>
        <v>0</v>
      </c>
      <c r="V1138">
        <f>COUNTIF('🏭 Facilities'!A1137:A1145, D1138)</f>
        <v>0</v>
      </c>
    </row>
    <row r="1139" spans="1:22">
      <c r="A1139" s="18" t="s">
        <v>2916</v>
      </c>
      <c r="B1139" s="18" t="s">
        <v>1067</v>
      </c>
      <c r="C1139" s="18" t="s">
        <v>240</v>
      </c>
      <c r="D1139" s="18" t="s">
        <v>137</v>
      </c>
      <c r="E1139" s="26">
        <v>45604</v>
      </c>
      <c r="F1139" s="18" t="s">
        <v>2917</v>
      </c>
      <c r="G1139" s="18" t="s">
        <v>132</v>
      </c>
      <c r="H1139" s="18">
        <v>5.2</v>
      </c>
      <c r="I1139" s="18">
        <v>399</v>
      </c>
      <c r="J1139" s="18">
        <v>0</v>
      </c>
      <c r="K1139" s="18">
        <v>2074.8000000000002</v>
      </c>
      <c r="L1139" s="18" t="s">
        <v>126</v>
      </c>
      <c r="M1139" s="18" t="s">
        <v>119</v>
      </c>
      <c r="N1139" s="28">
        <v>45604.588194444441</v>
      </c>
      <c r="O1139" s="28">
        <v>45605.582638888889</v>
      </c>
      <c r="P1139" s="18">
        <v>3.4</v>
      </c>
      <c r="Q1139" s="18" t="b">
        <f>TRUE()</f>
        <v>1</v>
      </c>
      <c r="R1139" s="18" t="b">
        <f>FALSE()</f>
        <v>0</v>
      </c>
      <c r="S1139" s="19">
        <f t="shared" si="17"/>
        <v>23.9</v>
      </c>
      <c r="T1139">
        <f>COUNTIF('👤 Customers'!$A:$A, B1139)</f>
        <v>1</v>
      </c>
      <c r="U1139">
        <f>COUNTIF('🚴 Riders'!A1138:A1198, C1139)</f>
        <v>0</v>
      </c>
      <c r="V1139">
        <f>COUNTIF('🏭 Facilities'!A1138:A1146, D1139)</f>
        <v>0</v>
      </c>
    </row>
    <row r="1140" spans="1:22">
      <c r="A1140" s="16" t="s">
        <v>2918</v>
      </c>
      <c r="B1140" s="16" t="s">
        <v>216</v>
      </c>
      <c r="C1140" s="16" t="s">
        <v>461</v>
      </c>
      <c r="D1140" s="16" t="s">
        <v>184</v>
      </c>
      <c r="E1140" s="25">
        <v>45034</v>
      </c>
      <c r="F1140" s="16" t="s">
        <v>2919</v>
      </c>
      <c r="G1140" s="16" t="s">
        <v>145</v>
      </c>
      <c r="H1140" s="16">
        <v>1.1000000000000001</v>
      </c>
      <c r="I1140" s="16">
        <v>299</v>
      </c>
      <c r="J1140" s="16">
        <v>0</v>
      </c>
      <c r="K1140" s="16">
        <v>328.9</v>
      </c>
      <c r="L1140" s="16" t="s">
        <v>126</v>
      </c>
      <c r="M1140" s="16" t="s">
        <v>119</v>
      </c>
      <c r="N1140" s="27">
        <v>45034.439583333333</v>
      </c>
      <c r="O1140" s="27">
        <v>45035.076388888891</v>
      </c>
      <c r="P1140" s="16">
        <v>4.5</v>
      </c>
      <c r="Q1140" s="16" t="b">
        <f>TRUE()</f>
        <v>1</v>
      </c>
      <c r="R1140" s="16" t="b">
        <f>FALSE()</f>
        <v>0</v>
      </c>
      <c r="S1140" s="17">
        <f t="shared" si="17"/>
        <v>15.3</v>
      </c>
      <c r="T1140">
        <f>COUNTIF('👤 Customers'!$A:$A, B1140)</f>
        <v>1</v>
      </c>
      <c r="U1140">
        <f>COUNTIF('🚴 Riders'!A1139:A1199, C1140)</f>
        <v>0</v>
      </c>
      <c r="V1140">
        <f>COUNTIF('🏭 Facilities'!A1139:A1147, D1140)</f>
        <v>0</v>
      </c>
    </row>
    <row r="1141" spans="1:22">
      <c r="A1141" s="18" t="s">
        <v>2920</v>
      </c>
      <c r="B1141" s="18" t="s">
        <v>673</v>
      </c>
      <c r="C1141" s="18" t="s">
        <v>136</v>
      </c>
      <c r="D1141" s="18" t="s">
        <v>197</v>
      </c>
      <c r="E1141" s="26">
        <v>45444</v>
      </c>
      <c r="F1141" s="18" t="s">
        <v>2921</v>
      </c>
      <c r="G1141" s="18" t="s">
        <v>145</v>
      </c>
      <c r="H1141" s="18">
        <v>1.9</v>
      </c>
      <c r="I1141" s="18">
        <v>299</v>
      </c>
      <c r="J1141" s="18">
        <v>0</v>
      </c>
      <c r="K1141" s="18">
        <v>568.1</v>
      </c>
      <c r="L1141" s="18" t="s">
        <v>146</v>
      </c>
      <c r="M1141" s="18" t="s">
        <v>119</v>
      </c>
      <c r="N1141" s="28">
        <v>45444.84375</v>
      </c>
      <c r="O1141" s="28">
        <v>45445.352083333331</v>
      </c>
      <c r="P1141" s="18">
        <v>4.4000000000000004</v>
      </c>
      <c r="Q1141" s="18" t="b">
        <f>FALSE()</f>
        <v>0</v>
      </c>
      <c r="R1141" s="18" t="b">
        <f>FALSE()</f>
        <v>0</v>
      </c>
      <c r="S1141" s="19">
        <f t="shared" si="17"/>
        <v>12.2</v>
      </c>
      <c r="T1141">
        <f>COUNTIF('👤 Customers'!$A:$A, B1141)</f>
        <v>1</v>
      </c>
      <c r="U1141">
        <f>COUNTIF('🚴 Riders'!A1140:A1200, C1141)</f>
        <v>0</v>
      </c>
      <c r="V1141">
        <f>COUNTIF('🏭 Facilities'!A1140:A1148, D1141)</f>
        <v>0</v>
      </c>
    </row>
    <row r="1142" spans="1:22">
      <c r="A1142" s="16" t="s">
        <v>2922</v>
      </c>
      <c r="B1142" s="16" t="s">
        <v>2106</v>
      </c>
      <c r="C1142" s="16" t="s">
        <v>287</v>
      </c>
      <c r="D1142" s="16" t="s">
        <v>184</v>
      </c>
      <c r="E1142" s="25">
        <v>45136</v>
      </c>
      <c r="F1142" s="16" t="s">
        <v>2923</v>
      </c>
      <c r="G1142" s="16" t="s">
        <v>176</v>
      </c>
      <c r="H1142" s="16">
        <v>1</v>
      </c>
      <c r="I1142" s="16">
        <v>599</v>
      </c>
      <c r="J1142" s="16">
        <v>0</v>
      </c>
      <c r="K1142" s="16">
        <v>599</v>
      </c>
      <c r="L1142" s="16" t="s">
        <v>146</v>
      </c>
      <c r="M1142" s="16" t="s">
        <v>140</v>
      </c>
      <c r="N1142" s="27">
        <v>45136.400694444441</v>
      </c>
      <c r="O1142" s="27">
        <v>45137.28402777778</v>
      </c>
      <c r="P1142" s="20"/>
      <c r="Q1142" s="16" t="b">
        <f>FALSE()</f>
        <v>0</v>
      </c>
      <c r="R1142" s="16" t="b">
        <f>FALSE()</f>
        <v>0</v>
      </c>
      <c r="S1142" s="17">
        <f t="shared" si="17"/>
        <v>21.2</v>
      </c>
      <c r="T1142">
        <f>COUNTIF('👤 Customers'!$A:$A, B1142)</f>
        <v>1</v>
      </c>
      <c r="U1142">
        <f>COUNTIF('🚴 Riders'!A1141:A1201, C1142)</f>
        <v>0</v>
      </c>
      <c r="V1142">
        <f>COUNTIF('🏭 Facilities'!A1141:A1149, D1142)</f>
        <v>0</v>
      </c>
    </row>
    <row r="1143" spans="1:22">
      <c r="A1143" s="18" t="s">
        <v>2924</v>
      </c>
      <c r="B1143" s="18" t="s">
        <v>1147</v>
      </c>
      <c r="C1143" s="18" t="s">
        <v>232</v>
      </c>
      <c r="D1143" s="18" t="s">
        <v>115</v>
      </c>
      <c r="E1143" s="26">
        <v>45565</v>
      </c>
      <c r="F1143" s="18" t="s">
        <v>2925</v>
      </c>
      <c r="G1143" s="18" t="s">
        <v>145</v>
      </c>
      <c r="H1143" s="18">
        <v>7.5</v>
      </c>
      <c r="I1143" s="18">
        <v>299</v>
      </c>
      <c r="J1143" s="18">
        <v>0</v>
      </c>
      <c r="K1143" s="18">
        <v>2242.5</v>
      </c>
      <c r="L1143" s="18" t="s">
        <v>146</v>
      </c>
      <c r="M1143" s="18" t="s">
        <v>133</v>
      </c>
      <c r="N1143" s="20"/>
      <c r="O1143" s="20"/>
      <c r="P1143" s="20"/>
      <c r="Q1143" s="18" t="b">
        <f>FALSE()</f>
        <v>0</v>
      </c>
      <c r="R1143" s="18" t="b">
        <f>TRUE()</f>
        <v>1</v>
      </c>
      <c r="S1143" s="19" t="str">
        <f t="shared" si="17"/>
        <v>N/A</v>
      </c>
      <c r="T1143">
        <f>COUNTIF('👤 Customers'!$A:$A, B1143)</f>
        <v>1</v>
      </c>
      <c r="U1143">
        <f>COUNTIF('🚴 Riders'!A1142:A1202, C1143)</f>
        <v>0</v>
      </c>
      <c r="V1143">
        <f>COUNTIF('🏭 Facilities'!A1142:A1150, D1143)</f>
        <v>0</v>
      </c>
    </row>
    <row r="1144" spans="1:22">
      <c r="A1144" s="16" t="s">
        <v>2926</v>
      </c>
      <c r="B1144" s="16" t="s">
        <v>1979</v>
      </c>
      <c r="C1144" s="16" t="s">
        <v>236</v>
      </c>
      <c r="D1144" s="16" t="s">
        <v>123</v>
      </c>
      <c r="E1144" s="25">
        <v>45249</v>
      </c>
      <c r="F1144" s="16" t="s">
        <v>2927</v>
      </c>
      <c r="G1144" s="16" t="s">
        <v>145</v>
      </c>
      <c r="H1144" s="16">
        <v>5.2</v>
      </c>
      <c r="I1144" s="16">
        <v>299</v>
      </c>
      <c r="J1144" s="16">
        <v>10</v>
      </c>
      <c r="K1144" s="16">
        <v>1399.32</v>
      </c>
      <c r="L1144" s="16" t="s">
        <v>126</v>
      </c>
      <c r="M1144" s="16" t="s">
        <v>119</v>
      </c>
      <c r="N1144" s="27">
        <v>45249.09097222222</v>
      </c>
      <c r="O1144" s="27">
        <v>45249.677777777775</v>
      </c>
      <c r="P1144" s="16">
        <v>3.7</v>
      </c>
      <c r="Q1144" s="16" t="b">
        <f>FALSE()</f>
        <v>0</v>
      </c>
      <c r="R1144" s="16" t="b">
        <f>FALSE()</f>
        <v>0</v>
      </c>
      <c r="S1144" s="17">
        <f t="shared" si="17"/>
        <v>14.1</v>
      </c>
      <c r="T1144">
        <f>COUNTIF('👤 Customers'!$A:$A, B1144)</f>
        <v>1</v>
      </c>
      <c r="U1144">
        <f>COUNTIF('🚴 Riders'!A1143:A1203, C1144)</f>
        <v>0</v>
      </c>
      <c r="V1144">
        <f>COUNTIF('🏭 Facilities'!A1143:A1151, D1144)</f>
        <v>0</v>
      </c>
    </row>
    <row r="1145" spans="1:22">
      <c r="A1145" s="18" t="s">
        <v>2928</v>
      </c>
      <c r="B1145" s="18" t="s">
        <v>386</v>
      </c>
      <c r="C1145" s="18" t="s">
        <v>413</v>
      </c>
      <c r="D1145" s="18" t="s">
        <v>197</v>
      </c>
      <c r="E1145" s="26">
        <v>45572</v>
      </c>
      <c r="F1145" s="18" t="s">
        <v>2929</v>
      </c>
      <c r="G1145" s="18" t="s">
        <v>132</v>
      </c>
      <c r="H1145" s="18">
        <v>6.3</v>
      </c>
      <c r="I1145" s="18">
        <v>399</v>
      </c>
      <c r="J1145" s="18">
        <v>0</v>
      </c>
      <c r="K1145" s="18">
        <v>2513.6999999999998</v>
      </c>
      <c r="L1145" s="18" t="s">
        <v>146</v>
      </c>
      <c r="M1145" s="18" t="s">
        <v>119</v>
      </c>
      <c r="N1145" s="28">
        <v>45572.520138888889</v>
      </c>
      <c r="O1145" s="28">
        <v>45573.592361111114</v>
      </c>
      <c r="P1145" s="18">
        <v>3.6</v>
      </c>
      <c r="Q1145" s="18" t="b">
        <f>TRUE()</f>
        <v>1</v>
      </c>
      <c r="R1145" s="18" t="b">
        <f>FALSE()</f>
        <v>0</v>
      </c>
      <c r="S1145" s="19">
        <f t="shared" si="17"/>
        <v>25.7</v>
      </c>
      <c r="T1145">
        <f>COUNTIF('👤 Customers'!$A:$A, B1145)</f>
        <v>1</v>
      </c>
      <c r="U1145">
        <f>COUNTIF('🚴 Riders'!A1144:A1204, C1145)</f>
        <v>0</v>
      </c>
      <c r="V1145">
        <f>COUNTIF('🏭 Facilities'!A1144:A1152, D1145)</f>
        <v>0</v>
      </c>
    </row>
    <row r="1146" spans="1:22">
      <c r="A1146" s="16" t="s">
        <v>2930</v>
      </c>
      <c r="B1146" s="16" t="s">
        <v>2238</v>
      </c>
      <c r="C1146" s="16" t="s">
        <v>240</v>
      </c>
      <c r="D1146" s="16" t="s">
        <v>137</v>
      </c>
      <c r="E1146" s="25">
        <v>45634</v>
      </c>
      <c r="F1146" s="16" t="s">
        <v>2931</v>
      </c>
      <c r="G1146" s="16" t="s">
        <v>117</v>
      </c>
      <c r="H1146" s="16">
        <v>2.2000000000000002</v>
      </c>
      <c r="I1146" s="16">
        <v>149</v>
      </c>
      <c r="J1146" s="16">
        <v>0</v>
      </c>
      <c r="K1146" s="16">
        <v>327.8</v>
      </c>
      <c r="L1146" s="16" t="s">
        <v>126</v>
      </c>
      <c r="M1146" s="16" t="s">
        <v>140</v>
      </c>
      <c r="N1146" s="27">
        <v>45634.69027777778</v>
      </c>
      <c r="O1146" s="27">
        <v>45635.147222222222</v>
      </c>
      <c r="P1146" s="20"/>
      <c r="Q1146" s="16" t="b">
        <f>TRUE()</f>
        <v>1</v>
      </c>
      <c r="R1146" s="16" t="b">
        <f>TRUE()</f>
        <v>1</v>
      </c>
      <c r="S1146" s="17">
        <f t="shared" si="17"/>
        <v>11</v>
      </c>
      <c r="T1146">
        <f>COUNTIF('👤 Customers'!$A:$A, B1146)</f>
        <v>1</v>
      </c>
      <c r="U1146">
        <f>COUNTIF('🚴 Riders'!A1145:A1205, C1146)</f>
        <v>0</v>
      </c>
      <c r="V1146">
        <f>COUNTIF('🏭 Facilities'!A1145:A1153, D1146)</f>
        <v>0</v>
      </c>
    </row>
    <row r="1147" spans="1:22">
      <c r="A1147" s="18" t="s">
        <v>2932</v>
      </c>
      <c r="B1147" s="18" t="s">
        <v>1679</v>
      </c>
      <c r="C1147" s="18" t="s">
        <v>326</v>
      </c>
      <c r="D1147" s="18" t="s">
        <v>197</v>
      </c>
      <c r="E1147" s="26">
        <v>45050</v>
      </c>
      <c r="F1147" s="18" t="s">
        <v>2933</v>
      </c>
      <c r="G1147" s="18" t="s">
        <v>125</v>
      </c>
      <c r="H1147" s="18">
        <v>5.4</v>
      </c>
      <c r="I1147" s="18">
        <v>199</v>
      </c>
      <c r="J1147" s="18">
        <v>10</v>
      </c>
      <c r="K1147" s="18">
        <v>967.14</v>
      </c>
      <c r="L1147" s="18" t="s">
        <v>207</v>
      </c>
      <c r="M1147" s="18" t="s">
        <v>119</v>
      </c>
      <c r="N1147" s="28">
        <v>45050.034722222219</v>
      </c>
      <c r="O1147" s="28">
        <v>45051.102777777778</v>
      </c>
      <c r="P1147" s="18">
        <v>3.4</v>
      </c>
      <c r="Q1147" s="18" t="b">
        <f>FALSE()</f>
        <v>0</v>
      </c>
      <c r="R1147" s="18" t="b">
        <f>FALSE()</f>
        <v>0</v>
      </c>
      <c r="S1147" s="19">
        <f t="shared" si="17"/>
        <v>25.6</v>
      </c>
      <c r="T1147">
        <f>COUNTIF('👤 Customers'!$A:$A, B1147)</f>
        <v>1</v>
      </c>
      <c r="U1147">
        <f>COUNTIF('🚴 Riders'!A1146:A1206, C1147)</f>
        <v>0</v>
      </c>
      <c r="V1147">
        <f>COUNTIF('🏭 Facilities'!A1146:A1154, D1147)</f>
        <v>0</v>
      </c>
    </row>
    <row r="1148" spans="1:22">
      <c r="A1148" s="16" t="s">
        <v>2934</v>
      </c>
      <c r="B1148" s="16" t="s">
        <v>2262</v>
      </c>
      <c r="C1148" s="16" t="s">
        <v>717</v>
      </c>
      <c r="D1148" s="16" t="s">
        <v>184</v>
      </c>
      <c r="E1148" s="25">
        <v>45325</v>
      </c>
      <c r="F1148" s="16" t="s">
        <v>2935</v>
      </c>
      <c r="G1148" s="16" t="s">
        <v>176</v>
      </c>
      <c r="H1148" s="16">
        <v>4.5</v>
      </c>
      <c r="I1148" s="16">
        <v>599</v>
      </c>
      <c r="J1148" s="16">
        <v>30</v>
      </c>
      <c r="K1148" s="16">
        <v>1886.85</v>
      </c>
      <c r="L1148" s="16" t="s">
        <v>146</v>
      </c>
      <c r="M1148" s="16" t="s">
        <v>133</v>
      </c>
      <c r="N1148" s="20"/>
      <c r="O1148" s="20"/>
      <c r="P1148" s="20"/>
      <c r="Q1148" s="16" t="b">
        <f>FALSE()</f>
        <v>0</v>
      </c>
      <c r="R1148" s="16" t="b">
        <f>FALSE()</f>
        <v>0</v>
      </c>
      <c r="S1148" s="17" t="str">
        <f t="shared" si="17"/>
        <v>N/A</v>
      </c>
      <c r="T1148">
        <f>COUNTIF('👤 Customers'!$A:$A, B1148)</f>
        <v>1</v>
      </c>
      <c r="U1148">
        <f>COUNTIF('🚴 Riders'!A1147:A1207, C1148)</f>
        <v>0</v>
      </c>
      <c r="V1148">
        <f>COUNTIF('🏭 Facilities'!A1147:A1155, D1148)</f>
        <v>0</v>
      </c>
    </row>
    <row r="1149" spans="1:22">
      <c r="A1149" s="18" t="s">
        <v>2936</v>
      </c>
      <c r="B1149" s="18" t="s">
        <v>2937</v>
      </c>
      <c r="C1149" s="18" t="s">
        <v>339</v>
      </c>
      <c r="D1149" s="18" t="s">
        <v>137</v>
      </c>
      <c r="E1149" s="26">
        <v>45152</v>
      </c>
      <c r="F1149" s="18" t="s">
        <v>2938</v>
      </c>
      <c r="G1149" s="18" t="s">
        <v>176</v>
      </c>
      <c r="H1149" s="18">
        <v>1.2</v>
      </c>
      <c r="I1149" s="18">
        <v>599</v>
      </c>
      <c r="J1149" s="18">
        <v>20</v>
      </c>
      <c r="K1149" s="18">
        <v>575.04</v>
      </c>
      <c r="L1149" s="18" t="s">
        <v>207</v>
      </c>
      <c r="M1149" s="18" t="s">
        <v>119</v>
      </c>
      <c r="N1149" s="28">
        <v>45152.230555555558</v>
      </c>
      <c r="O1149" s="28">
        <v>45153.292361111111</v>
      </c>
      <c r="P1149" s="18">
        <v>4.4000000000000004</v>
      </c>
      <c r="Q1149" s="18" t="b">
        <f>FALSE()</f>
        <v>0</v>
      </c>
      <c r="R1149" s="18" t="b">
        <f>FALSE()</f>
        <v>0</v>
      </c>
      <c r="S1149" s="19">
        <f t="shared" si="17"/>
        <v>25.5</v>
      </c>
      <c r="T1149">
        <f>COUNTIF('👤 Customers'!$A:$A, B1149)</f>
        <v>1</v>
      </c>
      <c r="U1149">
        <f>COUNTIF('🚴 Riders'!A1148:A1208, C1149)</f>
        <v>0</v>
      </c>
      <c r="V1149">
        <f>COUNTIF('🏭 Facilities'!A1148:A1156, D1149)</f>
        <v>0</v>
      </c>
    </row>
    <row r="1150" spans="1:22">
      <c r="A1150" s="16" t="s">
        <v>2939</v>
      </c>
      <c r="B1150" s="16" t="s">
        <v>1911</v>
      </c>
      <c r="C1150" s="16" t="s">
        <v>304</v>
      </c>
      <c r="D1150" s="16" t="s">
        <v>137</v>
      </c>
      <c r="E1150" s="25">
        <v>45203</v>
      </c>
      <c r="F1150" s="16" t="s">
        <v>2940</v>
      </c>
      <c r="G1150" s="16" t="s">
        <v>176</v>
      </c>
      <c r="H1150" s="16">
        <v>4.5999999999999996</v>
      </c>
      <c r="I1150" s="16">
        <v>599</v>
      </c>
      <c r="J1150" s="16">
        <v>20</v>
      </c>
      <c r="K1150" s="16">
        <v>2204.3200000000002</v>
      </c>
      <c r="L1150" s="16" t="s">
        <v>126</v>
      </c>
      <c r="M1150" s="16" t="s">
        <v>133</v>
      </c>
      <c r="N1150" s="20"/>
      <c r="O1150" s="20"/>
      <c r="P1150" s="20"/>
      <c r="Q1150" s="16" t="b">
        <f>FALSE()</f>
        <v>0</v>
      </c>
      <c r="R1150" s="16" t="b">
        <f>FALSE()</f>
        <v>0</v>
      </c>
      <c r="S1150" s="17" t="str">
        <f t="shared" si="17"/>
        <v>N/A</v>
      </c>
      <c r="T1150">
        <f>COUNTIF('👤 Customers'!$A:$A, B1150)</f>
        <v>1</v>
      </c>
      <c r="U1150">
        <f>COUNTIF('🚴 Riders'!A1149:A1209, C1150)</f>
        <v>0</v>
      </c>
      <c r="V1150">
        <f>COUNTIF('🏭 Facilities'!A1149:A1157, D1150)</f>
        <v>0</v>
      </c>
    </row>
    <row r="1151" spans="1:22">
      <c r="A1151" s="18" t="s">
        <v>2941</v>
      </c>
      <c r="B1151" s="18" t="s">
        <v>377</v>
      </c>
      <c r="C1151" s="18" t="s">
        <v>300</v>
      </c>
      <c r="D1151" s="18" t="s">
        <v>123</v>
      </c>
      <c r="E1151" s="26">
        <v>44963</v>
      </c>
      <c r="F1151" s="18" t="s">
        <v>2942</v>
      </c>
      <c r="G1151" s="18" t="s">
        <v>145</v>
      </c>
      <c r="H1151" s="18">
        <v>4.3</v>
      </c>
      <c r="I1151" s="18">
        <v>299</v>
      </c>
      <c r="J1151" s="18">
        <v>0</v>
      </c>
      <c r="K1151" s="18">
        <v>1285.7</v>
      </c>
      <c r="L1151" s="18" t="s">
        <v>146</v>
      </c>
      <c r="M1151" s="18" t="s">
        <v>119</v>
      </c>
      <c r="N1151" s="28">
        <v>44963.509027777778</v>
      </c>
      <c r="O1151" s="28">
        <v>44963.951388888891</v>
      </c>
      <c r="P1151" s="18">
        <v>3.5</v>
      </c>
      <c r="Q1151" s="18" t="b">
        <f>FALSE()</f>
        <v>0</v>
      </c>
      <c r="R1151" s="18" t="b">
        <f>FALSE()</f>
        <v>0</v>
      </c>
      <c r="S1151" s="19">
        <f t="shared" si="17"/>
        <v>10.6</v>
      </c>
      <c r="T1151">
        <f>COUNTIF('👤 Customers'!$A:$A, B1151)</f>
        <v>1</v>
      </c>
      <c r="U1151">
        <f>COUNTIF('🚴 Riders'!A1150:A1210, C1151)</f>
        <v>0</v>
      </c>
      <c r="V1151">
        <f>COUNTIF('🏭 Facilities'!A1150:A1158, D1151)</f>
        <v>0</v>
      </c>
    </row>
    <row r="1152" spans="1:22">
      <c r="A1152" s="16" t="s">
        <v>2943</v>
      </c>
      <c r="B1152" s="16" t="s">
        <v>2265</v>
      </c>
      <c r="C1152" s="16" t="s">
        <v>580</v>
      </c>
      <c r="D1152" s="16" t="s">
        <v>137</v>
      </c>
      <c r="E1152" s="25">
        <v>45652</v>
      </c>
      <c r="F1152" s="16" t="s">
        <v>2944</v>
      </c>
      <c r="G1152" s="16" t="s">
        <v>132</v>
      </c>
      <c r="H1152" s="16">
        <v>4.5999999999999996</v>
      </c>
      <c r="I1152" s="16">
        <v>399</v>
      </c>
      <c r="J1152" s="16">
        <v>0</v>
      </c>
      <c r="K1152" s="16">
        <v>1835.4</v>
      </c>
      <c r="L1152" s="16" t="s">
        <v>139</v>
      </c>
      <c r="M1152" s="16" t="s">
        <v>133</v>
      </c>
      <c r="N1152" s="20"/>
      <c r="O1152" s="20"/>
      <c r="P1152" s="20"/>
      <c r="Q1152" s="16" t="b">
        <f>FALSE()</f>
        <v>0</v>
      </c>
      <c r="R1152" s="16" t="b">
        <f>FALSE()</f>
        <v>0</v>
      </c>
      <c r="S1152" s="17" t="str">
        <f t="shared" si="17"/>
        <v>N/A</v>
      </c>
      <c r="T1152">
        <f>COUNTIF('👤 Customers'!$A:$A, B1152)</f>
        <v>1</v>
      </c>
      <c r="U1152">
        <f>COUNTIF('🚴 Riders'!A1151:A1211, C1152)</f>
        <v>0</v>
      </c>
      <c r="V1152">
        <f>COUNTIF('🏭 Facilities'!A1151:A1159, D1152)</f>
        <v>0</v>
      </c>
    </row>
    <row r="1153" spans="1:22">
      <c r="A1153" s="18" t="s">
        <v>2945</v>
      </c>
      <c r="B1153" s="18" t="s">
        <v>279</v>
      </c>
      <c r="C1153" s="18" t="s">
        <v>272</v>
      </c>
      <c r="D1153" s="18" t="s">
        <v>197</v>
      </c>
      <c r="E1153" s="26">
        <v>45447</v>
      </c>
      <c r="F1153" s="18" t="s">
        <v>2946</v>
      </c>
      <c r="G1153" s="18" t="s">
        <v>145</v>
      </c>
      <c r="H1153" s="18">
        <v>5.7</v>
      </c>
      <c r="I1153" s="18">
        <v>299</v>
      </c>
      <c r="J1153" s="18">
        <v>0</v>
      </c>
      <c r="K1153" s="18">
        <v>1704.3</v>
      </c>
      <c r="L1153" s="18" t="s">
        <v>146</v>
      </c>
      <c r="M1153" s="18" t="s">
        <v>119</v>
      </c>
      <c r="N1153" s="28">
        <v>45447.724999999999</v>
      </c>
      <c r="O1153" s="28">
        <v>45448.198611111111</v>
      </c>
      <c r="P1153" s="18">
        <v>3.6</v>
      </c>
      <c r="Q1153" s="18" t="b">
        <f>FALSE()</f>
        <v>0</v>
      </c>
      <c r="R1153" s="18" t="b">
        <f>TRUE()</f>
        <v>1</v>
      </c>
      <c r="S1153" s="19">
        <f t="shared" si="17"/>
        <v>11.4</v>
      </c>
      <c r="T1153">
        <f>COUNTIF('👤 Customers'!$A:$A, B1153)</f>
        <v>1</v>
      </c>
      <c r="U1153">
        <f>COUNTIF('🚴 Riders'!A1152:A1212, C1153)</f>
        <v>0</v>
      </c>
      <c r="V1153">
        <f>COUNTIF('🏭 Facilities'!A1152:A1160, D1153)</f>
        <v>0</v>
      </c>
    </row>
    <row r="1154" spans="1:22">
      <c r="A1154" s="16" t="s">
        <v>2947</v>
      </c>
      <c r="B1154" s="16" t="s">
        <v>539</v>
      </c>
      <c r="C1154" s="16" t="s">
        <v>162</v>
      </c>
      <c r="D1154" s="16" t="s">
        <v>158</v>
      </c>
      <c r="E1154" s="25">
        <v>45625</v>
      </c>
      <c r="F1154" s="16" t="s">
        <v>2948</v>
      </c>
      <c r="G1154" s="16" t="s">
        <v>176</v>
      </c>
      <c r="H1154" s="16">
        <v>5.5</v>
      </c>
      <c r="I1154" s="16">
        <v>599</v>
      </c>
      <c r="J1154" s="16">
        <v>0</v>
      </c>
      <c r="K1154" s="16">
        <v>3294.5</v>
      </c>
      <c r="L1154" s="16" t="s">
        <v>118</v>
      </c>
      <c r="M1154" s="16" t="s">
        <v>119</v>
      </c>
      <c r="N1154" s="27">
        <v>45625.848611111112</v>
      </c>
      <c r="O1154" s="27">
        <v>45626.793055555558</v>
      </c>
      <c r="P1154" s="16">
        <v>2.8</v>
      </c>
      <c r="Q1154" s="16" t="b">
        <f>FALSE()</f>
        <v>0</v>
      </c>
      <c r="R1154" s="16" t="b">
        <f>FALSE()</f>
        <v>0</v>
      </c>
      <c r="S1154" s="17">
        <f t="shared" ref="S1154:S1217" si="18">IF(OR(N1154="",O1154=""),"N/A",ROUND(((O1154-N1154)*24),1))</f>
        <v>22.7</v>
      </c>
      <c r="T1154">
        <f>COUNTIF('👤 Customers'!$A:$A, B1154)</f>
        <v>1</v>
      </c>
      <c r="U1154">
        <f>COUNTIF('🚴 Riders'!A1153:A1213, C1154)</f>
        <v>0</v>
      </c>
      <c r="V1154">
        <f>COUNTIF('🏭 Facilities'!A1153:A1161, D1154)</f>
        <v>0</v>
      </c>
    </row>
    <row r="1155" spans="1:22">
      <c r="A1155" s="18" t="s">
        <v>2949</v>
      </c>
      <c r="B1155" s="18" t="s">
        <v>2106</v>
      </c>
      <c r="C1155" s="18" t="s">
        <v>188</v>
      </c>
      <c r="D1155" s="18" t="s">
        <v>158</v>
      </c>
      <c r="E1155" s="26">
        <v>45594</v>
      </c>
      <c r="F1155" s="18" t="s">
        <v>2950</v>
      </c>
      <c r="G1155" s="18" t="s">
        <v>145</v>
      </c>
      <c r="H1155" s="18">
        <v>2.2999999999999998</v>
      </c>
      <c r="I1155" s="18">
        <v>299</v>
      </c>
      <c r="J1155" s="18">
        <v>10</v>
      </c>
      <c r="K1155" s="18">
        <v>618.92999999999995</v>
      </c>
      <c r="L1155" s="18" t="s">
        <v>146</v>
      </c>
      <c r="M1155" s="18" t="s">
        <v>133</v>
      </c>
      <c r="N1155" s="20"/>
      <c r="O1155" s="20"/>
      <c r="P1155" s="20"/>
      <c r="Q1155" s="18" t="b">
        <f>FALSE()</f>
        <v>0</v>
      </c>
      <c r="R1155" s="18" t="b">
        <f>FALSE()</f>
        <v>0</v>
      </c>
      <c r="S1155" s="19" t="str">
        <f t="shared" si="18"/>
        <v>N/A</v>
      </c>
      <c r="T1155">
        <f>COUNTIF('👤 Customers'!$A:$A, B1155)</f>
        <v>1</v>
      </c>
      <c r="U1155">
        <f>COUNTIF('🚴 Riders'!A1154:A1214, C1155)</f>
        <v>0</v>
      </c>
      <c r="V1155">
        <f>COUNTIF('🏭 Facilities'!A1154:A1162, D1155)</f>
        <v>0</v>
      </c>
    </row>
    <row r="1156" spans="1:22">
      <c r="A1156" s="16" t="s">
        <v>2951</v>
      </c>
      <c r="B1156" s="16" t="s">
        <v>941</v>
      </c>
      <c r="C1156" s="16" t="s">
        <v>228</v>
      </c>
      <c r="D1156" s="16" t="s">
        <v>158</v>
      </c>
      <c r="E1156" s="25">
        <v>45402</v>
      </c>
      <c r="F1156" s="16" t="s">
        <v>2952</v>
      </c>
      <c r="G1156" s="16" t="s">
        <v>145</v>
      </c>
      <c r="H1156" s="16">
        <v>1.2</v>
      </c>
      <c r="I1156" s="16">
        <v>299</v>
      </c>
      <c r="J1156" s="16">
        <v>0</v>
      </c>
      <c r="K1156" s="16">
        <v>358.8</v>
      </c>
      <c r="L1156" s="16" t="s">
        <v>207</v>
      </c>
      <c r="M1156" s="16" t="s">
        <v>119</v>
      </c>
      <c r="N1156" s="27">
        <v>45402.244444444441</v>
      </c>
      <c r="O1156" s="27">
        <v>45402.881944444445</v>
      </c>
      <c r="P1156" s="16">
        <v>2.9</v>
      </c>
      <c r="Q1156" s="16" t="b">
        <f>FALSE()</f>
        <v>0</v>
      </c>
      <c r="R1156" s="16" t="b">
        <f>FALSE()</f>
        <v>0</v>
      </c>
      <c r="S1156" s="17">
        <f t="shared" si="18"/>
        <v>15.3</v>
      </c>
      <c r="T1156">
        <f>COUNTIF('👤 Customers'!$A:$A, B1156)</f>
        <v>1</v>
      </c>
      <c r="U1156">
        <f>COUNTIF('🚴 Riders'!A1155:A1215, C1156)</f>
        <v>0</v>
      </c>
      <c r="V1156">
        <f>COUNTIF('🏭 Facilities'!A1155:A1163, D1156)</f>
        <v>0</v>
      </c>
    </row>
    <row r="1157" spans="1:22">
      <c r="A1157" s="18" t="s">
        <v>2953</v>
      </c>
      <c r="B1157" s="18" t="s">
        <v>598</v>
      </c>
      <c r="C1157" s="18" t="s">
        <v>153</v>
      </c>
      <c r="D1157" s="18" t="s">
        <v>158</v>
      </c>
      <c r="E1157" s="26">
        <v>45115</v>
      </c>
      <c r="F1157" s="18" t="s">
        <v>2954</v>
      </c>
      <c r="G1157" s="18" t="s">
        <v>145</v>
      </c>
      <c r="H1157" s="18">
        <v>2.9</v>
      </c>
      <c r="I1157" s="18">
        <v>299</v>
      </c>
      <c r="J1157" s="18">
        <v>0</v>
      </c>
      <c r="K1157" s="18">
        <v>867.1</v>
      </c>
      <c r="L1157" s="18" t="s">
        <v>146</v>
      </c>
      <c r="M1157" s="18" t="s">
        <v>119</v>
      </c>
      <c r="N1157" s="28">
        <v>45115.960416666669</v>
      </c>
      <c r="O1157" s="28">
        <v>45116.747916666667</v>
      </c>
      <c r="P1157" s="18">
        <v>4.2</v>
      </c>
      <c r="Q1157" s="18" t="b">
        <f>FALSE()</f>
        <v>0</v>
      </c>
      <c r="R1157" s="18" t="b">
        <f>TRUE()</f>
        <v>1</v>
      </c>
      <c r="S1157" s="19">
        <f t="shared" si="18"/>
        <v>18.899999999999999</v>
      </c>
      <c r="T1157">
        <f>COUNTIF('👤 Customers'!$A:$A, B1157)</f>
        <v>1</v>
      </c>
      <c r="U1157">
        <f>COUNTIF('🚴 Riders'!A1156:A1216, C1157)</f>
        <v>0</v>
      </c>
      <c r="V1157">
        <f>COUNTIF('🏭 Facilities'!A1156:A1164, D1157)</f>
        <v>0</v>
      </c>
    </row>
    <row r="1158" spans="1:22">
      <c r="A1158" s="16" t="s">
        <v>2955</v>
      </c>
      <c r="B1158" s="16" t="s">
        <v>734</v>
      </c>
      <c r="C1158" s="16" t="s">
        <v>183</v>
      </c>
      <c r="D1158" s="16" t="s">
        <v>158</v>
      </c>
      <c r="E1158" s="25">
        <v>45265</v>
      </c>
      <c r="F1158" s="16" t="s">
        <v>2956</v>
      </c>
      <c r="G1158" s="16" t="s">
        <v>132</v>
      </c>
      <c r="H1158" s="16">
        <v>7.9</v>
      </c>
      <c r="I1158" s="16">
        <v>399</v>
      </c>
      <c r="J1158" s="16">
        <v>0</v>
      </c>
      <c r="K1158" s="16">
        <v>3152.1</v>
      </c>
      <c r="L1158" s="16" t="s">
        <v>126</v>
      </c>
      <c r="M1158" s="16" t="s">
        <v>119</v>
      </c>
      <c r="N1158" s="27">
        <v>45265.745138888888</v>
      </c>
      <c r="O1158" s="27">
        <v>45266.638194444444</v>
      </c>
      <c r="P1158" s="16">
        <v>4.0999999999999996</v>
      </c>
      <c r="Q1158" s="16" t="b">
        <f>TRUE()</f>
        <v>1</v>
      </c>
      <c r="R1158" s="16" t="b">
        <f>FALSE()</f>
        <v>0</v>
      </c>
      <c r="S1158" s="17">
        <f t="shared" si="18"/>
        <v>21.4</v>
      </c>
      <c r="T1158">
        <f>COUNTIF('👤 Customers'!$A:$A, B1158)</f>
        <v>1</v>
      </c>
      <c r="U1158">
        <f>COUNTIF('🚴 Riders'!A1157:A1217, C1158)</f>
        <v>0</v>
      </c>
      <c r="V1158">
        <f>COUNTIF('🏭 Facilities'!A1157:A1165, D1158)</f>
        <v>0</v>
      </c>
    </row>
    <row r="1159" spans="1:22">
      <c r="A1159" s="18" t="s">
        <v>2957</v>
      </c>
      <c r="B1159" s="18" t="s">
        <v>769</v>
      </c>
      <c r="C1159" s="18" t="s">
        <v>240</v>
      </c>
      <c r="D1159" s="18" t="s">
        <v>137</v>
      </c>
      <c r="E1159" s="26">
        <v>45093</v>
      </c>
      <c r="F1159" s="18" t="s">
        <v>2958</v>
      </c>
      <c r="G1159" s="18" t="s">
        <v>125</v>
      </c>
      <c r="H1159" s="18">
        <v>5.0999999999999996</v>
      </c>
      <c r="I1159" s="18">
        <v>199</v>
      </c>
      <c r="J1159" s="18">
        <v>10</v>
      </c>
      <c r="K1159" s="18">
        <v>913.41</v>
      </c>
      <c r="L1159" s="18" t="s">
        <v>207</v>
      </c>
      <c r="M1159" s="18" t="s">
        <v>140</v>
      </c>
      <c r="N1159" s="28">
        <v>45093.626388888886</v>
      </c>
      <c r="O1159" s="28">
        <v>45094.495833333334</v>
      </c>
      <c r="P1159" s="20"/>
      <c r="Q1159" s="18" t="b">
        <f>FALSE()</f>
        <v>0</v>
      </c>
      <c r="R1159" s="18" t="b">
        <f>TRUE()</f>
        <v>1</v>
      </c>
      <c r="S1159" s="19">
        <f t="shared" si="18"/>
        <v>20.9</v>
      </c>
      <c r="T1159">
        <f>COUNTIF('👤 Customers'!$A:$A, B1159)</f>
        <v>1</v>
      </c>
      <c r="U1159">
        <f>COUNTIF('🚴 Riders'!A1158:A1218, C1159)</f>
        <v>0</v>
      </c>
      <c r="V1159">
        <f>COUNTIF('🏭 Facilities'!A1158:A1166, D1159)</f>
        <v>0</v>
      </c>
    </row>
    <row r="1160" spans="1:22">
      <c r="A1160" s="16" t="s">
        <v>2959</v>
      </c>
      <c r="B1160" s="16" t="s">
        <v>2289</v>
      </c>
      <c r="C1160" s="16" t="s">
        <v>136</v>
      </c>
      <c r="D1160" s="16" t="s">
        <v>197</v>
      </c>
      <c r="E1160" s="25">
        <v>45092</v>
      </c>
      <c r="F1160" s="16" t="s">
        <v>2960</v>
      </c>
      <c r="G1160" s="16" t="s">
        <v>145</v>
      </c>
      <c r="H1160" s="16">
        <v>6</v>
      </c>
      <c r="I1160" s="16">
        <v>299</v>
      </c>
      <c r="J1160" s="16">
        <v>20</v>
      </c>
      <c r="K1160" s="16">
        <v>1435.2</v>
      </c>
      <c r="L1160" s="16" t="s">
        <v>139</v>
      </c>
      <c r="M1160" s="16" t="s">
        <v>119</v>
      </c>
      <c r="N1160" s="27">
        <v>45092.756944444445</v>
      </c>
      <c r="O1160" s="27">
        <v>45093.311111111114</v>
      </c>
      <c r="P1160" s="16">
        <v>3.3</v>
      </c>
      <c r="Q1160" s="16" t="b">
        <f>FALSE()</f>
        <v>0</v>
      </c>
      <c r="R1160" s="16" t="b">
        <f>TRUE()</f>
        <v>1</v>
      </c>
      <c r="S1160" s="17">
        <f t="shared" si="18"/>
        <v>13.3</v>
      </c>
      <c r="T1160">
        <f>COUNTIF('👤 Customers'!$A:$A, B1160)</f>
        <v>1</v>
      </c>
      <c r="U1160">
        <f>COUNTIF('🚴 Riders'!A1159:A1219, C1160)</f>
        <v>0</v>
      </c>
      <c r="V1160">
        <f>COUNTIF('🏭 Facilities'!A1159:A1167, D1160)</f>
        <v>0</v>
      </c>
    </row>
    <row r="1161" spans="1:22">
      <c r="A1161" s="18" t="s">
        <v>2961</v>
      </c>
      <c r="B1161" s="18" t="s">
        <v>1391</v>
      </c>
      <c r="C1161" s="18" t="s">
        <v>114</v>
      </c>
      <c r="D1161" s="18" t="s">
        <v>184</v>
      </c>
      <c r="E1161" s="26">
        <v>45055</v>
      </c>
      <c r="F1161" s="18" t="s">
        <v>2962</v>
      </c>
      <c r="G1161" s="18" t="s">
        <v>117</v>
      </c>
      <c r="H1161" s="18">
        <v>7.3</v>
      </c>
      <c r="I1161" s="18">
        <v>149</v>
      </c>
      <c r="J1161" s="18">
        <v>0</v>
      </c>
      <c r="K1161" s="18">
        <v>1087.7</v>
      </c>
      <c r="L1161" s="18" t="s">
        <v>207</v>
      </c>
      <c r="M1161" s="18" t="s">
        <v>119</v>
      </c>
      <c r="N1161" s="28">
        <v>45055.697222222225</v>
      </c>
      <c r="O1161" s="28">
        <v>45056.236805555556</v>
      </c>
      <c r="P1161" s="18">
        <v>4.2</v>
      </c>
      <c r="Q1161" s="18" t="b">
        <f>FALSE()</f>
        <v>0</v>
      </c>
      <c r="R1161" s="18" t="b">
        <f>FALSE()</f>
        <v>0</v>
      </c>
      <c r="S1161" s="19">
        <f t="shared" si="18"/>
        <v>12.9</v>
      </c>
      <c r="T1161">
        <f>COUNTIF('👤 Customers'!$A:$A, B1161)</f>
        <v>1</v>
      </c>
      <c r="U1161">
        <f>COUNTIF('🚴 Riders'!A1160:A1220, C1161)</f>
        <v>0</v>
      </c>
      <c r="V1161">
        <f>COUNTIF('🏭 Facilities'!A1160:A1168, D1161)</f>
        <v>0</v>
      </c>
    </row>
    <row r="1162" spans="1:22">
      <c r="A1162" s="16" t="s">
        <v>2963</v>
      </c>
      <c r="B1162" s="16" t="s">
        <v>2763</v>
      </c>
      <c r="C1162" s="16" t="s">
        <v>750</v>
      </c>
      <c r="D1162" s="16" t="s">
        <v>137</v>
      </c>
      <c r="E1162" s="25">
        <v>45250</v>
      </c>
      <c r="F1162" s="16" t="s">
        <v>2964</v>
      </c>
      <c r="G1162" s="16" t="s">
        <v>145</v>
      </c>
      <c r="H1162" s="16">
        <v>6.9</v>
      </c>
      <c r="I1162" s="16">
        <v>299</v>
      </c>
      <c r="J1162" s="16">
        <v>0</v>
      </c>
      <c r="K1162" s="16">
        <v>2063.1</v>
      </c>
      <c r="L1162" s="16" t="s">
        <v>118</v>
      </c>
      <c r="M1162" s="16" t="s">
        <v>140</v>
      </c>
      <c r="N1162" s="27">
        <v>45250.511111111111</v>
      </c>
      <c r="O1162" s="27">
        <v>45251.549305555556</v>
      </c>
      <c r="P1162" s="20"/>
      <c r="Q1162" s="16" t="b">
        <f>FALSE()</f>
        <v>0</v>
      </c>
      <c r="R1162" s="16" t="b">
        <f>FALSE()</f>
        <v>0</v>
      </c>
      <c r="S1162" s="17">
        <f t="shared" si="18"/>
        <v>24.9</v>
      </c>
      <c r="T1162">
        <f>COUNTIF('👤 Customers'!$A:$A, B1162)</f>
        <v>1</v>
      </c>
      <c r="U1162">
        <f>COUNTIF('🚴 Riders'!A1161:A1221, C1162)</f>
        <v>0</v>
      </c>
      <c r="V1162">
        <f>COUNTIF('🏭 Facilities'!A1161:A1169, D1162)</f>
        <v>0</v>
      </c>
    </row>
    <row r="1163" spans="1:22">
      <c r="A1163" s="18" t="s">
        <v>2965</v>
      </c>
      <c r="B1163" s="18" t="s">
        <v>1233</v>
      </c>
      <c r="C1163" s="18" t="s">
        <v>228</v>
      </c>
      <c r="D1163" s="18" t="s">
        <v>123</v>
      </c>
      <c r="E1163" s="26">
        <v>45351</v>
      </c>
      <c r="F1163" s="18" t="s">
        <v>2966</v>
      </c>
      <c r="G1163" s="18" t="s">
        <v>125</v>
      </c>
      <c r="H1163" s="18">
        <v>4.8</v>
      </c>
      <c r="I1163" s="18">
        <v>199</v>
      </c>
      <c r="J1163" s="18">
        <v>30</v>
      </c>
      <c r="K1163" s="18">
        <v>668.64</v>
      </c>
      <c r="L1163" s="18" t="s">
        <v>126</v>
      </c>
      <c r="M1163" s="18" t="s">
        <v>140</v>
      </c>
      <c r="N1163" s="28">
        <v>45351.594444444447</v>
      </c>
      <c r="O1163" s="28">
        <v>45352.255555555559</v>
      </c>
      <c r="P1163" s="20"/>
      <c r="Q1163" s="18" t="b">
        <f>FALSE()</f>
        <v>0</v>
      </c>
      <c r="R1163" s="18" t="b">
        <f>FALSE()</f>
        <v>0</v>
      </c>
      <c r="S1163" s="19">
        <f t="shared" si="18"/>
        <v>15.9</v>
      </c>
      <c r="T1163">
        <f>COUNTIF('👤 Customers'!$A:$A, B1163)</f>
        <v>1</v>
      </c>
      <c r="U1163">
        <f>COUNTIF('🚴 Riders'!A1162:A1222, C1163)</f>
        <v>0</v>
      </c>
      <c r="V1163">
        <f>COUNTIF('🏭 Facilities'!A1162:A1170, D1163)</f>
        <v>0</v>
      </c>
    </row>
    <row r="1164" spans="1:22">
      <c r="A1164" s="16" t="s">
        <v>2967</v>
      </c>
      <c r="B1164" s="16" t="s">
        <v>628</v>
      </c>
      <c r="C1164" s="16" t="s">
        <v>339</v>
      </c>
      <c r="D1164" s="16" t="s">
        <v>158</v>
      </c>
      <c r="E1164" s="25">
        <v>45585</v>
      </c>
      <c r="F1164" s="16" t="s">
        <v>2968</v>
      </c>
      <c r="G1164" s="16" t="s">
        <v>125</v>
      </c>
      <c r="H1164" s="16">
        <v>6.5</v>
      </c>
      <c r="I1164" s="16">
        <v>199</v>
      </c>
      <c r="J1164" s="16">
        <v>20</v>
      </c>
      <c r="K1164" s="16">
        <v>1034.8</v>
      </c>
      <c r="L1164" s="16" t="s">
        <v>146</v>
      </c>
      <c r="M1164" s="16" t="s">
        <v>133</v>
      </c>
      <c r="N1164" s="20"/>
      <c r="O1164" s="20"/>
      <c r="P1164" s="20"/>
      <c r="Q1164" s="16" t="b">
        <f>FALSE()</f>
        <v>0</v>
      </c>
      <c r="R1164" s="16" t="b">
        <f>FALSE()</f>
        <v>0</v>
      </c>
      <c r="S1164" s="17" t="str">
        <f t="shared" si="18"/>
        <v>N/A</v>
      </c>
      <c r="T1164">
        <f>COUNTIF('👤 Customers'!$A:$A, B1164)</f>
        <v>1</v>
      </c>
      <c r="U1164">
        <f>COUNTIF('🚴 Riders'!A1163:A1223, C1164)</f>
        <v>0</v>
      </c>
      <c r="V1164">
        <f>COUNTIF('🏭 Facilities'!A1163:A1171, D1164)</f>
        <v>0</v>
      </c>
    </row>
    <row r="1165" spans="1:22">
      <c r="A1165" s="18" t="s">
        <v>2969</v>
      </c>
      <c r="B1165" s="18" t="s">
        <v>1345</v>
      </c>
      <c r="C1165" s="18" t="s">
        <v>483</v>
      </c>
      <c r="D1165" s="18" t="s">
        <v>123</v>
      </c>
      <c r="E1165" s="26">
        <v>45637</v>
      </c>
      <c r="F1165" s="18" t="s">
        <v>2970</v>
      </c>
      <c r="G1165" s="18" t="s">
        <v>132</v>
      </c>
      <c r="H1165" s="18">
        <v>5.9</v>
      </c>
      <c r="I1165" s="18">
        <v>399</v>
      </c>
      <c r="J1165" s="18">
        <v>0</v>
      </c>
      <c r="K1165" s="18">
        <v>2354.1</v>
      </c>
      <c r="L1165" s="18" t="s">
        <v>126</v>
      </c>
      <c r="M1165" s="18" t="s">
        <v>140</v>
      </c>
      <c r="N1165" s="28">
        <v>45637.919444444444</v>
      </c>
      <c r="O1165" s="28">
        <v>45638.618750000001</v>
      </c>
      <c r="P1165" s="20"/>
      <c r="Q1165" s="18" t="b">
        <f>FALSE()</f>
        <v>0</v>
      </c>
      <c r="R1165" s="18" t="b">
        <f>FALSE()</f>
        <v>0</v>
      </c>
      <c r="S1165" s="19">
        <f t="shared" si="18"/>
        <v>16.8</v>
      </c>
      <c r="T1165">
        <f>COUNTIF('👤 Customers'!$A:$A, B1165)</f>
        <v>1</v>
      </c>
      <c r="U1165">
        <f>COUNTIF('🚴 Riders'!A1164:A1224, C1165)</f>
        <v>0</v>
      </c>
      <c r="V1165">
        <f>COUNTIF('🏭 Facilities'!A1164:A1172, D1165)</f>
        <v>0</v>
      </c>
    </row>
    <row r="1166" spans="1:22">
      <c r="A1166" s="16" t="s">
        <v>2971</v>
      </c>
      <c r="B1166" s="16" t="s">
        <v>890</v>
      </c>
      <c r="C1166" s="16" t="s">
        <v>213</v>
      </c>
      <c r="D1166" s="16" t="s">
        <v>205</v>
      </c>
      <c r="E1166" s="25">
        <v>45170</v>
      </c>
      <c r="F1166" s="16" t="s">
        <v>2972</v>
      </c>
      <c r="G1166" s="16" t="s">
        <v>125</v>
      </c>
      <c r="H1166" s="16">
        <v>1.8</v>
      </c>
      <c r="I1166" s="16">
        <v>199</v>
      </c>
      <c r="J1166" s="16">
        <v>10</v>
      </c>
      <c r="K1166" s="16">
        <v>322.38</v>
      </c>
      <c r="L1166" s="16" t="s">
        <v>207</v>
      </c>
      <c r="M1166" s="16" t="s">
        <v>140</v>
      </c>
      <c r="N1166" s="27">
        <v>45170.65347222222</v>
      </c>
      <c r="O1166" s="27">
        <v>45171.151388888888</v>
      </c>
      <c r="P1166" s="20"/>
      <c r="Q1166" s="16" t="b">
        <f>FALSE()</f>
        <v>0</v>
      </c>
      <c r="R1166" s="16" t="b">
        <f>FALSE()</f>
        <v>0</v>
      </c>
      <c r="S1166" s="17">
        <f t="shared" si="18"/>
        <v>12</v>
      </c>
      <c r="T1166">
        <f>COUNTIF('👤 Customers'!$A:$A, B1166)</f>
        <v>1</v>
      </c>
      <c r="U1166">
        <f>COUNTIF('🚴 Riders'!A1165:A1225, C1166)</f>
        <v>0</v>
      </c>
      <c r="V1166">
        <f>COUNTIF('🏭 Facilities'!A1165:A1173, D1166)</f>
        <v>0</v>
      </c>
    </row>
    <row r="1167" spans="1:22">
      <c r="A1167" s="18" t="s">
        <v>2973</v>
      </c>
      <c r="B1167" s="18" t="s">
        <v>2451</v>
      </c>
      <c r="C1167" s="18" t="s">
        <v>339</v>
      </c>
      <c r="D1167" s="18" t="s">
        <v>158</v>
      </c>
      <c r="E1167" s="26">
        <v>45466</v>
      </c>
      <c r="F1167" s="18" t="s">
        <v>2974</v>
      </c>
      <c r="G1167" s="18" t="s">
        <v>125</v>
      </c>
      <c r="H1167" s="18">
        <v>3.5</v>
      </c>
      <c r="I1167" s="18">
        <v>199</v>
      </c>
      <c r="J1167" s="18">
        <v>0</v>
      </c>
      <c r="K1167" s="18">
        <v>696.5</v>
      </c>
      <c r="L1167" s="18" t="s">
        <v>207</v>
      </c>
      <c r="M1167" s="18" t="s">
        <v>119</v>
      </c>
      <c r="N1167" s="28">
        <v>45466.723611111112</v>
      </c>
      <c r="O1167" s="28">
        <v>45467.579861111109</v>
      </c>
      <c r="P1167" s="18">
        <v>3.6</v>
      </c>
      <c r="Q1167" s="18" t="b">
        <f>FALSE()</f>
        <v>0</v>
      </c>
      <c r="R1167" s="18" t="b">
        <f>FALSE()</f>
        <v>0</v>
      </c>
      <c r="S1167" s="19">
        <f t="shared" si="18"/>
        <v>20.5</v>
      </c>
      <c r="T1167">
        <f>COUNTIF('👤 Customers'!$A:$A, B1167)</f>
        <v>1</v>
      </c>
      <c r="U1167">
        <f>COUNTIF('🚴 Riders'!A1166:A1226, C1167)</f>
        <v>0</v>
      </c>
      <c r="V1167">
        <f>COUNTIF('🏭 Facilities'!A1166:A1174, D1167)</f>
        <v>0</v>
      </c>
    </row>
    <row r="1168" spans="1:22">
      <c r="A1168" s="16" t="s">
        <v>2975</v>
      </c>
      <c r="B1168" s="16" t="s">
        <v>2976</v>
      </c>
      <c r="C1168" s="16" t="s">
        <v>308</v>
      </c>
      <c r="D1168" s="16" t="s">
        <v>123</v>
      </c>
      <c r="E1168" s="25">
        <v>45430</v>
      </c>
      <c r="F1168" s="16" t="s">
        <v>2977</v>
      </c>
      <c r="G1168" s="16" t="s">
        <v>132</v>
      </c>
      <c r="H1168" s="16">
        <v>1.7</v>
      </c>
      <c r="I1168" s="16">
        <v>399</v>
      </c>
      <c r="J1168" s="16">
        <v>0</v>
      </c>
      <c r="K1168" s="16">
        <v>678.3</v>
      </c>
      <c r="L1168" s="16" t="s">
        <v>207</v>
      </c>
      <c r="M1168" s="16" t="s">
        <v>119</v>
      </c>
      <c r="N1168" s="27">
        <v>45430.095138888886</v>
      </c>
      <c r="O1168" s="27">
        <v>45430.46875</v>
      </c>
      <c r="P1168" s="16">
        <v>3.2</v>
      </c>
      <c r="Q1168" s="16" t="b">
        <f>FALSE()</f>
        <v>0</v>
      </c>
      <c r="R1168" s="16" t="b">
        <f>FALSE()</f>
        <v>0</v>
      </c>
      <c r="S1168" s="17">
        <f t="shared" si="18"/>
        <v>9</v>
      </c>
      <c r="T1168">
        <f>COUNTIF('👤 Customers'!$A:$A, B1168)</f>
        <v>1</v>
      </c>
      <c r="U1168">
        <f>COUNTIF('🚴 Riders'!A1167:A1227, C1168)</f>
        <v>0</v>
      </c>
      <c r="V1168">
        <f>COUNTIF('🏭 Facilities'!A1167:A1175, D1168)</f>
        <v>0</v>
      </c>
    </row>
    <row r="1169" spans="1:22">
      <c r="A1169" s="18" t="s">
        <v>2978</v>
      </c>
      <c r="B1169" s="18" t="s">
        <v>535</v>
      </c>
      <c r="C1169" s="18" t="s">
        <v>157</v>
      </c>
      <c r="D1169" s="18" t="s">
        <v>158</v>
      </c>
      <c r="E1169" s="26">
        <v>44963</v>
      </c>
      <c r="F1169" s="18" t="s">
        <v>2979</v>
      </c>
      <c r="G1169" s="18" t="s">
        <v>117</v>
      </c>
      <c r="H1169" s="18">
        <v>7.4</v>
      </c>
      <c r="I1169" s="18">
        <v>149</v>
      </c>
      <c r="J1169" s="18">
        <v>30</v>
      </c>
      <c r="K1169" s="18">
        <v>771.82</v>
      </c>
      <c r="L1169" s="18" t="s">
        <v>139</v>
      </c>
      <c r="M1169" s="18" t="s">
        <v>140</v>
      </c>
      <c r="N1169" s="28">
        <v>44963.620138888888</v>
      </c>
      <c r="O1169" s="28">
        <v>44964.5625</v>
      </c>
      <c r="P1169" s="20"/>
      <c r="Q1169" s="18" t="b">
        <f>FALSE()</f>
        <v>0</v>
      </c>
      <c r="R1169" s="18" t="b">
        <f>TRUE()</f>
        <v>1</v>
      </c>
      <c r="S1169" s="19">
        <f t="shared" si="18"/>
        <v>22.6</v>
      </c>
      <c r="T1169">
        <f>COUNTIF('👤 Customers'!$A:$A, B1169)</f>
        <v>1</v>
      </c>
      <c r="U1169">
        <f>COUNTIF('🚴 Riders'!A1168:A1228, C1169)</f>
        <v>0</v>
      </c>
      <c r="V1169">
        <f>COUNTIF('🏭 Facilities'!A1168:A1176, D1169)</f>
        <v>0</v>
      </c>
    </row>
    <row r="1170" spans="1:22">
      <c r="A1170" s="16" t="s">
        <v>2980</v>
      </c>
      <c r="B1170" s="16" t="s">
        <v>1311</v>
      </c>
      <c r="C1170" s="16" t="s">
        <v>162</v>
      </c>
      <c r="D1170" s="16" t="s">
        <v>184</v>
      </c>
      <c r="E1170" s="25">
        <v>45539</v>
      </c>
      <c r="F1170" s="16" t="s">
        <v>2981</v>
      </c>
      <c r="G1170" s="16" t="s">
        <v>145</v>
      </c>
      <c r="H1170" s="16">
        <v>2.8</v>
      </c>
      <c r="I1170" s="16">
        <v>299</v>
      </c>
      <c r="J1170" s="16">
        <v>0</v>
      </c>
      <c r="K1170" s="16">
        <v>837.2</v>
      </c>
      <c r="L1170" s="16" t="s">
        <v>146</v>
      </c>
      <c r="M1170" s="16" t="s">
        <v>119</v>
      </c>
      <c r="N1170" s="27">
        <v>45540.038888888892</v>
      </c>
      <c r="O1170" s="27">
        <v>45541.020138888889</v>
      </c>
      <c r="P1170" s="16">
        <v>3.6</v>
      </c>
      <c r="Q1170" s="16" t="b">
        <f>FALSE()</f>
        <v>0</v>
      </c>
      <c r="R1170" s="16" t="b">
        <f>FALSE()</f>
        <v>0</v>
      </c>
      <c r="S1170" s="17">
        <f t="shared" si="18"/>
        <v>23.5</v>
      </c>
      <c r="T1170">
        <f>COUNTIF('👤 Customers'!$A:$A, B1170)</f>
        <v>1</v>
      </c>
      <c r="U1170">
        <f>COUNTIF('🚴 Riders'!A1169:A1229, C1170)</f>
        <v>0</v>
      </c>
      <c r="V1170">
        <f>COUNTIF('🏭 Facilities'!A1169:A1177, D1170)</f>
        <v>0</v>
      </c>
    </row>
    <row r="1171" spans="1:22">
      <c r="A1171" s="18" t="s">
        <v>2982</v>
      </c>
      <c r="B1171" s="18" t="s">
        <v>737</v>
      </c>
      <c r="C1171" s="18" t="s">
        <v>326</v>
      </c>
      <c r="D1171" s="18" t="s">
        <v>158</v>
      </c>
      <c r="E1171" s="26">
        <v>45098</v>
      </c>
      <c r="F1171" s="18" t="s">
        <v>2983</v>
      </c>
      <c r="G1171" s="18" t="s">
        <v>132</v>
      </c>
      <c r="H1171" s="18">
        <v>6.5</v>
      </c>
      <c r="I1171" s="18">
        <v>399</v>
      </c>
      <c r="J1171" s="18">
        <v>20</v>
      </c>
      <c r="K1171" s="18">
        <v>2074.8000000000002</v>
      </c>
      <c r="L1171" s="18" t="s">
        <v>139</v>
      </c>
      <c r="M1171" s="18" t="s">
        <v>119</v>
      </c>
      <c r="N1171" s="28">
        <v>45098.530555555553</v>
      </c>
      <c r="O1171" s="28">
        <v>45099.069444444445</v>
      </c>
      <c r="P1171" s="18">
        <v>4.5</v>
      </c>
      <c r="Q1171" s="18" t="b">
        <f>FALSE()</f>
        <v>0</v>
      </c>
      <c r="R1171" s="18" t="b">
        <f>TRUE()</f>
        <v>1</v>
      </c>
      <c r="S1171" s="19">
        <f t="shared" si="18"/>
        <v>12.9</v>
      </c>
      <c r="T1171">
        <f>COUNTIF('👤 Customers'!$A:$A, B1171)</f>
        <v>1</v>
      </c>
      <c r="U1171">
        <f>COUNTIF('🚴 Riders'!A1170:A1230, C1171)</f>
        <v>0</v>
      </c>
      <c r="V1171">
        <f>COUNTIF('🏭 Facilities'!A1170:A1178, D1171)</f>
        <v>0</v>
      </c>
    </row>
    <row r="1172" spans="1:22">
      <c r="A1172" s="16" t="s">
        <v>2984</v>
      </c>
      <c r="B1172" s="16" t="s">
        <v>893</v>
      </c>
      <c r="C1172" s="16" t="s">
        <v>174</v>
      </c>
      <c r="D1172" s="16" t="s">
        <v>184</v>
      </c>
      <c r="E1172" s="25">
        <v>45252</v>
      </c>
      <c r="F1172" s="16" t="s">
        <v>2985</v>
      </c>
      <c r="G1172" s="16" t="s">
        <v>117</v>
      </c>
      <c r="H1172" s="16">
        <v>5.9</v>
      </c>
      <c r="I1172" s="16">
        <v>149</v>
      </c>
      <c r="J1172" s="16">
        <v>0</v>
      </c>
      <c r="K1172" s="16">
        <v>879.1</v>
      </c>
      <c r="L1172" s="16" t="s">
        <v>139</v>
      </c>
      <c r="M1172" s="16" t="s">
        <v>119</v>
      </c>
      <c r="N1172" s="27">
        <v>45252.352777777778</v>
      </c>
      <c r="O1172" s="27">
        <v>45253.126388888886</v>
      </c>
      <c r="P1172" s="16">
        <v>2.9</v>
      </c>
      <c r="Q1172" s="16" t="b">
        <f>FALSE()</f>
        <v>0</v>
      </c>
      <c r="R1172" s="16" t="b">
        <f>TRUE()</f>
        <v>1</v>
      </c>
      <c r="S1172" s="17">
        <f t="shared" si="18"/>
        <v>18.600000000000001</v>
      </c>
      <c r="T1172">
        <f>COUNTIF('👤 Customers'!$A:$A, B1172)</f>
        <v>1</v>
      </c>
      <c r="U1172">
        <f>COUNTIF('🚴 Riders'!A1171:A1231, C1172)</f>
        <v>0</v>
      </c>
      <c r="V1172">
        <f>COUNTIF('🏭 Facilities'!A1171:A1179, D1172)</f>
        <v>0</v>
      </c>
    </row>
    <row r="1173" spans="1:22">
      <c r="A1173" s="18" t="s">
        <v>2986</v>
      </c>
      <c r="B1173" s="18" t="s">
        <v>1182</v>
      </c>
      <c r="C1173" s="18" t="s">
        <v>354</v>
      </c>
      <c r="D1173" s="18" t="s">
        <v>137</v>
      </c>
      <c r="E1173" s="26">
        <v>45155</v>
      </c>
      <c r="F1173" s="18" t="s">
        <v>2987</v>
      </c>
      <c r="G1173" s="18" t="s">
        <v>132</v>
      </c>
      <c r="H1173" s="18">
        <v>7.7</v>
      </c>
      <c r="I1173" s="18">
        <v>399</v>
      </c>
      <c r="J1173" s="18">
        <v>10</v>
      </c>
      <c r="K1173" s="18">
        <v>2765.07</v>
      </c>
      <c r="L1173" s="18" t="s">
        <v>118</v>
      </c>
      <c r="M1173" s="18" t="s">
        <v>119</v>
      </c>
      <c r="N1173" s="28">
        <v>45155.604861111111</v>
      </c>
      <c r="O1173" s="28">
        <v>45156.310416666667</v>
      </c>
      <c r="P1173" s="18">
        <v>4</v>
      </c>
      <c r="Q1173" s="18" t="b">
        <f>FALSE()</f>
        <v>0</v>
      </c>
      <c r="R1173" s="18" t="b">
        <f>TRUE()</f>
        <v>1</v>
      </c>
      <c r="S1173" s="19">
        <f t="shared" si="18"/>
        <v>16.899999999999999</v>
      </c>
      <c r="T1173">
        <f>COUNTIF('👤 Customers'!$A:$A, B1173)</f>
        <v>1</v>
      </c>
      <c r="U1173">
        <f>COUNTIF('🚴 Riders'!A1172:A1232, C1173)</f>
        <v>0</v>
      </c>
      <c r="V1173">
        <f>COUNTIF('🏭 Facilities'!A1172:A1180, D1173)</f>
        <v>0</v>
      </c>
    </row>
    <row r="1174" spans="1:22">
      <c r="A1174" s="16" t="s">
        <v>2988</v>
      </c>
      <c r="B1174" s="16" t="s">
        <v>1061</v>
      </c>
      <c r="C1174" s="16" t="s">
        <v>339</v>
      </c>
      <c r="D1174" s="16" t="s">
        <v>158</v>
      </c>
      <c r="E1174" s="25">
        <v>45064</v>
      </c>
      <c r="F1174" s="16" t="s">
        <v>2989</v>
      </c>
      <c r="G1174" s="16" t="s">
        <v>117</v>
      </c>
      <c r="H1174" s="16">
        <v>6</v>
      </c>
      <c r="I1174" s="16">
        <v>149</v>
      </c>
      <c r="J1174" s="16">
        <v>0</v>
      </c>
      <c r="K1174" s="16">
        <v>894</v>
      </c>
      <c r="L1174" s="16" t="s">
        <v>126</v>
      </c>
      <c r="M1174" s="16" t="s">
        <v>119</v>
      </c>
      <c r="N1174" s="27">
        <v>45064.538194444445</v>
      </c>
      <c r="O1174" s="27">
        <v>45065.536805555559</v>
      </c>
      <c r="P1174" s="16">
        <v>2.5</v>
      </c>
      <c r="Q1174" s="16" t="b">
        <f>FALSE()</f>
        <v>0</v>
      </c>
      <c r="R1174" s="16" t="b">
        <f>FALSE()</f>
        <v>0</v>
      </c>
      <c r="S1174" s="17">
        <f t="shared" si="18"/>
        <v>24</v>
      </c>
      <c r="T1174">
        <f>COUNTIF('👤 Customers'!$A:$A, B1174)</f>
        <v>1</v>
      </c>
      <c r="U1174">
        <f>COUNTIF('🚴 Riders'!A1173:A1233, C1174)</f>
        <v>0</v>
      </c>
      <c r="V1174">
        <f>COUNTIF('🏭 Facilities'!A1173:A1181, D1174)</f>
        <v>0</v>
      </c>
    </row>
    <row r="1175" spans="1:22">
      <c r="A1175" s="18" t="s">
        <v>2990</v>
      </c>
      <c r="B1175" s="18" t="s">
        <v>657</v>
      </c>
      <c r="C1175" s="18" t="s">
        <v>300</v>
      </c>
      <c r="D1175" s="18" t="s">
        <v>137</v>
      </c>
      <c r="E1175" s="26">
        <v>45011</v>
      </c>
      <c r="F1175" s="18" t="s">
        <v>2991</v>
      </c>
      <c r="G1175" s="18" t="s">
        <v>145</v>
      </c>
      <c r="H1175" s="18">
        <v>5.0999999999999996</v>
      </c>
      <c r="I1175" s="18">
        <v>299</v>
      </c>
      <c r="J1175" s="18">
        <v>30</v>
      </c>
      <c r="K1175" s="18">
        <v>1067.43</v>
      </c>
      <c r="L1175" s="18" t="s">
        <v>146</v>
      </c>
      <c r="M1175" s="18" t="s">
        <v>119</v>
      </c>
      <c r="N1175" s="28">
        <v>45011.280555555553</v>
      </c>
      <c r="O1175" s="28">
        <v>45012.326388888891</v>
      </c>
      <c r="P1175" s="18">
        <v>4</v>
      </c>
      <c r="Q1175" s="18" t="b">
        <f>FALSE()</f>
        <v>0</v>
      </c>
      <c r="R1175" s="18" t="b">
        <f>FALSE()</f>
        <v>0</v>
      </c>
      <c r="S1175" s="19">
        <f t="shared" si="18"/>
        <v>25.1</v>
      </c>
      <c r="T1175">
        <f>COUNTIF('👤 Customers'!$A:$A, B1175)</f>
        <v>1</v>
      </c>
      <c r="U1175">
        <f>COUNTIF('🚴 Riders'!A1174:A1234, C1175)</f>
        <v>0</v>
      </c>
      <c r="V1175">
        <f>COUNTIF('🏭 Facilities'!A1174:A1182, D1175)</f>
        <v>0</v>
      </c>
    </row>
    <row r="1176" spans="1:22">
      <c r="A1176" s="16" t="s">
        <v>2992</v>
      </c>
      <c r="B1176" s="16" t="s">
        <v>346</v>
      </c>
      <c r="C1176" s="16" t="s">
        <v>461</v>
      </c>
      <c r="D1176" s="16" t="s">
        <v>158</v>
      </c>
      <c r="E1176" s="25">
        <v>45537</v>
      </c>
      <c r="F1176" s="16" t="s">
        <v>2993</v>
      </c>
      <c r="G1176" s="16" t="s">
        <v>125</v>
      </c>
      <c r="H1176" s="16">
        <v>7.5</v>
      </c>
      <c r="I1176" s="16">
        <v>199</v>
      </c>
      <c r="J1176" s="16">
        <v>0</v>
      </c>
      <c r="K1176" s="16">
        <v>1492.5</v>
      </c>
      <c r="L1176" s="16" t="s">
        <v>126</v>
      </c>
      <c r="M1176" s="16" t="s">
        <v>119</v>
      </c>
      <c r="N1176" s="27">
        <v>45537.354166666664</v>
      </c>
      <c r="O1176" s="27">
        <v>45537.974305555559</v>
      </c>
      <c r="P1176" s="16">
        <v>2.9</v>
      </c>
      <c r="Q1176" s="16" t="b">
        <f>TRUE()</f>
        <v>1</v>
      </c>
      <c r="R1176" s="16" t="b">
        <f>TRUE()</f>
        <v>1</v>
      </c>
      <c r="S1176" s="17">
        <f t="shared" si="18"/>
        <v>14.9</v>
      </c>
      <c r="T1176">
        <f>COUNTIF('👤 Customers'!$A:$A, B1176)</f>
        <v>1</v>
      </c>
      <c r="U1176">
        <f>COUNTIF('🚴 Riders'!A1175:A1235, C1176)</f>
        <v>0</v>
      </c>
      <c r="V1176">
        <f>COUNTIF('🏭 Facilities'!A1175:A1183, D1176)</f>
        <v>0</v>
      </c>
    </row>
    <row r="1177" spans="1:22">
      <c r="A1177" s="18" t="s">
        <v>2994</v>
      </c>
      <c r="B1177" s="18" t="s">
        <v>2995</v>
      </c>
      <c r="C1177" s="18" t="s">
        <v>188</v>
      </c>
      <c r="D1177" s="18" t="s">
        <v>184</v>
      </c>
      <c r="E1177" s="26">
        <v>45085</v>
      </c>
      <c r="F1177" s="18" t="s">
        <v>2996</v>
      </c>
      <c r="G1177" s="18" t="s">
        <v>176</v>
      </c>
      <c r="H1177" s="18">
        <v>2.8</v>
      </c>
      <c r="I1177" s="18">
        <v>599</v>
      </c>
      <c r="J1177" s="18">
        <v>10</v>
      </c>
      <c r="K1177" s="18">
        <v>1509.48</v>
      </c>
      <c r="L1177" s="18" t="s">
        <v>139</v>
      </c>
      <c r="M1177" s="18" t="s">
        <v>119</v>
      </c>
      <c r="N1177" s="28">
        <v>45085.4375</v>
      </c>
      <c r="O1177" s="28">
        <v>45086.109722222223</v>
      </c>
      <c r="P1177" s="18">
        <v>3.9</v>
      </c>
      <c r="Q1177" s="18" t="b">
        <f>FALSE()</f>
        <v>0</v>
      </c>
      <c r="R1177" s="18" t="b">
        <f>FALSE()</f>
        <v>0</v>
      </c>
      <c r="S1177" s="19">
        <f t="shared" si="18"/>
        <v>16.100000000000001</v>
      </c>
      <c r="T1177">
        <f>COUNTIF('👤 Customers'!$A:$A, B1177)</f>
        <v>1</v>
      </c>
      <c r="U1177">
        <f>COUNTIF('🚴 Riders'!A1176:A1236, C1177)</f>
        <v>0</v>
      </c>
      <c r="V1177">
        <f>COUNTIF('🏭 Facilities'!A1176:A1184, D1177)</f>
        <v>0</v>
      </c>
    </row>
    <row r="1178" spans="1:22">
      <c r="A1178" s="16" t="s">
        <v>2997</v>
      </c>
      <c r="B1178" s="16" t="s">
        <v>409</v>
      </c>
      <c r="C1178" s="16" t="s">
        <v>114</v>
      </c>
      <c r="D1178" s="16" t="s">
        <v>123</v>
      </c>
      <c r="E1178" s="25">
        <v>45213</v>
      </c>
      <c r="F1178" s="16" t="s">
        <v>2998</v>
      </c>
      <c r="G1178" s="16" t="s">
        <v>117</v>
      </c>
      <c r="H1178" s="16">
        <v>7.6</v>
      </c>
      <c r="I1178" s="16">
        <v>149</v>
      </c>
      <c r="J1178" s="16">
        <v>0</v>
      </c>
      <c r="K1178" s="16">
        <v>1132.4000000000001</v>
      </c>
      <c r="L1178" s="16" t="s">
        <v>118</v>
      </c>
      <c r="M1178" s="16" t="s">
        <v>119</v>
      </c>
      <c r="N1178" s="27">
        <v>45213.257638888892</v>
      </c>
      <c r="O1178" s="27">
        <v>45214.029861111114</v>
      </c>
      <c r="P1178" s="16">
        <v>4.5</v>
      </c>
      <c r="Q1178" s="16" t="b">
        <f>FALSE()</f>
        <v>0</v>
      </c>
      <c r="R1178" s="16" t="b">
        <f>FALSE()</f>
        <v>0</v>
      </c>
      <c r="S1178" s="17">
        <f t="shared" si="18"/>
        <v>18.5</v>
      </c>
      <c r="T1178">
        <f>COUNTIF('👤 Customers'!$A:$A, B1178)</f>
        <v>1</v>
      </c>
      <c r="U1178">
        <f>COUNTIF('🚴 Riders'!A1177:A1237, C1178)</f>
        <v>0</v>
      </c>
      <c r="V1178">
        <f>COUNTIF('🏭 Facilities'!A1177:A1185, D1178)</f>
        <v>0</v>
      </c>
    </row>
    <row r="1179" spans="1:22">
      <c r="A1179" s="18" t="s">
        <v>2999</v>
      </c>
      <c r="B1179" s="18" t="s">
        <v>3000</v>
      </c>
      <c r="C1179" s="18" t="s">
        <v>350</v>
      </c>
      <c r="D1179" s="18" t="s">
        <v>197</v>
      </c>
      <c r="E1179" s="26">
        <v>44951</v>
      </c>
      <c r="F1179" s="18" t="s">
        <v>3001</v>
      </c>
      <c r="G1179" s="18" t="s">
        <v>145</v>
      </c>
      <c r="H1179" s="18">
        <v>2.8</v>
      </c>
      <c r="I1179" s="18">
        <v>299</v>
      </c>
      <c r="J1179" s="18">
        <v>10</v>
      </c>
      <c r="K1179" s="18">
        <v>753.48</v>
      </c>
      <c r="L1179" s="18" t="s">
        <v>126</v>
      </c>
      <c r="M1179" s="18" t="s">
        <v>119</v>
      </c>
      <c r="N1179" s="28">
        <v>44951.531944444447</v>
      </c>
      <c r="O1179" s="28">
        <v>44952.090277777781</v>
      </c>
      <c r="P1179" s="18">
        <v>2.8</v>
      </c>
      <c r="Q1179" s="18" t="b">
        <f>FALSE()</f>
        <v>0</v>
      </c>
      <c r="R1179" s="18" t="b">
        <f>FALSE()</f>
        <v>0</v>
      </c>
      <c r="S1179" s="19">
        <f t="shared" si="18"/>
        <v>13.4</v>
      </c>
      <c r="T1179">
        <f>COUNTIF('👤 Customers'!$A:$A, B1179)</f>
        <v>1</v>
      </c>
      <c r="U1179">
        <f>COUNTIF('🚴 Riders'!A1178:A1238, C1179)</f>
        <v>0</v>
      </c>
      <c r="V1179">
        <f>COUNTIF('🏭 Facilities'!A1178:A1186, D1179)</f>
        <v>0</v>
      </c>
    </row>
    <row r="1180" spans="1:22">
      <c r="A1180" s="16" t="s">
        <v>3002</v>
      </c>
      <c r="B1180" s="16" t="s">
        <v>574</v>
      </c>
      <c r="C1180" s="16" t="s">
        <v>240</v>
      </c>
      <c r="D1180" s="16" t="s">
        <v>197</v>
      </c>
      <c r="E1180" s="25">
        <v>45274</v>
      </c>
      <c r="F1180" s="16" t="s">
        <v>3003</v>
      </c>
      <c r="G1180" s="16" t="s">
        <v>117</v>
      </c>
      <c r="H1180" s="16">
        <v>6.4</v>
      </c>
      <c r="I1180" s="16">
        <v>149</v>
      </c>
      <c r="J1180" s="16">
        <v>10</v>
      </c>
      <c r="K1180" s="16">
        <v>858.24</v>
      </c>
      <c r="L1180" s="16" t="s">
        <v>139</v>
      </c>
      <c r="M1180" s="16" t="s">
        <v>140</v>
      </c>
      <c r="N1180" s="27">
        <v>45274.671527777777</v>
      </c>
      <c r="O1180" s="27">
        <v>45275.409722222219</v>
      </c>
      <c r="P1180" s="20"/>
      <c r="Q1180" s="16" t="b">
        <f>FALSE()</f>
        <v>0</v>
      </c>
      <c r="R1180" s="16" t="b">
        <f>FALSE()</f>
        <v>0</v>
      </c>
      <c r="S1180" s="17">
        <f t="shared" si="18"/>
        <v>17.7</v>
      </c>
      <c r="T1180">
        <f>COUNTIF('👤 Customers'!$A:$A, B1180)</f>
        <v>1</v>
      </c>
      <c r="U1180">
        <f>COUNTIF('🚴 Riders'!A1179:A1239, C1180)</f>
        <v>0</v>
      </c>
      <c r="V1180">
        <f>COUNTIF('🏭 Facilities'!A1179:A1187, D1180)</f>
        <v>0</v>
      </c>
    </row>
    <row r="1181" spans="1:22">
      <c r="A1181" s="18" t="s">
        <v>3004</v>
      </c>
      <c r="B1181" s="18" t="s">
        <v>1491</v>
      </c>
      <c r="C1181" s="18" t="s">
        <v>1092</v>
      </c>
      <c r="D1181" s="18" t="s">
        <v>158</v>
      </c>
      <c r="E1181" s="26">
        <v>45520</v>
      </c>
      <c r="F1181" s="18" t="s">
        <v>3005</v>
      </c>
      <c r="G1181" s="18" t="s">
        <v>132</v>
      </c>
      <c r="H1181" s="18">
        <v>2.7</v>
      </c>
      <c r="I1181" s="18">
        <v>399</v>
      </c>
      <c r="J1181" s="18">
        <v>0</v>
      </c>
      <c r="K1181" s="18">
        <v>1077.3</v>
      </c>
      <c r="L1181" s="18" t="s">
        <v>207</v>
      </c>
      <c r="M1181" s="18" t="s">
        <v>140</v>
      </c>
      <c r="N1181" s="28">
        <v>45520.657638888886</v>
      </c>
      <c r="O1181" s="28">
        <v>45521.088194444441</v>
      </c>
      <c r="P1181" s="20"/>
      <c r="Q1181" s="18" t="b">
        <f>FALSE()</f>
        <v>0</v>
      </c>
      <c r="R1181" s="18" t="b">
        <f>FALSE()</f>
        <v>0</v>
      </c>
      <c r="S1181" s="19">
        <f t="shared" si="18"/>
        <v>10.3</v>
      </c>
      <c r="T1181">
        <f>COUNTIF('👤 Customers'!$A:$A, B1181)</f>
        <v>1</v>
      </c>
      <c r="U1181">
        <f>COUNTIF('🚴 Riders'!A1180:A1240, C1181)</f>
        <v>0</v>
      </c>
      <c r="V1181">
        <f>COUNTIF('🏭 Facilities'!A1180:A1188, D1181)</f>
        <v>0</v>
      </c>
    </row>
    <row r="1182" spans="1:22">
      <c r="A1182" s="16" t="s">
        <v>3006</v>
      </c>
      <c r="B1182" s="16" t="s">
        <v>1011</v>
      </c>
      <c r="C1182" s="16" t="s">
        <v>343</v>
      </c>
      <c r="D1182" s="16" t="s">
        <v>205</v>
      </c>
      <c r="E1182" s="25">
        <v>45201</v>
      </c>
      <c r="F1182" s="16" t="s">
        <v>3007</v>
      </c>
      <c r="G1182" s="16" t="s">
        <v>125</v>
      </c>
      <c r="H1182" s="16">
        <v>5.6</v>
      </c>
      <c r="I1182" s="16">
        <v>199</v>
      </c>
      <c r="J1182" s="16">
        <v>0</v>
      </c>
      <c r="K1182" s="16">
        <v>1114.4000000000001</v>
      </c>
      <c r="L1182" s="16" t="s">
        <v>207</v>
      </c>
      <c r="M1182" s="16" t="s">
        <v>119</v>
      </c>
      <c r="N1182" s="27">
        <v>45201.781944444447</v>
      </c>
      <c r="O1182" s="27">
        <v>45202.384027777778</v>
      </c>
      <c r="P1182" s="16">
        <v>2.6</v>
      </c>
      <c r="Q1182" s="16" t="b">
        <f>FALSE()</f>
        <v>0</v>
      </c>
      <c r="R1182" s="16" t="b">
        <f>FALSE()</f>
        <v>0</v>
      </c>
      <c r="S1182" s="17">
        <f t="shared" si="18"/>
        <v>14.4</v>
      </c>
      <c r="T1182">
        <f>COUNTIF('👤 Customers'!$A:$A, B1182)</f>
        <v>1</v>
      </c>
      <c r="U1182">
        <f>COUNTIF('🚴 Riders'!A1181:A1241, C1182)</f>
        <v>0</v>
      </c>
      <c r="V1182">
        <f>COUNTIF('🏭 Facilities'!A1181:A1189, D1182)</f>
        <v>0</v>
      </c>
    </row>
    <row r="1183" spans="1:22">
      <c r="A1183" s="18" t="s">
        <v>3008</v>
      </c>
      <c r="B1183" s="18" t="s">
        <v>716</v>
      </c>
      <c r="C1183" s="18" t="s">
        <v>479</v>
      </c>
      <c r="D1183" s="18" t="s">
        <v>123</v>
      </c>
      <c r="E1183" s="26">
        <v>45105</v>
      </c>
      <c r="F1183" s="18" t="s">
        <v>3009</v>
      </c>
      <c r="G1183" s="18" t="s">
        <v>117</v>
      </c>
      <c r="H1183" s="18">
        <v>6</v>
      </c>
      <c r="I1183" s="18">
        <v>149</v>
      </c>
      <c r="J1183" s="18">
        <v>0</v>
      </c>
      <c r="K1183" s="18">
        <v>894</v>
      </c>
      <c r="L1183" s="18" t="s">
        <v>126</v>
      </c>
      <c r="M1183" s="18" t="s">
        <v>119</v>
      </c>
      <c r="N1183" s="28">
        <v>45105.352083333331</v>
      </c>
      <c r="O1183" s="28">
        <v>45106.341666666667</v>
      </c>
      <c r="P1183" s="18">
        <v>2.6</v>
      </c>
      <c r="Q1183" s="18" t="b">
        <f>FALSE()</f>
        <v>0</v>
      </c>
      <c r="R1183" s="18" t="b">
        <f>FALSE()</f>
        <v>0</v>
      </c>
      <c r="S1183" s="19">
        <f t="shared" si="18"/>
        <v>23.8</v>
      </c>
      <c r="T1183">
        <f>COUNTIF('👤 Customers'!$A:$A, B1183)</f>
        <v>1</v>
      </c>
      <c r="U1183">
        <f>COUNTIF('🚴 Riders'!A1182:A1242, C1183)</f>
        <v>0</v>
      </c>
      <c r="V1183">
        <f>COUNTIF('🏭 Facilities'!A1182:A1190, D1183)</f>
        <v>0</v>
      </c>
    </row>
    <row r="1184" spans="1:22">
      <c r="A1184" s="16" t="s">
        <v>3010</v>
      </c>
      <c r="B1184" s="16" t="s">
        <v>389</v>
      </c>
      <c r="C1184" s="16" t="s">
        <v>563</v>
      </c>
      <c r="D1184" s="16" t="s">
        <v>158</v>
      </c>
      <c r="E1184" s="25">
        <v>45419</v>
      </c>
      <c r="F1184" s="16" t="s">
        <v>3011</v>
      </c>
      <c r="G1184" s="16" t="s">
        <v>125</v>
      </c>
      <c r="H1184" s="16">
        <v>4.5999999999999996</v>
      </c>
      <c r="I1184" s="16">
        <v>199</v>
      </c>
      <c r="J1184" s="16">
        <v>10</v>
      </c>
      <c r="K1184" s="16">
        <v>823.86</v>
      </c>
      <c r="L1184" s="16" t="s">
        <v>118</v>
      </c>
      <c r="M1184" s="16" t="s">
        <v>119</v>
      </c>
      <c r="N1184" s="27">
        <v>45419.813888888886</v>
      </c>
      <c r="O1184" s="27">
        <v>45420.527083333334</v>
      </c>
      <c r="P1184" s="16">
        <v>5</v>
      </c>
      <c r="Q1184" s="16" t="b">
        <f>FALSE()</f>
        <v>0</v>
      </c>
      <c r="R1184" s="16" t="b">
        <f>FALSE()</f>
        <v>0</v>
      </c>
      <c r="S1184" s="17">
        <f t="shared" si="18"/>
        <v>17.100000000000001</v>
      </c>
      <c r="T1184">
        <f>COUNTIF('👤 Customers'!$A:$A, B1184)</f>
        <v>1</v>
      </c>
      <c r="U1184">
        <f>COUNTIF('🚴 Riders'!A1183:A1243, C1184)</f>
        <v>0</v>
      </c>
      <c r="V1184">
        <f>COUNTIF('🏭 Facilities'!A1183:A1191, D1184)</f>
        <v>0</v>
      </c>
    </row>
    <row r="1185" spans="1:22">
      <c r="A1185" s="18" t="s">
        <v>3012</v>
      </c>
      <c r="B1185" s="18" t="s">
        <v>1147</v>
      </c>
      <c r="C1185" s="18" t="s">
        <v>213</v>
      </c>
      <c r="D1185" s="18" t="s">
        <v>130</v>
      </c>
      <c r="E1185" s="26">
        <v>45447</v>
      </c>
      <c r="F1185" s="18" t="s">
        <v>3013</v>
      </c>
      <c r="G1185" s="18" t="s">
        <v>117</v>
      </c>
      <c r="H1185" s="18">
        <v>2.8</v>
      </c>
      <c r="I1185" s="18">
        <v>149</v>
      </c>
      <c r="J1185" s="18">
        <v>0</v>
      </c>
      <c r="K1185" s="18">
        <v>417.2</v>
      </c>
      <c r="L1185" s="18" t="s">
        <v>139</v>
      </c>
      <c r="M1185" s="18" t="s">
        <v>133</v>
      </c>
      <c r="N1185" s="20"/>
      <c r="O1185" s="20"/>
      <c r="P1185" s="20"/>
      <c r="Q1185" s="18" t="b">
        <f>FALSE()</f>
        <v>0</v>
      </c>
      <c r="R1185" s="18" t="b">
        <f>FALSE()</f>
        <v>0</v>
      </c>
      <c r="S1185" s="19" t="str">
        <f t="shared" si="18"/>
        <v>N/A</v>
      </c>
      <c r="T1185">
        <f>COUNTIF('👤 Customers'!$A:$A, B1185)</f>
        <v>1</v>
      </c>
      <c r="U1185">
        <f>COUNTIF('🚴 Riders'!A1184:A1244, C1185)</f>
        <v>0</v>
      </c>
      <c r="V1185">
        <f>COUNTIF('🏭 Facilities'!A1184:A1192, D1185)</f>
        <v>0</v>
      </c>
    </row>
    <row r="1186" spans="1:22">
      <c r="A1186" s="16" t="s">
        <v>3014</v>
      </c>
      <c r="B1186" s="16" t="s">
        <v>403</v>
      </c>
      <c r="C1186" s="16" t="s">
        <v>1092</v>
      </c>
      <c r="D1186" s="16" t="s">
        <v>158</v>
      </c>
      <c r="E1186" s="25">
        <v>44939</v>
      </c>
      <c r="F1186" s="16" t="s">
        <v>3015</v>
      </c>
      <c r="G1186" s="16" t="s">
        <v>117</v>
      </c>
      <c r="H1186" s="16">
        <v>2.7</v>
      </c>
      <c r="I1186" s="16">
        <v>149</v>
      </c>
      <c r="J1186" s="16">
        <v>0</v>
      </c>
      <c r="K1186" s="16">
        <v>402.3</v>
      </c>
      <c r="L1186" s="16" t="s">
        <v>146</v>
      </c>
      <c r="M1186" s="16" t="s">
        <v>119</v>
      </c>
      <c r="N1186" s="27">
        <v>44939.191666666666</v>
      </c>
      <c r="O1186" s="27">
        <v>44940.246527777781</v>
      </c>
      <c r="P1186" s="16">
        <v>3.9</v>
      </c>
      <c r="Q1186" s="16" t="b">
        <f>FALSE()</f>
        <v>0</v>
      </c>
      <c r="R1186" s="16" t="b">
        <f>FALSE()</f>
        <v>0</v>
      </c>
      <c r="S1186" s="17">
        <f t="shared" si="18"/>
        <v>25.3</v>
      </c>
      <c r="T1186">
        <f>COUNTIF('👤 Customers'!$A:$A, B1186)</f>
        <v>1</v>
      </c>
      <c r="U1186">
        <f>COUNTIF('🚴 Riders'!A1185:A1245, C1186)</f>
        <v>0</v>
      </c>
      <c r="V1186">
        <f>COUNTIF('🏭 Facilities'!A1185:A1193, D1186)</f>
        <v>0</v>
      </c>
    </row>
    <row r="1187" spans="1:22">
      <c r="A1187" s="18" t="s">
        <v>3016</v>
      </c>
      <c r="B1187" s="18" t="s">
        <v>1282</v>
      </c>
      <c r="C1187" s="18" t="s">
        <v>224</v>
      </c>
      <c r="D1187" s="18" t="s">
        <v>137</v>
      </c>
      <c r="E1187" s="26">
        <v>45326</v>
      </c>
      <c r="F1187" s="18" t="s">
        <v>3017</v>
      </c>
      <c r="G1187" s="18" t="s">
        <v>132</v>
      </c>
      <c r="H1187" s="18">
        <v>7.2</v>
      </c>
      <c r="I1187" s="18">
        <v>399</v>
      </c>
      <c r="J1187" s="18">
        <v>10</v>
      </c>
      <c r="K1187" s="18">
        <v>2585.52</v>
      </c>
      <c r="L1187" s="18" t="s">
        <v>139</v>
      </c>
      <c r="M1187" s="18" t="s">
        <v>133</v>
      </c>
      <c r="N1187" s="20"/>
      <c r="O1187" s="20"/>
      <c r="P1187" s="20"/>
      <c r="Q1187" s="18" t="b">
        <f>TRUE()</f>
        <v>1</v>
      </c>
      <c r="R1187" s="18" t="b">
        <f>FALSE()</f>
        <v>0</v>
      </c>
      <c r="S1187" s="19" t="str">
        <f t="shared" si="18"/>
        <v>N/A</v>
      </c>
      <c r="T1187">
        <f>COUNTIF('👤 Customers'!$A:$A, B1187)</f>
        <v>1</v>
      </c>
      <c r="U1187">
        <f>COUNTIF('🚴 Riders'!A1186:A1246, C1187)</f>
        <v>0</v>
      </c>
      <c r="V1187">
        <f>COUNTIF('🏭 Facilities'!A1186:A1194, D1187)</f>
        <v>0</v>
      </c>
    </row>
    <row r="1188" spans="1:22">
      <c r="A1188" s="16" t="s">
        <v>3018</v>
      </c>
      <c r="B1188" s="16" t="s">
        <v>135</v>
      </c>
      <c r="C1188" s="16" t="s">
        <v>188</v>
      </c>
      <c r="D1188" s="16" t="s">
        <v>123</v>
      </c>
      <c r="E1188" s="25">
        <v>45455</v>
      </c>
      <c r="F1188" s="16" t="s">
        <v>3019</v>
      </c>
      <c r="G1188" s="16" t="s">
        <v>132</v>
      </c>
      <c r="H1188" s="16">
        <v>2.8</v>
      </c>
      <c r="I1188" s="16">
        <v>399</v>
      </c>
      <c r="J1188" s="16">
        <v>0</v>
      </c>
      <c r="K1188" s="16">
        <v>1117.2</v>
      </c>
      <c r="L1188" s="16" t="s">
        <v>207</v>
      </c>
      <c r="M1188" s="16" t="s">
        <v>119</v>
      </c>
      <c r="N1188" s="27">
        <v>45456.113194444442</v>
      </c>
      <c r="O1188" s="27">
        <v>45457.189583333333</v>
      </c>
      <c r="P1188" s="16">
        <v>3.2</v>
      </c>
      <c r="Q1188" s="16" t="b">
        <f>FALSE()</f>
        <v>0</v>
      </c>
      <c r="R1188" s="16" t="b">
        <f>FALSE()</f>
        <v>0</v>
      </c>
      <c r="S1188" s="17">
        <f t="shared" si="18"/>
        <v>25.8</v>
      </c>
      <c r="T1188">
        <f>COUNTIF('👤 Customers'!$A:$A, B1188)</f>
        <v>1</v>
      </c>
      <c r="U1188">
        <f>COUNTIF('🚴 Riders'!A1187:A1247, C1188)</f>
        <v>0</v>
      </c>
      <c r="V1188">
        <f>COUNTIF('🏭 Facilities'!A1187:A1195, D1188)</f>
        <v>0</v>
      </c>
    </row>
    <row r="1189" spans="1:22">
      <c r="A1189" s="18" t="s">
        <v>3020</v>
      </c>
      <c r="B1189" s="18" t="s">
        <v>173</v>
      </c>
      <c r="C1189" s="18" t="s">
        <v>143</v>
      </c>
      <c r="D1189" s="18" t="s">
        <v>115</v>
      </c>
      <c r="E1189" s="26">
        <v>45430</v>
      </c>
      <c r="F1189" s="18" t="s">
        <v>3021</v>
      </c>
      <c r="G1189" s="18" t="s">
        <v>132</v>
      </c>
      <c r="H1189" s="18">
        <v>5.0999999999999996</v>
      </c>
      <c r="I1189" s="18">
        <v>399</v>
      </c>
      <c r="J1189" s="18">
        <v>0</v>
      </c>
      <c r="K1189" s="18">
        <v>2034.9</v>
      </c>
      <c r="L1189" s="18" t="s">
        <v>126</v>
      </c>
      <c r="M1189" s="18" t="s">
        <v>119</v>
      </c>
      <c r="N1189" s="28">
        <v>45430.913194444445</v>
      </c>
      <c r="O1189" s="28">
        <v>45431.811805555553</v>
      </c>
      <c r="P1189" s="18">
        <v>3.5</v>
      </c>
      <c r="Q1189" s="18" t="b">
        <f>FALSE()</f>
        <v>0</v>
      </c>
      <c r="R1189" s="18" t="b">
        <f>FALSE()</f>
        <v>0</v>
      </c>
      <c r="S1189" s="19">
        <f t="shared" si="18"/>
        <v>21.6</v>
      </c>
      <c r="T1189">
        <f>COUNTIF('👤 Customers'!$A:$A, B1189)</f>
        <v>1</v>
      </c>
      <c r="U1189">
        <f>COUNTIF('🚴 Riders'!A1188:A1248, C1189)</f>
        <v>0</v>
      </c>
      <c r="V1189">
        <f>COUNTIF('🏭 Facilities'!A1188:A1196, D1189)</f>
        <v>0</v>
      </c>
    </row>
    <row r="1190" spans="1:22">
      <c r="A1190" s="16" t="s">
        <v>3022</v>
      </c>
      <c r="B1190" s="16" t="s">
        <v>1724</v>
      </c>
      <c r="C1190" s="16" t="s">
        <v>315</v>
      </c>
      <c r="D1190" s="16" t="s">
        <v>137</v>
      </c>
      <c r="E1190" s="25">
        <v>45367</v>
      </c>
      <c r="F1190" s="16" t="s">
        <v>3023</v>
      </c>
      <c r="G1190" s="16" t="s">
        <v>132</v>
      </c>
      <c r="H1190" s="16">
        <v>7.9</v>
      </c>
      <c r="I1190" s="16">
        <v>399</v>
      </c>
      <c r="J1190" s="16">
        <v>0</v>
      </c>
      <c r="K1190" s="16">
        <v>3152.1</v>
      </c>
      <c r="L1190" s="16" t="s">
        <v>126</v>
      </c>
      <c r="M1190" s="16" t="s">
        <v>133</v>
      </c>
      <c r="N1190" s="20"/>
      <c r="O1190" s="20"/>
      <c r="P1190" s="20"/>
      <c r="Q1190" s="16" t="b">
        <f>TRUE()</f>
        <v>1</v>
      </c>
      <c r="R1190" s="16" t="b">
        <f>TRUE()</f>
        <v>1</v>
      </c>
      <c r="S1190" s="17" t="str">
        <f t="shared" si="18"/>
        <v>N/A</v>
      </c>
      <c r="T1190">
        <f>COUNTIF('👤 Customers'!$A:$A, B1190)</f>
        <v>1</v>
      </c>
      <c r="U1190">
        <f>COUNTIF('🚴 Riders'!A1189:A1249, C1190)</f>
        <v>0</v>
      </c>
      <c r="V1190">
        <f>COUNTIF('🏭 Facilities'!A1189:A1197, D1190)</f>
        <v>0</v>
      </c>
    </row>
    <row r="1191" spans="1:22">
      <c r="A1191" s="18" t="s">
        <v>3024</v>
      </c>
      <c r="B1191" s="18" t="s">
        <v>1405</v>
      </c>
      <c r="C1191" s="18" t="s">
        <v>122</v>
      </c>
      <c r="D1191" s="18" t="s">
        <v>184</v>
      </c>
      <c r="E1191" s="26">
        <v>45070</v>
      </c>
      <c r="F1191" s="18" t="s">
        <v>3025</v>
      </c>
      <c r="G1191" s="18" t="s">
        <v>132</v>
      </c>
      <c r="H1191" s="18">
        <v>2.2000000000000002</v>
      </c>
      <c r="I1191" s="18">
        <v>399</v>
      </c>
      <c r="J1191" s="18">
        <v>0</v>
      </c>
      <c r="K1191" s="18">
        <v>877.8</v>
      </c>
      <c r="L1191" s="18" t="s">
        <v>146</v>
      </c>
      <c r="M1191" s="18" t="s">
        <v>119</v>
      </c>
      <c r="N1191" s="28">
        <v>45070.904166666667</v>
      </c>
      <c r="O1191" s="28">
        <v>45071.520833333336</v>
      </c>
      <c r="P1191" s="18">
        <v>4.5999999999999996</v>
      </c>
      <c r="Q1191" s="18" t="b">
        <f>FALSE()</f>
        <v>0</v>
      </c>
      <c r="R1191" s="18" t="b">
        <f>FALSE()</f>
        <v>0</v>
      </c>
      <c r="S1191" s="19">
        <f t="shared" si="18"/>
        <v>14.8</v>
      </c>
      <c r="T1191">
        <f>COUNTIF('👤 Customers'!$A:$A, B1191)</f>
        <v>1</v>
      </c>
      <c r="U1191">
        <f>COUNTIF('🚴 Riders'!A1190:A1250, C1191)</f>
        <v>0</v>
      </c>
      <c r="V1191">
        <f>COUNTIF('🏭 Facilities'!A1190:A1198, D1191)</f>
        <v>0</v>
      </c>
    </row>
    <row r="1192" spans="1:22">
      <c r="A1192" s="16" t="s">
        <v>3026</v>
      </c>
      <c r="B1192" s="16" t="s">
        <v>1416</v>
      </c>
      <c r="C1192" s="16" t="s">
        <v>300</v>
      </c>
      <c r="D1192" s="16" t="s">
        <v>123</v>
      </c>
      <c r="E1192" s="25">
        <v>45641</v>
      </c>
      <c r="F1192" s="16" t="s">
        <v>3027</v>
      </c>
      <c r="G1192" s="16" t="s">
        <v>145</v>
      </c>
      <c r="H1192" s="16">
        <v>6</v>
      </c>
      <c r="I1192" s="16">
        <v>299</v>
      </c>
      <c r="J1192" s="16">
        <v>0</v>
      </c>
      <c r="K1192" s="16">
        <v>1794</v>
      </c>
      <c r="L1192" s="16" t="s">
        <v>126</v>
      </c>
      <c r="M1192" s="16" t="s">
        <v>133</v>
      </c>
      <c r="N1192" s="20"/>
      <c r="O1192" s="20"/>
      <c r="P1192" s="20"/>
      <c r="Q1192" s="16" t="b">
        <f>FALSE()</f>
        <v>0</v>
      </c>
      <c r="R1192" s="16" t="b">
        <f>FALSE()</f>
        <v>0</v>
      </c>
      <c r="S1192" s="17" t="str">
        <f t="shared" si="18"/>
        <v>N/A</v>
      </c>
      <c r="T1192">
        <f>COUNTIF('👤 Customers'!$A:$A, B1192)</f>
        <v>1</v>
      </c>
      <c r="U1192">
        <f>COUNTIF('🚴 Riders'!A1191:A1251, C1192)</f>
        <v>0</v>
      </c>
      <c r="V1192">
        <f>COUNTIF('🏭 Facilities'!A1191:A1199, D1192)</f>
        <v>0</v>
      </c>
    </row>
    <row r="1193" spans="1:22">
      <c r="A1193" s="18" t="s">
        <v>3028</v>
      </c>
      <c r="B1193" s="18" t="s">
        <v>667</v>
      </c>
      <c r="C1193" s="18" t="s">
        <v>213</v>
      </c>
      <c r="D1193" s="18" t="s">
        <v>123</v>
      </c>
      <c r="E1193" s="26">
        <v>45356</v>
      </c>
      <c r="F1193" s="18" t="s">
        <v>3029</v>
      </c>
      <c r="G1193" s="18" t="s">
        <v>117</v>
      </c>
      <c r="H1193" s="18">
        <v>7.5</v>
      </c>
      <c r="I1193" s="18">
        <v>149</v>
      </c>
      <c r="J1193" s="18">
        <v>10</v>
      </c>
      <c r="K1193" s="18">
        <v>1005.75</v>
      </c>
      <c r="L1193" s="18" t="s">
        <v>139</v>
      </c>
      <c r="M1193" s="18" t="s">
        <v>140</v>
      </c>
      <c r="N1193" s="28">
        <v>45356.711111111108</v>
      </c>
      <c r="O1193" s="28">
        <v>45357.507638888892</v>
      </c>
      <c r="P1193" s="20"/>
      <c r="Q1193" s="18" t="b">
        <f>FALSE()</f>
        <v>0</v>
      </c>
      <c r="R1193" s="18" t="b">
        <f>FALSE()</f>
        <v>0</v>
      </c>
      <c r="S1193" s="19">
        <f t="shared" si="18"/>
        <v>19.100000000000001</v>
      </c>
      <c r="T1193">
        <f>COUNTIF('👤 Customers'!$A:$A, B1193)</f>
        <v>1</v>
      </c>
      <c r="U1193">
        <f>COUNTIF('🚴 Riders'!A1192:A1252, C1193)</f>
        <v>0</v>
      </c>
      <c r="V1193">
        <f>COUNTIF('🏭 Facilities'!A1192:A1200, D1193)</f>
        <v>0</v>
      </c>
    </row>
    <row r="1194" spans="1:22">
      <c r="A1194" s="16" t="s">
        <v>3030</v>
      </c>
      <c r="B1194" s="16" t="s">
        <v>1030</v>
      </c>
      <c r="C1194" s="16" t="s">
        <v>232</v>
      </c>
      <c r="D1194" s="16" t="s">
        <v>184</v>
      </c>
      <c r="E1194" s="25">
        <v>45354</v>
      </c>
      <c r="F1194" s="16" t="s">
        <v>3031</v>
      </c>
      <c r="G1194" s="16" t="s">
        <v>132</v>
      </c>
      <c r="H1194" s="16">
        <v>2.4</v>
      </c>
      <c r="I1194" s="16">
        <v>399</v>
      </c>
      <c r="J1194" s="16">
        <v>0</v>
      </c>
      <c r="K1194" s="16">
        <v>957.6</v>
      </c>
      <c r="L1194" s="16" t="s">
        <v>139</v>
      </c>
      <c r="M1194" s="16" t="s">
        <v>133</v>
      </c>
      <c r="N1194" s="20"/>
      <c r="O1194" s="20"/>
      <c r="P1194" s="20"/>
      <c r="Q1194" s="16" t="b">
        <f>FALSE()</f>
        <v>0</v>
      </c>
      <c r="R1194" s="16" t="b">
        <f>FALSE()</f>
        <v>0</v>
      </c>
      <c r="S1194" s="17" t="str">
        <f t="shared" si="18"/>
        <v>N/A</v>
      </c>
      <c r="T1194">
        <f>COUNTIF('👤 Customers'!$A:$A, B1194)</f>
        <v>1</v>
      </c>
      <c r="U1194">
        <f>COUNTIF('🚴 Riders'!A1193:A1253, C1194)</f>
        <v>0</v>
      </c>
      <c r="V1194">
        <f>COUNTIF('🏭 Facilities'!A1193:A1201, D1194)</f>
        <v>0</v>
      </c>
    </row>
    <row r="1195" spans="1:22">
      <c r="A1195" s="18" t="s">
        <v>3032</v>
      </c>
      <c r="B1195" s="18" t="s">
        <v>239</v>
      </c>
      <c r="C1195" s="18" t="s">
        <v>162</v>
      </c>
      <c r="D1195" s="18" t="s">
        <v>184</v>
      </c>
      <c r="E1195" s="26">
        <v>45068</v>
      </c>
      <c r="F1195" s="18" t="s">
        <v>3033</v>
      </c>
      <c r="G1195" s="18" t="s">
        <v>125</v>
      </c>
      <c r="H1195" s="18">
        <v>3.6</v>
      </c>
      <c r="I1195" s="18">
        <v>199</v>
      </c>
      <c r="J1195" s="18">
        <v>20</v>
      </c>
      <c r="K1195" s="18">
        <v>573.12</v>
      </c>
      <c r="L1195" s="18" t="s">
        <v>126</v>
      </c>
      <c r="M1195" s="18" t="s">
        <v>119</v>
      </c>
      <c r="N1195" s="28">
        <v>45068.817361111112</v>
      </c>
      <c r="O1195" s="28">
        <v>45069.586805555555</v>
      </c>
      <c r="P1195" s="18">
        <v>3.6</v>
      </c>
      <c r="Q1195" s="18" t="b">
        <f>FALSE()</f>
        <v>0</v>
      </c>
      <c r="R1195" s="18" t="b">
        <f>FALSE()</f>
        <v>0</v>
      </c>
      <c r="S1195" s="19">
        <f t="shared" si="18"/>
        <v>18.5</v>
      </c>
      <c r="T1195">
        <f>COUNTIF('👤 Customers'!$A:$A, B1195)</f>
        <v>1</v>
      </c>
      <c r="U1195">
        <f>COUNTIF('🚴 Riders'!A1194:A1254, C1195)</f>
        <v>0</v>
      </c>
      <c r="V1195">
        <f>COUNTIF('🏭 Facilities'!A1194:A1202, D1195)</f>
        <v>0</v>
      </c>
    </row>
    <row r="1196" spans="1:22">
      <c r="A1196" s="16" t="s">
        <v>3034</v>
      </c>
      <c r="B1196" s="16" t="s">
        <v>908</v>
      </c>
      <c r="C1196" s="16" t="s">
        <v>300</v>
      </c>
      <c r="D1196" s="16" t="s">
        <v>130</v>
      </c>
      <c r="E1196" s="25">
        <v>45254</v>
      </c>
      <c r="F1196" s="16" t="s">
        <v>3035</v>
      </c>
      <c r="G1196" s="16" t="s">
        <v>117</v>
      </c>
      <c r="H1196" s="16">
        <v>1.6</v>
      </c>
      <c r="I1196" s="16">
        <v>149</v>
      </c>
      <c r="J1196" s="16">
        <v>0</v>
      </c>
      <c r="K1196" s="16">
        <v>238.4</v>
      </c>
      <c r="L1196" s="16" t="s">
        <v>118</v>
      </c>
      <c r="M1196" s="16" t="s">
        <v>140</v>
      </c>
      <c r="N1196" s="27">
        <v>45254.918749999997</v>
      </c>
      <c r="O1196" s="27">
        <v>45255.560416666667</v>
      </c>
      <c r="P1196" s="20"/>
      <c r="Q1196" s="16" t="b">
        <f>TRUE()</f>
        <v>1</v>
      </c>
      <c r="R1196" s="16" t="b">
        <f>FALSE()</f>
        <v>0</v>
      </c>
      <c r="S1196" s="17">
        <f t="shared" si="18"/>
        <v>15.4</v>
      </c>
      <c r="T1196">
        <f>COUNTIF('👤 Customers'!$A:$A, B1196)</f>
        <v>1</v>
      </c>
      <c r="U1196">
        <f>COUNTIF('🚴 Riders'!A1195:A1255, C1196)</f>
        <v>0</v>
      </c>
      <c r="V1196">
        <f>COUNTIF('🏭 Facilities'!A1195:A1203, D1196)</f>
        <v>0</v>
      </c>
    </row>
    <row r="1197" spans="1:22">
      <c r="A1197" s="18" t="s">
        <v>3036</v>
      </c>
      <c r="B1197" s="18" t="s">
        <v>746</v>
      </c>
      <c r="C1197" s="18" t="s">
        <v>304</v>
      </c>
      <c r="D1197" s="18" t="s">
        <v>205</v>
      </c>
      <c r="E1197" s="26">
        <v>45178</v>
      </c>
      <c r="F1197" s="18" t="s">
        <v>3037</v>
      </c>
      <c r="G1197" s="18" t="s">
        <v>125</v>
      </c>
      <c r="H1197" s="18">
        <v>3.8</v>
      </c>
      <c r="I1197" s="18">
        <v>199</v>
      </c>
      <c r="J1197" s="18">
        <v>20</v>
      </c>
      <c r="K1197" s="18">
        <v>604.96</v>
      </c>
      <c r="L1197" s="18" t="s">
        <v>146</v>
      </c>
      <c r="M1197" s="18" t="s">
        <v>133</v>
      </c>
      <c r="N1197" s="20"/>
      <c r="O1197" s="20"/>
      <c r="P1197" s="20"/>
      <c r="Q1197" s="18" t="b">
        <f>FALSE()</f>
        <v>0</v>
      </c>
      <c r="R1197" s="18" t="b">
        <f>FALSE()</f>
        <v>0</v>
      </c>
      <c r="S1197" s="19" t="str">
        <f t="shared" si="18"/>
        <v>N/A</v>
      </c>
      <c r="T1197">
        <f>COUNTIF('👤 Customers'!$A:$A, B1197)</f>
        <v>1</v>
      </c>
      <c r="U1197">
        <f>COUNTIF('🚴 Riders'!A1196:A1256, C1197)</f>
        <v>0</v>
      </c>
      <c r="V1197">
        <f>COUNTIF('🏭 Facilities'!A1196:A1204, D1197)</f>
        <v>0</v>
      </c>
    </row>
    <row r="1198" spans="1:22">
      <c r="A1198" s="16" t="s">
        <v>3038</v>
      </c>
      <c r="B1198" s="16" t="s">
        <v>878</v>
      </c>
      <c r="C1198" s="16" t="s">
        <v>287</v>
      </c>
      <c r="D1198" s="16" t="s">
        <v>115</v>
      </c>
      <c r="E1198" s="25">
        <v>45352</v>
      </c>
      <c r="F1198" s="16" t="s">
        <v>3039</v>
      </c>
      <c r="G1198" s="16" t="s">
        <v>132</v>
      </c>
      <c r="H1198" s="16">
        <v>3.1</v>
      </c>
      <c r="I1198" s="16">
        <v>399</v>
      </c>
      <c r="J1198" s="16">
        <v>0</v>
      </c>
      <c r="K1198" s="16">
        <v>1236.9000000000001</v>
      </c>
      <c r="L1198" s="16" t="s">
        <v>126</v>
      </c>
      <c r="M1198" s="16" t="s">
        <v>133</v>
      </c>
      <c r="N1198" s="20"/>
      <c r="O1198" s="20"/>
      <c r="P1198" s="20"/>
      <c r="Q1198" s="16" t="b">
        <f>FALSE()</f>
        <v>0</v>
      </c>
      <c r="R1198" s="16" t="b">
        <f>FALSE()</f>
        <v>0</v>
      </c>
      <c r="S1198" s="17" t="str">
        <f t="shared" si="18"/>
        <v>N/A</v>
      </c>
      <c r="T1198">
        <f>COUNTIF('👤 Customers'!$A:$A, B1198)</f>
        <v>1</v>
      </c>
      <c r="U1198">
        <f>COUNTIF('🚴 Riders'!A1197:A1257, C1198)</f>
        <v>0</v>
      </c>
      <c r="V1198">
        <f>COUNTIF('🏭 Facilities'!A1197:A1205, D1198)</f>
        <v>0</v>
      </c>
    </row>
    <row r="1199" spans="1:22">
      <c r="A1199" s="18" t="s">
        <v>3040</v>
      </c>
      <c r="B1199" s="18" t="s">
        <v>2247</v>
      </c>
      <c r="C1199" s="18" t="s">
        <v>272</v>
      </c>
      <c r="D1199" s="18" t="s">
        <v>197</v>
      </c>
      <c r="E1199" s="26">
        <v>45360</v>
      </c>
      <c r="F1199" s="18" t="s">
        <v>3041</v>
      </c>
      <c r="G1199" s="18" t="s">
        <v>176</v>
      </c>
      <c r="H1199" s="18">
        <v>4.5999999999999996</v>
      </c>
      <c r="I1199" s="18">
        <v>599</v>
      </c>
      <c r="J1199" s="18">
        <v>10</v>
      </c>
      <c r="K1199" s="18">
        <v>2479.86</v>
      </c>
      <c r="L1199" s="18" t="s">
        <v>118</v>
      </c>
      <c r="M1199" s="18" t="s">
        <v>119</v>
      </c>
      <c r="N1199" s="28">
        <v>45360.524305555555</v>
      </c>
      <c r="O1199" s="28">
        <v>45361.617361111108</v>
      </c>
      <c r="P1199" s="18">
        <v>2.6</v>
      </c>
      <c r="Q1199" s="18" t="b">
        <f>FALSE()</f>
        <v>0</v>
      </c>
      <c r="R1199" s="18" t="b">
        <f>FALSE()</f>
        <v>0</v>
      </c>
      <c r="S1199" s="19">
        <f t="shared" si="18"/>
        <v>26.2</v>
      </c>
      <c r="T1199">
        <f>COUNTIF('👤 Customers'!$A:$A, B1199)</f>
        <v>1</v>
      </c>
      <c r="U1199">
        <f>COUNTIF('🚴 Riders'!A1198:A1258, C1199)</f>
        <v>0</v>
      </c>
      <c r="V1199">
        <f>COUNTIF('🏭 Facilities'!A1198:A1206, D1199)</f>
        <v>0</v>
      </c>
    </row>
    <row r="1200" spans="1:22">
      <c r="A1200" s="16" t="s">
        <v>3042</v>
      </c>
      <c r="B1200" s="16" t="s">
        <v>1168</v>
      </c>
      <c r="C1200" s="16" t="s">
        <v>300</v>
      </c>
      <c r="D1200" s="16" t="s">
        <v>137</v>
      </c>
      <c r="E1200" s="25">
        <v>45208</v>
      </c>
      <c r="F1200" s="16" t="s">
        <v>3043</v>
      </c>
      <c r="G1200" s="16" t="s">
        <v>145</v>
      </c>
      <c r="H1200" s="16">
        <v>6.9</v>
      </c>
      <c r="I1200" s="16">
        <v>299</v>
      </c>
      <c r="J1200" s="16">
        <v>0</v>
      </c>
      <c r="K1200" s="16">
        <v>2063.1</v>
      </c>
      <c r="L1200" s="16" t="s">
        <v>139</v>
      </c>
      <c r="M1200" s="16" t="s">
        <v>119</v>
      </c>
      <c r="N1200" s="27">
        <v>45208.990972222222</v>
      </c>
      <c r="O1200" s="27">
        <v>45209.738888888889</v>
      </c>
      <c r="P1200" s="16">
        <v>4.7</v>
      </c>
      <c r="Q1200" s="16" t="b">
        <f>FALSE()</f>
        <v>0</v>
      </c>
      <c r="R1200" s="16" t="b">
        <f>FALSE()</f>
        <v>0</v>
      </c>
      <c r="S1200" s="17">
        <f t="shared" si="18"/>
        <v>18</v>
      </c>
      <c r="T1200">
        <f>COUNTIF('👤 Customers'!$A:$A, B1200)</f>
        <v>1</v>
      </c>
      <c r="U1200">
        <f>COUNTIF('🚴 Riders'!A1199:A1259, C1200)</f>
        <v>0</v>
      </c>
      <c r="V1200">
        <f>COUNTIF('🏭 Facilities'!A1199:A1207, D1200)</f>
        <v>0</v>
      </c>
    </row>
    <row r="1201" spans="1:22">
      <c r="A1201" s="18" t="s">
        <v>3044</v>
      </c>
      <c r="B1201" s="18" t="s">
        <v>2082</v>
      </c>
      <c r="C1201" s="18" t="s">
        <v>304</v>
      </c>
      <c r="D1201" s="18" t="s">
        <v>205</v>
      </c>
      <c r="E1201" s="26">
        <v>45586</v>
      </c>
      <c r="F1201" s="18" t="s">
        <v>3045</v>
      </c>
      <c r="G1201" s="18" t="s">
        <v>176</v>
      </c>
      <c r="H1201" s="18">
        <v>5</v>
      </c>
      <c r="I1201" s="18">
        <v>599</v>
      </c>
      <c r="J1201" s="18">
        <v>20</v>
      </c>
      <c r="K1201" s="18">
        <v>2396</v>
      </c>
      <c r="L1201" s="18" t="s">
        <v>207</v>
      </c>
      <c r="M1201" s="18" t="s">
        <v>119</v>
      </c>
      <c r="N1201" s="28">
        <v>45586.723611111112</v>
      </c>
      <c r="O1201" s="28">
        <v>45587.248611111114</v>
      </c>
      <c r="P1201" s="18">
        <v>4.9000000000000004</v>
      </c>
      <c r="Q1201" s="18" t="b">
        <f>FALSE()</f>
        <v>0</v>
      </c>
      <c r="R1201" s="18" t="b">
        <f>FALSE()</f>
        <v>0</v>
      </c>
      <c r="S1201" s="19">
        <f t="shared" si="18"/>
        <v>12.6</v>
      </c>
      <c r="T1201">
        <f>COUNTIF('👤 Customers'!$A:$A, B1201)</f>
        <v>1</v>
      </c>
      <c r="U1201">
        <f>COUNTIF('🚴 Riders'!A1200:A1260, C1201)</f>
        <v>0</v>
      </c>
      <c r="V1201">
        <f>COUNTIF('🏭 Facilities'!A1200:A1208, D1201)</f>
        <v>0</v>
      </c>
    </row>
    <row r="1202" spans="1:22">
      <c r="A1202" s="16" t="s">
        <v>3046</v>
      </c>
      <c r="B1202" s="16" t="s">
        <v>1431</v>
      </c>
      <c r="C1202" s="16" t="s">
        <v>236</v>
      </c>
      <c r="D1202" s="16" t="s">
        <v>123</v>
      </c>
      <c r="E1202" s="25">
        <v>45323</v>
      </c>
      <c r="F1202" s="16" t="s">
        <v>3047</v>
      </c>
      <c r="G1202" s="16" t="s">
        <v>117</v>
      </c>
      <c r="H1202" s="16">
        <v>7.8</v>
      </c>
      <c r="I1202" s="16">
        <v>149</v>
      </c>
      <c r="J1202" s="16">
        <v>0</v>
      </c>
      <c r="K1202" s="16">
        <v>1162.2</v>
      </c>
      <c r="L1202" s="16" t="s">
        <v>139</v>
      </c>
      <c r="M1202" s="16" t="s">
        <v>119</v>
      </c>
      <c r="N1202" s="27">
        <v>45323.601388888892</v>
      </c>
      <c r="O1202" s="27">
        <v>45324.478472222225</v>
      </c>
      <c r="P1202" s="16">
        <v>4</v>
      </c>
      <c r="Q1202" s="16" t="b">
        <f>FALSE()</f>
        <v>0</v>
      </c>
      <c r="R1202" s="16" t="b">
        <f>TRUE()</f>
        <v>1</v>
      </c>
      <c r="S1202" s="17">
        <f t="shared" si="18"/>
        <v>21</v>
      </c>
      <c r="T1202">
        <f>COUNTIF('👤 Customers'!$A:$A, B1202)</f>
        <v>1</v>
      </c>
      <c r="U1202">
        <f>COUNTIF('🚴 Riders'!A1201:A1261, C1202)</f>
        <v>0</v>
      </c>
      <c r="V1202">
        <f>COUNTIF('🏭 Facilities'!A1201:A1209, D1202)</f>
        <v>0</v>
      </c>
    </row>
    <row r="1203" spans="1:22">
      <c r="A1203" s="18" t="s">
        <v>3048</v>
      </c>
      <c r="B1203" s="18" t="s">
        <v>701</v>
      </c>
      <c r="C1203" s="18" t="s">
        <v>315</v>
      </c>
      <c r="D1203" s="18" t="s">
        <v>137</v>
      </c>
      <c r="E1203" s="26">
        <v>45449</v>
      </c>
      <c r="F1203" s="18" t="s">
        <v>3049</v>
      </c>
      <c r="G1203" s="18" t="s">
        <v>176</v>
      </c>
      <c r="H1203" s="18">
        <v>2</v>
      </c>
      <c r="I1203" s="18">
        <v>599</v>
      </c>
      <c r="J1203" s="18">
        <v>0</v>
      </c>
      <c r="K1203" s="18">
        <v>1198</v>
      </c>
      <c r="L1203" s="18" t="s">
        <v>146</v>
      </c>
      <c r="M1203" s="18" t="s">
        <v>140</v>
      </c>
      <c r="N1203" s="28">
        <v>45449.821527777778</v>
      </c>
      <c r="O1203" s="28">
        <v>45450.854166666664</v>
      </c>
      <c r="P1203" s="20"/>
      <c r="Q1203" s="18" t="b">
        <f>FALSE()</f>
        <v>0</v>
      </c>
      <c r="R1203" s="18" t="b">
        <f>FALSE()</f>
        <v>0</v>
      </c>
      <c r="S1203" s="19">
        <f t="shared" si="18"/>
        <v>24.8</v>
      </c>
      <c r="T1203">
        <f>COUNTIF('👤 Customers'!$A:$A, B1203)</f>
        <v>1</v>
      </c>
      <c r="U1203">
        <f>COUNTIF('🚴 Riders'!A1202:A1262, C1203)</f>
        <v>0</v>
      </c>
      <c r="V1203">
        <f>COUNTIF('🏭 Facilities'!A1202:A1210, D1203)</f>
        <v>0</v>
      </c>
    </row>
    <row r="1204" spans="1:22">
      <c r="A1204" s="16" t="s">
        <v>3050</v>
      </c>
      <c r="B1204" s="16" t="s">
        <v>1793</v>
      </c>
      <c r="C1204" s="16" t="s">
        <v>240</v>
      </c>
      <c r="D1204" s="16" t="s">
        <v>205</v>
      </c>
      <c r="E1204" s="25">
        <v>45383</v>
      </c>
      <c r="F1204" s="16" t="s">
        <v>3051</v>
      </c>
      <c r="G1204" s="16" t="s">
        <v>125</v>
      </c>
      <c r="H1204" s="16">
        <v>4.0999999999999996</v>
      </c>
      <c r="I1204" s="16">
        <v>199</v>
      </c>
      <c r="J1204" s="16">
        <v>20</v>
      </c>
      <c r="K1204" s="16">
        <v>652.72</v>
      </c>
      <c r="L1204" s="16" t="s">
        <v>118</v>
      </c>
      <c r="M1204" s="16" t="s">
        <v>119</v>
      </c>
      <c r="N1204" s="27">
        <v>45383.554861111108</v>
      </c>
      <c r="O1204" s="27">
        <v>45384.197916666664</v>
      </c>
      <c r="P1204" s="16">
        <v>3.4</v>
      </c>
      <c r="Q1204" s="16" t="b">
        <f>FALSE()</f>
        <v>0</v>
      </c>
      <c r="R1204" s="16" t="b">
        <f>TRUE()</f>
        <v>1</v>
      </c>
      <c r="S1204" s="17">
        <f t="shared" si="18"/>
        <v>15.4</v>
      </c>
      <c r="T1204">
        <f>COUNTIF('👤 Customers'!$A:$A, B1204)</f>
        <v>1</v>
      </c>
      <c r="U1204">
        <f>COUNTIF('🚴 Riders'!A1203:A1263, C1204)</f>
        <v>0</v>
      </c>
      <c r="V1204">
        <f>COUNTIF('🏭 Facilities'!A1203:A1211, D1204)</f>
        <v>0</v>
      </c>
    </row>
    <row r="1205" spans="1:22">
      <c r="A1205" s="18" t="s">
        <v>3052</v>
      </c>
      <c r="B1205" s="18" t="s">
        <v>817</v>
      </c>
      <c r="C1205" s="18" t="s">
        <v>166</v>
      </c>
      <c r="D1205" s="18" t="s">
        <v>184</v>
      </c>
      <c r="E1205" s="26">
        <v>45264</v>
      </c>
      <c r="F1205" s="18" t="s">
        <v>3053</v>
      </c>
      <c r="G1205" s="18" t="s">
        <v>176</v>
      </c>
      <c r="H1205" s="18">
        <v>1.9</v>
      </c>
      <c r="I1205" s="18">
        <v>599</v>
      </c>
      <c r="J1205" s="18">
        <v>20</v>
      </c>
      <c r="K1205" s="18">
        <v>910.48</v>
      </c>
      <c r="L1205" s="18" t="s">
        <v>126</v>
      </c>
      <c r="M1205" s="18" t="s">
        <v>119</v>
      </c>
      <c r="N1205" s="28">
        <v>45265.004861111112</v>
      </c>
      <c r="O1205" s="28">
        <v>45265.990277777775</v>
      </c>
      <c r="P1205" s="18">
        <v>2.7</v>
      </c>
      <c r="Q1205" s="18" t="b">
        <f>FALSE()</f>
        <v>0</v>
      </c>
      <c r="R1205" s="18" t="b">
        <f>FALSE()</f>
        <v>0</v>
      </c>
      <c r="S1205" s="19">
        <f t="shared" si="18"/>
        <v>23.6</v>
      </c>
      <c r="T1205">
        <f>COUNTIF('👤 Customers'!$A:$A, B1205)</f>
        <v>1</v>
      </c>
      <c r="U1205">
        <f>COUNTIF('🚴 Riders'!A1204:A1264, C1205)</f>
        <v>0</v>
      </c>
      <c r="V1205">
        <f>COUNTIF('🏭 Facilities'!A1204:A1212, D1205)</f>
        <v>0</v>
      </c>
    </row>
    <row r="1206" spans="1:22">
      <c r="A1206" s="16" t="s">
        <v>3054</v>
      </c>
      <c r="B1206" s="16" t="s">
        <v>3055</v>
      </c>
      <c r="C1206" s="16" t="s">
        <v>213</v>
      </c>
      <c r="D1206" s="16" t="s">
        <v>137</v>
      </c>
      <c r="E1206" s="25">
        <v>45624</v>
      </c>
      <c r="F1206" s="16" t="s">
        <v>3056</v>
      </c>
      <c r="G1206" s="16" t="s">
        <v>117</v>
      </c>
      <c r="H1206" s="16">
        <v>3.9</v>
      </c>
      <c r="I1206" s="16">
        <v>149</v>
      </c>
      <c r="J1206" s="16">
        <v>30</v>
      </c>
      <c r="K1206" s="16">
        <v>406.77</v>
      </c>
      <c r="L1206" s="16" t="s">
        <v>146</v>
      </c>
      <c r="M1206" s="16" t="s">
        <v>119</v>
      </c>
      <c r="N1206" s="27">
        <v>45624.912499999999</v>
      </c>
      <c r="O1206" s="27">
        <v>45625.847916666666</v>
      </c>
      <c r="P1206" s="16">
        <v>2.9</v>
      </c>
      <c r="Q1206" s="16" t="b">
        <f>FALSE()</f>
        <v>0</v>
      </c>
      <c r="R1206" s="16" t="b">
        <f>FALSE()</f>
        <v>0</v>
      </c>
      <c r="S1206" s="17">
        <f t="shared" si="18"/>
        <v>22.5</v>
      </c>
      <c r="T1206">
        <f>COUNTIF('👤 Customers'!$A:$A, B1206)</f>
        <v>1</v>
      </c>
      <c r="U1206">
        <f>COUNTIF('🚴 Riders'!A1205:A1265, C1206)</f>
        <v>0</v>
      </c>
      <c r="V1206">
        <f>COUNTIF('🏭 Facilities'!A1205:A1213, D1206)</f>
        <v>0</v>
      </c>
    </row>
    <row r="1207" spans="1:22">
      <c r="A1207" s="18" t="s">
        <v>3057</v>
      </c>
      <c r="B1207" s="18" t="s">
        <v>692</v>
      </c>
      <c r="C1207" s="18" t="s">
        <v>224</v>
      </c>
      <c r="D1207" s="18" t="s">
        <v>123</v>
      </c>
      <c r="E1207" s="26">
        <v>45487</v>
      </c>
      <c r="F1207" s="18" t="s">
        <v>3058</v>
      </c>
      <c r="G1207" s="18" t="s">
        <v>117</v>
      </c>
      <c r="H1207" s="18">
        <v>1</v>
      </c>
      <c r="I1207" s="18">
        <v>149</v>
      </c>
      <c r="J1207" s="18">
        <v>0</v>
      </c>
      <c r="K1207" s="18">
        <v>149</v>
      </c>
      <c r="L1207" s="18" t="s">
        <v>139</v>
      </c>
      <c r="M1207" s="18" t="s">
        <v>133</v>
      </c>
      <c r="N1207" s="20"/>
      <c r="O1207" s="20"/>
      <c r="P1207" s="20"/>
      <c r="Q1207" s="18" t="b">
        <f>FALSE()</f>
        <v>0</v>
      </c>
      <c r="R1207" s="18" t="b">
        <f>TRUE()</f>
        <v>1</v>
      </c>
      <c r="S1207" s="19" t="str">
        <f t="shared" si="18"/>
        <v>N/A</v>
      </c>
      <c r="T1207">
        <f>COUNTIF('👤 Customers'!$A:$A, B1207)</f>
        <v>1</v>
      </c>
      <c r="U1207">
        <f>COUNTIF('🚴 Riders'!A1206:A1266, C1207)</f>
        <v>0</v>
      </c>
      <c r="V1207">
        <f>COUNTIF('🏭 Facilities'!A1206:A1214, D1207)</f>
        <v>0</v>
      </c>
    </row>
    <row r="1208" spans="1:22">
      <c r="A1208" s="16" t="s">
        <v>3059</v>
      </c>
      <c r="B1208" s="16" t="s">
        <v>1168</v>
      </c>
      <c r="C1208" s="16" t="s">
        <v>136</v>
      </c>
      <c r="D1208" s="16" t="s">
        <v>184</v>
      </c>
      <c r="E1208" s="25">
        <v>45252</v>
      </c>
      <c r="F1208" s="16" t="s">
        <v>3060</v>
      </c>
      <c r="G1208" s="16" t="s">
        <v>125</v>
      </c>
      <c r="H1208" s="16">
        <v>3.7</v>
      </c>
      <c r="I1208" s="16">
        <v>199</v>
      </c>
      <c r="J1208" s="16">
        <v>20</v>
      </c>
      <c r="K1208" s="16">
        <v>589.04</v>
      </c>
      <c r="L1208" s="16" t="s">
        <v>126</v>
      </c>
      <c r="M1208" s="16" t="s">
        <v>119</v>
      </c>
      <c r="N1208" s="27">
        <v>45253.000694444447</v>
      </c>
      <c r="O1208" s="27">
        <v>45253.406944444447</v>
      </c>
      <c r="P1208" s="16">
        <v>2.8</v>
      </c>
      <c r="Q1208" s="16" t="b">
        <f>FALSE()</f>
        <v>0</v>
      </c>
      <c r="R1208" s="16" t="b">
        <f>TRUE()</f>
        <v>1</v>
      </c>
      <c r="S1208" s="17">
        <f t="shared" si="18"/>
        <v>9.8000000000000007</v>
      </c>
      <c r="T1208">
        <f>COUNTIF('👤 Customers'!$A:$A, B1208)</f>
        <v>1</v>
      </c>
      <c r="U1208">
        <f>COUNTIF('🚴 Riders'!A1207:A1267, C1208)</f>
        <v>0</v>
      </c>
      <c r="V1208">
        <f>COUNTIF('🏭 Facilities'!A1207:A1215, D1208)</f>
        <v>0</v>
      </c>
    </row>
    <row r="1209" spans="1:22">
      <c r="A1209" s="18" t="s">
        <v>3061</v>
      </c>
      <c r="B1209" s="18" t="s">
        <v>1173</v>
      </c>
      <c r="C1209" s="18" t="s">
        <v>122</v>
      </c>
      <c r="D1209" s="18" t="s">
        <v>205</v>
      </c>
      <c r="E1209" s="26">
        <v>45065</v>
      </c>
      <c r="F1209" s="18" t="s">
        <v>3062</v>
      </c>
      <c r="G1209" s="18" t="s">
        <v>145</v>
      </c>
      <c r="H1209" s="18">
        <v>7.2</v>
      </c>
      <c r="I1209" s="18">
        <v>299</v>
      </c>
      <c r="J1209" s="18">
        <v>0</v>
      </c>
      <c r="K1209" s="18">
        <v>2152.8000000000002</v>
      </c>
      <c r="L1209" s="18" t="s">
        <v>207</v>
      </c>
      <c r="M1209" s="18" t="s">
        <v>140</v>
      </c>
      <c r="N1209" s="28">
        <v>45065.289583333331</v>
      </c>
      <c r="O1209" s="28">
        <v>45065.727777777778</v>
      </c>
      <c r="P1209" s="20"/>
      <c r="Q1209" s="18" t="b">
        <f>FALSE()</f>
        <v>0</v>
      </c>
      <c r="R1209" s="18" t="b">
        <f>FALSE()</f>
        <v>0</v>
      </c>
      <c r="S1209" s="19">
        <f t="shared" si="18"/>
        <v>10.5</v>
      </c>
      <c r="T1209">
        <f>COUNTIF('👤 Customers'!$A:$A, B1209)</f>
        <v>1</v>
      </c>
      <c r="U1209">
        <f>COUNTIF('🚴 Riders'!A1208:A1268, C1209)</f>
        <v>0</v>
      </c>
      <c r="V1209">
        <f>COUNTIF('🏭 Facilities'!A1208:A1216, D1209)</f>
        <v>0</v>
      </c>
    </row>
    <row r="1210" spans="1:22">
      <c r="A1210" s="16" t="s">
        <v>3063</v>
      </c>
      <c r="B1210" s="16" t="s">
        <v>623</v>
      </c>
      <c r="C1210" s="16" t="s">
        <v>257</v>
      </c>
      <c r="D1210" s="16" t="s">
        <v>184</v>
      </c>
      <c r="E1210" s="25">
        <v>45269</v>
      </c>
      <c r="F1210" s="16" t="s">
        <v>3064</v>
      </c>
      <c r="G1210" s="16" t="s">
        <v>125</v>
      </c>
      <c r="H1210" s="16">
        <v>6.7</v>
      </c>
      <c r="I1210" s="16">
        <v>199</v>
      </c>
      <c r="J1210" s="16">
        <v>0</v>
      </c>
      <c r="K1210" s="16">
        <v>1333.3</v>
      </c>
      <c r="L1210" s="16" t="s">
        <v>126</v>
      </c>
      <c r="M1210" s="16" t="s">
        <v>119</v>
      </c>
      <c r="N1210" s="27">
        <v>45269.240972222222</v>
      </c>
      <c r="O1210" s="27">
        <v>45269.621527777781</v>
      </c>
      <c r="P1210" s="16">
        <v>4.9000000000000004</v>
      </c>
      <c r="Q1210" s="16" t="b">
        <f>FALSE()</f>
        <v>0</v>
      </c>
      <c r="R1210" s="16" t="b">
        <f>FALSE()</f>
        <v>0</v>
      </c>
      <c r="S1210" s="17">
        <f t="shared" si="18"/>
        <v>9.1</v>
      </c>
      <c r="T1210">
        <f>COUNTIF('👤 Customers'!$A:$A, B1210)</f>
        <v>1</v>
      </c>
      <c r="U1210">
        <f>COUNTIF('🚴 Riders'!A1209:A1269, C1210)</f>
        <v>0</v>
      </c>
      <c r="V1210">
        <f>COUNTIF('🏭 Facilities'!A1209:A1217, D1210)</f>
        <v>0</v>
      </c>
    </row>
    <row r="1211" spans="1:22">
      <c r="A1211" s="18" t="s">
        <v>3065</v>
      </c>
      <c r="B1211" s="18" t="s">
        <v>1682</v>
      </c>
      <c r="C1211" s="18" t="s">
        <v>143</v>
      </c>
      <c r="D1211" s="18" t="s">
        <v>137</v>
      </c>
      <c r="E1211" s="26">
        <v>45434</v>
      </c>
      <c r="F1211" s="18" t="s">
        <v>3066</v>
      </c>
      <c r="G1211" s="18" t="s">
        <v>125</v>
      </c>
      <c r="H1211" s="18">
        <v>7.1</v>
      </c>
      <c r="I1211" s="18">
        <v>199</v>
      </c>
      <c r="J1211" s="18">
        <v>0</v>
      </c>
      <c r="K1211" s="18">
        <v>1412.9</v>
      </c>
      <c r="L1211" s="18" t="s">
        <v>146</v>
      </c>
      <c r="M1211" s="18" t="s">
        <v>119</v>
      </c>
      <c r="N1211" s="28">
        <v>45434.804166666669</v>
      </c>
      <c r="O1211" s="28">
        <v>45435.365277777775</v>
      </c>
      <c r="P1211" s="18">
        <v>3.8</v>
      </c>
      <c r="Q1211" s="18" t="b">
        <f>FALSE()</f>
        <v>0</v>
      </c>
      <c r="R1211" s="18" t="b">
        <f>FALSE()</f>
        <v>0</v>
      </c>
      <c r="S1211" s="19">
        <f t="shared" si="18"/>
        <v>13.5</v>
      </c>
      <c r="T1211">
        <f>COUNTIF('👤 Customers'!$A:$A, B1211)</f>
        <v>1</v>
      </c>
      <c r="U1211">
        <f>COUNTIF('🚴 Riders'!A1210:A1270, C1211)</f>
        <v>0</v>
      </c>
      <c r="V1211">
        <f>COUNTIF('🏭 Facilities'!A1210:A1218, D1211)</f>
        <v>0</v>
      </c>
    </row>
    <row r="1212" spans="1:22">
      <c r="A1212" s="16" t="s">
        <v>3067</v>
      </c>
      <c r="B1212" s="16" t="s">
        <v>574</v>
      </c>
      <c r="C1212" s="16" t="s">
        <v>300</v>
      </c>
      <c r="D1212" s="16" t="s">
        <v>137</v>
      </c>
      <c r="E1212" s="25">
        <v>45092</v>
      </c>
      <c r="F1212" s="16" t="s">
        <v>3068</v>
      </c>
      <c r="G1212" s="16" t="s">
        <v>145</v>
      </c>
      <c r="H1212" s="16">
        <v>3.4</v>
      </c>
      <c r="I1212" s="16">
        <v>299</v>
      </c>
      <c r="J1212" s="16">
        <v>0</v>
      </c>
      <c r="K1212" s="16">
        <v>1016.6</v>
      </c>
      <c r="L1212" s="16" t="s">
        <v>139</v>
      </c>
      <c r="M1212" s="16" t="s">
        <v>119</v>
      </c>
      <c r="N1212" s="27">
        <v>45092.864583333336</v>
      </c>
      <c r="O1212" s="27">
        <v>45093.765277777777</v>
      </c>
      <c r="P1212" s="16">
        <v>3</v>
      </c>
      <c r="Q1212" s="16" t="b">
        <f>FALSE()</f>
        <v>0</v>
      </c>
      <c r="R1212" s="16" t="b">
        <f>FALSE()</f>
        <v>0</v>
      </c>
      <c r="S1212" s="17">
        <f t="shared" si="18"/>
        <v>21.6</v>
      </c>
      <c r="T1212">
        <f>COUNTIF('👤 Customers'!$A:$A, B1212)</f>
        <v>1</v>
      </c>
      <c r="U1212">
        <f>COUNTIF('🚴 Riders'!A1211:A1271, C1212)</f>
        <v>0</v>
      </c>
      <c r="V1212">
        <f>COUNTIF('🏭 Facilities'!A1211:A1219, D1212)</f>
        <v>0</v>
      </c>
    </row>
    <row r="1213" spans="1:22">
      <c r="A1213" s="18" t="s">
        <v>3069</v>
      </c>
      <c r="B1213" s="18" t="s">
        <v>598</v>
      </c>
      <c r="C1213" s="18" t="s">
        <v>257</v>
      </c>
      <c r="D1213" s="18" t="s">
        <v>137</v>
      </c>
      <c r="E1213" s="26">
        <v>45092</v>
      </c>
      <c r="F1213" s="18" t="s">
        <v>3070</v>
      </c>
      <c r="G1213" s="18" t="s">
        <v>125</v>
      </c>
      <c r="H1213" s="18">
        <v>1.2</v>
      </c>
      <c r="I1213" s="18">
        <v>199</v>
      </c>
      <c r="J1213" s="18">
        <v>0</v>
      </c>
      <c r="K1213" s="18">
        <v>238.8</v>
      </c>
      <c r="L1213" s="18" t="s">
        <v>126</v>
      </c>
      <c r="M1213" s="18" t="s">
        <v>119</v>
      </c>
      <c r="N1213" s="28">
        <v>45092.682638888888</v>
      </c>
      <c r="O1213" s="28">
        <v>45093.446527777778</v>
      </c>
      <c r="P1213" s="18">
        <v>3.7</v>
      </c>
      <c r="Q1213" s="18" t="b">
        <f>FALSE()</f>
        <v>0</v>
      </c>
      <c r="R1213" s="18" t="b">
        <f>FALSE()</f>
        <v>0</v>
      </c>
      <c r="S1213" s="19">
        <f t="shared" si="18"/>
        <v>18.3</v>
      </c>
      <c r="T1213">
        <f>COUNTIF('👤 Customers'!$A:$A, B1213)</f>
        <v>1</v>
      </c>
      <c r="U1213">
        <f>COUNTIF('🚴 Riders'!A1212:A1272, C1213)</f>
        <v>0</v>
      </c>
      <c r="V1213">
        <f>COUNTIF('🏭 Facilities'!A1212:A1220, D1213)</f>
        <v>0</v>
      </c>
    </row>
    <row r="1214" spans="1:22">
      <c r="A1214" s="16" t="s">
        <v>3071</v>
      </c>
      <c r="B1214" s="16" t="s">
        <v>1317</v>
      </c>
      <c r="C1214" s="16" t="s">
        <v>354</v>
      </c>
      <c r="D1214" s="16" t="s">
        <v>123</v>
      </c>
      <c r="E1214" s="25">
        <v>45535</v>
      </c>
      <c r="F1214" s="16" t="s">
        <v>3072</v>
      </c>
      <c r="G1214" s="16" t="s">
        <v>117</v>
      </c>
      <c r="H1214" s="16">
        <v>4.0999999999999996</v>
      </c>
      <c r="I1214" s="16">
        <v>149</v>
      </c>
      <c r="J1214" s="16">
        <v>0</v>
      </c>
      <c r="K1214" s="16">
        <v>610.9</v>
      </c>
      <c r="L1214" s="16" t="s">
        <v>146</v>
      </c>
      <c r="M1214" s="16" t="s">
        <v>119</v>
      </c>
      <c r="N1214" s="27">
        <v>45535.765277777777</v>
      </c>
      <c r="O1214" s="27">
        <v>45536.780555555553</v>
      </c>
      <c r="P1214" s="16">
        <v>3.6</v>
      </c>
      <c r="Q1214" s="16" t="b">
        <f>FALSE()</f>
        <v>0</v>
      </c>
      <c r="R1214" s="16" t="b">
        <f>FALSE()</f>
        <v>0</v>
      </c>
      <c r="S1214" s="17">
        <f t="shared" si="18"/>
        <v>24.4</v>
      </c>
      <c r="T1214">
        <f>COUNTIF('👤 Customers'!$A:$A, B1214)</f>
        <v>1</v>
      </c>
      <c r="U1214">
        <f>COUNTIF('🚴 Riders'!A1213:A1273, C1214)</f>
        <v>0</v>
      </c>
      <c r="V1214">
        <f>COUNTIF('🏭 Facilities'!A1213:A1221, D1214)</f>
        <v>0</v>
      </c>
    </row>
    <row r="1215" spans="1:22">
      <c r="A1215" s="18" t="s">
        <v>3073</v>
      </c>
      <c r="B1215" s="18" t="s">
        <v>1557</v>
      </c>
      <c r="C1215" s="18" t="s">
        <v>261</v>
      </c>
      <c r="D1215" s="18" t="s">
        <v>137</v>
      </c>
      <c r="E1215" s="26">
        <v>45383</v>
      </c>
      <c r="F1215" s="18" t="s">
        <v>3074</v>
      </c>
      <c r="G1215" s="18" t="s">
        <v>176</v>
      </c>
      <c r="H1215" s="18">
        <v>2.5</v>
      </c>
      <c r="I1215" s="18">
        <v>599</v>
      </c>
      <c r="J1215" s="18">
        <v>10</v>
      </c>
      <c r="K1215" s="18">
        <v>1347.75</v>
      </c>
      <c r="L1215" s="18" t="s">
        <v>118</v>
      </c>
      <c r="M1215" s="18" t="s">
        <v>119</v>
      </c>
      <c r="N1215" s="28">
        <v>45384.085416666669</v>
      </c>
      <c r="O1215" s="28">
        <v>45385.117361111108</v>
      </c>
      <c r="P1215" s="18">
        <v>4.5</v>
      </c>
      <c r="Q1215" s="18" t="b">
        <f>FALSE()</f>
        <v>0</v>
      </c>
      <c r="R1215" s="18" t="b">
        <f>FALSE()</f>
        <v>0</v>
      </c>
      <c r="S1215" s="19">
        <f t="shared" si="18"/>
        <v>24.8</v>
      </c>
      <c r="T1215">
        <f>COUNTIF('👤 Customers'!$A:$A, B1215)</f>
        <v>1</v>
      </c>
      <c r="U1215">
        <f>COUNTIF('🚴 Riders'!A1214:A1274, C1215)</f>
        <v>0</v>
      </c>
      <c r="V1215">
        <f>COUNTIF('🏭 Facilities'!A1214:A1222, D1215)</f>
        <v>0</v>
      </c>
    </row>
    <row r="1216" spans="1:22">
      <c r="A1216" s="16" t="s">
        <v>3075</v>
      </c>
      <c r="B1216" s="16" t="s">
        <v>863</v>
      </c>
      <c r="C1216" s="16" t="s">
        <v>153</v>
      </c>
      <c r="D1216" s="16" t="s">
        <v>184</v>
      </c>
      <c r="E1216" s="25">
        <v>45632</v>
      </c>
      <c r="F1216" s="16" t="s">
        <v>3076</v>
      </c>
      <c r="G1216" s="16" t="s">
        <v>117</v>
      </c>
      <c r="H1216" s="16">
        <v>3.8</v>
      </c>
      <c r="I1216" s="16">
        <v>149</v>
      </c>
      <c r="J1216" s="16">
        <v>0</v>
      </c>
      <c r="K1216" s="16">
        <v>566.20000000000005</v>
      </c>
      <c r="L1216" s="16" t="s">
        <v>139</v>
      </c>
      <c r="M1216" s="16" t="s">
        <v>119</v>
      </c>
      <c r="N1216" s="27">
        <v>45632.14166666667</v>
      </c>
      <c r="O1216" s="27">
        <v>45632.541666666664</v>
      </c>
      <c r="P1216" s="16">
        <v>3.4</v>
      </c>
      <c r="Q1216" s="16" t="b">
        <f>FALSE()</f>
        <v>0</v>
      </c>
      <c r="R1216" s="16" t="b">
        <f>FALSE()</f>
        <v>0</v>
      </c>
      <c r="S1216" s="17">
        <f t="shared" si="18"/>
        <v>9.6</v>
      </c>
      <c r="T1216">
        <f>COUNTIF('👤 Customers'!$A:$A, B1216)</f>
        <v>1</v>
      </c>
      <c r="U1216">
        <f>COUNTIF('🚴 Riders'!A1215:A1275, C1216)</f>
        <v>0</v>
      </c>
      <c r="V1216">
        <f>COUNTIF('🏭 Facilities'!A1215:A1223, D1216)</f>
        <v>0</v>
      </c>
    </row>
    <row r="1217" spans="1:22">
      <c r="A1217" s="18" t="s">
        <v>3077</v>
      </c>
      <c r="B1217" s="18" t="s">
        <v>875</v>
      </c>
      <c r="C1217" s="18" t="s">
        <v>580</v>
      </c>
      <c r="D1217" s="18" t="s">
        <v>205</v>
      </c>
      <c r="E1217" s="26">
        <v>45209</v>
      </c>
      <c r="F1217" s="18" t="s">
        <v>3078</v>
      </c>
      <c r="G1217" s="18" t="s">
        <v>145</v>
      </c>
      <c r="H1217" s="18">
        <v>2.1</v>
      </c>
      <c r="I1217" s="18">
        <v>299</v>
      </c>
      <c r="J1217" s="18">
        <v>0</v>
      </c>
      <c r="K1217" s="18">
        <v>627.9</v>
      </c>
      <c r="L1217" s="18" t="s">
        <v>126</v>
      </c>
      <c r="M1217" s="18" t="s">
        <v>140</v>
      </c>
      <c r="N1217" s="28">
        <v>45210.040277777778</v>
      </c>
      <c r="O1217" s="28">
        <v>45210.822916666664</v>
      </c>
      <c r="P1217" s="20"/>
      <c r="Q1217" s="18" t="b">
        <f>TRUE()</f>
        <v>1</v>
      </c>
      <c r="R1217" s="18" t="b">
        <f>FALSE()</f>
        <v>0</v>
      </c>
      <c r="S1217" s="19">
        <f t="shared" si="18"/>
        <v>18.8</v>
      </c>
      <c r="T1217">
        <f>COUNTIF('👤 Customers'!$A:$A, B1217)</f>
        <v>1</v>
      </c>
      <c r="U1217">
        <f>COUNTIF('🚴 Riders'!A1216:A1276, C1217)</f>
        <v>0</v>
      </c>
      <c r="V1217">
        <f>COUNTIF('🏭 Facilities'!A1216:A1224, D1217)</f>
        <v>0</v>
      </c>
    </row>
    <row r="1218" spans="1:22">
      <c r="A1218" s="16" t="s">
        <v>3079</v>
      </c>
      <c r="B1218" s="16" t="s">
        <v>1322</v>
      </c>
      <c r="C1218" s="16" t="s">
        <v>431</v>
      </c>
      <c r="D1218" s="16" t="s">
        <v>158</v>
      </c>
      <c r="E1218" s="25">
        <v>45167</v>
      </c>
      <c r="F1218" s="16" t="s">
        <v>3080</v>
      </c>
      <c r="G1218" s="16" t="s">
        <v>125</v>
      </c>
      <c r="H1218" s="16">
        <v>5.7</v>
      </c>
      <c r="I1218" s="16">
        <v>199</v>
      </c>
      <c r="J1218" s="16">
        <v>10</v>
      </c>
      <c r="K1218" s="16">
        <v>1020.87</v>
      </c>
      <c r="L1218" s="16" t="s">
        <v>126</v>
      </c>
      <c r="M1218" s="16" t="s">
        <v>119</v>
      </c>
      <c r="N1218" s="27">
        <v>45167.409722222219</v>
      </c>
      <c r="O1218" s="27">
        <v>45167.772222222222</v>
      </c>
      <c r="P1218" s="16">
        <v>4</v>
      </c>
      <c r="Q1218" s="16" t="b">
        <f>FALSE()</f>
        <v>0</v>
      </c>
      <c r="R1218" s="16" t="b">
        <f>TRUE()</f>
        <v>1</v>
      </c>
      <c r="S1218" s="17">
        <f t="shared" ref="S1218:S1281" si="19">IF(OR(N1218="",O1218=""),"N/A",ROUND(((O1218-N1218)*24),1))</f>
        <v>8.6999999999999993</v>
      </c>
      <c r="T1218">
        <f>COUNTIF('👤 Customers'!$A:$A, B1218)</f>
        <v>1</v>
      </c>
      <c r="U1218">
        <f>COUNTIF('🚴 Riders'!A1217:A1277, C1218)</f>
        <v>0</v>
      </c>
      <c r="V1218">
        <f>COUNTIF('🏭 Facilities'!A1217:A1225, D1218)</f>
        <v>0</v>
      </c>
    </row>
    <row r="1219" spans="1:22">
      <c r="A1219" s="18" t="s">
        <v>3081</v>
      </c>
      <c r="B1219" s="18" t="s">
        <v>930</v>
      </c>
      <c r="C1219" s="18" t="s">
        <v>354</v>
      </c>
      <c r="D1219" s="18" t="s">
        <v>205</v>
      </c>
      <c r="E1219" s="26">
        <v>45552</v>
      </c>
      <c r="F1219" s="18" t="s">
        <v>3082</v>
      </c>
      <c r="G1219" s="18" t="s">
        <v>117</v>
      </c>
      <c r="H1219" s="18">
        <v>5.9</v>
      </c>
      <c r="I1219" s="18">
        <v>149</v>
      </c>
      <c r="J1219" s="18">
        <v>0</v>
      </c>
      <c r="K1219" s="18">
        <v>879.1</v>
      </c>
      <c r="L1219" s="18" t="s">
        <v>207</v>
      </c>
      <c r="M1219" s="18" t="s">
        <v>119</v>
      </c>
      <c r="N1219" s="28">
        <v>45552.633333333331</v>
      </c>
      <c r="O1219" s="28">
        <v>45553.46597222222</v>
      </c>
      <c r="P1219" s="18">
        <v>3.3</v>
      </c>
      <c r="Q1219" s="18" t="b">
        <f>FALSE()</f>
        <v>0</v>
      </c>
      <c r="R1219" s="18" t="b">
        <f>FALSE()</f>
        <v>0</v>
      </c>
      <c r="S1219" s="19">
        <f t="shared" si="19"/>
        <v>20</v>
      </c>
      <c r="T1219">
        <f>COUNTIF('👤 Customers'!$A:$A, B1219)</f>
        <v>1</v>
      </c>
      <c r="U1219">
        <f>COUNTIF('🚴 Riders'!A1218:A1278, C1219)</f>
        <v>0</v>
      </c>
      <c r="V1219">
        <f>COUNTIF('🏭 Facilities'!A1218:A1226, D1219)</f>
        <v>0</v>
      </c>
    </row>
    <row r="1220" spans="1:22">
      <c r="A1220" s="16" t="s">
        <v>3083</v>
      </c>
      <c r="B1220" s="16" t="s">
        <v>2741</v>
      </c>
      <c r="C1220" s="16" t="s">
        <v>580</v>
      </c>
      <c r="D1220" s="16" t="s">
        <v>205</v>
      </c>
      <c r="E1220" s="25">
        <v>44991</v>
      </c>
      <c r="F1220" s="16" t="s">
        <v>3084</v>
      </c>
      <c r="G1220" s="16" t="s">
        <v>132</v>
      </c>
      <c r="H1220" s="16">
        <v>8</v>
      </c>
      <c r="I1220" s="16">
        <v>399</v>
      </c>
      <c r="J1220" s="16">
        <v>20</v>
      </c>
      <c r="K1220" s="16">
        <v>2553.6</v>
      </c>
      <c r="L1220" s="16" t="s">
        <v>126</v>
      </c>
      <c r="M1220" s="16" t="s">
        <v>140</v>
      </c>
      <c r="N1220" s="27">
        <v>44991.630555555559</v>
      </c>
      <c r="O1220" s="27">
        <v>44992.277083333334</v>
      </c>
      <c r="P1220" s="20"/>
      <c r="Q1220" s="16" t="b">
        <f>TRUE()</f>
        <v>1</v>
      </c>
      <c r="R1220" s="16" t="b">
        <f>FALSE()</f>
        <v>0</v>
      </c>
      <c r="S1220" s="17">
        <f t="shared" si="19"/>
        <v>15.5</v>
      </c>
      <c r="T1220">
        <f>COUNTIF('👤 Customers'!$A:$A, B1220)</f>
        <v>1</v>
      </c>
      <c r="U1220">
        <f>COUNTIF('🚴 Riders'!A1219:A1279, C1220)</f>
        <v>0</v>
      </c>
      <c r="V1220">
        <f>COUNTIF('🏭 Facilities'!A1219:A1227, D1220)</f>
        <v>0</v>
      </c>
    </row>
    <row r="1221" spans="1:22">
      <c r="A1221" s="18" t="s">
        <v>3085</v>
      </c>
      <c r="B1221" s="18" t="s">
        <v>1767</v>
      </c>
      <c r="C1221" s="18" t="s">
        <v>326</v>
      </c>
      <c r="D1221" s="18" t="s">
        <v>123</v>
      </c>
      <c r="E1221" s="26">
        <v>45516</v>
      </c>
      <c r="F1221" s="18" t="s">
        <v>3086</v>
      </c>
      <c r="G1221" s="18" t="s">
        <v>125</v>
      </c>
      <c r="H1221" s="18">
        <v>1.6</v>
      </c>
      <c r="I1221" s="18">
        <v>199</v>
      </c>
      <c r="J1221" s="18">
        <v>0</v>
      </c>
      <c r="K1221" s="18">
        <v>318.39999999999998</v>
      </c>
      <c r="L1221" s="18" t="s">
        <v>139</v>
      </c>
      <c r="M1221" s="18" t="s">
        <v>119</v>
      </c>
      <c r="N1221" s="28">
        <v>45517.103472222225</v>
      </c>
      <c r="O1221" s="28">
        <v>45518.168749999997</v>
      </c>
      <c r="P1221" s="18">
        <v>4.0999999999999996</v>
      </c>
      <c r="Q1221" s="18" t="b">
        <f>FALSE()</f>
        <v>0</v>
      </c>
      <c r="R1221" s="18" t="b">
        <f>TRUE()</f>
        <v>1</v>
      </c>
      <c r="S1221" s="19">
        <f t="shared" si="19"/>
        <v>25.6</v>
      </c>
      <c r="T1221">
        <f>COUNTIF('👤 Customers'!$A:$A, B1221)</f>
        <v>1</v>
      </c>
      <c r="U1221">
        <f>COUNTIF('🚴 Riders'!A1220:A1280, C1221)</f>
        <v>0</v>
      </c>
      <c r="V1221">
        <f>COUNTIF('🏭 Facilities'!A1220:A1228, D1221)</f>
        <v>0</v>
      </c>
    </row>
    <row r="1222" spans="1:22">
      <c r="A1222" s="16" t="s">
        <v>3087</v>
      </c>
      <c r="B1222" s="16" t="s">
        <v>169</v>
      </c>
      <c r="C1222" s="16" t="s">
        <v>174</v>
      </c>
      <c r="D1222" s="16" t="s">
        <v>205</v>
      </c>
      <c r="E1222" s="25">
        <v>45146</v>
      </c>
      <c r="F1222" s="16" t="s">
        <v>3088</v>
      </c>
      <c r="G1222" s="16" t="s">
        <v>125</v>
      </c>
      <c r="H1222" s="16">
        <v>7.7</v>
      </c>
      <c r="I1222" s="16">
        <v>199</v>
      </c>
      <c r="J1222" s="16">
        <v>0</v>
      </c>
      <c r="K1222" s="16">
        <v>1532.3</v>
      </c>
      <c r="L1222" s="16" t="s">
        <v>146</v>
      </c>
      <c r="M1222" s="16" t="s">
        <v>119</v>
      </c>
      <c r="N1222" s="27">
        <v>45146.5625</v>
      </c>
      <c r="O1222" s="27">
        <v>45147.526388888888</v>
      </c>
      <c r="P1222" s="16">
        <v>4.2</v>
      </c>
      <c r="Q1222" s="16" t="b">
        <f>FALSE()</f>
        <v>0</v>
      </c>
      <c r="R1222" s="16" t="b">
        <f>FALSE()</f>
        <v>0</v>
      </c>
      <c r="S1222" s="17">
        <f t="shared" si="19"/>
        <v>23.1</v>
      </c>
      <c r="T1222">
        <f>COUNTIF('👤 Customers'!$A:$A, B1222)</f>
        <v>1</v>
      </c>
      <c r="U1222">
        <f>COUNTIF('🚴 Riders'!A1221:A1281, C1222)</f>
        <v>0</v>
      </c>
      <c r="V1222">
        <f>COUNTIF('🏭 Facilities'!A1221:A1229, D1222)</f>
        <v>0</v>
      </c>
    </row>
    <row r="1223" spans="1:22">
      <c r="A1223" s="18" t="s">
        <v>3089</v>
      </c>
      <c r="B1223" s="18" t="s">
        <v>2763</v>
      </c>
      <c r="C1223" s="18" t="s">
        <v>283</v>
      </c>
      <c r="D1223" s="18" t="s">
        <v>184</v>
      </c>
      <c r="E1223" s="26">
        <v>45444</v>
      </c>
      <c r="F1223" s="18" t="s">
        <v>3090</v>
      </c>
      <c r="G1223" s="18" t="s">
        <v>125</v>
      </c>
      <c r="H1223" s="18">
        <v>1.3</v>
      </c>
      <c r="I1223" s="18">
        <v>199</v>
      </c>
      <c r="J1223" s="18">
        <v>30</v>
      </c>
      <c r="K1223" s="18">
        <v>181.09</v>
      </c>
      <c r="L1223" s="18" t="s">
        <v>207</v>
      </c>
      <c r="M1223" s="18" t="s">
        <v>119</v>
      </c>
      <c r="N1223" s="28">
        <v>45444.789583333331</v>
      </c>
      <c r="O1223" s="28">
        <v>45445.628472222219</v>
      </c>
      <c r="P1223" s="18">
        <v>4.2</v>
      </c>
      <c r="Q1223" s="18" t="b">
        <f>FALSE()</f>
        <v>0</v>
      </c>
      <c r="R1223" s="18" t="b">
        <f>TRUE()</f>
        <v>1</v>
      </c>
      <c r="S1223" s="19">
        <f t="shared" si="19"/>
        <v>20.100000000000001</v>
      </c>
      <c r="T1223">
        <f>COUNTIF('👤 Customers'!$A:$A, B1223)</f>
        <v>1</v>
      </c>
      <c r="U1223">
        <f>COUNTIF('🚴 Riders'!A1222:A1282, C1223)</f>
        <v>0</v>
      </c>
      <c r="V1223">
        <f>COUNTIF('🏭 Facilities'!A1222:A1230, D1223)</f>
        <v>0</v>
      </c>
    </row>
    <row r="1224" spans="1:22">
      <c r="A1224" s="16" t="s">
        <v>3091</v>
      </c>
      <c r="B1224" s="16" t="s">
        <v>1988</v>
      </c>
      <c r="C1224" s="16" t="s">
        <v>183</v>
      </c>
      <c r="D1224" s="16" t="s">
        <v>197</v>
      </c>
      <c r="E1224" s="25">
        <v>45197</v>
      </c>
      <c r="F1224" s="16" t="s">
        <v>3092</v>
      </c>
      <c r="G1224" s="16" t="s">
        <v>132</v>
      </c>
      <c r="H1224" s="16">
        <v>7.6</v>
      </c>
      <c r="I1224" s="16">
        <v>399</v>
      </c>
      <c r="J1224" s="16">
        <v>20</v>
      </c>
      <c r="K1224" s="16">
        <v>2425.92</v>
      </c>
      <c r="L1224" s="16" t="s">
        <v>146</v>
      </c>
      <c r="M1224" s="16" t="s">
        <v>119</v>
      </c>
      <c r="N1224" s="27">
        <v>45197.489583333336</v>
      </c>
      <c r="O1224" s="27">
        <v>45198.320833333331</v>
      </c>
      <c r="P1224" s="16">
        <v>3.2</v>
      </c>
      <c r="Q1224" s="16" t="b">
        <f>FALSE()</f>
        <v>0</v>
      </c>
      <c r="R1224" s="16" t="b">
        <f>TRUE()</f>
        <v>1</v>
      </c>
      <c r="S1224" s="17">
        <f t="shared" si="19"/>
        <v>19.899999999999999</v>
      </c>
      <c r="T1224">
        <f>COUNTIF('👤 Customers'!$A:$A, B1224)</f>
        <v>1</v>
      </c>
      <c r="U1224">
        <f>COUNTIF('🚴 Riders'!A1223:A1283, C1224)</f>
        <v>0</v>
      </c>
      <c r="V1224">
        <f>COUNTIF('🏭 Facilities'!A1223:A1231, D1224)</f>
        <v>0</v>
      </c>
    </row>
    <row r="1225" spans="1:22">
      <c r="A1225" s="18" t="s">
        <v>3093</v>
      </c>
      <c r="B1225" s="18" t="s">
        <v>223</v>
      </c>
      <c r="C1225" s="18" t="s">
        <v>170</v>
      </c>
      <c r="D1225" s="18" t="s">
        <v>205</v>
      </c>
      <c r="E1225" s="26">
        <v>45098</v>
      </c>
      <c r="F1225" s="18" t="s">
        <v>3094</v>
      </c>
      <c r="G1225" s="18" t="s">
        <v>117</v>
      </c>
      <c r="H1225" s="18">
        <v>7.2</v>
      </c>
      <c r="I1225" s="18">
        <v>149</v>
      </c>
      <c r="J1225" s="18">
        <v>10</v>
      </c>
      <c r="K1225" s="18">
        <v>965.52</v>
      </c>
      <c r="L1225" s="18" t="s">
        <v>146</v>
      </c>
      <c r="M1225" s="18" t="s">
        <v>119</v>
      </c>
      <c r="N1225" s="28">
        <v>45099.112500000003</v>
      </c>
      <c r="O1225" s="28">
        <v>45099.736805555556</v>
      </c>
      <c r="P1225" s="18">
        <v>3.4</v>
      </c>
      <c r="Q1225" s="18" t="b">
        <f>TRUE()</f>
        <v>1</v>
      </c>
      <c r="R1225" s="18" t="b">
        <f>FALSE()</f>
        <v>0</v>
      </c>
      <c r="S1225" s="19">
        <f t="shared" si="19"/>
        <v>15</v>
      </c>
      <c r="T1225">
        <f>COUNTIF('👤 Customers'!$A:$A, B1225)</f>
        <v>1</v>
      </c>
      <c r="U1225">
        <f>COUNTIF('🚴 Riders'!A1224:A1284, C1225)</f>
        <v>0</v>
      </c>
      <c r="V1225">
        <f>COUNTIF('🏭 Facilities'!A1224:A1232, D1225)</f>
        <v>0</v>
      </c>
    </row>
    <row r="1226" spans="1:22">
      <c r="A1226" s="16" t="s">
        <v>3095</v>
      </c>
      <c r="B1226" s="16" t="s">
        <v>1168</v>
      </c>
      <c r="C1226" s="16" t="s">
        <v>170</v>
      </c>
      <c r="D1226" s="16" t="s">
        <v>184</v>
      </c>
      <c r="E1226" s="25">
        <v>44952</v>
      </c>
      <c r="F1226" s="16" t="s">
        <v>3096</v>
      </c>
      <c r="G1226" s="16" t="s">
        <v>125</v>
      </c>
      <c r="H1226" s="16">
        <v>3.9</v>
      </c>
      <c r="I1226" s="16">
        <v>199</v>
      </c>
      <c r="J1226" s="16">
        <v>0</v>
      </c>
      <c r="K1226" s="16">
        <v>776.1</v>
      </c>
      <c r="L1226" s="16" t="s">
        <v>126</v>
      </c>
      <c r="M1226" s="16" t="s">
        <v>133</v>
      </c>
      <c r="N1226" s="20"/>
      <c r="O1226" s="20"/>
      <c r="P1226" s="20"/>
      <c r="Q1226" s="16" t="b">
        <f>FALSE()</f>
        <v>0</v>
      </c>
      <c r="R1226" s="16" t="b">
        <f>FALSE()</f>
        <v>0</v>
      </c>
      <c r="S1226" s="17" t="str">
        <f t="shared" si="19"/>
        <v>N/A</v>
      </c>
      <c r="T1226">
        <f>COUNTIF('👤 Customers'!$A:$A, B1226)</f>
        <v>1</v>
      </c>
      <c r="U1226">
        <f>COUNTIF('🚴 Riders'!A1225:A1285, C1226)</f>
        <v>0</v>
      </c>
      <c r="V1226">
        <f>COUNTIF('🏭 Facilities'!A1225:A1233, D1226)</f>
        <v>0</v>
      </c>
    </row>
    <row r="1227" spans="1:22">
      <c r="A1227" s="18" t="s">
        <v>3097</v>
      </c>
      <c r="B1227" s="18" t="s">
        <v>3098</v>
      </c>
      <c r="C1227" s="18" t="s">
        <v>166</v>
      </c>
      <c r="D1227" s="18" t="s">
        <v>130</v>
      </c>
      <c r="E1227" s="26">
        <v>45297</v>
      </c>
      <c r="F1227" s="18" t="s">
        <v>3099</v>
      </c>
      <c r="G1227" s="18" t="s">
        <v>117</v>
      </c>
      <c r="H1227" s="18">
        <v>1.3</v>
      </c>
      <c r="I1227" s="18">
        <v>149</v>
      </c>
      <c r="J1227" s="18">
        <v>10</v>
      </c>
      <c r="K1227" s="18">
        <v>174.33</v>
      </c>
      <c r="L1227" s="18" t="s">
        <v>207</v>
      </c>
      <c r="M1227" s="18" t="s">
        <v>119</v>
      </c>
      <c r="N1227" s="28">
        <v>45298.051388888889</v>
      </c>
      <c r="O1227" s="28">
        <v>45298.776388888888</v>
      </c>
      <c r="P1227" s="18">
        <v>3.9</v>
      </c>
      <c r="Q1227" s="18" t="b">
        <f>FALSE()</f>
        <v>0</v>
      </c>
      <c r="R1227" s="18" t="b">
        <f>FALSE()</f>
        <v>0</v>
      </c>
      <c r="S1227" s="19">
        <f t="shared" si="19"/>
        <v>17.399999999999999</v>
      </c>
      <c r="T1227">
        <f>COUNTIF('👤 Customers'!$A:$A, B1227)</f>
        <v>1</v>
      </c>
      <c r="U1227">
        <f>COUNTIF('🚴 Riders'!A1226:A1286, C1227)</f>
        <v>0</v>
      </c>
      <c r="V1227">
        <f>COUNTIF('🏭 Facilities'!A1226:A1234, D1227)</f>
        <v>0</v>
      </c>
    </row>
    <row r="1228" spans="1:22">
      <c r="A1228" s="16" t="s">
        <v>3100</v>
      </c>
      <c r="B1228" s="16" t="s">
        <v>1102</v>
      </c>
      <c r="C1228" s="16" t="s">
        <v>304</v>
      </c>
      <c r="D1228" s="16" t="s">
        <v>130</v>
      </c>
      <c r="E1228" s="25">
        <v>45218</v>
      </c>
      <c r="F1228" s="16" t="s">
        <v>3101</v>
      </c>
      <c r="G1228" s="16" t="s">
        <v>132</v>
      </c>
      <c r="H1228" s="16">
        <v>1.1000000000000001</v>
      </c>
      <c r="I1228" s="16">
        <v>399</v>
      </c>
      <c r="J1228" s="16">
        <v>0</v>
      </c>
      <c r="K1228" s="16">
        <v>438.9</v>
      </c>
      <c r="L1228" s="16" t="s">
        <v>207</v>
      </c>
      <c r="M1228" s="16" t="s">
        <v>119</v>
      </c>
      <c r="N1228" s="27">
        <v>45218.322222222225</v>
      </c>
      <c r="O1228" s="27">
        <v>45219.263194444444</v>
      </c>
      <c r="P1228" s="16">
        <v>4.0999999999999996</v>
      </c>
      <c r="Q1228" s="16" t="b">
        <f>FALSE()</f>
        <v>0</v>
      </c>
      <c r="R1228" s="16" t="b">
        <f>TRUE()</f>
        <v>1</v>
      </c>
      <c r="S1228" s="17">
        <f t="shared" si="19"/>
        <v>22.6</v>
      </c>
      <c r="T1228">
        <f>COUNTIF('👤 Customers'!$A:$A, B1228)</f>
        <v>1</v>
      </c>
      <c r="U1228">
        <f>COUNTIF('🚴 Riders'!A1227:A1287, C1228)</f>
        <v>0</v>
      </c>
      <c r="V1228">
        <f>COUNTIF('🏭 Facilities'!A1227:A1235, D1228)</f>
        <v>0</v>
      </c>
    </row>
    <row r="1229" spans="1:22">
      <c r="A1229" s="18" t="s">
        <v>3102</v>
      </c>
      <c r="B1229" s="18" t="s">
        <v>1697</v>
      </c>
      <c r="C1229" s="18" t="s">
        <v>220</v>
      </c>
      <c r="D1229" s="18" t="s">
        <v>184</v>
      </c>
      <c r="E1229" s="26">
        <v>45092</v>
      </c>
      <c r="F1229" s="18" t="s">
        <v>3103</v>
      </c>
      <c r="G1229" s="18" t="s">
        <v>145</v>
      </c>
      <c r="H1229" s="18">
        <v>3.2</v>
      </c>
      <c r="I1229" s="18">
        <v>299</v>
      </c>
      <c r="J1229" s="18">
        <v>0</v>
      </c>
      <c r="K1229" s="18">
        <v>956.8</v>
      </c>
      <c r="L1229" s="18" t="s">
        <v>207</v>
      </c>
      <c r="M1229" s="18" t="s">
        <v>119</v>
      </c>
      <c r="N1229" s="28">
        <v>45092.113888888889</v>
      </c>
      <c r="O1229" s="28">
        <v>45092.529861111114</v>
      </c>
      <c r="P1229" s="18">
        <v>4.2</v>
      </c>
      <c r="Q1229" s="18" t="b">
        <f>FALSE()</f>
        <v>0</v>
      </c>
      <c r="R1229" s="18" t="b">
        <f>FALSE()</f>
        <v>0</v>
      </c>
      <c r="S1229" s="19">
        <f t="shared" si="19"/>
        <v>10</v>
      </c>
      <c r="T1229">
        <f>COUNTIF('👤 Customers'!$A:$A, B1229)</f>
        <v>1</v>
      </c>
      <c r="U1229">
        <f>COUNTIF('🚴 Riders'!A1228:A1288, C1229)</f>
        <v>0</v>
      </c>
      <c r="V1229">
        <f>COUNTIF('🏭 Facilities'!A1228:A1236, D1229)</f>
        <v>0</v>
      </c>
    </row>
    <row r="1230" spans="1:22">
      <c r="A1230" s="16" t="s">
        <v>3104</v>
      </c>
      <c r="B1230" s="16" t="s">
        <v>3105</v>
      </c>
      <c r="C1230" s="16" t="s">
        <v>580</v>
      </c>
      <c r="D1230" s="16" t="s">
        <v>158</v>
      </c>
      <c r="E1230" s="25">
        <v>45096</v>
      </c>
      <c r="F1230" s="16" t="s">
        <v>3106</v>
      </c>
      <c r="G1230" s="16" t="s">
        <v>132</v>
      </c>
      <c r="H1230" s="16">
        <v>3.2</v>
      </c>
      <c r="I1230" s="16">
        <v>399</v>
      </c>
      <c r="J1230" s="16">
        <v>20</v>
      </c>
      <c r="K1230" s="16">
        <v>1021.44</v>
      </c>
      <c r="L1230" s="16" t="s">
        <v>126</v>
      </c>
      <c r="M1230" s="16" t="s">
        <v>119</v>
      </c>
      <c r="N1230" s="27">
        <v>45096.99722222222</v>
      </c>
      <c r="O1230" s="27">
        <v>45097.927083333336</v>
      </c>
      <c r="P1230" s="16">
        <v>3.4</v>
      </c>
      <c r="Q1230" s="16" t="b">
        <f>TRUE()</f>
        <v>1</v>
      </c>
      <c r="R1230" s="16" t="b">
        <f>FALSE()</f>
        <v>0</v>
      </c>
      <c r="S1230" s="17">
        <f t="shared" si="19"/>
        <v>22.3</v>
      </c>
      <c r="T1230">
        <f>COUNTIF('👤 Customers'!$A:$A, B1230)</f>
        <v>1</v>
      </c>
      <c r="U1230">
        <f>COUNTIF('🚴 Riders'!A1229:A1289, C1230)</f>
        <v>0</v>
      </c>
      <c r="V1230">
        <f>COUNTIF('🏭 Facilities'!A1229:A1237, D1230)</f>
        <v>0</v>
      </c>
    </row>
    <row r="1231" spans="1:22">
      <c r="A1231" s="18" t="s">
        <v>3107</v>
      </c>
      <c r="B1231" s="18" t="s">
        <v>329</v>
      </c>
      <c r="C1231" s="18" t="s">
        <v>354</v>
      </c>
      <c r="D1231" s="18" t="s">
        <v>115</v>
      </c>
      <c r="E1231" s="26">
        <v>45347</v>
      </c>
      <c r="F1231" s="18" t="s">
        <v>3108</v>
      </c>
      <c r="G1231" s="18" t="s">
        <v>176</v>
      </c>
      <c r="H1231" s="18">
        <v>7.4</v>
      </c>
      <c r="I1231" s="18">
        <v>599</v>
      </c>
      <c r="J1231" s="18">
        <v>0</v>
      </c>
      <c r="K1231" s="18">
        <v>4432.6000000000004</v>
      </c>
      <c r="L1231" s="18" t="s">
        <v>207</v>
      </c>
      <c r="M1231" s="18" t="s">
        <v>119</v>
      </c>
      <c r="N1231" s="28">
        <v>45347.240277777775</v>
      </c>
      <c r="O1231" s="28">
        <v>45348.206250000003</v>
      </c>
      <c r="P1231" s="18">
        <v>4.5</v>
      </c>
      <c r="Q1231" s="18" t="b">
        <f>FALSE()</f>
        <v>0</v>
      </c>
      <c r="R1231" s="18" t="b">
        <f>TRUE()</f>
        <v>1</v>
      </c>
      <c r="S1231" s="19">
        <f t="shared" si="19"/>
        <v>23.2</v>
      </c>
      <c r="T1231">
        <f>COUNTIF('👤 Customers'!$A:$A, B1231)</f>
        <v>1</v>
      </c>
      <c r="U1231">
        <f>COUNTIF('🚴 Riders'!A1230:A1290, C1231)</f>
        <v>0</v>
      </c>
      <c r="V1231">
        <f>COUNTIF('🏭 Facilities'!A1230:A1238, D1231)</f>
        <v>0</v>
      </c>
    </row>
    <row r="1232" spans="1:22">
      <c r="A1232" s="16" t="s">
        <v>3109</v>
      </c>
      <c r="B1232" s="16" t="s">
        <v>296</v>
      </c>
      <c r="C1232" s="16" t="s">
        <v>339</v>
      </c>
      <c r="D1232" s="16" t="s">
        <v>115</v>
      </c>
      <c r="E1232" s="25">
        <v>45623</v>
      </c>
      <c r="F1232" s="16" t="s">
        <v>3110</v>
      </c>
      <c r="G1232" s="16" t="s">
        <v>117</v>
      </c>
      <c r="H1232" s="16">
        <v>7.7</v>
      </c>
      <c r="I1232" s="16">
        <v>149</v>
      </c>
      <c r="J1232" s="16">
        <v>20</v>
      </c>
      <c r="K1232" s="16">
        <v>917.84</v>
      </c>
      <c r="L1232" s="16" t="s">
        <v>118</v>
      </c>
      <c r="M1232" s="16" t="s">
        <v>119</v>
      </c>
      <c r="N1232" s="27">
        <v>45623.311805555553</v>
      </c>
      <c r="O1232" s="27">
        <v>45624.307638888888</v>
      </c>
      <c r="P1232" s="16">
        <v>4.5999999999999996</v>
      </c>
      <c r="Q1232" s="16" t="b">
        <f>FALSE()</f>
        <v>0</v>
      </c>
      <c r="R1232" s="16" t="b">
        <f>TRUE()</f>
        <v>1</v>
      </c>
      <c r="S1232" s="17">
        <f t="shared" si="19"/>
        <v>23.9</v>
      </c>
      <c r="T1232">
        <f>COUNTIF('👤 Customers'!$A:$A, B1232)</f>
        <v>1</v>
      </c>
      <c r="U1232">
        <f>COUNTIF('🚴 Riders'!A1231:A1291, C1232)</f>
        <v>0</v>
      </c>
      <c r="V1232">
        <f>COUNTIF('🏭 Facilities'!A1231:A1239, D1232)</f>
        <v>0</v>
      </c>
    </row>
    <row r="1233" spans="1:22">
      <c r="A1233" s="18" t="s">
        <v>3111</v>
      </c>
      <c r="B1233" s="18" t="s">
        <v>617</v>
      </c>
      <c r="C1233" s="18" t="s">
        <v>326</v>
      </c>
      <c r="D1233" s="18" t="s">
        <v>137</v>
      </c>
      <c r="E1233" s="26">
        <v>45387</v>
      </c>
      <c r="F1233" s="18" t="s">
        <v>3112</v>
      </c>
      <c r="G1233" s="18" t="s">
        <v>176</v>
      </c>
      <c r="H1233" s="18">
        <v>6.4</v>
      </c>
      <c r="I1233" s="18">
        <v>599</v>
      </c>
      <c r="J1233" s="18">
        <v>0</v>
      </c>
      <c r="K1233" s="18">
        <v>3833.6</v>
      </c>
      <c r="L1233" s="18" t="s">
        <v>126</v>
      </c>
      <c r="M1233" s="18" t="s">
        <v>119</v>
      </c>
      <c r="N1233" s="28">
        <v>45387.949305555558</v>
      </c>
      <c r="O1233" s="28">
        <v>45388.976388888892</v>
      </c>
      <c r="P1233" s="18">
        <v>4.7</v>
      </c>
      <c r="Q1233" s="18" t="b">
        <f>TRUE()</f>
        <v>1</v>
      </c>
      <c r="R1233" s="18" t="b">
        <f>FALSE()</f>
        <v>0</v>
      </c>
      <c r="S1233" s="19">
        <f t="shared" si="19"/>
        <v>24.7</v>
      </c>
      <c r="T1233">
        <f>COUNTIF('👤 Customers'!$A:$A, B1233)</f>
        <v>1</v>
      </c>
      <c r="U1233">
        <f>COUNTIF('🚴 Riders'!A1232:A1292, C1233)</f>
        <v>0</v>
      </c>
      <c r="V1233">
        <f>COUNTIF('🏭 Facilities'!A1232:A1240, D1233)</f>
        <v>0</v>
      </c>
    </row>
    <row r="1234" spans="1:22">
      <c r="A1234" s="16" t="s">
        <v>3113</v>
      </c>
      <c r="B1234" s="16" t="s">
        <v>2469</v>
      </c>
      <c r="C1234" s="16" t="s">
        <v>717</v>
      </c>
      <c r="D1234" s="16" t="s">
        <v>197</v>
      </c>
      <c r="E1234" s="25">
        <v>45331</v>
      </c>
      <c r="F1234" s="16" t="s">
        <v>3114</v>
      </c>
      <c r="G1234" s="16" t="s">
        <v>132</v>
      </c>
      <c r="H1234" s="16">
        <v>1.5</v>
      </c>
      <c r="I1234" s="16">
        <v>399</v>
      </c>
      <c r="J1234" s="16">
        <v>0</v>
      </c>
      <c r="K1234" s="16">
        <v>598.5</v>
      </c>
      <c r="L1234" s="16" t="s">
        <v>126</v>
      </c>
      <c r="M1234" s="16" t="s">
        <v>119</v>
      </c>
      <c r="N1234" s="27">
        <v>45331.55972222222</v>
      </c>
      <c r="O1234" s="27">
        <v>45332.382638888892</v>
      </c>
      <c r="P1234" s="16">
        <v>4.5</v>
      </c>
      <c r="Q1234" s="16" t="b">
        <f>FALSE()</f>
        <v>0</v>
      </c>
      <c r="R1234" s="16" t="b">
        <f>FALSE()</f>
        <v>0</v>
      </c>
      <c r="S1234" s="17">
        <f t="shared" si="19"/>
        <v>19.8</v>
      </c>
      <c r="T1234">
        <f>COUNTIF('👤 Customers'!$A:$A, B1234)</f>
        <v>1</v>
      </c>
      <c r="U1234">
        <f>COUNTIF('🚴 Riders'!A1233:A1293, C1234)</f>
        <v>0</v>
      </c>
      <c r="V1234">
        <f>COUNTIF('🏭 Facilities'!A1233:A1241, D1234)</f>
        <v>0</v>
      </c>
    </row>
    <row r="1235" spans="1:22">
      <c r="A1235" s="18" t="s">
        <v>3115</v>
      </c>
      <c r="B1235" s="18" t="s">
        <v>195</v>
      </c>
      <c r="C1235" s="18" t="s">
        <v>322</v>
      </c>
      <c r="D1235" s="18" t="s">
        <v>137</v>
      </c>
      <c r="E1235" s="26">
        <v>45511</v>
      </c>
      <c r="F1235" s="18" t="s">
        <v>3116</v>
      </c>
      <c r="G1235" s="18" t="s">
        <v>176</v>
      </c>
      <c r="H1235" s="18">
        <v>1</v>
      </c>
      <c r="I1235" s="18">
        <v>599</v>
      </c>
      <c r="J1235" s="18">
        <v>0</v>
      </c>
      <c r="K1235" s="18">
        <v>599</v>
      </c>
      <c r="L1235" s="18" t="s">
        <v>126</v>
      </c>
      <c r="M1235" s="18" t="s">
        <v>140</v>
      </c>
      <c r="N1235" s="28">
        <v>45511.204861111109</v>
      </c>
      <c r="O1235" s="28">
        <v>45511.636805555558</v>
      </c>
      <c r="P1235" s="20"/>
      <c r="Q1235" s="18" t="b">
        <f>FALSE()</f>
        <v>0</v>
      </c>
      <c r="R1235" s="18" t="b">
        <f>FALSE()</f>
        <v>0</v>
      </c>
      <c r="S1235" s="19">
        <f t="shared" si="19"/>
        <v>10.4</v>
      </c>
      <c r="T1235">
        <f>COUNTIF('👤 Customers'!$A:$A, B1235)</f>
        <v>1</v>
      </c>
      <c r="U1235">
        <f>COUNTIF('🚴 Riders'!A1234:A1294, C1235)</f>
        <v>0</v>
      </c>
      <c r="V1235">
        <f>COUNTIF('🏭 Facilities'!A1234:A1242, D1235)</f>
        <v>0</v>
      </c>
    </row>
    <row r="1236" spans="1:22">
      <c r="A1236" s="16" t="s">
        <v>3117</v>
      </c>
      <c r="B1236" s="16" t="s">
        <v>303</v>
      </c>
      <c r="C1236" s="16" t="s">
        <v>204</v>
      </c>
      <c r="D1236" s="16" t="s">
        <v>197</v>
      </c>
      <c r="E1236" s="25">
        <v>45537</v>
      </c>
      <c r="F1236" s="16" t="s">
        <v>2878</v>
      </c>
      <c r="G1236" s="16" t="s">
        <v>125</v>
      </c>
      <c r="H1236" s="16">
        <v>4.7</v>
      </c>
      <c r="I1236" s="16">
        <v>199</v>
      </c>
      <c r="J1236" s="16">
        <v>20</v>
      </c>
      <c r="K1236" s="16">
        <v>748.24</v>
      </c>
      <c r="L1236" s="16" t="s">
        <v>146</v>
      </c>
      <c r="M1236" s="16" t="s">
        <v>140</v>
      </c>
      <c r="N1236" s="27">
        <v>45537.274305555555</v>
      </c>
      <c r="O1236" s="27">
        <v>45537.847916666666</v>
      </c>
      <c r="P1236" s="20"/>
      <c r="Q1236" s="16" t="b">
        <f>FALSE()</f>
        <v>0</v>
      </c>
      <c r="R1236" s="16" t="b">
        <f>FALSE()</f>
        <v>0</v>
      </c>
      <c r="S1236" s="17">
        <f t="shared" si="19"/>
        <v>13.8</v>
      </c>
      <c r="T1236">
        <f>COUNTIF('👤 Customers'!$A:$A, B1236)</f>
        <v>1</v>
      </c>
      <c r="U1236">
        <f>COUNTIF('🚴 Riders'!A1235:A1295, C1236)</f>
        <v>0</v>
      </c>
      <c r="V1236">
        <f>COUNTIF('🏭 Facilities'!A1235:A1243, D1236)</f>
        <v>0</v>
      </c>
    </row>
    <row r="1237" spans="1:22">
      <c r="A1237" s="18" t="s">
        <v>3118</v>
      </c>
      <c r="B1237" s="18" t="s">
        <v>643</v>
      </c>
      <c r="C1237" s="18" t="s">
        <v>166</v>
      </c>
      <c r="D1237" s="18" t="s">
        <v>197</v>
      </c>
      <c r="E1237" s="26">
        <v>45185</v>
      </c>
      <c r="F1237" s="18" t="s">
        <v>3119</v>
      </c>
      <c r="G1237" s="18" t="s">
        <v>176</v>
      </c>
      <c r="H1237" s="18">
        <v>4.9000000000000004</v>
      </c>
      <c r="I1237" s="18">
        <v>599</v>
      </c>
      <c r="J1237" s="18">
        <v>10</v>
      </c>
      <c r="K1237" s="18">
        <v>2641.59</v>
      </c>
      <c r="L1237" s="18" t="s">
        <v>139</v>
      </c>
      <c r="M1237" s="18" t="s">
        <v>119</v>
      </c>
      <c r="N1237" s="28">
        <v>45185.220833333333</v>
      </c>
      <c r="O1237" s="28">
        <v>45185.940972222219</v>
      </c>
      <c r="P1237" s="18">
        <v>3.9</v>
      </c>
      <c r="Q1237" s="18" t="b">
        <f>TRUE()</f>
        <v>1</v>
      </c>
      <c r="R1237" s="18" t="b">
        <f>TRUE()</f>
        <v>1</v>
      </c>
      <c r="S1237" s="19">
        <f t="shared" si="19"/>
        <v>17.3</v>
      </c>
      <c r="T1237">
        <f>COUNTIF('👤 Customers'!$A:$A, B1237)</f>
        <v>1</v>
      </c>
      <c r="U1237">
        <f>COUNTIF('🚴 Riders'!A1236:A1296, C1237)</f>
        <v>0</v>
      </c>
      <c r="V1237">
        <f>COUNTIF('🏭 Facilities'!A1236:A1244, D1237)</f>
        <v>0</v>
      </c>
    </row>
    <row r="1238" spans="1:22">
      <c r="A1238" s="16" t="s">
        <v>3120</v>
      </c>
      <c r="B1238" s="16" t="s">
        <v>835</v>
      </c>
      <c r="C1238" s="16" t="s">
        <v>287</v>
      </c>
      <c r="D1238" s="16" t="s">
        <v>137</v>
      </c>
      <c r="E1238" s="25">
        <v>45527</v>
      </c>
      <c r="F1238" s="16" t="s">
        <v>3121</v>
      </c>
      <c r="G1238" s="16" t="s">
        <v>117</v>
      </c>
      <c r="H1238" s="16">
        <v>7.4</v>
      </c>
      <c r="I1238" s="16">
        <v>149</v>
      </c>
      <c r="J1238" s="16">
        <v>0</v>
      </c>
      <c r="K1238" s="16">
        <v>1102.5999999999999</v>
      </c>
      <c r="L1238" s="16" t="s">
        <v>146</v>
      </c>
      <c r="M1238" s="16" t="s">
        <v>140</v>
      </c>
      <c r="N1238" s="27">
        <v>45527.613888888889</v>
      </c>
      <c r="O1238" s="27">
        <v>45528.113194444442</v>
      </c>
      <c r="P1238" s="20"/>
      <c r="Q1238" s="16" t="b">
        <f>FALSE()</f>
        <v>0</v>
      </c>
      <c r="R1238" s="16" t="b">
        <f>FALSE()</f>
        <v>0</v>
      </c>
      <c r="S1238" s="17">
        <f t="shared" si="19"/>
        <v>12</v>
      </c>
      <c r="T1238">
        <f>COUNTIF('👤 Customers'!$A:$A, B1238)</f>
        <v>1</v>
      </c>
      <c r="U1238">
        <f>COUNTIF('🚴 Riders'!A1237:A1297, C1238)</f>
        <v>0</v>
      </c>
      <c r="V1238">
        <f>COUNTIF('🏭 Facilities'!A1237:A1245, D1238)</f>
        <v>0</v>
      </c>
    </row>
    <row r="1239" spans="1:22">
      <c r="A1239" s="18" t="s">
        <v>3122</v>
      </c>
      <c r="B1239" s="18" t="s">
        <v>1431</v>
      </c>
      <c r="C1239" s="18" t="s">
        <v>315</v>
      </c>
      <c r="D1239" s="18" t="s">
        <v>115</v>
      </c>
      <c r="E1239" s="26">
        <v>45060</v>
      </c>
      <c r="F1239" s="18" t="s">
        <v>3123</v>
      </c>
      <c r="G1239" s="18" t="s">
        <v>176</v>
      </c>
      <c r="H1239" s="18">
        <v>2.9</v>
      </c>
      <c r="I1239" s="18">
        <v>599</v>
      </c>
      <c r="J1239" s="18">
        <v>30</v>
      </c>
      <c r="K1239" s="18">
        <v>1215.97</v>
      </c>
      <c r="L1239" s="18" t="s">
        <v>207</v>
      </c>
      <c r="M1239" s="18" t="s">
        <v>119</v>
      </c>
      <c r="N1239" s="28">
        <v>45061.036805555559</v>
      </c>
      <c r="O1239" s="28">
        <v>45061.904861111114</v>
      </c>
      <c r="P1239" s="18">
        <v>2.5</v>
      </c>
      <c r="Q1239" s="18" t="b">
        <f>FALSE()</f>
        <v>0</v>
      </c>
      <c r="R1239" s="18" t="b">
        <f>FALSE()</f>
        <v>0</v>
      </c>
      <c r="S1239" s="19">
        <f t="shared" si="19"/>
        <v>20.8</v>
      </c>
      <c r="T1239">
        <f>COUNTIF('👤 Customers'!$A:$A, B1239)</f>
        <v>1</v>
      </c>
      <c r="U1239">
        <f>COUNTIF('🚴 Riders'!A1238:A1298, C1239)</f>
        <v>0</v>
      </c>
      <c r="V1239">
        <f>COUNTIF('🏭 Facilities'!A1238:A1246, D1239)</f>
        <v>0</v>
      </c>
    </row>
    <row r="1240" spans="1:22">
      <c r="A1240" s="16" t="s">
        <v>3124</v>
      </c>
      <c r="B1240" s="16" t="s">
        <v>142</v>
      </c>
      <c r="C1240" s="16" t="s">
        <v>153</v>
      </c>
      <c r="D1240" s="16" t="s">
        <v>123</v>
      </c>
      <c r="E1240" s="25">
        <v>45155</v>
      </c>
      <c r="F1240" s="16" t="s">
        <v>3125</v>
      </c>
      <c r="G1240" s="16" t="s">
        <v>176</v>
      </c>
      <c r="H1240" s="16">
        <v>1.9</v>
      </c>
      <c r="I1240" s="16">
        <v>599</v>
      </c>
      <c r="J1240" s="16">
        <v>20</v>
      </c>
      <c r="K1240" s="16">
        <v>910.48</v>
      </c>
      <c r="L1240" s="16" t="s">
        <v>139</v>
      </c>
      <c r="M1240" s="16" t="s">
        <v>119</v>
      </c>
      <c r="N1240" s="27">
        <v>45155.820833333331</v>
      </c>
      <c r="O1240" s="27">
        <v>45156.826388888891</v>
      </c>
      <c r="P1240" s="16">
        <v>5</v>
      </c>
      <c r="Q1240" s="16" t="b">
        <f>FALSE()</f>
        <v>0</v>
      </c>
      <c r="R1240" s="16" t="b">
        <f>FALSE()</f>
        <v>0</v>
      </c>
      <c r="S1240" s="17">
        <f t="shared" si="19"/>
        <v>24.1</v>
      </c>
      <c r="T1240">
        <f>COUNTIF('👤 Customers'!$A:$A, B1240)</f>
        <v>1</v>
      </c>
      <c r="U1240">
        <f>COUNTIF('🚴 Riders'!A1239:A1299, C1240)</f>
        <v>0</v>
      </c>
      <c r="V1240">
        <f>COUNTIF('🏭 Facilities'!A1239:A1247, D1240)</f>
        <v>0</v>
      </c>
    </row>
    <row r="1241" spans="1:22">
      <c r="A1241" s="18" t="s">
        <v>3126</v>
      </c>
      <c r="B1241" s="18" t="s">
        <v>3127</v>
      </c>
      <c r="C1241" s="18" t="s">
        <v>179</v>
      </c>
      <c r="D1241" s="18" t="s">
        <v>184</v>
      </c>
      <c r="E1241" s="26">
        <v>45645</v>
      </c>
      <c r="F1241" s="18" t="s">
        <v>3128</v>
      </c>
      <c r="G1241" s="18" t="s">
        <v>176</v>
      </c>
      <c r="H1241" s="18">
        <v>6.2</v>
      </c>
      <c r="I1241" s="18">
        <v>599</v>
      </c>
      <c r="J1241" s="18">
        <v>0</v>
      </c>
      <c r="K1241" s="18">
        <v>3713.8</v>
      </c>
      <c r="L1241" s="18" t="s">
        <v>207</v>
      </c>
      <c r="M1241" s="18" t="s">
        <v>119</v>
      </c>
      <c r="N1241" s="28">
        <v>45645.227777777778</v>
      </c>
      <c r="O1241" s="28">
        <v>45646.11041666667</v>
      </c>
      <c r="P1241" s="18">
        <v>2.6</v>
      </c>
      <c r="Q1241" s="18" t="b">
        <f>FALSE()</f>
        <v>0</v>
      </c>
      <c r="R1241" s="18" t="b">
        <f>TRUE()</f>
        <v>1</v>
      </c>
      <c r="S1241" s="19">
        <f t="shared" si="19"/>
        <v>21.2</v>
      </c>
      <c r="T1241">
        <f>COUNTIF('👤 Customers'!$A:$A, B1241)</f>
        <v>1</v>
      </c>
      <c r="U1241">
        <f>COUNTIF('🚴 Riders'!A1240:A1300, C1241)</f>
        <v>0</v>
      </c>
      <c r="V1241">
        <f>COUNTIF('🏭 Facilities'!A1240:A1248, D1241)</f>
        <v>0</v>
      </c>
    </row>
    <row r="1242" spans="1:22">
      <c r="A1242" s="16" t="s">
        <v>3129</v>
      </c>
      <c r="B1242" s="16" t="s">
        <v>577</v>
      </c>
      <c r="C1242" s="16" t="s">
        <v>479</v>
      </c>
      <c r="D1242" s="16" t="s">
        <v>197</v>
      </c>
      <c r="E1242" s="25">
        <v>45654</v>
      </c>
      <c r="F1242" s="16" t="s">
        <v>3130</v>
      </c>
      <c r="G1242" s="16" t="s">
        <v>132</v>
      </c>
      <c r="H1242" s="16">
        <v>2.5</v>
      </c>
      <c r="I1242" s="16">
        <v>399</v>
      </c>
      <c r="J1242" s="16">
        <v>0</v>
      </c>
      <c r="K1242" s="16">
        <v>997.5</v>
      </c>
      <c r="L1242" s="16" t="s">
        <v>207</v>
      </c>
      <c r="M1242" s="16" t="s">
        <v>140</v>
      </c>
      <c r="N1242" s="27">
        <v>45654.954861111109</v>
      </c>
      <c r="O1242" s="27">
        <v>45655.59375</v>
      </c>
      <c r="P1242" s="20"/>
      <c r="Q1242" s="16" t="b">
        <f>FALSE()</f>
        <v>0</v>
      </c>
      <c r="R1242" s="16" t="b">
        <f>TRUE()</f>
        <v>1</v>
      </c>
      <c r="S1242" s="17">
        <f t="shared" si="19"/>
        <v>15.3</v>
      </c>
      <c r="T1242">
        <f>COUNTIF('👤 Customers'!$A:$A, B1242)</f>
        <v>1</v>
      </c>
      <c r="U1242">
        <f>COUNTIF('🚴 Riders'!A1241:A1301, C1242)</f>
        <v>0</v>
      </c>
      <c r="V1242">
        <f>COUNTIF('🏭 Facilities'!A1241:A1249, D1242)</f>
        <v>0</v>
      </c>
    </row>
    <row r="1243" spans="1:22">
      <c r="A1243" s="18" t="s">
        <v>3131</v>
      </c>
      <c r="B1243" s="18" t="s">
        <v>2101</v>
      </c>
      <c r="C1243" s="18" t="s">
        <v>174</v>
      </c>
      <c r="D1243" s="18" t="s">
        <v>205</v>
      </c>
      <c r="E1243" s="26">
        <v>45624</v>
      </c>
      <c r="F1243" s="18" t="s">
        <v>3132</v>
      </c>
      <c r="G1243" s="18" t="s">
        <v>132</v>
      </c>
      <c r="H1243" s="18">
        <v>4.5</v>
      </c>
      <c r="I1243" s="18">
        <v>399</v>
      </c>
      <c r="J1243" s="18">
        <v>0</v>
      </c>
      <c r="K1243" s="18">
        <v>1795.5</v>
      </c>
      <c r="L1243" s="18" t="s">
        <v>146</v>
      </c>
      <c r="M1243" s="18" t="s">
        <v>119</v>
      </c>
      <c r="N1243" s="28">
        <v>45624.974305555559</v>
      </c>
      <c r="O1243" s="28">
        <v>45625.563194444447</v>
      </c>
      <c r="P1243" s="18">
        <v>3.1</v>
      </c>
      <c r="Q1243" s="18" t="b">
        <f>FALSE()</f>
        <v>0</v>
      </c>
      <c r="R1243" s="18" t="b">
        <f>FALSE()</f>
        <v>0</v>
      </c>
      <c r="S1243" s="19">
        <f t="shared" si="19"/>
        <v>14.1</v>
      </c>
      <c r="T1243">
        <f>COUNTIF('👤 Customers'!$A:$A, B1243)</f>
        <v>1</v>
      </c>
      <c r="U1243">
        <f>COUNTIF('🚴 Riders'!A1242:A1302, C1243)</f>
        <v>0</v>
      </c>
      <c r="V1243">
        <f>COUNTIF('🏭 Facilities'!A1242:A1250, D1243)</f>
        <v>0</v>
      </c>
    </row>
    <row r="1244" spans="1:22">
      <c r="A1244" s="16" t="s">
        <v>3133</v>
      </c>
      <c r="B1244" s="16" t="s">
        <v>286</v>
      </c>
      <c r="C1244" s="16" t="s">
        <v>315</v>
      </c>
      <c r="D1244" s="16" t="s">
        <v>197</v>
      </c>
      <c r="E1244" s="25">
        <v>45203</v>
      </c>
      <c r="F1244" s="16" t="s">
        <v>3134</v>
      </c>
      <c r="G1244" s="16" t="s">
        <v>145</v>
      </c>
      <c r="H1244" s="16">
        <v>7.3</v>
      </c>
      <c r="I1244" s="16">
        <v>299</v>
      </c>
      <c r="J1244" s="16">
        <v>0</v>
      </c>
      <c r="K1244" s="16">
        <v>2182.6999999999998</v>
      </c>
      <c r="L1244" s="16" t="s">
        <v>139</v>
      </c>
      <c r="M1244" s="16" t="s">
        <v>133</v>
      </c>
      <c r="N1244" s="20"/>
      <c r="O1244" s="20"/>
      <c r="P1244" s="20"/>
      <c r="Q1244" s="16" t="b">
        <f>FALSE()</f>
        <v>0</v>
      </c>
      <c r="R1244" s="16" t="b">
        <f>FALSE()</f>
        <v>0</v>
      </c>
      <c r="S1244" s="17" t="str">
        <f t="shared" si="19"/>
        <v>N/A</v>
      </c>
      <c r="T1244">
        <f>COUNTIF('👤 Customers'!$A:$A, B1244)</f>
        <v>1</v>
      </c>
      <c r="U1244">
        <f>COUNTIF('🚴 Riders'!A1243:A1303, C1244)</f>
        <v>0</v>
      </c>
      <c r="V1244">
        <f>COUNTIF('🏭 Facilities'!A1243:A1251, D1244)</f>
        <v>0</v>
      </c>
    </row>
    <row r="1245" spans="1:22">
      <c r="A1245" s="18" t="s">
        <v>3135</v>
      </c>
      <c r="B1245" s="18" t="s">
        <v>1023</v>
      </c>
      <c r="C1245" s="18" t="s">
        <v>750</v>
      </c>
      <c r="D1245" s="18" t="s">
        <v>130</v>
      </c>
      <c r="E1245" s="26">
        <v>45503</v>
      </c>
      <c r="F1245" s="18" t="s">
        <v>3136</v>
      </c>
      <c r="G1245" s="18" t="s">
        <v>125</v>
      </c>
      <c r="H1245" s="18">
        <v>4.3</v>
      </c>
      <c r="I1245" s="18">
        <v>199</v>
      </c>
      <c r="J1245" s="18">
        <v>0</v>
      </c>
      <c r="K1245" s="18">
        <v>855.7</v>
      </c>
      <c r="L1245" s="18" t="s">
        <v>126</v>
      </c>
      <c r="M1245" s="18" t="s">
        <v>133</v>
      </c>
      <c r="N1245" s="20"/>
      <c r="O1245" s="20"/>
      <c r="P1245" s="20"/>
      <c r="Q1245" s="18" t="b">
        <f>FALSE()</f>
        <v>0</v>
      </c>
      <c r="R1245" s="18" t="b">
        <f>TRUE()</f>
        <v>1</v>
      </c>
      <c r="S1245" s="19" t="str">
        <f t="shared" si="19"/>
        <v>N/A</v>
      </c>
      <c r="T1245">
        <f>COUNTIF('👤 Customers'!$A:$A, B1245)</f>
        <v>1</v>
      </c>
      <c r="U1245">
        <f>COUNTIF('🚴 Riders'!A1244:A1304, C1245)</f>
        <v>0</v>
      </c>
      <c r="V1245">
        <f>COUNTIF('🏭 Facilities'!A1244:A1252, D1245)</f>
        <v>0</v>
      </c>
    </row>
    <row r="1246" spans="1:22">
      <c r="A1246" s="16" t="s">
        <v>3137</v>
      </c>
      <c r="B1246" s="16" t="s">
        <v>1740</v>
      </c>
      <c r="C1246" s="16" t="s">
        <v>232</v>
      </c>
      <c r="D1246" s="16" t="s">
        <v>197</v>
      </c>
      <c r="E1246" s="25">
        <v>45119</v>
      </c>
      <c r="F1246" s="16" t="s">
        <v>3138</v>
      </c>
      <c r="G1246" s="16" t="s">
        <v>176</v>
      </c>
      <c r="H1246" s="16">
        <v>6.7</v>
      </c>
      <c r="I1246" s="16">
        <v>599</v>
      </c>
      <c r="J1246" s="16">
        <v>0</v>
      </c>
      <c r="K1246" s="16">
        <v>4013.3</v>
      </c>
      <c r="L1246" s="16" t="s">
        <v>139</v>
      </c>
      <c r="M1246" s="16" t="s">
        <v>119</v>
      </c>
      <c r="N1246" s="27">
        <v>45119.659722222219</v>
      </c>
      <c r="O1246" s="27">
        <v>45120.070833333331</v>
      </c>
      <c r="P1246" s="16">
        <v>3.7</v>
      </c>
      <c r="Q1246" s="16" t="b">
        <f>FALSE()</f>
        <v>0</v>
      </c>
      <c r="R1246" s="16" t="b">
        <f>FALSE()</f>
        <v>0</v>
      </c>
      <c r="S1246" s="17">
        <f t="shared" si="19"/>
        <v>9.9</v>
      </c>
      <c r="T1246">
        <f>COUNTIF('👤 Customers'!$A:$A, B1246)</f>
        <v>1</v>
      </c>
      <c r="U1246">
        <f>COUNTIF('🚴 Riders'!A1245:A1305, C1246)</f>
        <v>0</v>
      </c>
      <c r="V1246">
        <f>COUNTIF('🏭 Facilities'!A1245:A1253, D1246)</f>
        <v>0</v>
      </c>
    </row>
    <row r="1247" spans="1:22">
      <c r="A1247" s="18" t="s">
        <v>3139</v>
      </c>
      <c r="B1247" s="18" t="s">
        <v>329</v>
      </c>
      <c r="C1247" s="18" t="s">
        <v>192</v>
      </c>
      <c r="D1247" s="18" t="s">
        <v>158</v>
      </c>
      <c r="E1247" s="26">
        <v>45359</v>
      </c>
      <c r="F1247" s="18" t="s">
        <v>3140</v>
      </c>
      <c r="G1247" s="18" t="s">
        <v>117</v>
      </c>
      <c r="H1247" s="18">
        <v>7.8</v>
      </c>
      <c r="I1247" s="18">
        <v>149</v>
      </c>
      <c r="J1247" s="18">
        <v>0</v>
      </c>
      <c r="K1247" s="18">
        <v>1162.2</v>
      </c>
      <c r="L1247" s="18" t="s">
        <v>207</v>
      </c>
      <c r="M1247" s="18" t="s">
        <v>119</v>
      </c>
      <c r="N1247" s="28">
        <v>45359.862500000003</v>
      </c>
      <c r="O1247" s="28">
        <v>45360.793055555558</v>
      </c>
      <c r="P1247" s="18">
        <v>2.7</v>
      </c>
      <c r="Q1247" s="18" t="b">
        <f>FALSE()</f>
        <v>0</v>
      </c>
      <c r="R1247" s="18" t="b">
        <f>FALSE()</f>
        <v>0</v>
      </c>
      <c r="S1247" s="19">
        <f t="shared" si="19"/>
        <v>22.3</v>
      </c>
      <c r="T1247">
        <f>COUNTIF('👤 Customers'!$A:$A, B1247)</f>
        <v>1</v>
      </c>
      <c r="U1247">
        <f>COUNTIF('🚴 Riders'!A1246:A1306, C1247)</f>
        <v>0</v>
      </c>
      <c r="V1247">
        <f>COUNTIF('🏭 Facilities'!A1246:A1254, D1247)</f>
        <v>0</v>
      </c>
    </row>
    <row r="1248" spans="1:22">
      <c r="A1248" s="16" t="s">
        <v>3141</v>
      </c>
      <c r="B1248" s="16" t="s">
        <v>3142</v>
      </c>
      <c r="C1248" s="16" t="s">
        <v>232</v>
      </c>
      <c r="D1248" s="16" t="s">
        <v>123</v>
      </c>
      <c r="E1248" s="25">
        <v>45207</v>
      </c>
      <c r="F1248" s="16" t="s">
        <v>3143</v>
      </c>
      <c r="G1248" s="16" t="s">
        <v>125</v>
      </c>
      <c r="H1248" s="16">
        <v>3.1</v>
      </c>
      <c r="I1248" s="16">
        <v>199</v>
      </c>
      <c r="J1248" s="16">
        <v>0</v>
      </c>
      <c r="K1248" s="16">
        <v>616.9</v>
      </c>
      <c r="L1248" s="16" t="s">
        <v>146</v>
      </c>
      <c r="M1248" s="16" t="s">
        <v>119</v>
      </c>
      <c r="N1248" s="27">
        <v>45207.981944444444</v>
      </c>
      <c r="O1248" s="27">
        <v>45208.381249999999</v>
      </c>
      <c r="P1248" s="16">
        <v>4.4000000000000004</v>
      </c>
      <c r="Q1248" s="16" t="b">
        <f>FALSE()</f>
        <v>0</v>
      </c>
      <c r="R1248" s="16" t="b">
        <f>FALSE()</f>
        <v>0</v>
      </c>
      <c r="S1248" s="17">
        <f t="shared" si="19"/>
        <v>9.6</v>
      </c>
      <c r="T1248">
        <f>COUNTIF('👤 Customers'!$A:$A, B1248)</f>
        <v>1</v>
      </c>
      <c r="U1248">
        <f>COUNTIF('🚴 Riders'!A1247:A1307, C1248)</f>
        <v>0</v>
      </c>
      <c r="V1248">
        <f>COUNTIF('🏭 Facilities'!A1247:A1255, D1248)</f>
        <v>0</v>
      </c>
    </row>
    <row r="1249" spans="1:22">
      <c r="A1249" s="18" t="s">
        <v>3144</v>
      </c>
      <c r="B1249" s="18" t="s">
        <v>1423</v>
      </c>
      <c r="C1249" s="18" t="s">
        <v>247</v>
      </c>
      <c r="D1249" s="18" t="s">
        <v>197</v>
      </c>
      <c r="E1249" s="26">
        <v>45194</v>
      </c>
      <c r="F1249" s="18" t="s">
        <v>3145</v>
      </c>
      <c r="G1249" s="18" t="s">
        <v>125</v>
      </c>
      <c r="H1249" s="18">
        <v>3.1</v>
      </c>
      <c r="I1249" s="18">
        <v>199</v>
      </c>
      <c r="J1249" s="18">
        <v>10</v>
      </c>
      <c r="K1249" s="18">
        <v>555.21</v>
      </c>
      <c r="L1249" s="18" t="s">
        <v>126</v>
      </c>
      <c r="M1249" s="18" t="s">
        <v>119</v>
      </c>
      <c r="N1249" s="28">
        <v>45194.115972222222</v>
      </c>
      <c r="O1249" s="28">
        <v>45194.518750000003</v>
      </c>
      <c r="P1249" s="18">
        <v>3.2</v>
      </c>
      <c r="Q1249" s="18" t="b">
        <f>TRUE()</f>
        <v>1</v>
      </c>
      <c r="R1249" s="18" t="b">
        <f>FALSE()</f>
        <v>0</v>
      </c>
      <c r="S1249" s="19">
        <f t="shared" si="19"/>
        <v>9.6999999999999993</v>
      </c>
      <c r="T1249">
        <f>COUNTIF('👤 Customers'!$A:$A, B1249)</f>
        <v>1</v>
      </c>
      <c r="U1249">
        <f>COUNTIF('🚴 Riders'!A1248:A1308, C1249)</f>
        <v>0</v>
      </c>
      <c r="V1249">
        <f>COUNTIF('🏭 Facilities'!A1248:A1256, D1249)</f>
        <v>0</v>
      </c>
    </row>
    <row r="1250" spans="1:22">
      <c r="A1250" s="16" t="s">
        <v>3146</v>
      </c>
      <c r="B1250" s="16" t="s">
        <v>1634</v>
      </c>
      <c r="C1250" s="16" t="s">
        <v>257</v>
      </c>
      <c r="D1250" s="16" t="s">
        <v>184</v>
      </c>
      <c r="E1250" s="25">
        <v>45246</v>
      </c>
      <c r="F1250" s="16" t="s">
        <v>3147</v>
      </c>
      <c r="G1250" s="16" t="s">
        <v>132</v>
      </c>
      <c r="H1250" s="16">
        <v>7.4</v>
      </c>
      <c r="I1250" s="16">
        <v>399</v>
      </c>
      <c r="J1250" s="16">
        <v>10</v>
      </c>
      <c r="K1250" s="16">
        <v>2657.34</v>
      </c>
      <c r="L1250" s="16" t="s">
        <v>146</v>
      </c>
      <c r="M1250" s="16" t="s">
        <v>140</v>
      </c>
      <c r="N1250" s="27">
        <v>45246.284722222219</v>
      </c>
      <c r="O1250" s="27">
        <v>45246.872916666667</v>
      </c>
      <c r="P1250" s="20"/>
      <c r="Q1250" s="16" t="b">
        <f>FALSE()</f>
        <v>0</v>
      </c>
      <c r="R1250" s="16" t="b">
        <f>FALSE()</f>
        <v>0</v>
      </c>
      <c r="S1250" s="17">
        <f t="shared" si="19"/>
        <v>14.1</v>
      </c>
      <c r="T1250">
        <f>COUNTIF('👤 Customers'!$A:$A, B1250)</f>
        <v>1</v>
      </c>
      <c r="U1250">
        <f>COUNTIF('🚴 Riders'!A1249:A1309, C1250)</f>
        <v>0</v>
      </c>
      <c r="V1250">
        <f>COUNTIF('🏭 Facilities'!A1249:A1257, D1250)</f>
        <v>0</v>
      </c>
    </row>
    <row r="1251" spans="1:22">
      <c r="A1251" s="18" t="s">
        <v>3148</v>
      </c>
      <c r="B1251" s="18" t="s">
        <v>740</v>
      </c>
      <c r="C1251" s="18" t="s">
        <v>166</v>
      </c>
      <c r="D1251" s="18" t="s">
        <v>197</v>
      </c>
      <c r="E1251" s="26">
        <v>45388</v>
      </c>
      <c r="F1251" s="18" t="s">
        <v>3149</v>
      </c>
      <c r="G1251" s="18" t="s">
        <v>176</v>
      </c>
      <c r="H1251" s="18">
        <v>1.7</v>
      </c>
      <c r="I1251" s="18">
        <v>599</v>
      </c>
      <c r="J1251" s="18">
        <v>10</v>
      </c>
      <c r="K1251" s="18">
        <v>916.47</v>
      </c>
      <c r="L1251" s="18" t="s">
        <v>146</v>
      </c>
      <c r="M1251" s="18" t="s">
        <v>119</v>
      </c>
      <c r="N1251" s="28">
        <v>45388.507638888892</v>
      </c>
      <c r="O1251" s="28">
        <v>45389.004861111112</v>
      </c>
      <c r="P1251" s="18">
        <v>3.9</v>
      </c>
      <c r="Q1251" s="18" t="b">
        <f>FALSE()</f>
        <v>0</v>
      </c>
      <c r="R1251" s="18" t="b">
        <f>FALSE()</f>
        <v>0</v>
      </c>
      <c r="S1251" s="19">
        <f t="shared" si="19"/>
        <v>11.9</v>
      </c>
      <c r="T1251">
        <f>COUNTIF('👤 Customers'!$A:$A, B1251)</f>
        <v>1</v>
      </c>
      <c r="U1251">
        <f>COUNTIF('🚴 Riders'!A1250:A1310, C1251)</f>
        <v>0</v>
      </c>
      <c r="V1251">
        <f>COUNTIF('🏭 Facilities'!A1250:A1258, D1251)</f>
        <v>0</v>
      </c>
    </row>
    <row r="1252" spans="1:22">
      <c r="A1252" s="16" t="s">
        <v>3150</v>
      </c>
      <c r="B1252" s="16" t="s">
        <v>1562</v>
      </c>
      <c r="C1252" s="16" t="s">
        <v>536</v>
      </c>
      <c r="D1252" s="16" t="s">
        <v>205</v>
      </c>
      <c r="E1252" s="25">
        <v>45361</v>
      </c>
      <c r="F1252" s="16" t="s">
        <v>3151</v>
      </c>
      <c r="G1252" s="16" t="s">
        <v>117</v>
      </c>
      <c r="H1252" s="16">
        <v>6.6</v>
      </c>
      <c r="I1252" s="16">
        <v>149</v>
      </c>
      <c r="J1252" s="16">
        <v>20</v>
      </c>
      <c r="K1252" s="16">
        <v>786.72</v>
      </c>
      <c r="L1252" s="16" t="s">
        <v>126</v>
      </c>
      <c r="M1252" s="16" t="s">
        <v>140</v>
      </c>
      <c r="N1252" s="27">
        <v>45361.897222222222</v>
      </c>
      <c r="O1252" s="27">
        <v>45363.010416666664</v>
      </c>
      <c r="P1252" s="20"/>
      <c r="Q1252" s="16" t="b">
        <f>FALSE()</f>
        <v>0</v>
      </c>
      <c r="R1252" s="16" t="b">
        <f>FALSE()</f>
        <v>0</v>
      </c>
      <c r="S1252" s="17">
        <f t="shared" si="19"/>
        <v>26.7</v>
      </c>
      <c r="T1252">
        <f>COUNTIF('👤 Customers'!$A:$A, B1252)</f>
        <v>1</v>
      </c>
      <c r="U1252">
        <f>COUNTIF('🚴 Riders'!A1251:A1311, C1252)</f>
        <v>0</v>
      </c>
      <c r="V1252">
        <f>COUNTIF('🏭 Facilities'!A1251:A1259, D1252)</f>
        <v>0</v>
      </c>
    </row>
    <row r="1253" spans="1:22">
      <c r="A1253" s="18" t="s">
        <v>3152</v>
      </c>
      <c r="B1253" s="18" t="s">
        <v>3153</v>
      </c>
      <c r="C1253" s="18" t="s">
        <v>358</v>
      </c>
      <c r="D1253" s="18" t="s">
        <v>115</v>
      </c>
      <c r="E1253" s="26">
        <v>45117</v>
      </c>
      <c r="F1253" s="18" t="s">
        <v>3154</v>
      </c>
      <c r="G1253" s="18" t="s">
        <v>117</v>
      </c>
      <c r="H1253" s="18">
        <v>7.6</v>
      </c>
      <c r="I1253" s="18">
        <v>149</v>
      </c>
      <c r="J1253" s="18">
        <v>20</v>
      </c>
      <c r="K1253" s="18">
        <v>905.92</v>
      </c>
      <c r="L1253" s="18" t="s">
        <v>139</v>
      </c>
      <c r="M1253" s="18" t="s">
        <v>119</v>
      </c>
      <c r="N1253" s="28">
        <v>45117.841666666667</v>
      </c>
      <c r="O1253" s="28">
        <v>45118.320138888892</v>
      </c>
      <c r="P1253" s="18">
        <v>2.6</v>
      </c>
      <c r="Q1253" s="18" t="b">
        <f>FALSE()</f>
        <v>0</v>
      </c>
      <c r="R1253" s="18" t="b">
        <f>FALSE()</f>
        <v>0</v>
      </c>
      <c r="S1253" s="19">
        <f t="shared" si="19"/>
        <v>11.5</v>
      </c>
      <c r="T1253">
        <f>COUNTIF('👤 Customers'!$A:$A, B1253)</f>
        <v>1</v>
      </c>
      <c r="U1253">
        <f>COUNTIF('🚴 Riders'!A1252:A1312, C1253)</f>
        <v>0</v>
      </c>
      <c r="V1253">
        <f>COUNTIF('🏭 Facilities'!A1252:A1260, D1253)</f>
        <v>0</v>
      </c>
    </row>
    <row r="1254" spans="1:22">
      <c r="A1254" s="16" t="s">
        <v>3155</v>
      </c>
      <c r="B1254" s="16" t="s">
        <v>178</v>
      </c>
      <c r="C1254" s="16" t="s">
        <v>354</v>
      </c>
      <c r="D1254" s="16" t="s">
        <v>123</v>
      </c>
      <c r="E1254" s="25">
        <v>45597</v>
      </c>
      <c r="F1254" s="16" t="s">
        <v>3156</v>
      </c>
      <c r="G1254" s="16" t="s">
        <v>145</v>
      </c>
      <c r="H1254" s="16">
        <v>6.4</v>
      </c>
      <c r="I1254" s="16">
        <v>299</v>
      </c>
      <c r="J1254" s="16">
        <v>0</v>
      </c>
      <c r="K1254" s="16">
        <v>1913.6</v>
      </c>
      <c r="L1254" s="16" t="s">
        <v>118</v>
      </c>
      <c r="M1254" s="16" t="s">
        <v>140</v>
      </c>
      <c r="N1254" s="27">
        <v>45597.854861111111</v>
      </c>
      <c r="O1254" s="27">
        <v>45598.375694444447</v>
      </c>
      <c r="P1254" s="20"/>
      <c r="Q1254" s="16" t="b">
        <f>FALSE()</f>
        <v>0</v>
      </c>
      <c r="R1254" s="16" t="b">
        <f>FALSE()</f>
        <v>0</v>
      </c>
      <c r="S1254" s="17">
        <f t="shared" si="19"/>
        <v>12.5</v>
      </c>
      <c r="T1254">
        <f>COUNTIF('👤 Customers'!$A:$A, B1254)</f>
        <v>1</v>
      </c>
      <c r="U1254">
        <f>COUNTIF('🚴 Riders'!A1253:A1313, C1254)</f>
        <v>0</v>
      </c>
      <c r="V1254">
        <f>COUNTIF('🏭 Facilities'!A1253:A1261, D1254)</f>
        <v>0</v>
      </c>
    </row>
    <row r="1255" spans="1:22">
      <c r="A1255" s="18" t="s">
        <v>3157</v>
      </c>
      <c r="B1255" s="18" t="s">
        <v>409</v>
      </c>
      <c r="C1255" s="18" t="s">
        <v>188</v>
      </c>
      <c r="D1255" s="18" t="s">
        <v>197</v>
      </c>
      <c r="E1255" s="26">
        <v>45113</v>
      </c>
      <c r="F1255" s="18" t="s">
        <v>3158</v>
      </c>
      <c r="G1255" s="18" t="s">
        <v>145</v>
      </c>
      <c r="H1255" s="18">
        <v>3.6</v>
      </c>
      <c r="I1255" s="18">
        <v>299</v>
      </c>
      <c r="J1255" s="18">
        <v>0</v>
      </c>
      <c r="K1255" s="18">
        <v>1076.4000000000001</v>
      </c>
      <c r="L1255" s="18" t="s">
        <v>139</v>
      </c>
      <c r="M1255" s="18" t="s">
        <v>119</v>
      </c>
      <c r="N1255" s="28">
        <v>45113.436111111114</v>
      </c>
      <c r="O1255" s="28">
        <v>45114.475694444445</v>
      </c>
      <c r="P1255" s="18">
        <v>3</v>
      </c>
      <c r="Q1255" s="18" t="b">
        <f>FALSE()</f>
        <v>0</v>
      </c>
      <c r="R1255" s="18" t="b">
        <f>TRUE()</f>
        <v>1</v>
      </c>
      <c r="S1255" s="19">
        <f t="shared" si="19"/>
        <v>24.9</v>
      </c>
      <c r="T1255">
        <f>COUNTIF('👤 Customers'!$A:$A, B1255)</f>
        <v>1</v>
      </c>
      <c r="U1255">
        <f>COUNTIF('🚴 Riders'!A1254:A1314, C1255)</f>
        <v>0</v>
      </c>
      <c r="V1255">
        <f>COUNTIF('🏭 Facilities'!A1254:A1262, D1255)</f>
        <v>0</v>
      </c>
    </row>
    <row r="1256" spans="1:22">
      <c r="A1256" s="16" t="s">
        <v>3159</v>
      </c>
      <c r="B1256" s="16" t="s">
        <v>2286</v>
      </c>
      <c r="C1256" s="16" t="s">
        <v>261</v>
      </c>
      <c r="D1256" s="16" t="s">
        <v>197</v>
      </c>
      <c r="E1256" s="25">
        <v>45193</v>
      </c>
      <c r="F1256" s="16" t="s">
        <v>3160</v>
      </c>
      <c r="G1256" s="16" t="s">
        <v>117</v>
      </c>
      <c r="H1256" s="16">
        <v>3.6</v>
      </c>
      <c r="I1256" s="16">
        <v>149</v>
      </c>
      <c r="J1256" s="16">
        <v>0</v>
      </c>
      <c r="K1256" s="16">
        <v>536.4</v>
      </c>
      <c r="L1256" s="16" t="s">
        <v>118</v>
      </c>
      <c r="M1256" s="16" t="s">
        <v>119</v>
      </c>
      <c r="N1256" s="27">
        <v>45193.720138888886</v>
      </c>
      <c r="O1256" s="27">
        <v>45194.78402777778</v>
      </c>
      <c r="P1256" s="16">
        <v>3</v>
      </c>
      <c r="Q1256" s="16" t="b">
        <f>FALSE()</f>
        <v>0</v>
      </c>
      <c r="R1256" s="16" t="b">
        <f>TRUE()</f>
        <v>1</v>
      </c>
      <c r="S1256" s="17">
        <f t="shared" si="19"/>
        <v>25.5</v>
      </c>
      <c r="T1256">
        <f>COUNTIF('👤 Customers'!$A:$A, B1256)</f>
        <v>1</v>
      </c>
      <c r="U1256">
        <f>COUNTIF('🚴 Riders'!A1255:A1315, C1256)</f>
        <v>0</v>
      </c>
      <c r="V1256">
        <f>COUNTIF('🏭 Facilities'!A1255:A1263, D1256)</f>
        <v>0</v>
      </c>
    </row>
    <row r="1257" spans="1:22">
      <c r="A1257" s="18" t="s">
        <v>3161</v>
      </c>
      <c r="B1257" s="18" t="s">
        <v>178</v>
      </c>
      <c r="C1257" s="18" t="s">
        <v>1092</v>
      </c>
      <c r="D1257" s="18" t="s">
        <v>123</v>
      </c>
      <c r="E1257" s="26">
        <v>45537</v>
      </c>
      <c r="F1257" s="18" t="s">
        <v>3162</v>
      </c>
      <c r="G1257" s="18" t="s">
        <v>117</v>
      </c>
      <c r="H1257" s="18">
        <v>5</v>
      </c>
      <c r="I1257" s="18">
        <v>149</v>
      </c>
      <c r="J1257" s="18">
        <v>0</v>
      </c>
      <c r="K1257" s="18">
        <v>745</v>
      </c>
      <c r="L1257" s="18" t="s">
        <v>207</v>
      </c>
      <c r="M1257" s="18" t="s">
        <v>119</v>
      </c>
      <c r="N1257" s="28">
        <v>45537.961111111108</v>
      </c>
      <c r="O1257" s="28">
        <v>45538.912499999999</v>
      </c>
      <c r="P1257" s="18">
        <v>3.1</v>
      </c>
      <c r="Q1257" s="18" t="b">
        <f>FALSE()</f>
        <v>0</v>
      </c>
      <c r="R1257" s="18" t="b">
        <f>FALSE()</f>
        <v>0</v>
      </c>
      <c r="S1257" s="19">
        <f t="shared" si="19"/>
        <v>22.8</v>
      </c>
      <c r="T1257">
        <f>COUNTIF('👤 Customers'!$A:$A, B1257)</f>
        <v>1</v>
      </c>
      <c r="U1257">
        <f>COUNTIF('🚴 Riders'!A1256:A1316, C1257)</f>
        <v>0</v>
      </c>
      <c r="V1257">
        <f>COUNTIF('🏭 Facilities'!A1256:A1264, D1257)</f>
        <v>0</v>
      </c>
    </row>
    <row r="1258" spans="1:22">
      <c r="A1258" s="16" t="s">
        <v>3163</v>
      </c>
      <c r="B1258" s="16" t="s">
        <v>3164</v>
      </c>
      <c r="C1258" s="16" t="s">
        <v>220</v>
      </c>
      <c r="D1258" s="16" t="s">
        <v>130</v>
      </c>
      <c r="E1258" s="25">
        <v>45019</v>
      </c>
      <c r="F1258" s="16" t="s">
        <v>3165</v>
      </c>
      <c r="G1258" s="16" t="s">
        <v>117</v>
      </c>
      <c r="H1258" s="16">
        <v>2.2999999999999998</v>
      </c>
      <c r="I1258" s="16">
        <v>149</v>
      </c>
      <c r="J1258" s="16">
        <v>0</v>
      </c>
      <c r="K1258" s="16">
        <v>342.7</v>
      </c>
      <c r="L1258" s="16" t="s">
        <v>207</v>
      </c>
      <c r="M1258" s="16" t="s">
        <v>119</v>
      </c>
      <c r="N1258" s="27">
        <v>45019.196527777778</v>
      </c>
      <c r="O1258" s="27">
        <v>45020.011111111111</v>
      </c>
      <c r="P1258" s="16">
        <v>4.5</v>
      </c>
      <c r="Q1258" s="16" t="b">
        <f>FALSE()</f>
        <v>0</v>
      </c>
      <c r="R1258" s="16" t="b">
        <f>FALSE()</f>
        <v>0</v>
      </c>
      <c r="S1258" s="17">
        <f t="shared" si="19"/>
        <v>19.5</v>
      </c>
      <c r="T1258">
        <f>COUNTIF('👤 Customers'!$A:$A, B1258)</f>
        <v>1</v>
      </c>
      <c r="U1258">
        <f>COUNTIF('🚴 Riders'!A1257:A1317, C1258)</f>
        <v>0</v>
      </c>
      <c r="V1258">
        <f>COUNTIF('🏭 Facilities'!A1257:A1265, D1258)</f>
        <v>0</v>
      </c>
    </row>
    <row r="1259" spans="1:22">
      <c r="A1259" s="18" t="s">
        <v>3166</v>
      </c>
      <c r="B1259" s="18" t="s">
        <v>1058</v>
      </c>
      <c r="C1259" s="18" t="s">
        <v>322</v>
      </c>
      <c r="D1259" s="18" t="s">
        <v>115</v>
      </c>
      <c r="E1259" s="26">
        <v>45017</v>
      </c>
      <c r="F1259" s="18" t="s">
        <v>3167</v>
      </c>
      <c r="G1259" s="18" t="s">
        <v>117</v>
      </c>
      <c r="H1259" s="18">
        <v>6.4</v>
      </c>
      <c r="I1259" s="18">
        <v>149</v>
      </c>
      <c r="J1259" s="18">
        <v>20</v>
      </c>
      <c r="K1259" s="18">
        <v>762.88</v>
      </c>
      <c r="L1259" s="18" t="s">
        <v>207</v>
      </c>
      <c r="M1259" s="18" t="s">
        <v>119</v>
      </c>
      <c r="N1259" s="28">
        <v>45017.492361111108</v>
      </c>
      <c r="O1259" s="28">
        <v>45017.872916666667</v>
      </c>
      <c r="P1259" s="18">
        <v>2.8</v>
      </c>
      <c r="Q1259" s="18" t="b">
        <f>FALSE()</f>
        <v>0</v>
      </c>
      <c r="R1259" s="18" t="b">
        <f>FALSE()</f>
        <v>0</v>
      </c>
      <c r="S1259" s="19">
        <f t="shared" si="19"/>
        <v>9.1</v>
      </c>
      <c r="T1259">
        <f>COUNTIF('👤 Customers'!$A:$A, B1259)</f>
        <v>1</v>
      </c>
      <c r="U1259">
        <f>COUNTIF('🚴 Riders'!A1258:A1318, C1259)</f>
        <v>0</v>
      </c>
      <c r="V1259">
        <f>COUNTIF('🏭 Facilities'!A1258:A1266, D1259)</f>
        <v>0</v>
      </c>
    </row>
    <row r="1260" spans="1:22">
      <c r="A1260" s="16" t="s">
        <v>3168</v>
      </c>
      <c r="B1260" s="16" t="s">
        <v>419</v>
      </c>
      <c r="C1260" s="16" t="s">
        <v>611</v>
      </c>
      <c r="D1260" s="16" t="s">
        <v>197</v>
      </c>
      <c r="E1260" s="25">
        <v>44950</v>
      </c>
      <c r="F1260" s="16" t="s">
        <v>3169</v>
      </c>
      <c r="G1260" s="16" t="s">
        <v>176</v>
      </c>
      <c r="H1260" s="16">
        <v>5.5</v>
      </c>
      <c r="I1260" s="16">
        <v>599</v>
      </c>
      <c r="J1260" s="16">
        <v>10</v>
      </c>
      <c r="K1260" s="16">
        <v>2965.05</v>
      </c>
      <c r="L1260" s="16" t="s">
        <v>126</v>
      </c>
      <c r="M1260" s="16" t="s">
        <v>119</v>
      </c>
      <c r="N1260" s="27">
        <v>44950.45</v>
      </c>
      <c r="O1260" s="27">
        <v>44951.43472222222</v>
      </c>
      <c r="P1260" s="16">
        <v>3.4</v>
      </c>
      <c r="Q1260" s="16" t="b">
        <f>FALSE()</f>
        <v>0</v>
      </c>
      <c r="R1260" s="16" t="b">
        <f>TRUE()</f>
        <v>1</v>
      </c>
      <c r="S1260" s="17">
        <f t="shared" si="19"/>
        <v>23.6</v>
      </c>
      <c r="T1260">
        <f>COUNTIF('👤 Customers'!$A:$A, B1260)</f>
        <v>1</v>
      </c>
      <c r="U1260">
        <f>COUNTIF('🚴 Riders'!A1259:A1319, C1260)</f>
        <v>0</v>
      </c>
      <c r="V1260">
        <f>COUNTIF('🏭 Facilities'!A1259:A1267, D1260)</f>
        <v>0</v>
      </c>
    </row>
    <row r="1261" spans="1:22">
      <c r="A1261" s="18" t="s">
        <v>3170</v>
      </c>
      <c r="B1261" s="18" t="s">
        <v>701</v>
      </c>
      <c r="C1261" s="18" t="s">
        <v>247</v>
      </c>
      <c r="D1261" s="18" t="s">
        <v>115</v>
      </c>
      <c r="E1261" s="26">
        <v>45651</v>
      </c>
      <c r="F1261" s="18" t="s">
        <v>3171</v>
      </c>
      <c r="G1261" s="18" t="s">
        <v>176</v>
      </c>
      <c r="H1261" s="18">
        <v>3</v>
      </c>
      <c r="I1261" s="18">
        <v>599</v>
      </c>
      <c r="J1261" s="18">
        <v>0</v>
      </c>
      <c r="K1261" s="18">
        <v>1797</v>
      </c>
      <c r="L1261" s="18" t="s">
        <v>118</v>
      </c>
      <c r="M1261" s="18" t="s">
        <v>119</v>
      </c>
      <c r="N1261" s="28">
        <v>45651.458333333336</v>
      </c>
      <c r="O1261" s="28">
        <v>45652.304861111108</v>
      </c>
      <c r="P1261" s="18">
        <v>3.2</v>
      </c>
      <c r="Q1261" s="18" t="b">
        <f>FALSE()</f>
        <v>0</v>
      </c>
      <c r="R1261" s="18" t="b">
        <f>FALSE()</f>
        <v>0</v>
      </c>
      <c r="S1261" s="19">
        <f t="shared" si="19"/>
        <v>20.3</v>
      </c>
      <c r="T1261">
        <f>COUNTIF('👤 Customers'!$A:$A, B1261)</f>
        <v>1</v>
      </c>
      <c r="U1261">
        <f>COUNTIF('🚴 Riders'!A1260:A1320, C1261)</f>
        <v>0</v>
      </c>
      <c r="V1261">
        <f>COUNTIF('🏭 Facilities'!A1260:A1268, D1261)</f>
        <v>0</v>
      </c>
    </row>
    <row r="1262" spans="1:22">
      <c r="A1262" s="16" t="s">
        <v>3172</v>
      </c>
      <c r="B1262" s="16" t="s">
        <v>1236</v>
      </c>
      <c r="C1262" s="16" t="s">
        <v>750</v>
      </c>
      <c r="D1262" s="16" t="s">
        <v>158</v>
      </c>
      <c r="E1262" s="25">
        <v>45313</v>
      </c>
      <c r="F1262" s="16" t="s">
        <v>3173</v>
      </c>
      <c r="G1262" s="16" t="s">
        <v>125</v>
      </c>
      <c r="H1262" s="16">
        <v>1.8</v>
      </c>
      <c r="I1262" s="16">
        <v>199</v>
      </c>
      <c r="J1262" s="16">
        <v>0</v>
      </c>
      <c r="K1262" s="16">
        <v>358.2</v>
      </c>
      <c r="L1262" s="16" t="s">
        <v>118</v>
      </c>
      <c r="M1262" s="16" t="s">
        <v>119</v>
      </c>
      <c r="N1262" s="27">
        <v>45313.998611111114</v>
      </c>
      <c r="O1262" s="27">
        <v>45315.046527777777</v>
      </c>
      <c r="P1262" s="16">
        <v>4.7</v>
      </c>
      <c r="Q1262" s="16" t="b">
        <f>FALSE()</f>
        <v>0</v>
      </c>
      <c r="R1262" s="16" t="b">
        <f>FALSE()</f>
        <v>0</v>
      </c>
      <c r="S1262" s="17">
        <f t="shared" si="19"/>
        <v>25.1</v>
      </c>
      <c r="T1262">
        <f>COUNTIF('👤 Customers'!$A:$A, B1262)</f>
        <v>1</v>
      </c>
      <c r="U1262">
        <f>COUNTIF('🚴 Riders'!A1261:A1321, C1262)</f>
        <v>0</v>
      </c>
      <c r="V1262">
        <f>COUNTIF('🏭 Facilities'!A1261:A1269, D1262)</f>
        <v>0</v>
      </c>
    </row>
    <row r="1263" spans="1:22">
      <c r="A1263" s="18" t="s">
        <v>3174</v>
      </c>
      <c r="B1263" s="18" t="s">
        <v>1030</v>
      </c>
      <c r="C1263" s="18" t="s">
        <v>487</v>
      </c>
      <c r="D1263" s="18" t="s">
        <v>123</v>
      </c>
      <c r="E1263" s="26">
        <v>45272</v>
      </c>
      <c r="F1263" s="18" t="s">
        <v>3175</v>
      </c>
      <c r="G1263" s="18" t="s">
        <v>145</v>
      </c>
      <c r="H1263" s="18">
        <v>4.2</v>
      </c>
      <c r="I1263" s="18">
        <v>299</v>
      </c>
      <c r="J1263" s="18">
        <v>0</v>
      </c>
      <c r="K1263" s="18">
        <v>1255.8</v>
      </c>
      <c r="L1263" s="18" t="s">
        <v>126</v>
      </c>
      <c r="M1263" s="18" t="s">
        <v>119</v>
      </c>
      <c r="N1263" s="28">
        <v>45272.536111111112</v>
      </c>
      <c r="O1263" s="28">
        <v>45273.149305555555</v>
      </c>
      <c r="P1263" s="18">
        <v>4.0999999999999996</v>
      </c>
      <c r="Q1263" s="18" t="b">
        <f>TRUE()</f>
        <v>1</v>
      </c>
      <c r="R1263" s="18" t="b">
        <f>FALSE()</f>
        <v>0</v>
      </c>
      <c r="S1263" s="19">
        <f t="shared" si="19"/>
        <v>14.7</v>
      </c>
      <c r="T1263">
        <f>COUNTIF('👤 Customers'!$A:$A, B1263)</f>
        <v>1</v>
      </c>
      <c r="U1263">
        <f>COUNTIF('🚴 Riders'!A1262:A1322, C1263)</f>
        <v>0</v>
      </c>
      <c r="V1263">
        <f>COUNTIF('🏭 Facilities'!A1262:A1270, D1263)</f>
        <v>0</v>
      </c>
    </row>
    <row r="1264" spans="1:22">
      <c r="A1264" s="16" t="s">
        <v>3176</v>
      </c>
      <c r="B1264" s="16" t="s">
        <v>637</v>
      </c>
      <c r="C1264" s="16" t="s">
        <v>750</v>
      </c>
      <c r="D1264" s="16" t="s">
        <v>184</v>
      </c>
      <c r="E1264" s="25">
        <v>45470</v>
      </c>
      <c r="F1264" s="16" t="s">
        <v>3177</v>
      </c>
      <c r="G1264" s="16" t="s">
        <v>117</v>
      </c>
      <c r="H1264" s="16">
        <v>6.7</v>
      </c>
      <c r="I1264" s="16">
        <v>149</v>
      </c>
      <c r="J1264" s="16">
        <v>20</v>
      </c>
      <c r="K1264" s="16">
        <v>798.64</v>
      </c>
      <c r="L1264" s="16" t="s">
        <v>126</v>
      </c>
      <c r="M1264" s="16" t="s">
        <v>133</v>
      </c>
      <c r="N1264" s="20"/>
      <c r="O1264" s="20"/>
      <c r="P1264" s="20"/>
      <c r="Q1264" s="16" t="b">
        <f>TRUE()</f>
        <v>1</v>
      </c>
      <c r="R1264" s="16" t="b">
        <f>TRUE()</f>
        <v>1</v>
      </c>
      <c r="S1264" s="17" t="str">
        <f t="shared" si="19"/>
        <v>N/A</v>
      </c>
      <c r="T1264">
        <f>COUNTIF('👤 Customers'!$A:$A, B1264)</f>
        <v>1</v>
      </c>
      <c r="U1264">
        <f>COUNTIF('🚴 Riders'!A1263:A1323, C1264)</f>
        <v>0</v>
      </c>
      <c r="V1264">
        <f>COUNTIF('🏭 Facilities'!A1263:A1271, D1264)</f>
        <v>0</v>
      </c>
    </row>
    <row r="1265" spans="1:22">
      <c r="A1265" s="18" t="s">
        <v>3178</v>
      </c>
      <c r="B1265" s="18" t="s">
        <v>806</v>
      </c>
      <c r="C1265" s="18" t="s">
        <v>247</v>
      </c>
      <c r="D1265" s="18" t="s">
        <v>184</v>
      </c>
      <c r="E1265" s="26">
        <v>45592</v>
      </c>
      <c r="F1265" s="18" t="s">
        <v>3179</v>
      </c>
      <c r="G1265" s="18" t="s">
        <v>132</v>
      </c>
      <c r="H1265" s="18">
        <v>6.1</v>
      </c>
      <c r="I1265" s="18">
        <v>399</v>
      </c>
      <c r="J1265" s="18">
        <v>0</v>
      </c>
      <c r="K1265" s="18">
        <v>2433.9</v>
      </c>
      <c r="L1265" s="18" t="s">
        <v>146</v>
      </c>
      <c r="M1265" s="18" t="s">
        <v>119</v>
      </c>
      <c r="N1265" s="28">
        <v>45592.20208333333</v>
      </c>
      <c r="O1265" s="28">
        <v>45593.069444444445</v>
      </c>
      <c r="P1265" s="18">
        <v>3.3</v>
      </c>
      <c r="Q1265" s="18" t="b">
        <f>FALSE()</f>
        <v>0</v>
      </c>
      <c r="R1265" s="18" t="b">
        <f>FALSE()</f>
        <v>0</v>
      </c>
      <c r="S1265" s="19">
        <f t="shared" si="19"/>
        <v>20.8</v>
      </c>
      <c r="T1265">
        <f>COUNTIF('👤 Customers'!$A:$A, B1265)</f>
        <v>1</v>
      </c>
      <c r="U1265">
        <f>COUNTIF('🚴 Riders'!A1264:A1324, C1265)</f>
        <v>0</v>
      </c>
      <c r="V1265">
        <f>COUNTIF('🏭 Facilities'!A1264:A1272, D1265)</f>
        <v>0</v>
      </c>
    </row>
    <row r="1266" spans="1:22">
      <c r="A1266" s="16" t="s">
        <v>3180</v>
      </c>
      <c r="B1266" s="16" t="s">
        <v>1078</v>
      </c>
      <c r="C1266" s="16" t="s">
        <v>232</v>
      </c>
      <c r="D1266" s="16" t="s">
        <v>197</v>
      </c>
      <c r="E1266" s="25">
        <v>45022</v>
      </c>
      <c r="F1266" s="16" t="s">
        <v>3181</v>
      </c>
      <c r="G1266" s="16" t="s">
        <v>132</v>
      </c>
      <c r="H1266" s="16">
        <v>6.3</v>
      </c>
      <c r="I1266" s="16">
        <v>399</v>
      </c>
      <c r="J1266" s="16">
        <v>0</v>
      </c>
      <c r="K1266" s="16">
        <v>2513.6999999999998</v>
      </c>
      <c r="L1266" s="16" t="s">
        <v>207</v>
      </c>
      <c r="M1266" s="16" t="s">
        <v>140</v>
      </c>
      <c r="N1266" s="27">
        <v>45022.98333333333</v>
      </c>
      <c r="O1266" s="27">
        <v>45023.65902777778</v>
      </c>
      <c r="P1266" s="20"/>
      <c r="Q1266" s="16" t="b">
        <f>FALSE()</f>
        <v>0</v>
      </c>
      <c r="R1266" s="16" t="b">
        <f>FALSE()</f>
        <v>0</v>
      </c>
      <c r="S1266" s="17">
        <f t="shared" si="19"/>
        <v>16.2</v>
      </c>
      <c r="T1266">
        <f>COUNTIF('👤 Customers'!$A:$A, B1266)</f>
        <v>1</v>
      </c>
      <c r="U1266">
        <f>COUNTIF('🚴 Riders'!A1265:A1325, C1266)</f>
        <v>0</v>
      </c>
      <c r="V1266">
        <f>COUNTIF('🏭 Facilities'!A1265:A1273, D1266)</f>
        <v>0</v>
      </c>
    </row>
    <row r="1267" spans="1:22">
      <c r="A1267" s="18" t="s">
        <v>3182</v>
      </c>
      <c r="B1267" s="18" t="s">
        <v>850</v>
      </c>
      <c r="C1267" s="18" t="s">
        <v>350</v>
      </c>
      <c r="D1267" s="18" t="s">
        <v>115</v>
      </c>
      <c r="E1267" s="26">
        <v>45477</v>
      </c>
      <c r="F1267" s="18" t="s">
        <v>3183</v>
      </c>
      <c r="G1267" s="18" t="s">
        <v>132</v>
      </c>
      <c r="H1267" s="18">
        <v>4.5999999999999996</v>
      </c>
      <c r="I1267" s="18">
        <v>399</v>
      </c>
      <c r="J1267" s="18">
        <v>0</v>
      </c>
      <c r="K1267" s="18">
        <v>1835.4</v>
      </c>
      <c r="L1267" s="18" t="s">
        <v>207</v>
      </c>
      <c r="M1267" s="18" t="s">
        <v>140</v>
      </c>
      <c r="N1267" s="28">
        <v>45477.866666666669</v>
      </c>
      <c r="O1267" s="28">
        <v>45478.689583333333</v>
      </c>
      <c r="P1267" s="20"/>
      <c r="Q1267" s="18" t="b">
        <f>FALSE()</f>
        <v>0</v>
      </c>
      <c r="R1267" s="18" t="b">
        <f>FALSE()</f>
        <v>0</v>
      </c>
      <c r="S1267" s="19">
        <f t="shared" si="19"/>
        <v>19.7</v>
      </c>
      <c r="T1267">
        <f>COUNTIF('👤 Customers'!$A:$A, B1267)</f>
        <v>1</v>
      </c>
      <c r="U1267">
        <f>COUNTIF('🚴 Riders'!A1266:A1326, C1267)</f>
        <v>0</v>
      </c>
      <c r="V1267">
        <f>COUNTIF('🏭 Facilities'!A1266:A1274, D1267)</f>
        <v>0</v>
      </c>
    </row>
    <row r="1268" spans="1:22">
      <c r="A1268" s="16" t="s">
        <v>3184</v>
      </c>
      <c r="B1268" s="16" t="s">
        <v>769</v>
      </c>
      <c r="C1268" s="16" t="s">
        <v>224</v>
      </c>
      <c r="D1268" s="16" t="s">
        <v>115</v>
      </c>
      <c r="E1268" s="25">
        <v>45404</v>
      </c>
      <c r="F1268" s="16" t="s">
        <v>3185</v>
      </c>
      <c r="G1268" s="16" t="s">
        <v>117</v>
      </c>
      <c r="H1268" s="16">
        <v>6.8</v>
      </c>
      <c r="I1268" s="16">
        <v>149</v>
      </c>
      <c r="J1268" s="16">
        <v>20</v>
      </c>
      <c r="K1268" s="16">
        <v>810.56</v>
      </c>
      <c r="L1268" s="16" t="s">
        <v>207</v>
      </c>
      <c r="M1268" s="16" t="s">
        <v>140</v>
      </c>
      <c r="N1268" s="27">
        <v>45405.023611111108</v>
      </c>
      <c r="O1268" s="27">
        <v>45405.505555555559</v>
      </c>
      <c r="P1268" s="20"/>
      <c r="Q1268" s="16" t="b">
        <f>FALSE()</f>
        <v>0</v>
      </c>
      <c r="R1268" s="16" t="b">
        <f>TRUE()</f>
        <v>1</v>
      </c>
      <c r="S1268" s="17">
        <f t="shared" si="19"/>
        <v>11.6</v>
      </c>
      <c r="T1268">
        <f>COUNTIF('👤 Customers'!$A:$A, B1268)</f>
        <v>1</v>
      </c>
      <c r="U1268">
        <f>COUNTIF('🚴 Riders'!A1267:A1327, C1268)</f>
        <v>0</v>
      </c>
      <c r="V1268">
        <f>COUNTIF('🏭 Facilities'!A1267:A1275, D1268)</f>
        <v>0</v>
      </c>
    </row>
    <row r="1269" spans="1:22">
      <c r="A1269" s="18" t="s">
        <v>3186</v>
      </c>
      <c r="B1269" s="18" t="s">
        <v>290</v>
      </c>
      <c r="C1269" s="18" t="s">
        <v>563</v>
      </c>
      <c r="D1269" s="18" t="s">
        <v>130</v>
      </c>
      <c r="E1269" s="26">
        <v>45332</v>
      </c>
      <c r="F1269" s="18" t="s">
        <v>3187</v>
      </c>
      <c r="G1269" s="18" t="s">
        <v>176</v>
      </c>
      <c r="H1269" s="18">
        <v>5.3</v>
      </c>
      <c r="I1269" s="18">
        <v>599</v>
      </c>
      <c r="J1269" s="18">
        <v>0</v>
      </c>
      <c r="K1269" s="18">
        <v>3174.7</v>
      </c>
      <c r="L1269" s="18" t="s">
        <v>118</v>
      </c>
      <c r="M1269" s="18" t="s">
        <v>119</v>
      </c>
      <c r="N1269" s="28">
        <v>45332.759027777778</v>
      </c>
      <c r="O1269" s="28">
        <v>45333.638194444444</v>
      </c>
      <c r="P1269" s="18">
        <v>3.1</v>
      </c>
      <c r="Q1269" s="18" t="b">
        <f>FALSE()</f>
        <v>0</v>
      </c>
      <c r="R1269" s="18" t="b">
        <f>FALSE()</f>
        <v>0</v>
      </c>
      <c r="S1269" s="19">
        <f t="shared" si="19"/>
        <v>21.1</v>
      </c>
      <c r="T1269">
        <f>COUNTIF('👤 Customers'!$A:$A, B1269)</f>
        <v>1</v>
      </c>
      <c r="U1269">
        <f>COUNTIF('🚴 Riders'!A1268:A1328, C1269)</f>
        <v>0</v>
      </c>
      <c r="V1269">
        <f>COUNTIF('🏭 Facilities'!A1268:A1276, D1269)</f>
        <v>0</v>
      </c>
    </row>
    <row r="1270" spans="1:22">
      <c r="A1270" s="16" t="s">
        <v>3188</v>
      </c>
      <c r="B1270" s="16" t="s">
        <v>1314</v>
      </c>
      <c r="C1270" s="16" t="s">
        <v>536</v>
      </c>
      <c r="D1270" s="16" t="s">
        <v>158</v>
      </c>
      <c r="E1270" s="25">
        <v>45321</v>
      </c>
      <c r="F1270" s="16" t="s">
        <v>3189</v>
      </c>
      <c r="G1270" s="16" t="s">
        <v>117</v>
      </c>
      <c r="H1270" s="16">
        <v>7.8</v>
      </c>
      <c r="I1270" s="16">
        <v>149</v>
      </c>
      <c r="J1270" s="16">
        <v>0</v>
      </c>
      <c r="K1270" s="16">
        <v>1162.2</v>
      </c>
      <c r="L1270" s="16" t="s">
        <v>146</v>
      </c>
      <c r="M1270" s="16" t="s">
        <v>119</v>
      </c>
      <c r="N1270" s="27">
        <v>45321.165972222225</v>
      </c>
      <c r="O1270" s="27">
        <v>45321.90902777778</v>
      </c>
      <c r="P1270" s="16">
        <v>3.7</v>
      </c>
      <c r="Q1270" s="16" t="b">
        <f>FALSE()</f>
        <v>0</v>
      </c>
      <c r="R1270" s="16" t="b">
        <f>FALSE()</f>
        <v>0</v>
      </c>
      <c r="S1270" s="17">
        <f t="shared" si="19"/>
        <v>17.8</v>
      </c>
      <c r="T1270">
        <f>COUNTIF('👤 Customers'!$A:$A, B1270)</f>
        <v>1</v>
      </c>
      <c r="U1270">
        <f>COUNTIF('🚴 Riders'!A1269:A1329, C1270)</f>
        <v>0</v>
      </c>
      <c r="V1270">
        <f>COUNTIF('🏭 Facilities'!A1269:A1277, D1270)</f>
        <v>0</v>
      </c>
    </row>
    <row r="1271" spans="1:22">
      <c r="A1271" s="18" t="s">
        <v>3190</v>
      </c>
      <c r="B1271" s="18" t="s">
        <v>1634</v>
      </c>
      <c r="C1271" s="18" t="s">
        <v>265</v>
      </c>
      <c r="D1271" s="18" t="s">
        <v>130</v>
      </c>
      <c r="E1271" s="26">
        <v>45553</v>
      </c>
      <c r="F1271" s="18" t="s">
        <v>3191</v>
      </c>
      <c r="G1271" s="18" t="s">
        <v>132</v>
      </c>
      <c r="H1271" s="18">
        <v>6.8</v>
      </c>
      <c r="I1271" s="18">
        <v>399</v>
      </c>
      <c r="J1271" s="18">
        <v>0</v>
      </c>
      <c r="K1271" s="18">
        <v>2713.2</v>
      </c>
      <c r="L1271" s="18" t="s">
        <v>146</v>
      </c>
      <c r="M1271" s="18" t="s">
        <v>119</v>
      </c>
      <c r="N1271" s="28">
        <v>45553.792361111111</v>
      </c>
      <c r="O1271" s="28">
        <v>45554.46597222222</v>
      </c>
      <c r="P1271" s="18">
        <v>4.2</v>
      </c>
      <c r="Q1271" s="18" t="b">
        <f>FALSE()</f>
        <v>0</v>
      </c>
      <c r="R1271" s="18" t="b">
        <f>TRUE()</f>
        <v>1</v>
      </c>
      <c r="S1271" s="19">
        <f t="shared" si="19"/>
        <v>16.2</v>
      </c>
      <c r="T1271">
        <f>COUNTIF('👤 Customers'!$A:$A, B1271)</f>
        <v>1</v>
      </c>
      <c r="U1271">
        <f>COUNTIF('🚴 Riders'!A1270:A1330, C1271)</f>
        <v>0</v>
      </c>
      <c r="V1271">
        <f>COUNTIF('🏭 Facilities'!A1270:A1278, D1271)</f>
        <v>0</v>
      </c>
    </row>
    <row r="1272" spans="1:22">
      <c r="A1272" s="16" t="s">
        <v>3192</v>
      </c>
      <c r="B1272" s="16" t="s">
        <v>737</v>
      </c>
      <c r="C1272" s="16" t="s">
        <v>204</v>
      </c>
      <c r="D1272" s="16" t="s">
        <v>158</v>
      </c>
      <c r="E1272" s="25">
        <v>44996</v>
      </c>
      <c r="F1272" s="16" t="s">
        <v>3193</v>
      </c>
      <c r="G1272" s="16" t="s">
        <v>145</v>
      </c>
      <c r="H1272" s="16">
        <v>5.7</v>
      </c>
      <c r="I1272" s="16">
        <v>299</v>
      </c>
      <c r="J1272" s="16">
        <v>20</v>
      </c>
      <c r="K1272" s="16">
        <v>1363.44</v>
      </c>
      <c r="L1272" s="16" t="s">
        <v>139</v>
      </c>
      <c r="M1272" s="16" t="s">
        <v>119</v>
      </c>
      <c r="N1272" s="27">
        <v>44996.78125</v>
      </c>
      <c r="O1272" s="27">
        <v>44997.688888888886</v>
      </c>
      <c r="P1272" s="16">
        <v>3</v>
      </c>
      <c r="Q1272" s="16" t="b">
        <f>FALSE()</f>
        <v>0</v>
      </c>
      <c r="R1272" s="16" t="b">
        <f>FALSE()</f>
        <v>0</v>
      </c>
      <c r="S1272" s="17">
        <f t="shared" si="19"/>
        <v>21.8</v>
      </c>
      <c r="T1272">
        <f>COUNTIF('👤 Customers'!$A:$A, B1272)</f>
        <v>1</v>
      </c>
      <c r="U1272">
        <f>COUNTIF('🚴 Riders'!A1271:A1331, C1272)</f>
        <v>0</v>
      </c>
      <c r="V1272">
        <f>COUNTIF('🏭 Facilities'!A1271:A1279, D1272)</f>
        <v>0</v>
      </c>
    </row>
    <row r="1273" spans="1:22">
      <c r="A1273" s="18" t="s">
        <v>3194</v>
      </c>
      <c r="B1273" s="18" t="s">
        <v>271</v>
      </c>
      <c r="C1273" s="18" t="s">
        <v>431</v>
      </c>
      <c r="D1273" s="18" t="s">
        <v>184</v>
      </c>
      <c r="E1273" s="26">
        <v>45039</v>
      </c>
      <c r="F1273" s="18" t="s">
        <v>3195</v>
      </c>
      <c r="G1273" s="18" t="s">
        <v>132</v>
      </c>
      <c r="H1273" s="18">
        <v>7.9</v>
      </c>
      <c r="I1273" s="18">
        <v>399</v>
      </c>
      <c r="J1273" s="18">
        <v>30</v>
      </c>
      <c r="K1273" s="18">
        <v>2206.4699999999998</v>
      </c>
      <c r="L1273" s="18" t="s">
        <v>126</v>
      </c>
      <c r="M1273" s="18" t="s">
        <v>140</v>
      </c>
      <c r="N1273" s="28">
        <v>45039.904166666667</v>
      </c>
      <c r="O1273" s="28">
        <v>45040.31527777778</v>
      </c>
      <c r="P1273" s="20"/>
      <c r="Q1273" s="18" t="b">
        <f>FALSE()</f>
        <v>0</v>
      </c>
      <c r="R1273" s="18" t="b">
        <f>FALSE()</f>
        <v>0</v>
      </c>
      <c r="S1273" s="19">
        <f t="shared" si="19"/>
        <v>9.9</v>
      </c>
      <c r="T1273">
        <f>COUNTIF('👤 Customers'!$A:$A, B1273)</f>
        <v>1</v>
      </c>
      <c r="U1273">
        <f>COUNTIF('🚴 Riders'!A1272:A1332, C1273)</f>
        <v>0</v>
      </c>
      <c r="V1273">
        <f>COUNTIF('🏭 Facilities'!A1272:A1280, D1273)</f>
        <v>0</v>
      </c>
    </row>
    <row r="1274" spans="1:22">
      <c r="A1274" s="16" t="s">
        <v>3196</v>
      </c>
      <c r="B1274" s="16" t="s">
        <v>507</v>
      </c>
      <c r="C1274" s="16" t="s">
        <v>461</v>
      </c>
      <c r="D1274" s="16" t="s">
        <v>137</v>
      </c>
      <c r="E1274" s="25">
        <v>45046</v>
      </c>
      <c r="F1274" s="16" t="s">
        <v>3197</v>
      </c>
      <c r="G1274" s="16" t="s">
        <v>117</v>
      </c>
      <c r="H1274" s="16">
        <v>4.9000000000000004</v>
      </c>
      <c r="I1274" s="16">
        <v>149</v>
      </c>
      <c r="J1274" s="16">
        <v>10</v>
      </c>
      <c r="K1274" s="16">
        <v>657.09</v>
      </c>
      <c r="L1274" s="16" t="s">
        <v>207</v>
      </c>
      <c r="M1274" s="16" t="s">
        <v>140</v>
      </c>
      <c r="N1274" s="27">
        <v>45046.693749999999</v>
      </c>
      <c r="O1274" s="27">
        <v>45047.57916666667</v>
      </c>
      <c r="P1274" s="20"/>
      <c r="Q1274" s="16" t="b">
        <f>FALSE()</f>
        <v>0</v>
      </c>
      <c r="R1274" s="16" t="b">
        <f>FALSE()</f>
        <v>0</v>
      </c>
      <c r="S1274" s="17">
        <f t="shared" si="19"/>
        <v>21.3</v>
      </c>
      <c r="T1274">
        <f>COUNTIF('👤 Customers'!$A:$A, B1274)</f>
        <v>1</v>
      </c>
      <c r="U1274">
        <f>COUNTIF('🚴 Riders'!A1273:A1333, C1274)</f>
        <v>0</v>
      </c>
      <c r="V1274">
        <f>COUNTIF('🏭 Facilities'!A1273:A1281, D1274)</f>
        <v>0</v>
      </c>
    </row>
    <row r="1275" spans="1:22">
      <c r="A1275" s="18" t="s">
        <v>3198</v>
      </c>
      <c r="B1275" s="18" t="s">
        <v>223</v>
      </c>
      <c r="C1275" s="18" t="s">
        <v>563</v>
      </c>
      <c r="D1275" s="18" t="s">
        <v>115</v>
      </c>
      <c r="E1275" s="26">
        <v>44971</v>
      </c>
      <c r="F1275" s="18" t="s">
        <v>3199</v>
      </c>
      <c r="G1275" s="18" t="s">
        <v>145</v>
      </c>
      <c r="H1275" s="18">
        <v>2.2999999999999998</v>
      </c>
      <c r="I1275" s="18">
        <v>299</v>
      </c>
      <c r="J1275" s="18">
        <v>20</v>
      </c>
      <c r="K1275" s="18">
        <v>550.16</v>
      </c>
      <c r="L1275" s="18" t="s">
        <v>207</v>
      </c>
      <c r="M1275" s="18" t="s">
        <v>119</v>
      </c>
      <c r="N1275" s="28">
        <v>44971.448611111111</v>
      </c>
      <c r="O1275" s="28">
        <v>44972.307638888888</v>
      </c>
      <c r="P1275" s="18">
        <v>2.7</v>
      </c>
      <c r="Q1275" s="18" t="b">
        <f>FALSE()</f>
        <v>0</v>
      </c>
      <c r="R1275" s="18" t="b">
        <f>FALSE()</f>
        <v>0</v>
      </c>
      <c r="S1275" s="19">
        <f t="shared" si="19"/>
        <v>20.6</v>
      </c>
      <c r="T1275">
        <f>COUNTIF('👤 Customers'!$A:$A, B1275)</f>
        <v>1</v>
      </c>
      <c r="U1275">
        <f>COUNTIF('🚴 Riders'!A1274:A1334, C1275)</f>
        <v>0</v>
      </c>
      <c r="V1275">
        <f>COUNTIF('🏭 Facilities'!A1274:A1282, D1275)</f>
        <v>0</v>
      </c>
    </row>
    <row r="1276" spans="1:22">
      <c r="A1276" s="16" t="s">
        <v>3200</v>
      </c>
      <c r="B1276" s="16" t="s">
        <v>716</v>
      </c>
      <c r="C1276" s="16" t="s">
        <v>350</v>
      </c>
      <c r="D1276" s="16" t="s">
        <v>123</v>
      </c>
      <c r="E1276" s="25">
        <v>45137</v>
      </c>
      <c r="F1276" s="16" t="s">
        <v>3201</v>
      </c>
      <c r="G1276" s="16" t="s">
        <v>145</v>
      </c>
      <c r="H1276" s="16">
        <v>5.8</v>
      </c>
      <c r="I1276" s="16">
        <v>299</v>
      </c>
      <c r="J1276" s="16">
        <v>0</v>
      </c>
      <c r="K1276" s="16">
        <v>1734.2</v>
      </c>
      <c r="L1276" s="16" t="s">
        <v>126</v>
      </c>
      <c r="M1276" s="16" t="s">
        <v>119</v>
      </c>
      <c r="N1276" s="27">
        <v>45138.06527777778</v>
      </c>
      <c r="O1276" s="27">
        <v>45138.417361111111</v>
      </c>
      <c r="P1276" s="16">
        <v>4.0999999999999996</v>
      </c>
      <c r="Q1276" s="16" t="b">
        <f>FALSE()</f>
        <v>0</v>
      </c>
      <c r="R1276" s="16" t="b">
        <f>TRUE()</f>
        <v>1</v>
      </c>
      <c r="S1276" s="17">
        <f t="shared" si="19"/>
        <v>8.4</v>
      </c>
      <c r="T1276">
        <f>COUNTIF('👤 Customers'!$A:$A, B1276)</f>
        <v>1</v>
      </c>
      <c r="U1276">
        <f>COUNTIF('🚴 Riders'!A1275:A1335, C1276)</f>
        <v>0</v>
      </c>
      <c r="V1276">
        <f>COUNTIF('🏭 Facilities'!A1275:A1283, D1276)</f>
        <v>0</v>
      </c>
    </row>
    <row r="1277" spans="1:22">
      <c r="A1277" s="18" t="s">
        <v>3202</v>
      </c>
      <c r="B1277" s="18" t="s">
        <v>1840</v>
      </c>
      <c r="C1277" s="18" t="s">
        <v>192</v>
      </c>
      <c r="D1277" s="18" t="s">
        <v>115</v>
      </c>
      <c r="E1277" s="26">
        <v>45439</v>
      </c>
      <c r="F1277" s="18" t="s">
        <v>3203</v>
      </c>
      <c r="G1277" s="18" t="s">
        <v>125</v>
      </c>
      <c r="H1277" s="18">
        <v>2.5</v>
      </c>
      <c r="I1277" s="18">
        <v>199</v>
      </c>
      <c r="J1277" s="18">
        <v>0</v>
      </c>
      <c r="K1277" s="18">
        <v>497.5</v>
      </c>
      <c r="L1277" s="18" t="s">
        <v>118</v>
      </c>
      <c r="M1277" s="18" t="s">
        <v>119</v>
      </c>
      <c r="N1277" s="28">
        <v>45439.74722222222</v>
      </c>
      <c r="O1277" s="28">
        <v>45440.444444444445</v>
      </c>
      <c r="P1277" s="18">
        <v>3.5</v>
      </c>
      <c r="Q1277" s="18" t="b">
        <f>FALSE()</f>
        <v>0</v>
      </c>
      <c r="R1277" s="18" t="b">
        <f>FALSE()</f>
        <v>0</v>
      </c>
      <c r="S1277" s="19">
        <f t="shared" si="19"/>
        <v>16.7</v>
      </c>
      <c r="T1277">
        <f>COUNTIF('👤 Customers'!$A:$A, B1277)</f>
        <v>1</v>
      </c>
      <c r="U1277">
        <f>COUNTIF('🚴 Riders'!A1276:A1336, C1277)</f>
        <v>0</v>
      </c>
      <c r="V1277">
        <f>COUNTIF('🏭 Facilities'!A1276:A1284, D1277)</f>
        <v>0</v>
      </c>
    </row>
    <row r="1278" spans="1:22">
      <c r="A1278" s="16" t="s">
        <v>3204</v>
      </c>
      <c r="B1278" s="16" t="s">
        <v>922</v>
      </c>
      <c r="C1278" s="16" t="s">
        <v>300</v>
      </c>
      <c r="D1278" s="16" t="s">
        <v>158</v>
      </c>
      <c r="E1278" s="25">
        <v>45296</v>
      </c>
      <c r="F1278" s="16" t="s">
        <v>3205</v>
      </c>
      <c r="G1278" s="16" t="s">
        <v>125</v>
      </c>
      <c r="H1278" s="16">
        <v>3.5</v>
      </c>
      <c r="I1278" s="16">
        <v>199</v>
      </c>
      <c r="J1278" s="16">
        <v>0</v>
      </c>
      <c r="K1278" s="16">
        <v>696.5</v>
      </c>
      <c r="L1278" s="16" t="s">
        <v>118</v>
      </c>
      <c r="M1278" s="16" t="s">
        <v>119</v>
      </c>
      <c r="N1278" s="27">
        <v>45296.96875</v>
      </c>
      <c r="O1278" s="27">
        <v>45298.018055555556</v>
      </c>
      <c r="P1278" s="16">
        <v>2.7</v>
      </c>
      <c r="Q1278" s="16" t="b">
        <f>FALSE()</f>
        <v>0</v>
      </c>
      <c r="R1278" s="16" t="b">
        <f>FALSE()</f>
        <v>0</v>
      </c>
      <c r="S1278" s="17">
        <f t="shared" si="19"/>
        <v>25.2</v>
      </c>
      <c r="T1278">
        <f>COUNTIF('👤 Customers'!$A:$A, B1278)</f>
        <v>1</v>
      </c>
      <c r="U1278">
        <f>COUNTIF('🚴 Riders'!A1277:A1337, C1278)</f>
        <v>0</v>
      </c>
      <c r="V1278">
        <f>COUNTIF('🏭 Facilities'!A1277:A1285, D1278)</f>
        <v>0</v>
      </c>
    </row>
    <row r="1279" spans="1:22">
      <c r="A1279" s="18" t="s">
        <v>3206</v>
      </c>
      <c r="B1279" s="18" t="s">
        <v>1724</v>
      </c>
      <c r="C1279" s="18" t="s">
        <v>220</v>
      </c>
      <c r="D1279" s="18" t="s">
        <v>205</v>
      </c>
      <c r="E1279" s="26">
        <v>45192</v>
      </c>
      <c r="F1279" s="18" t="s">
        <v>3207</v>
      </c>
      <c r="G1279" s="18" t="s">
        <v>117</v>
      </c>
      <c r="H1279" s="18">
        <v>4</v>
      </c>
      <c r="I1279" s="18">
        <v>149</v>
      </c>
      <c r="J1279" s="18">
        <v>0</v>
      </c>
      <c r="K1279" s="18">
        <v>596</v>
      </c>
      <c r="L1279" s="18" t="s">
        <v>139</v>
      </c>
      <c r="M1279" s="18" t="s">
        <v>140</v>
      </c>
      <c r="N1279" s="28">
        <v>45192.844444444447</v>
      </c>
      <c r="O1279" s="28">
        <v>45193.726388888892</v>
      </c>
      <c r="P1279" s="20"/>
      <c r="Q1279" s="18" t="b">
        <f>FALSE()</f>
        <v>0</v>
      </c>
      <c r="R1279" s="18" t="b">
        <f>FALSE()</f>
        <v>0</v>
      </c>
      <c r="S1279" s="19">
        <f t="shared" si="19"/>
        <v>21.2</v>
      </c>
      <c r="T1279">
        <f>COUNTIF('👤 Customers'!$A:$A, B1279)</f>
        <v>1</v>
      </c>
      <c r="U1279">
        <f>COUNTIF('🚴 Riders'!A1278:A1338, C1279)</f>
        <v>0</v>
      </c>
      <c r="V1279">
        <f>COUNTIF('🏭 Facilities'!A1278:A1286, D1279)</f>
        <v>0</v>
      </c>
    </row>
    <row r="1280" spans="1:22">
      <c r="A1280" s="16" t="s">
        <v>3208</v>
      </c>
      <c r="B1280" s="16" t="s">
        <v>1041</v>
      </c>
      <c r="C1280" s="16" t="s">
        <v>304</v>
      </c>
      <c r="D1280" s="16" t="s">
        <v>197</v>
      </c>
      <c r="E1280" s="25">
        <v>45070</v>
      </c>
      <c r="F1280" s="16" t="s">
        <v>3209</v>
      </c>
      <c r="G1280" s="16" t="s">
        <v>125</v>
      </c>
      <c r="H1280" s="16">
        <v>4.3</v>
      </c>
      <c r="I1280" s="16">
        <v>199</v>
      </c>
      <c r="J1280" s="16">
        <v>0</v>
      </c>
      <c r="K1280" s="16">
        <v>855.7</v>
      </c>
      <c r="L1280" s="16" t="s">
        <v>146</v>
      </c>
      <c r="M1280" s="16" t="s">
        <v>119</v>
      </c>
      <c r="N1280" s="27">
        <v>45070.61041666667</v>
      </c>
      <c r="O1280" s="27">
        <v>45071.109722222223</v>
      </c>
      <c r="P1280" s="16">
        <v>4.7</v>
      </c>
      <c r="Q1280" s="16" t="b">
        <f>FALSE()</f>
        <v>0</v>
      </c>
      <c r="R1280" s="16" t="b">
        <f>TRUE()</f>
        <v>1</v>
      </c>
      <c r="S1280" s="17">
        <f t="shared" si="19"/>
        <v>12</v>
      </c>
      <c r="T1280">
        <f>COUNTIF('👤 Customers'!$A:$A, B1280)</f>
        <v>1</v>
      </c>
      <c r="U1280">
        <f>COUNTIF('🚴 Riders'!A1279:A1339, C1280)</f>
        <v>0</v>
      </c>
      <c r="V1280">
        <f>COUNTIF('🏭 Facilities'!A1279:A1287, D1280)</f>
        <v>0</v>
      </c>
    </row>
    <row r="1281" spans="1:22">
      <c r="A1281" s="18" t="s">
        <v>3210</v>
      </c>
      <c r="B1281" s="18" t="s">
        <v>695</v>
      </c>
      <c r="C1281" s="18" t="s">
        <v>157</v>
      </c>
      <c r="D1281" s="18" t="s">
        <v>158</v>
      </c>
      <c r="E1281" s="26">
        <v>45440</v>
      </c>
      <c r="F1281" s="18" t="s">
        <v>3211</v>
      </c>
      <c r="G1281" s="18" t="s">
        <v>125</v>
      </c>
      <c r="H1281" s="18">
        <v>2</v>
      </c>
      <c r="I1281" s="18">
        <v>199</v>
      </c>
      <c r="J1281" s="18">
        <v>0</v>
      </c>
      <c r="K1281" s="18">
        <v>398</v>
      </c>
      <c r="L1281" s="18" t="s">
        <v>139</v>
      </c>
      <c r="M1281" s="18" t="s">
        <v>119</v>
      </c>
      <c r="N1281" s="28">
        <v>45441.009027777778</v>
      </c>
      <c r="O1281" s="28">
        <v>45441.9</v>
      </c>
      <c r="P1281" s="18">
        <v>3.8</v>
      </c>
      <c r="Q1281" s="18" t="b">
        <f>FALSE()</f>
        <v>0</v>
      </c>
      <c r="R1281" s="18" t="b">
        <f>FALSE()</f>
        <v>0</v>
      </c>
      <c r="S1281" s="19">
        <f t="shared" si="19"/>
        <v>21.4</v>
      </c>
      <c r="T1281">
        <f>COUNTIF('👤 Customers'!$A:$A, B1281)</f>
        <v>1</v>
      </c>
      <c r="U1281">
        <f>COUNTIF('🚴 Riders'!A1280:A1340, C1281)</f>
        <v>0</v>
      </c>
      <c r="V1281">
        <f>COUNTIF('🏭 Facilities'!A1280:A1288, D1281)</f>
        <v>0</v>
      </c>
    </row>
    <row r="1282" spans="1:22">
      <c r="A1282" s="16" t="s">
        <v>3212</v>
      </c>
      <c r="B1282" s="16" t="s">
        <v>1523</v>
      </c>
      <c r="C1282" s="16" t="s">
        <v>204</v>
      </c>
      <c r="D1282" s="16" t="s">
        <v>137</v>
      </c>
      <c r="E1282" s="25">
        <v>45366</v>
      </c>
      <c r="F1282" s="16" t="s">
        <v>3213</v>
      </c>
      <c r="G1282" s="16" t="s">
        <v>176</v>
      </c>
      <c r="H1282" s="16">
        <v>4.3</v>
      </c>
      <c r="I1282" s="16">
        <v>599</v>
      </c>
      <c r="J1282" s="16">
        <v>0</v>
      </c>
      <c r="K1282" s="16">
        <v>2575.6999999999998</v>
      </c>
      <c r="L1282" s="16" t="s">
        <v>207</v>
      </c>
      <c r="M1282" s="16" t="s">
        <v>119</v>
      </c>
      <c r="N1282" s="27">
        <v>45367.023611111108</v>
      </c>
      <c r="O1282" s="27">
        <v>45367.68472222222</v>
      </c>
      <c r="P1282" s="16">
        <v>3.6</v>
      </c>
      <c r="Q1282" s="16" t="b">
        <f>FALSE()</f>
        <v>0</v>
      </c>
      <c r="R1282" s="16" t="b">
        <f>FALSE()</f>
        <v>0</v>
      </c>
      <c r="S1282" s="17">
        <f t="shared" ref="S1282:S1345" si="20">IF(OR(N1282="",O1282=""),"N/A",ROUND(((O1282-N1282)*24),1))</f>
        <v>15.9</v>
      </c>
      <c r="T1282">
        <f>COUNTIF('👤 Customers'!$A:$A, B1282)</f>
        <v>1</v>
      </c>
      <c r="U1282">
        <f>COUNTIF('🚴 Riders'!A1281:A1341, C1282)</f>
        <v>0</v>
      </c>
      <c r="V1282">
        <f>COUNTIF('🏭 Facilities'!A1281:A1289, D1282)</f>
        <v>0</v>
      </c>
    </row>
    <row r="1283" spans="1:22">
      <c r="A1283" s="18" t="s">
        <v>3214</v>
      </c>
      <c r="B1283" s="18" t="s">
        <v>1351</v>
      </c>
      <c r="C1283" s="18" t="s">
        <v>563</v>
      </c>
      <c r="D1283" s="18" t="s">
        <v>130</v>
      </c>
      <c r="E1283" s="26">
        <v>45284</v>
      </c>
      <c r="F1283" s="18" t="s">
        <v>3215</v>
      </c>
      <c r="G1283" s="18" t="s">
        <v>117</v>
      </c>
      <c r="H1283" s="18">
        <v>5.9</v>
      </c>
      <c r="I1283" s="18">
        <v>149</v>
      </c>
      <c r="J1283" s="18">
        <v>30</v>
      </c>
      <c r="K1283" s="18">
        <v>615.37</v>
      </c>
      <c r="L1283" s="18" t="s">
        <v>146</v>
      </c>
      <c r="M1283" s="18" t="s">
        <v>133</v>
      </c>
      <c r="N1283" s="20"/>
      <c r="O1283" s="20"/>
      <c r="P1283" s="20"/>
      <c r="Q1283" s="18" t="b">
        <f>FALSE()</f>
        <v>0</v>
      </c>
      <c r="R1283" s="18" t="b">
        <f>FALSE()</f>
        <v>0</v>
      </c>
      <c r="S1283" s="19" t="str">
        <f t="shared" si="20"/>
        <v>N/A</v>
      </c>
      <c r="T1283">
        <f>COUNTIF('👤 Customers'!$A:$A, B1283)</f>
        <v>1</v>
      </c>
      <c r="U1283">
        <f>COUNTIF('🚴 Riders'!A1282:A1342, C1283)</f>
        <v>0</v>
      </c>
      <c r="V1283">
        <f>COUNTIF('🏭 Facilities'!A1282:A1290, D1283)</f>
        <v>0</v>
      </c>
    </row>
    <row r="1284" spans="1:22">
      <c r="A1284" s="16" t="s">
        <v>3216</v>
      </c>
      <c r="B1284" s="16" t="s">
        <v>3127</v>
      </c>
      <c r="C1284" s="16" t="s">
        <v>283</v>
      </c>
      <c r="D1284" s="16" t="s">
        <v>205</v>
      </c>
      <c r="E1284" s="25">
        <v>45166</v>
      </c>
      <c r="F1284" s="16" t="s">
        <v>3217</v>
      </c>
      <c r="G1284" s="16" t="s">
        <v>132</v>
      </c>
      <c r="H1284" s="16">
        <v>1.8</v>
      </c>
      <c r="I1284" s="16">
        <v>399</v>
      </c>
      <c r="J1284" s="16">
        <v>0</v>
      </c>
      <c r="K1284" s="16">
        <v>718.2</v>
      </c>
      <c r="L1284" s="16" t="s">
        <v>207</v>
      </c>
      <c r="M1284" s="16" t="s">
        <v>119</v>
      </c>
      <c r="N1284" s="27">
        <v>45166.895138888889</v>
      </c>
      <c r="O1284" s="27">
        <v>45167.407638888886</v>
      </c>
      <c r="P1284" s="16">
        <v>3.1</v>
      </c>
      <c r="Q1284" s="16" t="b">
        <f>TRUE()</f>
        <v>1</v>
      </c>
      <c r="R1284" s="16" t="b">
        <f>TRUE()</f>
        <v>1</v>
      </c>
      <c r="S1284" s="17">
        <f t="shared" si="20"/>
        <v>12.3</v>
      </c>
      <c r="T1284">
        <f>COUNTIF('👤 Customers'!$A:$A, B1284)</f>
        <v>1</v>
      </c>
      <c r="U1284">
        <f>COUNTIF('🚴 Riders'!A1283:A1343, C1284)</f>
        <v>0</v>
      </c>
      <c r="V1284">
        <f>COUNTIF('🏭 Facilities'!A1283:A1291, D1284)</f>
        <v>0</v>
      </c>
    </row>
    <row r="1285" spans="1:22">
      <c r="A1285" s="18" t="s">
        <v>3218</v>
      </c>
      <c r="B1285" s="18" t="s">
        <v>377</v>
      </c>
      <c r="C1285" s="18" t="s">
        <v>461</v>
      </c>
      <c r="D1285" s="18" t="s">
        <v>115</v>
      </c>
      <c r="E1285" s="26">
        <v>45382</v>
      </c>
      <c r="F1285" s="18" t="s">
        <v>3219</v>
      </c>
      <c r="G1285" s="18" t="s">
        <v>125</v>
      </c>
      <c r="H1285" s="18">
        <v>3.5</v>
      </c>
      <c r="I1285" s="18">
        <v>199</v>
      </c>
      <c r="J1285" s="18">
        <v>0</v>
      </c>
      <c r="K1285" s="18">
        <v>696.5</v>
      </c>
      <c r="L1285" s="18" t="s">
        <v>118</v>
      </c>
      <c r="M1285" s="18" t="s">
        <v>119</v>
      </c>
      <c r="N1285" s="28">
        <v>45382.323611111111</v>
      </c>
      <c r="O1285" s="28">
        <v>45382.981944444444</v>
      </c>
      <c r="P1285" s="18">
        <v>3.7</v>
      </c>
      <c r="Q1285" s="18" t="b">
        <f>FALSE()</f>
        <v>0</v>
      </c>
      <c r="R1285" s="18" t="b">
        <f>TRUE()</f>
        <v>1</v>
      </c>
      <c r="S1285" s="19">
        <f t="shared" si="20"/>
        <v>15.8</v>
      </c>
      <c r="T1285">
        <f>COUNTIF('👤 Customers'!$A:$A, B1285)</f>
        <v>1</v>
      </c>
      <c r="U1285">
        <f>COUNTIF('🚴 Riders'!A1284:A1344, C1285)</f>
        <v>0</v>
      </c>
      <c r="V1285">
        <f>COUNTIF('🏭 Facilities'!A1284:A1292, D1285)</f>
        <v>0</v>
      </c>
    </row>
    <row r="1286" spans="1:22">
      <c r="A1286" s="16" t="s">
        <v>3220</v>
      </c>
      <c r="B1286" s="16" t="s">
        <v>997</v>
      </c>
      <c r="C1286" s="16" t="s">
        <v>717</v>
      </c>
      <c r="D1286" s="16" t="s">
        <v>115</v>
      </c>
      <c r="E1286" s="25">
        <v>45253</v>
      </c>
      <c r="F1286" s="16" t="s">
        <v>3221</v>
      </c>
      <c r="G1286" s="16" t="s">
        <v>176</v>
      </c>
      <c r="H1286" s="16">
        <v>4.2</v>
      </c>
      <c r="I1286" s="16">
        <v>599</v>
      </c>
      <c r="J1286" s="16">
        <v>0</v>
      </c>
      <c r="K1286" s="16">
        <v>2515.8000000000002</v>
      </c>
      <c r="L1286" s="16" t="s">
        <v>118</v>
      </c>
      <c r="M1286" s="16" t="s">
        <v>133</v>
      </c>
      <c r="N1286" s="20"/>
      <c r="O1286" s="20"/>
      <c r="P1286" s="20"/>
      <c r="Q1286" s="16" t="b">
        <f>FALSE()</f>
        <v>0</v>
      </c>
      <c r="R1286" s="16" t="b">
        <f>TRUE()</f>
        <v>1</v>
      </c>
      <c r="S1286" s="17" t="str">
        <f t="shared" si="20"/>
        <v>N/A</v>
      </c>
      <c r="T1286">
        <f>COUNTIF('👤 Customers'!$A:$A, B1286)</f>
        <v>1</v>
      </c>
      <c r="U1286">
        <f>COUNTIF('🚴 Riders'!A1285:A1345, C1286)</f>
        <v>0</v>
      </c>
      <c r="V1286">
        <f>COUNTIF('🏭 Facilities'!A1285:A1293, D1286)</f>
        <v>0</v>
      </c>
    </row>
    <row r="1287" spans="1:22">
      <c r="A1287" s="18" t="s">
        <v>3222</v>
      </c>
      <c r="B1287" s="18" t="s">
        <v>2621</v>
      </c>
      <c r="C1287" s="18" t="s">
        <v>276</v>
      </c>
      <c r="D1287" s="18" t="s">
        <v>130</v>
      </c>
      <c r="E1287" s="26">
        <v>45560</v>
      </c>
      <c r="F1287" s="18" t="s">
        <v>3223</v>
      </c>
      <c r="G1287" s="18" t="s">
        <v>132</v>
      </c>
      <c r="H1287" s="18">
        <v>3.7</v>
      </c>
      <c r="I1287" s="18">
        <v>399</v>
      </c>
      <c r="J1287" s="18">
        <v>0</v>
      </c>
      <c r="K1287" s="18">
        <v>1476.3</v>
      </c>
      <c r="L1287" s="18" t="s">
        <v>118</v>
      </c>
      <c r="M1287" s="18" t="s">
        <v>140</v>
      </c>
      <c r="N1287" s="28">
        <v>45561.138194444444</v>
      </c>
      <c r="O1287" s="28">
        <v>45561.650694444441</v>
      </c>
      <c r="P1287" s="20"/>
      <c r="Q1287" s="18" t="b">
        <f>FALSE()</f>
        <v>0</v>
      </c>
      <c r="R1287" s="18" t="b">
        <f>FALSE()</f>
        <v>0</v>
      </c>
      <c r="S1287" s="19">
        <f t="shared" si="20"/>
        <v>12.3</v>
      </c>
      <c r="T1287">
        <f>COUNTIF('👤 Customers'!$A:$A, B1287)</f>
        <v>1</v>
      </c>
      <c r="U1287">
        <f>COUNTIF('🚴 Riders'!A1286:A1346, C1287)</f>
        <v>0</v>
      </c>
      <c r="V1287">
        <f>COUNTIF('🏭 Facilities'!A1286:A1294, D1287)</f>
        <v>0</v>
      </c>
    </row>
    <row r="1288" spans="1:22">
      <c r="A1288" s="16" t="s">
        <v>3224</v>
      </c>
      <c r="B1288" s="16" t="s">
        <v>2546</v>
      </c>
      <c r="C1288" s="16" t="s">
        <v>300</v>
      </c>
      <c r="D1288" s="16" t="s">
        <v>197</v>
      </c>
      <c r="E1288" s="25">
        <v>45081</v>
      </c>
      <c r="F1288" s="16" t="s">
        <v>3225</v>
      </c>
      <c r="G1288" s="16" t="s">
        <v>125</v>
      </c>
      <c r="H1288" s="16">
        <v>5.0999999999999996</v>
      </c>
      <c r="I1288" s="16">
        <v>199</v>
      </c>
      <c r="J1288" s="16">
        <v>0</v>
      </c>
      <c r="K1288" s="16">
        <v>1014.9</v>
      </c>
      <c r="L1288" s="16" t="s">
        <v>146</v>
      </c>
      <c r="M1288" s="16" t="s">
        <v>119</v>
      </c>
      <c r="N1288" s="27">
        <v>45081.810416666667</v>
      </c>
      <c r="O1288" s="27">
        <v>45082.644444444442</v>
      </c>
      <c r="P1288" s="16">
        <v>4.0999999999999996</v>
      </c>
      <c r="Q1288" s="16" t="b">
        <f>TRUE()</f>
        <v>1</v>
      </c>
      <c r="R1288" s="16" t="b">
        <f>FALSE()</f>
        <v>0</v>
      </c>
      <c r="S1288" s="17">
        <f t="shared" si="20"/>
        <v>20</v>
      </c>
      <c r="T1288">
        <f>COUNTIF('👤 Customers'!$A:$A, B1288)</f>
        <v>1</v>
      </c>
      <c r="U1288">
        <f>COUNTIF('🚴 Riders'!A1287:A1347, C1288)</f>
        <v>0</v>
      </c>
      <c r="V1288">
        <f>COUNTIF('🏭 Facilities'!A1287:A1295, D1288)</f>
        <v>0</v>
      </c>
    </row>
    <row r="1289" spans="1:22">
      <c r="A1289" s="18" t="s">
        <v>3226</v>
      </c>
      <c r="B1289" s="18" t="s">
        <v>1832</v>
      </c>
      <c r="C1289" s="18" t="s">
        <v>315</v>
      </c>
      <c r="D1289" s="18" t="s">
        <v>137</v>
      </c>
      <c r="E1289" s="26">
        <v>45100</v>
      </c>
      <c r="F1289" s="18" t="s">
        <v>3227</v>
      </c>
      <c r="G1289" s="18" t="s">
        <v>117</v>
      </c>
      <c r="H1289" s="18">
        <v>2.4</v>
      </c>
      <c r="I1289" s="18">
        <v>149</v>
      </c>
      <c r="J1289" s="18">
        <v>10</v>
      </c>
      <c r="K1289" s="18">
        <v>321.83999999999997</v>
      </c>
      <c r="L1289" s="18" t="s">
        <v>139</v>
      </c>
      <c r="M1289" s="18" t="s">
        <v>133</v>
      </c>
      <c r="N1289" s="20"/>
      <c r="O1289" s="20"/>
      <c r="P1289" s="20"/>
      <c r="Q1289" s="18" t="b">
        <f>FALSE()</f>
        <v>0</v>
      </c>
      <c r="R1289" s="18" t="b">
        <f>FALSE()</f>
        <v>0</v>
      </c>
      <c r="S1289" s="19" t="str">
        <f t="shared" si="20"/>
        <v>N/A</v>
      </c>
      <c r="T1289">
        <f>COUNTIF('👤 Customers'!$A:$A, B1289)</f>
        <v>1</v>
      </c>
      <c r="U1289">
        <f>COUNTIF('🚴 Riders'!A1288:A1348, C1289)</f>
        <v>0</v>
      </c>
      <c r="V1289">
        <f>COUNTIF('🏭 Facilities'!A1288:A1296, D1289)</f>
        <v>0</v>
      </c>
    </row>
    <row r="1290" spans="1:22">
      <c r="A1290" s="16" t="s">
        <v>3228</v>
      </c>
      <c r="B1290" s="16" t="s">
        <v>492</v>
      </c>
      <c r="C1290" s="16" t="s">
        <v>483</v>
      </c>
      <c r="D1290" s="16" t="s">
        <v>205</v>
      </c>
      <c r="E1290" s="25">
        <v>45159</v>
      </c>
      <c r="F1290" s="16" t="s">
        <v>3229</v>
      </c>
      <c r="G1290" s="16" t="s">
        <v>132</v>
      </c>
      <c r="H1290" s="16">
        <v>7.9</v>
      </c>
      <c r="I1290" s="16">
        <v>399</v>
      </c>
      <c r="J1290" s="16">
        <v>20</v>
      </c>
      <c r="K1290" s="16">
        <v>2521.6799999999998</v>
      </c>
      <c r="L1290" s="16" t="s">
        <v>146</v>
      </c>
      <c r="M1290" s="16" t="s">
        <v>133</v>
      </c>
      <c r="N1290" s="20"/>
      <c r="O1290" s="20"/>
      <c r="P1290" s="20"/>
      <c r="Q1290" s="16" t="b">
        <f>FALSE()</f>
        <v>0</v>
      </c>
      <c r="R1290" s="16" t="b">
        <f>FALSE()</f>
        <v>0</v>
      </c>
      <c r="S1290" s="17" t="str">
        <f t="shared" si="20"/>
        <v>N/A</v>
      </c>
      <c r="T1290">
        <f>COUNTIF('👤 Customers'!$A:$A, B1290)</f>
        <v>1</v>
      </c>
      <c r="U1290">
        <f>COUNTIF('🚴 Riders'!A1289:A1349, C1290)</f>
        <v>0</v>
      </c>
      <c r="V1290">
        <f>COUNTIF('🏭 Facilities'!A1289:A1297, D1290)</f>
        <v>0</v>
      </c>
    </row>
    <row r="1291" spans="1:22">
      <c r="A1291" s="18" t="s">
        <v>3230</v>
      </c>
      <c r="B1291" s="18" t="s">
        <v>598</v>
      </c>
      <c r="C1291" s="18" t="s">
        <v>261</v>
      </c>
      <c r="D1291" s="18" t="s">
        <v>123</v>
      </c>
      <c r="E1291" s="26">
        <v>45248</v>
      </c>
      <c r="F1291" s="18" t="s">
        <v>3231</v>
      </c>
      <c r="G1291" s="18" t="s">
        <v>145</v>
      </c>
      <c r="H1291" s="18">
        <v>2.7</v>
      </c>
      <c r="I1291" s="18">
        <v>299</v>
      </c>
      <c r="J1291" s="18">
        <v>30</v>
      </c>
      <c r="K1291" s="18">
        <v>565.11</v>
      </c>
      <c r="L1291" s="18" t="s">
        <v>126</v>
      </c>
      <c r="M1291" s="18" t="s">
        <v>119</v>
      </c>
      <c r="N1291" s="28">
        <v>45248.67083333333</v>
      </c>
      <c r="O1291" s="28">
        <v>45249.693055555559</v>
      </c>
      <c r="P1291" s="18">
        <v>4.5</v>
      </c>
      <c r="Q1291" s="18" t="b">
        <f>FALSE()</f>
        <v>0</v>
      </c>
      <c r="R1291" s="18" t="b">
        <f>TRUE()</f>
        <v>1</v>
      </c>
      <c r="S1291" s="19">
        <f t="shared" si="20"/>
        <v>24.5</v>
      </c>
      <c r="T1291">
        <f>COUNTIF('👤 Customers'!$A:$A, B1291)</f>
        <v>1</v>
      </c>
      <c r="U1291">
        <f>COUNTIF('🚴 Riders'!A1290:A1350, C1291)</f>
        <v>0</v>
      </c>
      <c r="V1291">
        <f>COUNTIF('🏭 Facilities'!A1290:A1298, D1291)</f>
        <v>0</v>
      </c>
    </row>
    <row r="1292" spans="1:22">
      <c r="A1292" s="16" t="s">
        <v>3232</v>
      </c>
      <c r="B1292" s="16" t="s">
        <v>1282</v>
      </c>
      <c r="C1292" s="16" t="s">
        <v>717</v>
      </c>
      <c r="D1292" s="16" t="s">
        <v>123</v>
      </c>
      <c r="E1292" s="25">
        <v>45369</v>
      </c>
      <c r="F1292" s="16" t="s">
        <v>3233</v>
      </c>
      <c r="G1292" s="16" t="s">
        <v>176</v>
      </c>
      <c r="H1292" s="16">
        <v>5.0999999999999996</v>
      </c>
      <c r="I1292" s="16">
        <v>599</v>
      </c>
      <c r="J1292" s="16">
        <v>10</v>
      </c>
      <c r="K1292" s="16">
        <v>2749.41</v>
      </c>
      <c r="L1292" s="16" t="s">
        <v>207</v>
      </c>
      <c r="M1292" s="16" t="s">
        <v>119</v>
      </c>
      <c r="N1292" s="27">
        <v>45369.396527777775</v>
      </c>
      <c r="O1292" s="27">
        <v>45370.418749999997</v>
      </c>
      <c r="P1292" s="16">
        <v>3.9</v>
      </c>
      <c r="Q1292" s="16" t="b">
        <f>FALSE()</f>
        <v>0</v>
      </c>
      <c r="R1292" s="16" t="b">
        <f>FALSE()</f>
        <v>0</v>
      </c>
      <c r="S1292" s="17">
        <f t="shared" si="20"/>
        <v>24.5</v>
      </c>
      <c r="T1292">
        <f>COUNTIF('👤 Customers'!$A:$A, B1292)</f>
        <v>1</v>
      </c>
      <c r="U1292">
        <f>COUNTIF('🚴 Riders'!A1291:A1351, C1292)</f>
        <v>0</v>
      </c>
      <c r="V1292">
        <f>COUNTIF('🏭 Facilities'!A1291:A1299, D1292)</f>
        <v>0</v>
      </c>
    </row>
    <row r="1293" spans="1:22">
      <c r="A1293" s="18" t="s">
        <v>3234</v>
      </c>
      <c r="B1293" s="18" t="s">
        <v>1781</v>
      </c>
      <c r="C1293" s="18" t="s">
        <v>431</v>
      </c>
      <c r="D1293" s="18" t="s">
        <v>158</v>
      </c>
      <c r="E1293" s="26">
        <v>44940</v>
      </c>
      <c r="F1293" s="18" t="s">
        <v>3235</v>
      </c>
      <c r="G1293" s="18" t="s">
        <v>176</v>
      </c>
      <c r="H1293" s="18">
        <v>6.3</v>
      </c>
      <c r="I1293" s="18">
        <v>599</v>
      </c>
      <c r="J1293" s="18">
        <v>20</v>
      </c>
      <c r="K1293" s="18">
        <v>3018.96</v>
      </c>
      <c r="L1293" s="18" t="s">
        <v>207</v>
      </c>
      <c r="M1293" s="18" t="s">
        <v>140</v>
      </c>
      <c r="N1293" s="28">
        <v>44940.443749999999</v>
      </c>
      <c r="O1293" s="28">
        <v>44940.848611111112</v>
      </c>
      <c r="P1293" s="20"/>
      <c r="Q1293" s="18" t="b">
        <f>FALSE()</f>
        <v>0</v>
      </c>
      <c r="R1293" s="18" t="b">
        <f>FALSE()</f>
        <v>0</v>
      </c>
      <c r="S1293" s="19">
        <f t="shared" si="20"/>
        <v>9.6999999999999993</v>
      </c>
      <c r="T1293">
        <f>COUNTIF('👤 Customers'!$A:$A, B1293)</f>
        <v>1</v>
      </c>
      <c r="U1293">
        <f>COUNTIF('🚴 Riders'!A1292:A1352, C1293)</f>
        <v>0</v>
      </c>
      <c r="V1293">
        <f>COUNTIF('🏭 Facilities'!A1292:A1300, D1293)</f>
        <v>0</v>
      </c>
    </row>
    <row r="1294" spans="1:22">
      <c r="A1294" s="16" t="s">
        <v>3236</v>
      </c>
      <c r="B1294" s="16" t="s">
        <v>243</v>
      </c>
      <c r="C1294" s="16" t="s">
        <v>153</v>
      </c>
      <c r="D1294" s="16" t="s">
        <v>197</v>
      </c>
      <c r="E1294" s="25">
        <v>45653</v>
      </c>
      <c r="F1294" s="16" t="s">
        <v>3237</v>
      </c>
      <c r="G1294" s="16" t="s">
        <v>132</v>
      </c>
      <c r="H1294" s="16">
        <v>7.9</v>
      </c>
      <c r="I1294" s="16">
        <v>399</v>
      </c>
      <c r="J1294" s="16">
        <v>10</v>
      </c>
      <c r="K1294" s="16">
        <v>2836.89</v>
      </c>
      <c r="L1294" s="16" t="s">
        <v>207</v>
      </c>
      <c r="M1294" s="16" t="s">
        <v>133</v>
      </c>
      <c r="N1294" s="20"/>
      <c r="O1294" s="20"/>
      <c r="P1294" s="20"/>
      <c r="Q1294" s="16" t="b">
        <f>FALSE()</f>
        <v>0</v>
      </c>
      <c r="R1294" s="16" t="b">
        <f>FALSE()</f>
        <v>0</v>
      </c>
      <c r="S1294" s="17" t="str">
        <f t="shared" si="20"/>
        <v>N/A</v>
      </c>
      <c r="T1294">
        <f>COUNTIF('👤 Customers'!$A:$A, B1294)</f>
        <v>1</v>
      </c>
      <c r="U1294">
        <f>COUNTIF('🚴 Riders'!A1293:A1353, C1294)</f>
        <v>0</v>
      </c>
      <c r="V1294">
        <f>COUNTIF('🏭 Facilities'!A1293:A1301, D1294)</f>
        <v>0</v>
      </c>
    </row>
    <row r="1295" spans="1:22">
      <c r="A1295" s="18" t="s">
        <v>3238</v>
      </c>
      <c r="B1295" s="18" t="s">
        <v>1102</v>
      </c>
      <c r="C1295" s="18" t="s">
        <v>261</v>
      </c>
      <c r="D1295" s="18" t="s">
        <v>205</v>
      </c>
      <c r="E1295" s="26">
        <v>45621</v>
      </c>
      <c r="F1295" s="18" t="s">
        <v>3239</v>
      </c>
      <c r="G1295" s="18" t="s">
        <v>176</v>
      </c>
      <c r="H1295" s="18">
        <v>4.0999999999999996</v>
      </c>
      <c r="I1295" s="18">
        <v>599</v>
      </c>
      <c r="J1295" s="18">
        <v>0</v>
      </c>
      <c r="K1295" s="18">
        <v>2455.9</v>
      </c>
      <c r="L1295" s="18" t="s">
        <v>207</v>
      </c>
      <c r="M1295" s="18" t="s">
        <v>119</v>
      </c>
      <c r="N1295" s="28">
        <v>45621.595833333333</v>
      </c>
      <c r="O1295" s="28">
        <v>45622.25</v>
      </c>
      <c r="P1295" s="18">
        <v>3.2</v>
      </c>
      <c r="Q1295" s="18" t="b">
        <f>FALSE()</f>
        <v>0</v>
      </c>
      <c r="R1295" s="18" t="b">
        <f>FALSE()</f>
        <v>0</v>
      </c>
      <c r="S1295" s="19">
        <f t="shared" si="20"/>
        <v>15.7</v>
      </c>
      <c r="T1295">
        <f>COUNTIF('👤 Customers'!$A:$A, B1295)</f>
        <v>1</v>
      </c>
      <c r="U1295">
        <f>COUNTIF('🚴 Riders'!A1294:A1354, C1295)</f>
        <v>0</v>
      </c>
      <c r="V1295">
        <f>COUNTIF('🏭 Facilities'!A1294:A1302, D1295)</f>
        <v>0</v>
      </c>
    </row>
    <row r="1296" spans="1:22">
      <c r="A1296" s="16" t="s">
        <v>3240</v>
      </c>
      <c r="B1296" s="16" t="s">
        <v>814</v>
      </c>
      <c r="C1296" s="16" t="s">
        <v>247</v>
      </c>
      <c r="D1296" s="16" t="s">
        <v>123</v>
      </c>
      <c r="E1296" s="25">
        <v>45188</v>
      </c>
      <c r="F1296" s="16" t="s">
        <v>3241</v>
      </c>
      <c r="G1296" s="16" t="s">
        <v>145</v>
      </c>
      <c r="H1296" s="16">
        <v>6.6</v>
      </c>
      <c r="I1296" s="16">
        <v>299</v>
      </c>
      <c r="J1296" s="16">
        <v>0</v>
      </c>
      <c r="K1296" s="16">
        <v>1973.4</v>
      </c>
      <c r="L1296" s="16" t="s">
        <v>139</v>
      </c>
      <c r="M1296" s="16" t="s">
        <v>119</v>
      </c>
      <c r="N1296" s="27">
        <v>45188.53125</v>
      </c>
      <c r="O1296" s="27">
        <v>45188.856249999997</v>
      </c>
      <c r="P1296" s="16">
        <v>4.8</v>
      </c>
      <c r="Q1296" s="16" t="b">
        <f>TRUE()</f>
        <v>1</v>
      </c>
      <c r="R1296" s="16" t="b">
        <f>FALSE()</f>
        <v>0</v>
      </c>
      <c r="S1296" s="17">
        <f t="shared" si="20"/>
        <v>7.8</v>
      </c>
      <c r="T1296">
        <f>COUNTIF('👤 Customers'!$A:$A, B1296)</f>
        <v>1</v>
      </c>
      <c r="U1296">
        <f>COUNTIF('🚴 Riders'!A1295:A1355, C1296)</f>
        <v>0</v>
      </c>
      <c r="V1296">
        <f>COUNTIF('🏭 Facilities'!A1295:A1303, D1296)</f>
        <v>0</v>
      </c>
    </row>
    <row r="1297" spans="1:22">
      <c r="A1297" s="18" t="s">
        <v>3242</v>
      </c>
      <c r="B1297" s="18" t="s">
        <v>713</v>
      </c>
      <c r="C1297" s="18" t="s">
        <v>283</v>
      </c>
      <c r="D1297" s="18" t="s">
        <v>115</v>
      </c>
      <c r="E1297" s="26">
        <v>45367</v>
      </c>
      <c r="F1297" s="18" t="s">
        <v>3243</v>
      </c>
      <c r="G1297" s="18" t="s">
        <v>125</v>
      </c>
      <c r="H1297" s="18">
        <v>6.8</v>
      </c>
      <c r="I1297" s="18">
        <v>199</v>
      </c>
      <c r="J1297" s="18">
        <v>0</v>
      </c>
      <c r="K1297" s="18">
        <v>1353.2</v>
      </c>
      <c r="L1297" s="18" t="s">
        <v>118</v>
      </c>
      <c r="M1297" s="18" t="s">
        <v>140</v>
      </c>
      <c r="N1297" s="28">
        <v>45367.21875</v>
      </c>
      <c r="O1297" s="28">
        <v>45367.655555555553</v>
      </c>
      <c r="P1297" s="20"/>
      <c r="Q1297" s="18" t="b">
        <f>FALSE()</f>
        <v>0</v>
      </c>
      <c r="R1297" s="18" t="b">
        <f>FALSE()</f>
        <v>0</v>
      </c>
      <c r="S1297" s="19">
        <f t="shared" si="20"/>
        <v>10.5</v>
      </c>
      <c r="T1297">
        <f>COUNTIF('👤 Customers'!$A:$A, B1297)</f>
        <v>1</v>
      </c>
      <c r="U1297">
        <f>COUNTIF('🚴 Riders'!A1296:A1356, C1297)</f>
        <v>0</v>
      </c>
      <c r="V1297">
        <f>COUNTIF('🏭 Facilities'!A1296:A1304, D1297)</f>
        <v>0</v>
      </c>
    </row>
    <row r="1298" spans="1:22">
      <c r="A1298" s="16" t="s">
        <v>3244</v>
      </c>
      <c r="B1298" s="16" t="s">
        <v>2384</v>
      </c>
      <c r="C1298" s="16" t="s">
        <v>247</v>
      </c>
      <c r="D1298" s="16" t="s">
        <v>197</v>
      </c>
      <c r="E1298" s="25">
        <v>45337</v>
      </c>
      <c r="F1298" s="16" t="s">
        <v>3245</v>
      </c>
      <c r="G1298" s="16" t="s">
        <v>176</v>
      </c>
      <c r="H1298" s="16">
        <v>3.7</v>
      </c>
      <c r="I1298" s="16">
        <v>599</v>
      </c>
      <c r="J1298" s="16">
        <v>0</v>
      </c>
      <c r="K1298" s="16">
        <v>2216.3000000000002</v>
      </c>
      <c r="L1298" s="16" t="s">
        <v>146</v>
      </c>
      <c r="M1298" s="16" t="s">
        <v>119</v>
      </c>
      <c r="N1298" s="27">
        <v>45337.815972222219</v>
      </c>
      <c r="O1298" s="27">
        <v>45338.817361111112</v>
      </c>
      <c r="P1298" s="16">
        <v>4</v>
      </c>
      <c r="Q1298" s="16" t="b">
        <f>FALSE()</f>
        <v>0</v>
      </c>
      <c r="R1298" s="16" t="b">
        <f>FALSE()</f>
        <v>0</v>
      </c>
      <c r="S1298" s="17">
        <f t="shared" si="20"/>
        <v>24</v>
      </c>
      <c r="T1298">
        <f>COUNTIF('👤 Customers'!$A:$A, B1298)</f>
        <v>1</v>
      </c>
      <c r="U1298">
        <f>COUNTIF('🚴 Riders'!A1297:A1357, C1298)</f>
        <v>0</v>
      </c>
      <c r="V1298">
        <f>COUNTIF('🏭 Facilities'!A1297:A1305, D1298)</f>
        <v>0</v>
      </c>
    </row>
    <row r="1299" spans="1:22">
      <c r="A1299" s="18" t="s">
        <v>3246</v>
      </c>
      <c r="B1299" s="18" t="s">
        <v>243</v>
      </c>
      <c r="C1299" s="18" t="s">
        <v>339</v>
      </c>
      <c r="D1299" s="18" t="s">
        <v>205</v>
      </c>
      <c r="E1299" s="26">
        <v>45207</v>
      </c>
      <c r="F1299" s="18" t="s">
        <v>3247</v>
      </c>
      <c r="G1299" s="18" t="s">
        <v>176</v>
      </c>
      <c r="H1299" s="18">
        <v>3.1</v>
      </c>
      <c r="I1299" s="18">
        <v>599</v>
      </c>
      <c r="J1299" s="18">
        <v>0</v>
      </c>
      <c r="K1299" s="18">
        <v>1856.9</v>
      </c>
      <c r="L1299" s="18" t="s">
        <v>126</v>
      </c>
      <c r="M1299" s="18" t="s">
        <v>119</v>
      </c>
      <c r="N1299" s="28">
        <v>45207.084027777775</v>
      </c>
      <c r="O1299" s="28">
        <v>45207.54791666667</v>
      </c>
      <c r="P1299" s="18">
        <v>4.7</v>
      </c>
      <c r="Q1299" s="18" t="b">
        <f>FALSE()</f>
        <v>0</v>
      </c>
      <c r="R1299" s="18" t="b">
        <f>TRUE()</f>
        <v>1</v>
      </c>
      <c r="S1299" s="19">
        <f t="shared" si="20"/>
        <v>11.1</v>
      </c>
      <c r="T1299">
        <f>COUNTIF('👤 Customers'!$A:$A, B1299)</f>
        <v>1</v>
      </c>
      <c r="U1299">
        <f>COUNTIF('🚴 Riders'!A1298:A1358, C1299)</f>
        <v>0</v>
      </c>
      <c r="V1299">
        <f>COUNTIF('🏭 Facilities'!A1298:A1306, D1299)</f>
        <v>0</v>
      </c>
    </row>
    <row r="1300" spans="1:22">
      <c r="A1300" s="16" t="s">
        <v>3248</v>
      </c>
      <c r="B1300" s="16" t="s">
        <v>1900</v>
      </c>
      <c r="C1300" s="16" t="s">
        <v>536</v>
      </c>
      <c r="D1300" s="16" t="s">
        <v>123</v>
      </c>
      <c r="E1300" s="25">
        <v>45570</v>
      </c>
      <c r="F1300" s="16" t="s">
        <v>3249</v>
      </c>
      <c r="G1300" s="16" t="s">
        <v>145</v>
      </c>
      <c r="H1300" s="16">
        <v>2.1</v>
      </c>
      <c r="I1300" s="16">
        <v>299</v>
      </c>
      <c r="J1300" s="16">
        <v>10</v>
      </c>
      <c r="K1300" s="16">
        <v>565.11</v>
      </c>
      <c r="L1300" s="16" t="s">
        <v>139</v>
      </c>
      <c r="M1300" s="16" t="s">
        <v>119</v>
      </c>
      <c r="N1300" s="27">
        <v>45570.78402777778</v>
      </c>
      <c r="O1300" s="27">
        <v>45571.288194444445</v>
      </c>
      <c r="P1300" s="16">
        <v>3</v>
      </c>
      <c r="Q1300" s="16" t="b">
        <f>TRUE()</f>
        <v>1</v>
      </c>
      <c r="R1300" s="16" t="b">
        <f>FALSE()</f>
        <v>0</v>
      </c>
      <c r="S1300" s="17">
        <f t="shared" si="20"/>
        <v>12.1</v>
      </c>
      <c r="T1300">
        <f>COUNTIF('👤 Customers'!$A:$A, B1300)</f>
        <v>1</v>
      </c>
      <c r="U1300">
        <f>COUNTIF('🚴 Riders'!A1299:A1359, C1300)</f>
        <v>0</v>
      </c>
      <c r="V1300">
        <f>COUNTIF('🏭 Facilities'!A1299:A1307, D1300)</f>
        <v>0</v>
      </c>
    </row>
    <row r="1301" spans="1:22">
      <c r="A1301" s="18" t="s">
        <v>3250</v>
      </c>
      <c r="B1301" s="18" t="s">
        <v>740</v>
      </c>
      <c r="C1301" s="18" t="s">
        <v>339</v>
      </c>
      <c r="D1301" s="18" t="s">
        <v>184</v>
      </c>
      <c r="E1301" s="26">
        <v>45442</v>
      </c>
      <c r="F1301" s="18" t="s">
        <v>3251</v>
      </c>
      <c r="G1301" s="18" t="s">
        <v>145</v>
      </c>
      <c r="H1301" s="18">
        <v>6</v>
      </c>
      <c r="I1301" s="18">
        <v>299</v>
      </c>
      <c r="J1301" s="18">
        <v>0</v>
      </c>
      <c r="K1301" s="18">
        <v>1794</v>
      </c>
      <c r="L1301" s="18" t="s">
        <v>126</v>
      </c>
      <c r="M1301" s="18" t="s">
        <v>140</v>
      </c>
      <c r="N1301" s="28">
        <v>45442.311111111114</v>
      </c>
      <c r="O1301" s="28">
        <v>45443.236111111109</v>
      </c>
      <c r="P1301" s="20"/>
      <c r="Q1301" s="18" t="b">
        <f>FALSE()</f>
        <v>0</v>
      </c>
      <c r="R1301" s="18" t="b">
        <f>FALSE()</f>
        <v>0</v>
      </c>
      <c r="S1301" s="19">
        <f t="shared" si="20"/>
        <v>22.2</v>
      </c>
      <c r="T1301">
        <f>COUNTIF('👤 Customers'!$A:$A, B1301)</f>
        <v>1</v>
      </c>
      <c r="U1301">
        <f>COUNTIF('🚴 Riders'!A1300:A1360, C1301)</f>
        <v>0</v>
      </c>
      <c r="V1301">
        <f>COUNTIF('🏭 Facilities'!A1300:A1308, D1301)</f>
        <v>0</v>
      </c>
    </row>
    <row r="1302" spans="1:22">
      <c r="A1302" s="16" t="s">
        <v>3252</v>
      </c>
      <c r="B1302" s="16" t="s">
        <v>2976</v>
      </c>
      <c r="C1302" s="16" t="s">
        <v>842</v>
      </c>
      <c r="D1302" s="16" t="s">
        <v>197</v>
      </c>
      <c r="E1302" s="25">
        <v>45432</v>
      </c>
      <c r="F1302" s="16" t="s">
        <v>3253</v>
      </c>
      <c r="G1302" s="16" t="s">
        <v>117</v>
      </c>
      <c r="H1302" s="16">
        <v>6</v>
      </c>
      <c r="I1302" s="16">
        <v>149</v>
      </c>
      <c r="J1302" s="16">
        <v>20</v>
      </c>
      <c r="K1302" s="16">
        <v>715.2</v>
      </c>
      <c r="L1302" s="16" t="s">
        <v>139</v>
      </c>
      <c r="M1302" s="16" t="s">
        <v>133</v>
      </c>
      <c r="N1302" s="20"/>
      <c r="O1302" s="20"/>
      <c r="P1302" s="20"/>
      <c r="Q1302" s="16" t="b">
        <f>FALSE()</f>
        <v>0</v>
      </c>
      <c r="R1302" s="16" t="b">
        <f>FALSE()</f>
        <v>0</v>
      </c>
      <c r="S1302" s="17" t="str">
        <f t="shared" si="20"/>
        <v>N/A</v>
      </c>
      <c r="T1302">
        <f>COUNTIF('👤 Customers'!$A:$A, B1302)</f>
        <v>1</v>
      </c>
      <c r="U1302">
        <f>COUNTIF('🚴 Riders'!A1301:A1361, C1302)</f>
        <v>0</v>
      </c>
      <c r="V1302">
        <f>COUNTIF('🏭 Facilities'!A1301:A1309, D1302)</f>
        <v>0</v>
      </c>
    </row>
    <row r="1303" spans="1:22">
      <c r="A1303" s="18" t="s">
        <v>3254</v>
      </c>
      <c r="B1303" s="18" t="s">
        <v>2741</v>
      </c>
      <c r="C1303" s="18" t="s">
        <v>272</v>
      </c>
      <c r="D1303" s="18" t="s">
        <v>205</v>
      </c>
      <c r="E1303" s="26">
        <v>45288</v>
      </c>
      <c r="F1303" s="18" t="s">
        <v>3255</v>
      </c>
      <c r="G1303" s="18" t="s">
        <v>117</v>
      </c>
      <c r="H1303" s="18">
        <v>2.2999999999999998</v>
      </c>
      <c r="I1303" s="18">
        <v>149</v>
      </c>
      <c r="J1303" s="18">
        <v>0</v>
      </c>
      <c r="K1303" s="18">
        <v>342.7</v>
      </c>
      <c r="L1303" s="18" t="s">
        <v>126</v>
      </c>
      <c r="M1303" s="18" t="s">
        <v>119</v>
      </c>
      <c r="N1303" s="28">
        <v>45288.953472222223</v>
      </c>
      <c r="O1303" s="28">
        <v>45289.307638888888</v>
      </c>
      <c r="P1303" s="18">
        <v>2.9</v>
      </c>
      <c r="Q1303" s="18" t="b">
        <f>FALSE()</f>
        <v>0</v>
      </c>
      <c r="R1303" s="18" t="b">
        <f>FALSE()</f>
        <v>0</v>
      </c>
      <c r="S1303" s="19">
        <f t="shared" si="20"/>
        <v>8.5</v>
      </c>
      <c r="T1303">
        <f>COUNTIF('👤 Customers'!$A:$A, B1303)</f>
        <v>1</v>
      </c>
      <c r="U1303">
        <f>COUNTIF('🚴 Riders'!A1302:A1362, C1303)</f>
        <v>0</v>
      </c>
      <c r="V1303">
        <f>COUNTIF('🏭 Facilities'!A1302:A1310, D1303)</f>
        <v>0</v>
      </c>
    </row>
    <row r="1304" spans="1:22">
      <c r="A1304" s="16" t="s">
        <v>3256</v>
      </c>
      <c r="B1304" s="16" t="s">
        <v>1064</v>
      </c>
      <c r="C1304" s="16" t="s">
        <v>232</v>
      </c>
      <c r="D1304" s="16" t="s">
        <v>137</v>
      </c>
      <c r="E1304" s="25">
        <v>45144</v>
      </c>
      <c r="F1304" s="16" t="s">
        <v>3257</v>
      </c>
      <c r="G1304" s="16" t="s">
        <v>145</v>
      </c>
      <c r="H1304" s="16">
        <v>3.7</v>
      </c>
      <c r="I1304" s="16">
        <v>299</v>
      </c>
      <c r="J1304" s="16">
        <v>0</v>
      </c>
      <c r="K1304" s="16">
        <v>1106.3</v>
      </c>
      <c r="L1304" s="16" t="s">
        <v>146</v>
      </c>
      <c r="M1304" s="16" t="s">
        <v>119</v>
      </c>
      <c r="N1304" s="27">
        <v>45144.866666666669</v>
      </c>
      <c r="O1304" s="27">
        <v>45145.786805555559</v>
      </c>
      <c r="P1304" s="16">
        <v>5</v>
      </c>
      <c r="Q1304" s="16" t="b">
        <f>FALSE()</f>
        <v>0</v>
      </c>
      <c r="R1304" s="16" t="b">
        <f>FALSE()</f>
        <v>0</v>
      </c>
      <c r="S1304" s="17">
        <f t="shared" si="20"/>
        <v>22.1</v>
      </c>
      <c r="T1304">
        <f>COUNTIF('👤 Customers'!$A:$A, B1304)</f>
        <v>1</v>
      </c>
      <c r="U1304">
        <f>COUNTIF('🚴 Riders'!A1303:A1363, C1304)</f>
        <v>0</v>
      </c>
      <c r="V1304">
        <f>COUNTIF('🏭 Facilities'!A1303:A1311, D1304)</f>
        <v>0</v>
      </c>
    </row>
    <row r="1305" spans="1:22">
      <c r="A1305" s="18" t="s">
        <v>3258</v>
      </c>
      <c r="B1305" s="18" t="s">
        <v>1058</v>
      </c>
      <c r="C1305" s="18" t="s">
        <v>232</v>
      </c>
      <c r="D1305" s="18" t="s">
        <v>123</v>
      </c>
      <c r="E1305" s="26">
        <v>45032</v>
      </c>
      <c r="F1305" s="18" t="s">
        <v>3259</v>
      </c>
      <c r="G1305" s="18" t="s">
        <v>125</v>
      </c>
      <c r="H1305" s="18">
        <v>1.9</v>
      </c>
      <c r="I1305" s="18">
        <v>199</v>
      </c>
      <c r="J1305" s="18">
        <v>0</v>
      </c>
      <c r="K1305" s="18">
        <v>378.1</v>
      </c>
      <c r="L1305" s="18" t="s">
        <v>139</v>
      </c>
      <c r="M1305" s="18" t="s">
        <v>119</v>
      </c>
      <c r="N1305" s="28">
        <v>45032.913194444445</v>
      </c>
      <c r="O1305" s="28">
        <v>45033.882638888892</v>
      </c>
      <c r="P1305" s="18">
        <v>3.7</v>
      </c>
      <c r="Q1305" s="18" t="b">
        <f>TRUE()</f>
        <v>1</v>
      </c>
      <c r="R1305" s="18" t="b">
        <f>FALSE()</f>
        <v>0</v>
      </c>
      <c r="S1305" s="19">
        <f t="shared" si="20"/>
        <v>23.3</v>
      </c>
      <c r="T1305">
        <f>COUNTIF('👤 Customers'!$A:$A, B1305)</f>
        <v>1</v>
      </c>
      <c r="U1305">
        <f>COUNTIF('🚴 Riders'!A1304:A1364, C1305)</f>
        <v>0</v>
      </c>
      <c r="V1305">
        <f>COUNTIF('🏭 Facilities'!A1304:A1312, D1305)</f>
        <v>0</v>
      </c>
    </row>
    <row r="1306" spans="1:22">
      <c r="A1306" s="16" t="s">
        <v>3260</v>
      </c>
      <c r="B1306" s="16" t="s">
        <v>2106</v>
      </c>
      <c r="C1306" s="16" t="s">
        <v>157</v>
      </c>
      <c r="D1306" s="16" t="s">
        <v>205</v>
      </c>
      <c r="E1306" s="25">
        <v>45447</v>
      </c>
      <c r="F1306" s="16" t="s">
        <v>3261</v>
      </c>
      <c r="G1306" s="16" t="s">
        <v>145</v>
      </c>
      <c r="H1306" s="16">
        <v>6.5</v>
      </c>
      <c r="I1306" s="16">
        <v>299</v>
      </c>
      <c r="J1306" s="16">
        <v>0</v>
      </c>
      <c r="K1306" s="16">
        <v>1943.5</v>
      </c>
      <c r="L1306" s="16" t="s">
        <v>118</v>
      </c>
      <c r="M1306" s="16" t="s">
        <v>119</v>
      </c>
      <c r="N1306" s="27">
        <v>45447.743055555555</v>
      </c>
      <c r="O1306" s="27">
        <v>45448.419444444444</v>
      </c>
      <c r="P1306" s="16">
        <v>3.1</v>
      </c>
      <c r="Q1306" s="16" t="b">
        <f>FALSE()</f>
        <v>0</v>
      </c>
      <c r="R1306" s="16" t="b">
        <f>TRUE()</f>
        <v>1</v>
      </c>
      <c r="S1306" s="17">
        <f t="shared" si="20"/>
        <v>16.2</v>
      </c>
      <c r="T1306">
        <f>COUNTIF('👤 Customers'!$A:$A, B1306)</f>
        <v>1</v>
      </c>
      <c r="U1306">
        <f>COUNTIF('🚴 Riders'!A1305:A1365, C1306)</f>
        <v>0</v>
      </c>
      <c r="V1306">
        <f>COUNTIF('🏭 Facilities'!A1305:A1313, D1306)</f>
        <v>0</v>
      </c>
    </row>
    <row r="1307" spans="1:22">
      <c r="A1307" s="18" t="s">
        <v>3262</v>
      </c>
      <c r="B1307" s="18" t="s">
        <v>737</v>
      </c>
      <c r="C1307" s="18" t="s">
        <v>240</v>
      </c>
      <c r="D1307" s="18" t="s">
        <v>115</v>
      </c>
      <c r="E1307" s="26">
        <v>45425</v>
      </c>
      <c r="F1307" s="18" t="s">
        <v>3263</v>
      </c>
      <c r="G1307" s="18" t="s">
        <v>117</v>
      </c>
      <c r="H1307" s="18">
        <v>2.5</v>
      </c>
      <c r="I1307" s="18">
        <v>149</v>
      </c>
      <c r="J1307" s="18">
        <v>0</v>
      </c>
      <c r="K1307" s="18">
        <v>372.5</v>
      </c>
      <c r="L1307" s="18" t="s">
        <v>207</v>
      </c>
      <c r="M1307" s="18" t="s">
        <v>119</v>
      </c>
      <c r="N1307" s="28">
        <v>45425.618750000001</v>
      </c>
      <c r="O1307" s="28">
        <v>45426.508333333331</v>
      </c>
      <c r="P1307" s="18">
        <v>3.1</v>
      </c>
      <c r="Q1307" s="18" t="b">
        <f>FALSE()</f>
        <v>0</v>
      </c>
      <c r="R1307" s="18" t="b">
        <f>FALSE()</f>
        <v>0</v>
      </c>
      <c r="S1307" s="19">
        <f t="shared" si="20"/>
        <v>21.3</v>
      </c>
      <c r="T1307">
        <f>COUNTIF('👤 Customers'!$A:$A, B1307)</f>
        <v>1</v>
      </c>
      <c r="U1307">
        <f>COUNTIF('🚴 Riders'!A1306:A1366, C1307)</f>
        <v>0</v>
      </c>
      <c r="V1307">
        <f>COUNTIF('🏭 Facilities'!A1306:A1314, D1307)</f>
        <v>0</v>
      </c>
    </row>
    <row r="1308" spans="1:22">
      <c r="A1308" s="16" t="s">
        <v>3264</v>
      </c>
      <c r="B1308" s="16" t="s">
        <v>510</v>
      </c>
      <c r="C1308" s="16" t="s">
        <v>326</v>
      </c>
      <c r="D1308" s="16" t="s">
        <v>184</v>
      </c>
      <c r="E1308" s="25">
        <v>45542</v>
      </c>
      <c r="F1308" s="16" t="s">
        <v>3265</v>
      </c>
      <c r="G1308" s="16" t="s">
        <v>132</v>
      </c>
      <c r="H1308" s="16">
        <v>1.3</v>
      </c>
      <c r="I1308" s="16">
        <v>399</v>
      </c>
      <c r="J1308" s="16">
        <v>0</v>
      </c>
      <c r="K1308" s="16">
        <v>518.70000000000005</v>
      </c>
      <c r="L1308" s="16" t="s">
        <v>126</v>
      </c>
      <c r="M1308" s="16" t="s">
        <v>119</v>
      </c>
      <c r="N1308" s="27">
        <v>45542.508333333331</v>
      </c>
      <c r="O1308" s="27">
        <v>45543.577777777777</v>
      </c>
      <c r="P1308" s="16">
        <v>3.6</v>
      </c>
      <c r="Q1308" s="16" t="b">
        <f>FALSE()</f>
        <v>0</v>
      </c>
      <c r="R1308" s="16" t="b">
        <f>TRUE()</f>
        <v>1</v>
      </c>
      <c r="S1308" s="17">
        <f t="shared" si="20"/>
        <v>25.7</v>
      </c>
      <c r="T1308">
        <f>COUNTIF('👤 Customers'!$A:$A, B1308)</f>
        <v>1</v>
      </c>
      <c r="U1308">
        <f>COUNTIF('🚴 Riders'!A1307:A1367, C1308)</f>
        <v>0</v>
      </c>
      <c r="V1308">
        <f>COUNTIF('🏭 Facilities'!A1307:A1315, D1308)</f>
        <v>0</v>
      </c>
    </row>
    <row r="1309" spans="1:22">
      <c r="A1309" s="18" t="s">
        <v>3266</v>
      </c>
      <c r="B1309" s="18" t="s">
        <v>3267</v>
      </c>
      <c r="C1309" s="18" t="s">
        <v>343</v>
      </c>
      <c r="D1309" s="18" t="s">
        <v>115</v>
      </c>
      <c r="E1309" s="26">
        <v>45546</v>
      </c>
      <c r="F1309" s="18" t="s">
        <v>3268</v>
      </c>
      <c r="G1309" s="18" t="s">
        <v>132</v>
      </c>
      <c r="H1309" s="18">
        <v>3</v>
      </c>
      <c r="I1309" s="18">
        <v>399</v>
      </c>
      <c r="J1309" s="18">
        <v>20</v>
      </c>
      <c r="K1309" s="18">
        <v>957.6</v>
      </c>
      <c r="L1309" s="18" t="s">
        <v>126</v>
      </c>
      <c r="M1309" s="18" t="s">
        <v>119</v>
      </c>
      <c r="N1309" s="28">
        <v>45546.186111111114</v>
      </c>
      <c r="O1309" s="28">
        <v>45547.171527777777</v>
      </c>
      <c r="P1309" s="18">
        <v>4.5999999999999996</v>
      </c>
      <c r="Q1309" s="18" t="b">
        <f>FALSE()</f>
        <v>0</v>
      </c>
      <c r="R1309" s="18" t="b">
        <f>FALSE()</f>
        <v>0</v>
      </c>
      <c r="S1309" s="19">
        <f t="shared" si="20"/>
        <v>23.6</v>
      </c>
      <c r="T1309">
        <f>COUNTIF('👤 Customers'!$A:$A, B1309)</f>
        <v>1</v>
      </c>
      <c r="U1309">
        <f>COUNTIF('🚴 Riders'!A1308:A1368, C1309)</f>
        <v>0</v>
      </c>
      <c r="V1309">
        <f>COUNTIF('🏭 Facilities'!A1308:A1316, D1309)</f>
        <v>0</v>
      </c>
    </row>
    <row r="1310" spans="1:22">
      <c r="A1310" s="16" t="s">
        <v>3269</v>
      </c>
      <c r="B1310" s="16" t="s">
        <v>893</v>
      </c>
      <c r="C1310" s="16" t="s">
        <v>343</v>
      </c>
      <c r="D1310" s="16" t="s">
        <v>184</v>
      </c>
      <c r="E1310" s="25">
        <v>45311</v>
      </c>
      <c r="F1310" s="16" t="s">
        <v>3270</v>
      </c>
      <c r="G1310" s="16" t="s">
        <v>117</v>
      </c>
      <c r="H1310" s="16">
        <v>6.8</v>
      </c>
      <c r="I1310" s="16">
        <v>149</v>
      </c>
      <c r="J1310" s="16">
        <v>0</v>
      </c>
      <c r="K1310" s="16">
        <v>1013.2</v>
      </c>
      <c r="L1310" s="16" t="s">
        <v>139</v>
      </c>
      <c r="M1310" s="16" t="s">
        <v>133</v>
      </c>
      <c r="N1310" s="20"/>
      <c r="O1310" s="20"/>
      <c r="P1310" s="20"/>
      <c r="Q1310" s="16" t="b">
        <f>FALSE()</f>
        <v>0</v>
      </c>
      <c r="R1310" s="16" t="b">
        <f>FALSE()</f>
        <v>0</v>
      </c>
      <c r="S1310" s="17" t="str">
        <f t="shared" si="20"/>
        <v>N/A</v>
      </c>
      <c r="T1310">
        <f>COUNTIF('👤 Customers'!$A:$A, B1310)</f>
        <v>1</v>
      </c>
      <c r="U1310">
        <f>COUNTIF('🚴 Riders'!A1309:A1369, C1310)</f>
        <v>0</v>
      </c>
      <c r="V1310">
        <f>COUNTIF('🏭 Facilities'!A1309:A1317, D1310)</f>
        <v>0</v>
      </c>
    </row>
    <row r="1311" spans="1:22">
      <c r="A1311" s="18" t="s">
        <v>3271</v>
      </c>
      <c r="B1311" s="18" t="s">
        <v>1348</v>
      </c>
      <c r="C1311" s="18" t="s">
        <v>842</v>
      </c>
      <c r="D1311" s="18" t="s">
        <v>205</v>
      </c>
      <c r="E1311" s="26">
        <v>45343</v>
      </c>
      <c r="F1311" s="18" t="s">
        <v>3272</v>
      </c>
      <c r="G1311" s="18" t="s">
        <v>145</v>
      </c>
      <c r="H1311" s="18">
        <v>2.1</v>
      </c>
      <c r="I1311" s="18">
        <v>299</v>
      </c>
      <c r="J1311" s="18">
        <v>10</v>
      </c>
      <c r="K1311" s="18">
        <v>565.11</v>
      </c>
      <c r="L1311" s="18" t="s">
        <v>146</v>
      </c>
      <c r="M1311" s="18" t="s">
        <v>140</v>
      </c>
      <c r="N1311" s="28">
        <v>45344.004861111112</v>
      </c>
      <c r="O1311" s="28">
        <v>45344.753472222219</v>
      </c>
      <c r="P1311" s="20"/>
      <c r="Q1311" s="18" t="b">
        <f>TRUE()</f>
        <v>1</v>
      </c>
      <c r="R1311" s="18" t="b">
        <f>FALSE()</f>
        <v>0</v>
      </c>
      <c r="S1311" s="19">
        <f t="shared" si="20"/>
        <v>18</v>
      </c>
      <c r="T1311">
        <f>COUNTIF('👤 Customers'!$A:$A, B1311)</f>
        <v>1</v>
      </c>
      <c r="U1311">
        <f>COUNTIF('🚴 Riders'!A1310:A1370, C1311)</f>
        <v>0</v>
      </c>
      <c r="V1311">
        <f>COUNTIF('🏭 Facilities'!A1310:A1318, D1311)</f>
        <v>0</v>
      </c>
    </row>
    <row r="1312" spans="1:22">
      <c r="A1312" s="16" t="s">
        <v>3273</v>
      </c>
      <c r="B1312" s="16" t="s">
        <v>2792</v>
      </c>
      <c r="C1312" s="16" t="s">
        <v>129</v>
      </c>
      <c r="D1312" s="16" t="s">
        <v>115</v>
      </c>
      <c r="E1312" s="25">
        <v>45534</v>
      </c>
      <c r="F1312" s="16" t="s">
        <v>3274</v>
      </c>
      <c r="G1312" s="16" t="s">
        <v>117</v>
      </c>
      <c r="H1312" s="16">
        <v>3.7</v>
      </c>
      <c r="I1312" s="16">
        <v>149</v>
      </c>
      <c r="J1312" s="16">
        <v>10</v>
      </c>
      <c r="K1312" s="16">
        <v>496.17</v>
      </c>
      <c r="L1312" s="16" t="s">
        <v>207</v>
      </c>
      <c r="M1312" s="16" t="s">
        <v>119</v>
      </c>
      <c r="N1312" s="27">
        <v>45534.475694444445</v>
      </c>
      <c r="O1312" s="27">
        <v>45535.513888888891</v>
      </c>
      <c r="P1312" s="16">
        <v>4.0999999999999996</v>
      </c>
      <c r="Q1312" s="16" t="b">
        <f>FALSE()</f>
        <v>0</v>
      </c>
      <c r="R1312" s="16" t="b">
        <f>FALSE()</f>
        <v>0</v>
      </c>
      <c r="S1312" s="17">
        <f t="shared" si="20"/>
        <v>24.9</v>
      </c>
      <c r="T1312">
        <f>COUNTIF('👤 Customers'!$A:$A, B1312)</f>
        <v>1</v>
      </c>
      <c r="U1312">
        <f>COUNTIF('🚴 Riders'!A1311:A1371, C1312)</f>
        <v>0</v>
      </c>
      <c r="V1312">
        <f>COUNTIF('🏭 Facilities'!A1311:A1319, D1312)</f>
        <v>0</v>
      </c>
    </row>
    <row r="1313" spans="1:22">
      <c r="A1313" s="18" t="s">
        <v>3275</v>
      </c>
      <c r="B1313" s="18" t="s">
        <v>743</v>
      </c>
      <c r="C1313" s="18" t="s">
        <v>224</v>
      </c>
      <c r="D1313" s="18" t="s">
        <v>205</v>
      </c>
      <c r="E1313" s="26">
        <v>44986</v>
      </c>
      <c r="F1313" s="18" t="s">
        <v>3276</v>
      </c>
      <c r="G1313" s="18" t="s">
        <v>132</v>
      </c>
      <c r="H1313" s="18">
        <v>1.7</v>
      </c>
      <c r="I1313" s="18">
        <v>399</v>
      </c>
      <c r="J1313" s="18">
        <v>0</v>
      </c>
      <c r="K1313" s="18">
        <v>678.3</v>
      </c>
      <c r="L1313" s="18" t="s">
        <v>146</v>
      </c>
      <c r="M1313" s="18" t="s">
        <v>119</v>
      </c>
      <c r="N1313" s="28">
        <v>44986.309027777781</v>
      </c>
      <c r="O1313" s="28">
        <v>44986.986805555556</v>
      </c>
      <c r="P1313" s="18">
        <v>3.5</v>
      </c>
      <c r="Q1313" s="18" t="b">
        <f>FALSE()</f>
        <v>0</v>
      </c>
      <c r="R1313" s="18" t="b">
        <f>FALSE()</f>
        <v>0</v>
      </c>
      <c r="S1313" s="19">
        <f t="shared" si="20"/>
        <v>16.3</v>
      </c>
      <c r="T1313">
        <f>COUNTIF('👤 Customers'!$A:$A, B1313)</f>
        <v>1</v>
      </c>
      <c r="U1313">
        <f>COUNTIF('🚴 Riders'!A1312:A1372, C1313)</f>
        <v>0</v>
      </c>
      <c r="V1313">
        <f>COUNTIF('🏭 Facilities'!A1312:A1320, D1313)</f>
        <v>0</v>
      </c>
    </row>
    <row r="1314" spans="1:22">
      <c r="A1314" s="16" t="s">
        <v>3277</v>
      </c>
      <c r="B1314" s="16" t="s">
        <v>3278</v>
      </c>
      <c r="C1314" s="16" t="s">
        <v>287</v>
      </c>
      <c r="D1314" s="16" t="s">
        <v>137</v>
      </c>
      <c r="E1314" s="25">
        <v>45447</v>
      </c>
      <c r="F1314" s="16" t="s">
        <v>3279</v>
      </c>
      <c r="G1314" s="16" t="s">
        <v>125</v>
      </c>
      <c r="H1314" s="16">
        <v>4.2</v>
      </c>
      <c r="I1314" s="16">
        <v>199</v>
      </c>
      <c r="J1314" s="16">
        <v>0</v>
      </c>
      <c r="K1314" s="16">
        <v>835.8</v>
      </c>
      <c r="L1314" s="16" t="s">
        <v>118</v>
      </c>
      <c r="M1314" s="16" t="s">
        <v>119</v>
      </c>
      <c r="N1314" s="27">
        <v>45447.163888888892</v>
      </c>
      <c r="O1314" s="27">
        <v>45447.535416666666</v>
      </c>
      <c r="P1314" s="16">
        <v>2.8</v>
      </c>
      <c r="Q1314" s="16" t="b">
        <f>FALSE()</f>
        <v>0</v>
      </c>
      <c r="R1314" s="16" t="b">
        <f>FALSE()</f>
        <v>0</v>
      </c>
      <c r="S1314" s="17">
        <f t="shared" si="20"/>
        <v>8.9</v>
      </c>
      <c r="T1314">
        <f>COUNTIF('👤 Customers'!$A:$A, B1314)</f>
        <v>1</v>
      </c>
      <c r="U1314">
        <f>COUNTIF('🚴 Riders'!A1313:A1373, C1314)</f>
        <v>0</v>
      </c>
      <c r="V1314">
        <f>COUNTIF('🏭 Facilities'!A1313:A1321, D1314)</f>
        <v>0</v>
      </c>
    </row>
    <row r="1315" spans="1:22">
      <c r="A1315" s="18" t="s">
        <v>3280</v>
      </c>
      <c r="B1315" s="18" t="s">
        <v>2404</v>
      </c>
      <c r="C1315" s="18" t="s">
        <v>188</v>
      </c>
      <c r="D1315" s="18" t="s">
        <v>123</v>
      </c>
      <c r="E1315" s="26">
        <v>45466</v>
      </c>
      <c r="F1315" s="18" t="s">
        <v>3281</v>
      </c>
      <c r="G1315" s="18" t="s">
        <v>117</v>
      </c>
      <c r="H1315" s="18">
        <v>2.2000000000000002</v>
      </c>
      <c r="I1315" s="18">
        <v>149</v>
      </c>
      <c r="J1315" s="18">
        <v>0</v>
      </c>
      <c r="K1315" s="18">
        <v>327.8</v>
      </c>
      <c r="L1315" s="18" t="s">
        <v>207</v>
      </c>
      <c r="M1315" s="18" t="s">
        <v>119</v>
      </c>
      <c r="N1315" s="28">
        <v>45466.484027777777</v>
      </c>
      <c r="O1315" s="28">
        <v>45466.916666666664</v>
      </c>
      <c r="P1315" s="18">
        <v>3.1</v>
      </c>
      <c r="Q1315" s="18" t="b">
        <f>FALSE()</f>
        <v>0</v>
      </c>
      <c r="R1315" s="18" t="b">
        <f>TRUE()</f>
        <v>1</v>
      </c>
      <c r="S1315" s="19">
        <f t="shared" si="20"/>
        <v>10.4</v>
      </c>
      <c r="T1315">
        <f>COUNTIF('👤 Customers'!$A:$A, B1315)</f>
        <v>1</v>
      </c>
      <c r="U1315">
        <f>COUNTIF('🚴 Riders'!A1314:A1374, C1315)</f>
        <v>0</v>
      </c>
      <c r="V1315">
        <f>COUNTIF('🏭 Facilities'!A1314:A1322, D1315)</f>
        <v>0</v>
      </c>
    </row>
    <row r="1316" spans="1:22">
      <c r="A1316" s="16" t="s">
        <v>3282</v>
      </c>
      <c r="B1316" s="16" t="s">
        <v>2673</v>
      </c>
      <c r="C1316" s="16" t="s">
        <v>479</v>
      </c>
      <c r="D1316" s="16" t="s">
        <v>158</v>
      </c>
      <c r="E1316" s="25">
        <v>45207</v>
      </c>
      <c r="F1316" s="16" t="s">
        <v>3283</v>
      </c>
      <c r="G1316" s="16" t="s">
        <v>117</v>
      </c>
      <c r="H1316" s="16">
        <v>2</v>
      </c>
      <c r="I1316" s="16">
        <v>149</v>
      </c>
      <c r="J1316" s="16">
        <v>0</v>
      </c>
      <c r="K1316" s="16">
        <v>298</v>
      </c>
      <c r="L1316" s="16" t="s">
        <v>207</v>
      </c>
      <c r="M1316" s="16" t="s">
        <v>119</v>
      </c>
      <c r="N1316" s="27">
        <v>45207.252083333333</v>
      </c>
      <c r="O1316" s="27">
        <v>45207.852083333331</v>
      </c>
      <c r="P1316" s="16">
        <v>4.8</v>
      </c>
      <c r="Q1316" s="16" t="b">
        <f>FALSE()</f>
        <v>0</v>
      </c>
      <c r="R1316" s="16" t="b">
        <f>TRUE()</f>
        <v>1</v>
      </c>
      <c r="S1316" s="17">
        <f t="shared" si="20"/>
        <v>14.4</v>
      </c>
      <c r="T1316">
        <f>COUNTIF('👤 Customers'!$A:$A, B1316)</f>
        <v>1</v>
      </c>
      <c r="U1316">
        <f>COUNTIF('🚴 Riders'!A1315:A1375, C1316)</f>
        <v>0</v>
      </c>
      <c r="V1316">
        <f>COUNTIF('🏭 Facilities'!A1315:A1323, D1316)</f>
        <v>0</v>
      </c>
    </row>
    <row r="1317" spans="1:22">
      <c r="A1317" s="18" t="s">
        <v>3284</v>
      </c>
      <c r="B1317" s="18" t="s">
        <v>409</v>
      </c>
      <c r="C1317" s="18" t="s">
        <v>563</v>
      </c>
      <c r="D1317" s="18" t="s">
        <v>115</v>
      </c>
      <c r="E1317" s="26">
        <v>45346</v>
      </c>
      <c r="F1317" s="18" t="s">
        <v>3285</v>
      </c>
      <c r="G1317" s="18" t="s">
        <v>132</v>
      </c>
      <c r="H1317" s="18">
        <v>2.4</v>
      </c>
      <c r="I1317" s="18">
        <v>399</v>
      </c>
      <c r="J1317" s="18">
        <v>0</v>
      </c>
      <c r="K1317" s="18">
        <v>957.6</v>
      </c>
      <c r="L1317" s="18" t="s">
        <v>146</v>
      </c>
      <c r="M1317" s="18" t="s">
        <v>119</v>
      </c>
      <c r="N1317" s="28">
        <v>45346.188194444447</v>
      </c>
      <c r="O1317" s="28">
        <v>45347.159722222219</v>
      </c>
      <c r="P1317" s="18">
        <v>4</v>
      </c>
      <c r="Q1317" s="18" t="b">
        <f>FALSE()</f>
        <v>0</v>
      </c>
      <c r="R1317" s="18" t="b">
        <f>TRUE()</f>
        <v>1</v>
      </c>
      <c r="S1317" s="19">
        <f t="shared" si="20"/>
        <v>23.3</v>
      </c>
      <c r="T1317">
        <f>COUNTIF('👤 Customers'!$A:$A, B1317)</f>
        <v>1</v>
      </c>
      <c r="U1317">
        <f>COUNTIF('🚴 Riders'!A1316:A1376, C1317)</f>
        <v>0</v>
      </c>
      <c r="V1317">
        <f>COUNTIF('🏭 Facilities'!A1316:A1324, D1317)</f>
        <v>0</v>
      </c>
    </row>
    <row r="1318" spans="1:22">
      <c r="A1318" s="16" t="s">
        <v>3286</v>
      </c>
      <c r="B1318" s="16" t="s">
        <v>2411</v>
      </c>
      <c r="C1318" s="16" t="s">
        <v>183</v>
      </c>
      <c r="D1318" s="16" t="s">
        <v>205</v>
      </c>
      <c r="E1318" s="25">
        <v>45287</v>
      </c>
      <c r="F1318" s="16" t="s">
        <v>3287</v>
      </c>
      <c r="G1318" s="16" t="s">
        <v>125</v>
      </c>
      <c r="H1318" s="16">
        <v>6.6</v>
      </c>
      <c r="I1318" s="16">
        <v>199</v>
      </c>
      <c r="J1318" s="16">
        <v>0</v>
      </c>
      <c r="K1318" s="16">
        <v>1313.4</v>
      </c>
      <c r="L1318" s="16" t="s">
        <v>207</v>
      </c>
      <c r="M1318" s="16" t="s">
        <v>119</v>
      </c>
      <c r="N1318" s="27">
        <v>45287.995138888888</v>
      </c>
      <c r="O1318" s="27">
        <v>45288.611805555556</v>
      </c>
      <c r="P1318" s="16">
        <v>4.5</v>
      </c>
      <c r="Q1318" s="16" t="b">
        <f>FALSE()</f>
        <v>0</v>
      </c>
      <c r="R1318" s="16" t="b">
        <f>FALSE()</f>
        <v>0</v>
      </c>
      <c r="S1318" s="17">
        <f t="shared" si="20"/>
        <v>14.8</v>
      </c>
      <c r="T1318">
        <f>COUNTIF('👤 Customers'!$A:$A, B1318)</f>
        <v>1</v>
      </c>
      <c r="U1318">
        <f>COUNTIF('🚴 Riders'!A1317:A1377, C1318)</f>
        <v>0</v>
      </c>
      <c r="V1318">
        <f>COUNTIF('🏭 Facilities'!A1317:A1325, D1318)</f>
        <v>0</v>
      </c>
    </row>
    <row r="1319" spans="1:22">
      <c r="A1319" s="18" t="s">
        <v>3288</v>
      </c>
      <c r="B1319" s="18" t="s">
        <v>1125</v>
      </c>
      <c r="C1319" s="18" t="s">
        <v>192</v>
      </c>
      <c r="D1319" s="18" t="s">
        <v>123</v>
      </c>
      <c r="E1319" s="26">
        <v>45472</v>
      </c>
      <c r="F1319" s="18" t="s">
        <v>3289</v>
      </c>
      <c r="G1319" s="18" t="s">
        <v>132</v>
      </c>
      <c r="H1319" s="18">
        <v>3.8</v>
      </c>
      <c r="I1319" s="18">
        <v>399</v>
      </c>
      <c r="J1319" s="18">
        <v>10</v>
      </c>
      <c r="K1319" s="18">
        <v>1364.58</v>
      </c>
      <c r="L1319" s="18" t="s">
        <v>207</v>
      </c>
      <c r="M1319" s="18" t="s">
        <v>119</v>
      </c>
      <c r="N1319" s="28">
        <v>45472.296527777777</v>
      </c>
      <c r="O1319" s="28">
        <v>45473.307638888888</v>
      </c>
      <c r="P1319" s="18">
        <v>3.6</v>
      </c>
      <c r="Q1319" s="18" t="b">
        <f>FALSE()</f>
        <v>0</v>
      </c>
      <c r="R1319" s="18" t="b">
        <f>FALSE()</f>
        <v>0</v>
      </c>
      <c r="S1319" s="19">
        <f t="shared" si="20"/>
        <v>24.3</v>
      </c>
      <c r="T1319">
        <f>COUNTIF('👤 Customers'!$A:$A, B1319)</f>
        <v>1</v>
      </c>
      <c r="U1319">
        <f>COUNTIF('🚴 Riders'!A1318:A1378, C1319)</f>
        <v>0</v>
      </c>
      <c r="V1319">
        <f>COUNTIF('🏭 Facilities'!A1318:A1326, D1319)</f>
        <v>0</v>
      </c>
    </row>
    <row r="1320" spans="1:22">
      <c r="A1320" s="16" t="s">
        <v>3290</v>
      </c>
      <c r="B1320" s="16" t="s">
        <v>254</v>
      </c>
      <c r="C1320" s="16" t="s">
        <v>842</v>
      </c>
      <c r="D1320" s="16" t="s">
        <v>137</v>
      </c>
      <c r="E1320" s="25">
        <v>45059</v>
      </c>
      <c r="F1320" s="16" t="s">
        <v>3291</v>
      </c>
      <c r="G1320" s="16" t="s">
        <v>132</v>
      </c>
      <c r="H1320" s="16">
        <v>7.4</v>
      </c>
      <c r="I1320" s="16">
        <v>399</v>
      </c>
      <c r="J1320" s="16">
        <v>0</v>
      </c>
      <c r="K1320" s="16">
        <v>2952.6</v>
      </c>
      <c r="L1320" s="16" t="s">
        <v>126</v>
      </c>
      <c r="M1320" s="16" t="s">
        <v>119</v>
      </c>
      <c r="N1320" s="27">
        <v>45059.509722222225</v>
      </c>
      <c r="O1320" s="27">
        <v>45060.495138888888</v>
      </c>
      <c r="P1320" s="16">
        <v>4.0999999999999996</v>
      </c>
      <c r="Q1320" s="16" t="b">
        <f>FALSE()</f>
        <v>0</v>
      </c>
      <c r="R1320" s="16" t="b">
        <f>FALSE()</f>
        <v>0</v>
      </c>
      <c r="S1320" s="17">
        <f t="shared" si="20"/>
        <v>23.6</v>
      </c>
      <c r="T1320">
        <f>COUNTIF('👤 Customers'!$A:$A, B1320)</f>
        <v>1</v>
      </c>
      <c r="U1320">
        <f>COUNTIF('🚴 Riders'!A1319:A1379, C1320)</f>
        <v>0</v>
      </c>
      <c r="V1320">
        <f>COUNTIF('🏭 Facilities'!A1319:A1327, D1320)</f>
        <v>0</v>
      </c>
    </row>
    <row r="1321" spans="1:22">
      <c r="A1321" s="18" t="s">
        <v>3292</v>
      </c>
      <c r="B1321" s="18" t="s">
        <v>2609</v>
      </c>
      <c r="C1321" s="18" t="s">
        <v>322</v>
      </c>
      <c r="D1321" s="18" t="s">
        <v>158</v>
      </c>
      <c r="E1321" s="26">
        <v>45044</v>
      </c>
      <c r="F1321" s="18" t="s">
        <v>3293</v>
      </c>
      <c r="G1321" s="18" t="s">
        <v>176</v>
      </c>
      <c r="H1321" s="18">
        <v>3</v>
      </c>
      <c r="I1321" s="18">
        <v>599</v>
      </c>
      <c r="J1321" s="18">
        <v>0</v>
      </c>
      <c r="K1321" s="18">
        <v>1797</v>
      </c>
      <c r="L1321" s="18" t="s">
        <v>207</v>
      </c>
      <c r="M1321" s="18" t="s">
        <v>119</v>
      </c>
      <c r="N1321" s="28">
        <v>45044.267361111109</v>
      </c>
      <c r="O1321" s="28">
        <v>45044.699305555558</v>
      </c>
      <c r="P1321" s="18">
        <v>3.6</v>
      </c>
      <c r="Q1321" s="18" t="b">
        <f>FALSE()</f>
        <v>0</v>
      </c>
      <c r="R1321" s="18" t="b">
        <f>FALSE()</f>
        <v>0</v>
      </c>
      <c r="S1321" s="19">
        <f t="shared" si="20"/>
        <v>10.4</v>
      </c>
      <c r="T1321">
        <f>COUNTIF('👤 Customers'!$A:$A, B1321)</f>
        <v>1</v>
      </c>
      <c r="U1321">
        <f>COUNTIF('🚴 Riders'!A1320:A1380, C1321)</f>
        <v>0</v>
      </c>
      <c r="V1321">
        <f>COUNTIF('🏭 Facilities'!A1320:A1328, D1321)</f>
        <v>0</v>
      </c>
    </row>
    <row r="1322" spans="1:22">
      <c r="A1322" s="16" t="s">
        <v>3294</v>
      </c>
      <c r="B1322" s="16" t="s">
        <v>1226</v>
      </c>
      <c r="C1322" s="16" t="s">
        <v>183</v>
      </c>
      <c r="D1322" s="16" t="s">
        <v>205</v>
      </c>
      <c r="E1322" s="25">
        <v>45046</v>
      </c>
      <c r="F1322" s="16" t="s">
        <v>3295</v>
      </c>
      <c r="G1322" s="16" t="s">
        <v>145</v>
      </c>
      <c r="H1322" s="16">
        <v>2.2000000000000002</v>
      </c>
      <c r="I1322" s="16">
        <v>299</v>
      </c>
      <c r="J1322" s="16">
        <v>10</v>
      </c>
      <c r="K1322" s="16">
        <v>592.02</v>
      </c>
      <c r="L1322" s="16" t="s">
        <v>118</v>
      </c>
      <c r="M1322" s="16" t="s">
        <v>119</v>
      </c>
      <c r="N1322" s="27">
        <v>45046.863888888889</v>
      </c>
      <c r="O1322" s="27">
        <v>45047.875</v>
      </c>
      <c r="P1322" s="16">
        <v>4.0999999999999996</v>
      </c>
      <c r="Q1322" s="16" t="b">
        <f>TRUE()</f>
        <v>1</v>
      </c>
      <c r="R1322" s="16" t="b">
        <f>FALSE()</f>
        <v>0</v>
      </c>
      <c r="S1322" s="17">
        <f t="shared" si="20"/>
        <v>24.3</v>
      </c>
      <c r="T1322">
        <f>COUNTIF('👤 Customers'!$A:$A, B1322)</f>
        <v>1</v>
      </c>
      <c r="U1322">
        <f>COUNTIF('🚴 Riders'!A1321:A1381, C1322)</f>
        <v>0</v>
      </c>
      <c r="V1322">
        <f>COUNTIF('🏭 Facilities'!A1321:A1329, D1322)</f>
        <v>0</v>
      </c>
    </row>
    <row r="1323" spans="1:22">
      <c r="A1323" s="18" t="s">
        <v>3296</v>
      </c>
      <c r="B1323" s="18" t="s">
        <v>424</v>
      </c>
      <c r="C1323" s="18" t="s">
        <v>483</v>
      </c>
      <c r="D1323" s="18" t="s">
        <v>130</v>
      </c>
      <c r="E1323" s="26">
        <v>45190</v>
      </c>
      <c r="F1323" s="18" t="s">
        <v>3297</v>
      </c>
      <c r="G1323" s="18" t="s">
        <v>125</v>
      </c>
      <c r="H1323" s="18">
        <v>2.4</v>
      </c>
      <c r="I1323" s="18">
        <v>199</v>
      </c>
      <c r="J1323" s="18">
        <v>10</v>
      </c>
      <c r="K1323" s="18">
        <v>429.84</v>
      </c>
      <c r="L1323" s="18" t="s">
        <v>207</v>
      </c>
      <c r="M1323" s="18" t="s">
        <v>119</v>
      </c>
      <c r="N1323" s="28">
        <v>45190.924305555556</v>
      </c>
      <c r="O1323" s="28">
        <v>45191.789583333331</v>
      </c>
      <c r="P1323" s="18">
        <v>2.7</v>
      </c>
      <c r="Q1323" s="18" t="b">
        <f>FALSE()</f>
        <v>0</v>
      </c>
      <c r="R1323" s="18" t="b">
        <f>TRUE()</f>
        <v>1</v>
      </c>
      <c r="S1323" s="19">
        <f t="shared" si="20"/>
        <v>20.8</v>
      </c>
      <c r="T1323">
        <f>COUNTIF('👤 Customers'!$A:$A, B1323)</f>
        <v>1</v>
      </c>
      <c r="U1323">
        <f>COUNTIF('🚴 Riders'!A1322:A1382, C1323)</f>
        <v>0</v>
      </c>
      <c r="V1323">
        <f>COUNTIF('🏭 Facilities'!A1322:A1330, D1323)</f>
        <v>0</v>
      </c>
    </row>
    <row r="1324" spans="1:22">
      <c r="A1324" s="16" t="s">
        <v>3298</v>
      </c>
      <c r="B1324" s="16" t="s">
        <v>1651</v>
      </c>
      <c r="C1324" s="16" t="s">
        <v>487</v>
      </c>
      <c r="D1324" s="16" t="s">
        <v>205</v>
      </c>
      <c r="E1324" s="25">
        <v>45044</v>
      </c>
      <c r="F1324" s="16" t="s">
        <v>3299</v>
      </c>
      <c r="G1324" s="16" t="s">
        <v>125</v>
      </c>
      <c r="H1324" s="16">
        <v>7.6</v>
      </c>
      <c r="I1324" s="16">
        <v>199</v>
      </c>
      <c r="J1324" s="16">
        <v>0</v>
      </c>
      <c r="K1324" s="16">
        <v>1512.4</v>
      </c>
      <c r="L1324" s="16" t="s">
        <v>146</v>
      </c>
      <c r="M1324" s="16" t="s">
        <v>119</v>
      </c>
      <c r="N1324" s="27">
        <v>45045.012499999997</v>
      </c>
      <c r="O1324" s="27">
        <v>45045.581250000003</v>
      </c>
      <c r="P1324" s="16">
        <v>2.9</v>
      </c>
      <c r="Q1324" s="16" t="b">
        <f>FALSE()</f>
        <v>0</v>
      </c>
      <c r="R1324" s="16" t="b">
        <f>FALSE()</f>
        <v>0</v>
      </c>
      <c r="S1324" s="17">
        <f t="shared" si="20"/>
        <v>13.7</v>
      </c>
      <c r="T1324">
        <f>COUNTIF('👤 Customers'!$A:$A, B1324)</f>
        <v>1</v>
      </c>
      <c r="U1324">
        <f>COUNTIF('🚴 Riders'!A1323:A1383, C1324)</f>
        <v>0</v>
      </c>
      <c r="V1324">
        <f>COUNTIF('🏭 Facilities'!A1323:A1331, D1324)</f>
        <v>0</v>
      </c>
    </row>
    <row r="1325" spans="1:22">
      <c r="A1325" s="18" t="s">
        <v>3300</v>
      </c>
      <c r="B1325" s="18" t="s">
        <v>3301</v>
      </c>
      <c r="C1325" s="18" t="s">
        <v>188</v>
      </c>
      <c r="D1325" s="18" t="s">
        <v>123</v>
      </c>
      <c r="E1325" s="26">
        <v>45314</v>
      </c>
      <c r="F1325" s="18" t="s">
        <v>3302</v>
      </c>
      <c r="G1325" s="18" t="s">
        <v>145</v>
      </c>
      <c r="H1325" s="18">
        <v>3.1</v>
      </c>
      <c r="I1325" s="18">
        <v>299</v>
      </c>
      <c r="J1325" s="18">
        <v>0</v>
      </c>
      <c r="K1325" s="18">
        <v>926.9</v>
      </c>
      <c r="L1325" s="18" t="s">
        <v>118</v>
      </c>
      <c r="M1325" s="18" t="s">
        <v>133</v>
      </c>
      <c r="N1325" s="20"/>
      <c r="O1325" s="20"/>
      <c r="P1325" s="20"/>
      <c r="Q1325" s="18" t="b">
        <f>FALSE()</f>
        <v>0</v>
      </c>
      <c r="R1325" s="18" t="b">
        <f>FALSE()</f>
        <v>0</v>
      </c>
      <c r="S1325" s="19" t="str">
        <f t="shared" si="20"/>
        <v>N/A</v>
      </c>
      <c r="T1325">
        <f>COUNTIF('👤 Customers'!$A:$A, B1325)</f>
        <v>1</v>
      </c>
      <c r="U1325">
        <f>COUNTIF('🚴 Riders'!A1324:A1384, C1325)</f>
        <v>0</v>
      </c>
      <c r="V1325">
        <f>COUNTIF('🏭 Facilities'!A1324:A1332, D1325)</f>
        <v>0</v>
      </c>
    </row>
    <row r="1326" spans="1:22">
      <c r="A1326" s="16" t="s">
        <v>3303</v>
      </c>
      <c r="B1326" s="16" t="s">
        <v>1873</v>
      </c>
      <c r="C1326" s="16" t="s">
        <v>750</v>
      </c>
      <c r="D1326" s="16" t="s">
        <v>115</v>
      </c>
      <c r="E1326" s="25">
        <v>45450</v>
      </c>
      <c r="F1326" s="16" t="s">
        <v>3304</v>
      </c>
      <c r="G1326" s="16" t="s">
        <v>125</v>
      </c>
      <c r="H1326" s="16">
        <v>1.3</v>
      </c>
      <c r="I1326" s="16">
        <v>199</v>
      </c>
      <c r="J1326" s="16">
        <v>0</v>
      </c>
      <c r="K1326" s="16">
        <v>258.7</v>
      </c>
      <c r="L1326" s="16" t="s">
        <v>207</v>
      </c>
      <c r="M1326" s="16" t="s">
        <v>133</v>
      </c>
      <c r="N1326" s="20"/>
      <c r="O1326" s="20"/>
      <c r="P1326" s="20"/>
      <c r="Q1326" s="16" t="b">
        <f>FALSE()</f>
        <v>0</v>
      </c>
      <c r="R1326" s="16" t="b">
        <f>FALSE()</f>
        <v>0</v>
      </c>
      <c r="S1326" s="17" t="str">
        <f t="shared" si="20"/>
        <v>N/A</v>
      </c>
      <c r="T1326">
        <f>COUNTIF('👤 Customers'!$A:$A, B1326)</f>
        <v>1</v>
      </c>
      <c r="U1326">
        <f>COUNTIF('🚴 Riders'!A1325:A1385, C1326)</f>
        <v>0</v>
      </c>
      <c r="V1326">
        <f>COUNTIF('🏭 Facilities'!A1325:A1333, D1326)</f>
        <v>0</v>
      </c>
    </row>
    <row r="1327" spans="1:22">
      <c r="A1327" s="18" t="s">
        <v>3305</v>
      </c>
      <c r="B1327" s="18" t="s">
        <v>2043</v>
      </c>
      <c r="C1327" s="18" t="s">
        <v>283</v>
      </c>
      <c r="D1327" s="18" t="s">
        <v>137</v>
      </c>
      <c r="E1327" s="26">
        <v>45529</v>
      </c>
      <c r="F1327" s="18" t="s">
        <v>3306</v>
      </c>
      <c r="G1327" s="18" t="s">
        <v>145</v>
      </c>
      <c r="H1327" s="18">
        <v>5.5</v>
      </c>
      <c r="I1327" s="18">
        <v>299</v>
      </c>
      <c r="J1327" s="18">
        <v>0</v>
      </c>
      <c r="K1327" s="18">
        <v>1644.5</v>
      </c>
      <c r="L1327" s="18" t="s">
        <v>207</v>
      </c>
      <c r="M1327" s="18" t="s">
        <v>119</v>
      </c>
      <c r="N1327" s="28">
        <v>45529.818749999999</v>
      </c>
      <c r="O1327" s="28">
        <v>45530.701388888891</v>
      </c>
      <c r="P1327" s="18">
        <v>3.2</v>
      </c>
      <c r="Q1327" s="18" t="b">
        <f>FALSE()</f>
        <v>0</v>
      </c>
      <c r="R1327" s="18" t="b">
        <f>FALSE()</f>
        <v>0</v>
      </c>
      <c r="S1327" s="19">
        <f t="shared" si="20"/>
        <v>21.2</v>
      </c>
      <c r="T1327">
        <f>COUNTIF('👤 Customers'!$A:$A, B1327)</f>
        <v>1</v>
      </c>
      <c r="U1327">
        <f>COUNTIF('🚴 Riders'!A1326:A1386, C1327)</f>
        <v>0</v>
      </c>
      <c r="V1327">
        <f>COUNTIF('🏭 Facilities'!A1326:A1334, D1327)</f>
        <v>0</v>
      </c>
    </row>
    <row r="1328" spans="1:22">
      <c r="A1328" s="16" t="s">
        <v>3307</v>
      </c>
      <c r="B1328" s="16" t="s">
        <v>1988</v>
      </c>
      <c r="C1328" s="16" t="s">
        <v>315</v>
      </c>
      <c r="D1328" s="16" t="s">
        <v>123</v>
      </c>
      <c r="E1328" s="25">
        <v>45482</v>
      </c>
      <c r="F1328" s="16" t="s">
        <v>3308</v>
      </c>
      <c r="G1328" s="16" t="s">
        <v>145</v>
      </c>
      <c r="H1328" s="16">
        <v>6.7</v>
      </c>
      <c r="I1328" s="16">
        <v>299</v>
      </c>
      <c r="J1328" s="16">
        <v>0</v>
      </c>
      <c r="K1328" s="16">
        <v>2003.3</v>
      </c>
      <c r="L1328" s="16" t="s">
        <v>146</v>
      </c>
      <c r="M1328" s="16" t="s">
        <v>119</v>
      </c>
      <c r="N1328" s="27">
        <v>45482.294444444444</v>
      </c>
      <c r="O1328" s="27">
        <v>45482.820833333331</v>
      </c>
      <c r="P1328" s="16">
        <v>3</v>
      </c>
      <c r="Q1328" s="16" t="b">
        <f>FALSE()</f>
        <v>0</v>
      </c>
      <c r="R1328" s="16" t="b">
        <f>FALSE()</f>
        <v>0</v>
      </c>
      <c r="S1328" s="17">
        <f t="shared" si="20"/>
        <v>12.6</v>
      </c>
      <c r="T1328">
        <f>COUNTIF('👤 Customers'!$A:$A, B1328)</f>
        <v>1</v>
      </c>
      <c r="U1328">
        <f>COUNTIF('🚴 Riders'!A1327:A1387, C1328)</f>
        <v>0</v>
      </c>
      <c r="V1328">
        <f>COUNTIF('🏭 Facilities'!A1327:A1335, D1328)</f>
        <v>0</v>
      </c>
    </row>
    <row r="1329" spans="1:22">
      <c r="A1329" s="18" t="s">
        <v>3309</v>
      </c>
      <c r="B1329" s="18" t="s">
        <v>853</v>
      </c>
      <c r="C1329" s="18" t="s">
        <v>842</v>
      </c>
      <c r="D1329" s="18" t="s">
        <v>158</v>
      </c>
      <c r="E1329" s="26">
        <v>45304</v>
      </c>
      <c r="F1329" s="18" t="s">
        <v>3310</v>
      </c>
      <c r="G1329" s="18" t="s">
        <v>176</v>
      </c>
      <c r="H1329" s="18">
        <v>7.4</v>
      </c>
      <c r="I1329" s="18">
        <v>599</v>
      </c>
      <c r="J1329" s="18">
        <v>0</v>
      </c>
      <c r="K1329" s="18">
        <v>4432.6000000000004</v>
      </c>
      <c r="L1329" s="18" t="s">
        <v>146</v>
      </c>
      <c r="M1329" s="18" t="s">
        <v>140</v>
      </c>
      <c r="N1329" s="28">
        <v>45304.321527777778</v>
      </c>
      <c r="O1329" s="28">
        <v>45304.75277777778</v>
      </c>
      <c r="P1329" s="20"/>
      <c r="Q1329" s="18" t="b">
        <f>FALSE()</f>
        <v>0</v>
      </c>
      <c r="R1329" s="18" t="b">
        <f>FALSE()</f>
        <v>0</v>
      </c>
      <c r="S1329" s="19">
        <f t="shared" si="20"/>
        <v>10.4</v>
      </c>
      <c r="T1329">
        <f>COUNTIF('👤 Customers'!$A:$A, B1329)</f>
        <v>1</v>
      </c>
      <c r="U1329">
        <f>COUNTIF('🚴 Riders'!A1328:A1388, C1329)</f>
        <v>0</v>
      </c>
      <c r="V1329">
        <f>COUNTIF('🏭 Facilities'!A1328:A1336, D1329)</f>
        <v>0</v>
      </c>
    </row>
    <row r="1330" spans="1:22">
      <c r="A1330" s="16" t="s">
        <v>3311</v>
      </c>
      <c r="B1330" s="16" t="s">
        <v>1279</v>
      </c>
      <c r="C1330" s="16" t="s">
        <v>174</v>
      </c>
      <c r="D1330" s="16" t="s">
        <v>130</v>
      </c>
      <c r="E1330" s="25">
        <v>45142</v>
      </c>
      <c r="F1330" s="16" t="s">
        <v>3312</v>
      </c>
      <c r="G1330" s="16" t="s">
        <v>176</v>
      </c>
      <c r="H1330" s="16">
        <v>5.8</v>
      </c>
      <c r="I1330" s="16">
        <v>599</v>
      </c>
      <c r="J1330" s="16">
        <v>0</v>
      </c>
      <c r="K1330" s="16">
        <v>3474.2</v>
      </c>
      <c r="L1330" s="16" t="s">
        <v>139</v>
      </c>
      <c r="M1330" s="16" t="s">
        <v>119</v>
      </c>
      <c r="N1330" s="27">
        <v>45142.779861111114</v>
      </c>
      <c r="O1330" s="27">
        <v>45143.281944444447</v>
      </c>
      <c r="P1330" s="16">
        <v>3.6</v>
      </c>
      <c r="Q1330" s="16" t="b">
        <f>TRUE()</f>
        <v>1</v>
      </c>
      <c r="R1330" s="16" t="b">
        <f>FALSE()</f>
        <v>0</v>
      </c>
      <c r="S1330" s="17">
        <f t="shared" si="20"/>
        <v>12</v>
      </c>
      <c r="T1330">
        <f>COUNTIF('👤 Customers'!$A:$A, B1330)</f>
        <v>1</v>
      </c>
      <c r="U1330">
        <f>COUNTIF('🚴 Riders'!A1329:A1389, C1330)</f>
        <v>0</v>
      </c>
      <c r="V1330">
        <f>COUNTIF('🏭 Facilities'!A1329:A1337, D1330)</f>
        <v>0</v>
      </c>
    </row>
    <row r="1331" spans="1:22">
      <c r="A1331" s="18" t="s">
        <v>3313</v>
      </c>
      <c r="B1331" s="18" t="s">
        <v>430</v>
      </c>
      <c r="C1331" s="18" t="s">
        <v>232</v>
      </c>
      <c r="D1331" s="18" t="s">
        <v>197</v>
      </c>
      <c r="E1331" s="26">
        <v>45057</v>
      </c>
      <c r="F1331" s="18" t="s">
        <v>3314</v>
      </c>
      <c r="G1331" s="18" t="s">
        <v>125</v>
      </c>
      <c r="H1331" s="18">
        <v>1.4</v>
      </c>
      <c r="I1331" s="18">
        <v>199</v>
      </c>
      <c r="J1331" s="18">
        <v>0</v>
      </c>
      <c r="K1331" s="18">
        <v>278.60000000000002</v>
      </c>
      <c r="L1331" s="18" t="s">
        <v>126</v>
      </c>
      <c r="M1331" s="18" t="s">
        <v>119</v>
      </c>
      <c r="N1331" s="28">
        <v>45057.69027777778</v>
      </c>
      <c r="O1331" s="28">
        <v>45058.402083333334</v>
      </c>
      <c r="P1331" s="18">
        <v>3.3</v>
      </c>
      <c r="Q1331" s="18" t="b">
        <f>TRUE()</f>
        <v>1</v>
      </c>
      <c r="R1331" s="18" t="b">
        <f>FALSE()</f>
        <v>0</v>
      </c>
      <c r="S1331" s="19">
        <f t="shared" si="20"/>
        <v>17.100000000000001</v>
      </c>
      <c r="T1331">
        <f>COUNTIF('👤 Customers'!$A:$A, B1331)</f>
        <v>1</v>
      </c>
      <c r="U1331">
        <f>COUNTIF('🚴 Riders'!A1330:A1390, C1331)</f>
        <v>0</v>
      </c>
      <c r="V1331">
        <f>COUNTIF('🏭 Facilities'!A1330:A1338, D1331)</f>
        <v>0</v>
      </c>
    </row>
    <row r="1332" spans="1:22">
      <c r="A1332" s="16" t="s">
        <v>3315</v>
      </c>
      <c r="B1332" s="16" t="s">
        <v>692</v>
      </c>
      <c r="C1332" s="16" t="s">
        <v>611</v>
      </c>
      <c r="D1332" s="16" t="s">
        <v>158</v>
      </c>
      <c r="E1332" s="25">
        <v>45136</v>
      </c>
      <c r="F1332" s="16" t="s">
        <v>3316</v>
      </c>
      <c r="G1332" s="16" t="s">
        <v>132</v>
      </c>
      <c r="H1332" s="16">
        <v>7.2</v>
      </c>
      <c r="I1332" s="16">
        <v>399</v>
      </c>
      <c r="J1332" s="16">
        <v>20</v>
      </c>
      <c r="K1332" s="16">
        <v>2298.2399999999998</v>
      </c>
      <c r="L1332" s="16" t="s">
        <v>146</v>
      </c>
      <c r="M1332" s="16" t="s">
        <v>133</v>
      </c>
      <c r="N1332" s="20"/>
      <c r="O1332" s="20"/>
      <c r="P1332" s="20"/>
      <c r="Q1332" s="16" t="b">
        <f>FALSE()</f>
        <v>0</v>
      </c>
      <c r="R1332" s="16" t="b">
        <f>FALSE()</f>
        <v>0</v>
      </c>
      <c r="S1332" s="17" t="str">
        <f t="shared" si="20"/>
        <v>N/A</v>
      </c>
      <c r="T1332">
        <f>COUNTIF('👤 Customers'!$A:$A, B1332)</f>
        <v>1</v>
      </c>
      <c r="U1332">
        <f>COUNTIF('🚴 Riders'!A1331:A1391, C1332)</f>
        <v>0</v>
      </c>
      <c r="V1332">
        <f>COUNTIF('🏭 Facilities'!A1331:A1339, D1332)</f>
        <v>0</v>
      </c>
    </row>
    <row r="1333" spans="1:22">
      <c r="A1333" s="18" t="s">
        <v>3317</v>
      </c>
      <c r="B1333" s="18" t="s">
        <v>1067</v>
      </c>
      <c r="C1333" s="18" t="s">
        <v>611</v>
      </c>
      <c r="D1333" s="18" t="s">
        <v>130</v>
      </c>
      <c r="E1333" s="26">
        <v>45522</v>
      </c>
      <c r="F1333" s="18" t="s">
        <v>3318</v>
      </c>
      <c r="G1333" s="18" t="s">
        <v>176</v>
      </c>
      <c r="H1333" s="18">
        <v>1.4</v>
      </c>
      <c r="I1333" s="18">
        <v>599</v>
      </c>
      <c r="J1333" s="18">
        <v>0</v>
      </c>
      <c r="K1333" s="18">
        <v>838.6</v>
      </c>
      <c r="L1333" s="18" t="s">
        <v>207</v>
      </c>
      <c r="M1333" s="18" t="s">
        <v>133</v>
      </c>
      <c r="N1333" s="20"/>
      <c r="O1333" s="20"/>
      <c r="P1333" s="20"/>
      <c r="Q1333" s="18" t="b">
        <f>FALSE()</f>
        <v>0</v>
      </c>
      <c r="R1333" s="18" t="b">
        <f>FALSE()</f>
        <v>0</v>
      </c>
      <c r="S1333" s="19" t="str">
        <f t="shared" si="20"/>
        <v>N/A</v>
      </c>
      <c r="T1333">
        <f>COUNTIF('👤 Customers'!$A:$A, B1333)</f>
        <v>1</v>
      </c>
      <c r="U1333">
        <f>COUNTIF('🚴 Riders'!A1332:A1392, C1333)</f>
        <v>0</v>
      </c>
      <c r="V1333">
        <f>COUNTIF('🏭 Facilities'!A1332:A1340, D1333)</f>
        <v>0</v>
      </c>
    </row>
    <row r="1334" spans="1:22">
      <c r="A1334" s="16" t="s">
        <v>3319</v>
      </c>
      <c r="B1334" s="16" t="s">
        <v>1554</v>
      </c>
      <c r="C1334" s="16" t="s">
        <v>213</v>
      </c>
      <c r="D1334" s="16" t="s">
        <v>158</v>
      </c>
      <c r="E1334" s="25">
        <v>45617</v>
      </c>
      <c r="F1334" s="16" t="s">
        <v>3320</v>
      </c>
      <c r="G1334" s="16" t="s">
        <v>132</v>
      </c>
      <c r="H1334" s="16">
        <v>7.2</v>
      </c>
      <c r="I1334" s="16">
        <v>399</v>
      </c>
      <c r="J1334" s="16">
        <v>0</v>
      </c>
      <c r="K1334" s="16">
        <v>2872.8</v>
      </c>
      <c r="L1334" s="16" t="s">
        <v>126</v>
      </c>
      <c r="M1334" s="16" t="s">
        <v>119</v>
      </c>
      <c r="N1334" s="27">
        <v>45618.040972222225</v>
      </c>
      <c r="O1334" s="27">
        <v>45619.011805555558</v>
      </c>
      <c r="P1334" s="16">
        <v>3.8</v>
      </c>
      <c r="Q1334" s="16" t="b">
        <f>FALSE()</f>
        <v>0</v>
      </c>
      <c r="R1334" s="16" t="b">
        <f>FALSE()</f>
        <v>0</v>
      </c>
      <c r="S1334" s="17">
        <f t="shared" si="20"/>
        <v>23.3</v>
      </c>
      <c r="T1334">
        <f>COUNTIF('👤 Customers'!$A:$A, B1334)</f>
        <v>1</v>
      </c>
      <c r="U1334">
        <f>COUNTIF('🚴 Riders'!A1333:A1393, C1334)</f>
        <v>0</v>
      </c>
      <c r="V1334">
        <f>COUNTIF('🏭 Facilities'!A1333:A1341, D1334)</f>
        <v>0</v>
      </c>
    </row>
    <row r="1335" spans="1:22">
      <c r="A1335" s="18" t="s">
        <v>3321</v>
      </c>
      <c r="B1335" s="18" t="s">
        <v>817</v>
      </c>
      <c r="C1335" s="18" t="s">
        <v>183</v>
      </c>
      <c r="D1335" s="18" t="s">
        <v>130</v>
      </c>
      <c r="E1335" s="26">
        <v>45348</v>
      </c>
      <c r="F1335" s="18" t="s">
        <v>3322</v>
      </c>
      <c r="G1335" s="18" t="s">
        <v>145</v>
      </c>
      <c r="H1335" s="18">
        <v>2.2000000000000002</v>
      </c>
      <c r="I1335" s="18">
        <v>299</v>
      </c>
      <c r="J1335" s="18">
        <v>0</v>
      </c>
      <c r="K1335" s="18">
        <v>657.8</v>
      </c>
      <c r="L1335" s="18" t="s">
        <v>207</v>
      </c>
      <c r="M1335" s="18" t="s">
        <v>119</v>
      </c>
      <c r="N1335" s="28">
        <v>45348.324999999997</v>
      </c>
      <c r="O1335" s="28">
        <v>45348.909722222219</v>
      </c>
      <c r="P1335" s="18">
        <v>4.2</v>
      </c>
      <c r="Q1335" s="18" t="b">
        <f>FALSE()</f>
        <v>0</v>
      </c>
      <c r="R1335" s="18" t="b">
        <f>FALSE()</f>
        <v>0</v>
      </c>
      <c r="S1335" s="19">
        <f t="shared" si="20"/>
        <v>14</v>
      </c>
      <c r="T1335">
        <f>COUNTIF('👤 Customers'!$A:$A, B1335)</f>
        <v>1</v>
      </c>
      <c r="U1335">
        <f>COUNTIF('🚴 Riders'!A1334:A1394, C1335)</f>
        <v>0</v>
      </c>
      <c r="V1335">
        <f>COUNTIF('🏭 Facilities'!A1334:A1342, D1335)</f>
        <v>0</v>
      </c>
    </row>
    <row r="1336" spans="1:22">
      <c r="A1336" s="16" t="s">
        <v>3323</v>
      </c>
      <c r="B1336" s="16" t="s">
        <v>293</v>
      </c>
      <c r="C1336" s="16" t="s">
        <v>149</v>
      </c>
      <c r="D1336" s="16" t="s">
        <v>197</v>
      </c>
      <c r="E1336" s="25">
        <v>45102</v>
      </c>
      <c r="F1336" s="16" t="s">
        <v>3324</v>
      </c>
      <c r="G1336" s="16" t="s">
        <v>176</v>
      </c>
      <c r="H1336" s="16">
        <v>2.1</v>
      </c>
      <c r="I1336" s="16">
        <v>599</v>
      </c>
      <c r="J1336" s="16">
        <v>10</v>
      </c>
      <c r="K1336" s="16">
        <v>1132.1099999999999</v>
      </c>
      <c r="L1336" s="16" t="s">
        <v>146</v>
      </c>
      <c r="M1336" s="16" t="s">
        <v>133</v>
      </c>
      <c r="N1336" s="20"/>
      <c r="O1336" s="20"/>
      <c r="P1336" s="20"/>
      <c r="Q1336" s="16" t="b">
        <f>FALSE()</f>
        <v>0</v>
      </c>
      <c r="R1336" s="16" t="b">
        <f>FALSE()</f>
        <v>0</v>
      </c>
      <c r="S1336" s="17" t="str">
        <f t="shared" si="20"/>
        <v>N/A</v>
      </c>
      <c r="T1336">
        <f>COUNTIF('👤 Customers'!$A:$A, B1336)</f>
        <v>1</v>
      </c>
      <c r="U1336">
        <f>COUNTIF('🚴 Riders'!A1335:A1395, C1336)</f>
        <v>0</v>
      </c>
      <c r="V1336">
        <f>COUNTIF('🏭 Facilities'!A1335:A1343, D1336)</f>
        <v>0</v>
      </c>
    </row>
    <row r="1337" spans="1:22">
      <c r="A1337" s="18" t="s">
        <v>3325</v>
      </c>
      <c r="B1337" s="18" t="s">
        <v>1036</v>
      </c>
      <c r="C1337" s="18" t="s">
        <v>283</v>
      </c>
      <c r="D1337" s="18" t="s">
        <v>205</v>
      </c>
      <c r="E1337" s="26">
        <v>45520</v>
      </c>
      <c r="F1337" s="18" t="s">
        <v>3326</v>
      </c>
      <c r="G1337" s="18" t="s">
        <v>125</v>
      </c>
      <c r="H1337" s="18">
        <v>3.8</v>
      </c>
      <c r="I1337" s="18">
        <v>199</v>
      </c>
      <c r="J1337" s="18">
        <v>20</v>
      </c>
      <c r="K1337" s="18">
        <v>604.96</v>
      </c>
      <c r="L1337" s="18" t="s">
        <v>146</v>
      </c>
      <c r="M1337" s="18" t="s">
        <v>119</v>
      </c>
      <c r="N1337" s="28">
        <v>45520.69027777778</v>
      </c>
      <c r="O1337" s="28">
        <v>45521.504861111112</v>
      </c>
      <c r="P1337" s="18">
        <v>2.9</v>
      </c>
      <c r="Q1337" s="18" t="b">
        <f>FALSE()</f>
        <v>0</v>
      </c>
      <c r="R1337" s="18" t="b">
        <f>FALSE()</f>
        <v>0</v>
      </c>
      <c r="S1337" s="19">
        <f t="shared" si="20"/>
        <v>19.5</v>
      </c>
      <c r="T1337">
        <f>COUNTIF('👤 Customers'!$A:$A, B1337)</f>
        <v>1</v>
      </c>
      <c r="U1337">
        <f>COUNTIF('🚴 Riders'!A1336:A1396, C1337)</f>
        <v>0</v>
      </c>
      <c r="V1337">
        <f>COUNTIF('🏭 Facilities'!A1336:A1344, D1337)</f>
        <v>0</v>
      </c>
    </row>
    <row r="1338" spans="1:22">
      <c r="A1338" s="16" t="s">
        <v>3327</v>
      </c>
      <c r="B1338" s="16" t="s">
        <v>436</v>
      </c>
      <c r="C1338" s="16" t="s">
        <v>276</v>
      </c>
      <c r="D1338" s="16" t="s">
        <v>197</v>
      </c>
      <c r="E1338" s="25">
        <v>45332</v>
      </c>
      <c r="F1338" s="16" t="s">
        <v>3328</v>
      </c>
      <c r="G1338" s="16" t="s">
        <v>125</v>
      </c>
      <c r="H1338" s="16">
        <v>7</v>
      </c>
      <c r="I1338" s="16">
        <v>199</v>
      </c>
      <c r="J1338" s="16">
        <v>20</v>
      </c>
      <c r="K1338" s="16">
        <v>1114.4000000000001</v>
      </c>
      <c r="L1338" s="16" t="s">
        <v>139</v>
      </c>
      <c r="M1338" s="16" t="s">
        <v>119</v>
      </c>
      <c r="N1338" s="27">
        <v>45333.084722222222</v>
      </c>
      <c r="O1338" s="27">
        <v>45333.881249999999</v>
      </c>
      <c r="P1338" s="16">
        <v>4.8</v>
      </c>
      <c r="Q1338" s="16" t="b">
        <f>FALSE()</f>
        <v>0</v>
      </c>
      <c r="R1338" s="16" t="b">
        <f>FALSE()</f>
        <v>0</v>
      </c>
      <c r="S1338" s="17">
        <f t="shared" si="20"/>
        <v>19.100000000000001</v>
      </c>
      <c r="T1338">
        <f>COUNTIF('👤 Customers'!$A:$A, B1338)</f>
        <v>1</v>
      </c>
      <c r="U1338">
        <f>COUNTIF('🚴 Riders'!A1337:A1397, C1338)</f>
        <v>0</v>
      </c>
      <c r="V1338">
        <f>COUNTIF('🏭 Facilities'!A1337:A1345, D1338)</f>
        <v>0</v>
      </c>
    </row>
    <row r="1339" spans="1:22">
      <c r="A1339" s="18" t="s">
        <v>3329</v>
      </c>
      <c r="B1339" s="18" t="s">
        <v>919</v>
      </c>
      <c r="C1339" s="18" t="s">
        <v>149</v>
      </c>
      <c r="D1339" s="18" t="s">
        <v>184</v>
      </c>
      <c r="E1339" s="26">
        <v>45387</v>
      </c>
      <c r="F1339" s="18" t="s">
        <v>3330</v>
      </c>
      <c r="G1339" s="18" t="s">
        <v>145</v>
      </c>
      <c r="H1339" s="18">
        <v>5.0999999999999996</v>
      </c>
      <c r="I1339" s="18">
        <v>299</v>
      </c>
      <c r="J1339" s="18">
        <v>0</v>
      </c>
      <c r="K1339" s="18">
        <v>1524.9</v>
      </c>
      <c r="L1339" s="18" t="s">
        <v>207</v>
      </c>
      <c r="M1339" s="18" t="s">
        <v>119</v>
      </c>
      <c r="N1339" s="28">
        <v>45388.022916666669</v>
      </c>
      <c r="O1339" s="28">
        <v>45388.59375</v>
      </c>
      <c r="P1339" s="18">
        <v>4.3</v>
      </c>
      <c r="Q1339" s="18" t="b">
        <f>FALSE()</f>
        <v>0</v>
      </c>
      <c r="R1339" s="18" t="b">
        <f>FALSE()</f>
        <v>0</v>
      </c>
      <c r="S1339" s="19">
        <f t="shared" si="20"/>
        <v>13.7</v>
      </c>
      <c r="T1339">
        <f>COUNTIF('👤 Customers'!$A:$A, B1339)</f>
        <v>1</v>
      </c>
      <c r="U1339">
        <f>COUNTIF('🚴 Riders'!A1338:A1398, C1339)</f>
        <v>0</v>
      </c>
      <c r="V1339">
        <f>COUNTIF('🏭 Facilities'!A1338:A1346, D1339)</f>
        <v>0</v>
      </c>
    </row>
    <row r="1340" spans="1:22">
      <c r="A1340" s="16" t="s">
        <v>3331</v>
      </c>
      <c r="B1340" s="16" t="s">
        <v>3332</v>
      </c>
      <c r="C1340" s="16" t="s">
        <v>717</v>
      </c>
      <c r="D1340" s="16" t="s">
        <v>130</v>
      </c>
      <c r="E1340" s="25">
        <v>45565</v>
      </c>
      <c r="F1340" s="16" t="s">
        <v>3333</v>
      </c>
      <c r="G1340" s="16" t="s">
        <v>145</v>
      </c>
      <c r="H1340" s="16">
        <v>4.7</v>
      </c>
      <c r="I1340" s="16">
        <v>299</v>
      </c>
      <c r="J1340" s="16">
        <v>10</v>
      </c>
      <c r="K1340" s="16">
        <v>1264.77</v>
      </c>
      <c r="L1340" s="16" t="s">
        <v>118</v>
      </c>
      <c r="M1340" s="16" t="s">
        <v>133</v>
      </c>
      <c r="N1340" s="20"/>
      <c r="O1340" s="20"/>
      <c r="P1340" s="20"/>
      <c r="Q1340" s="16" t="b">
        <f>FALSE()</f>
        <v>0</v>
      </c>
      <c r="R1340" s="16" t="b">
        <f>FALSE()</f>
        <v>0</v>
      </c>
      <c r="S1340" s="17" t="str">
        <f t="shared" si="20"/>
        <v>N/A</v>
      </c>
      <c r="T1340">
        <f>COUNTIF('👤 Customers'!$A:$A, B1340)</f>
        <v>1</v>
      </c>
      <c r="U1340">
        <f>COUNTIF('🚴 Riders'!A1339:A1399, C1340)</f>
        <v>0</v>
      </c>
      <c r="V1340">
        <f>COUNTIF('🏭 Facilities'!A1339:A1347, D1340)</f>
        <v>0</v>
      </c>
    </row>
    <row r="1341" spans="1:22">
      <c r="A1341" s="18" t="s">
        <v>3334</v>
      </c>
      <c r="B1341" s="18" t="s">
        <v>436</v>
      </c>
      <c r="C1341" s="18" t="s">
        <v>149</v>
      </c>
      <c r="D1341" s="18" t="s">
        <v>123</v>
      </c>
      <c r="E1341" s="26">
        <v>45619</v>
      </c>
      <c r="F1341" s="18" t="s">
        <v>3335</v>
      </c>
      <c r="G1341" s="18" t="s">
        <v>132</v>
      </c>
      <c r="H1341" s="18">
        <v>3.4</v>
      </c>
      <c r="I1341" s="18">
        <v>399</v>
      </c>
      <c r="J1341" s="18">
        <v>0</v>
      </c>
      <c r="K1341" s="18">
        <v>1356.6</v>
      </c>
      <c r="L1341" s="18" t="s">
        <v>207</v>
      </c>
      <c r="M1341" s="18" t="s">
        <v>119</v>
      </c>
      <c r="N1341" s="28">
        <v>45619.263194444444</v>
      </c>
      <c r="O1341" s="28">
        <v>45620.027083333334</v>
      </c>
      <c r="P1341" s="18">
        <v>3.9</v>
      </c>
      <c r="Q1341" s="18" t="b">
        <f>FALSE()</f>
        <v>0</v>
      </c>
      <c r="R1341" s="18" t="b">
        <f>FALSE()</f>
        <v>0</v>
      </c>
      <c r="S1341" s="19">
        <f t="shared" si="20"/>
        <v>18.3</v>
      </c>
      <c r="T1341">
        <f>COUNTIF('👤 Customers'!$A:$A, B1341)</f>
        <v>1</v>
      </c>
      <c r="U1341">
        <f>COUNTIF('🚴 Riders'!A1340:A1400, C1341)</f>
        <v>0</v>
      </c>
      <c r="V1341">
        <f>COUNTIF('🏭 Facilities'!A1340:A1348, D1341)</f>
        <v>0</v>
      </c>
    </row>
    <row r="1342" spans="1:22">
      <c r="A1342" s="16" t="s">
        <v>3336</v>
      </c>
      <c r="B1342" s="16" t="s">
        <v>811</v>
      </c>
      <c r="C1342" s="16" t="s">
        <v>483</v>
      </c>
      <c r="D1342" s="16" t="s">
        <v>158</v>
      </c>
      <c r="E1342" s="25">
        <v>45414</v>
      </c>
      <c r="F1342" s="16" t="s">
        <v>3337</v>
      </c>
      <c r="G1342" s="16" t="s">
        <v>145</v>
      </c>
      <c r="H1342" s="16">
        <v>2</v>
      </c>
      <c r="I1342" s="16">
        <v>299</v>
      </c>
      <c r="J1342" s="16">
        <v>10</v>
      </c>
      <c r="K1342" s="16">
        <v>538.20000000000005</v>
      </c>
      <c r="L1342" s="16" t="s">
        <v>139</v>
      </c>
      <c r="M1342" s="16" t="s">
        <v>119</v>
      </c>
      <c r="N1342" s="27">
        <v>45414.423611111109</v>
      </c>
      <c r="O1342" s="27">
        <v>45415.46875</v>
      </c>
      <c r="P1342" s="16">
        <v>2.6</v>
      </c>
      <c r="Q1342" s="16" t="b">
        <f>TRUE()</f>
        <v>1</v>
      </c>
      <c r="R1342" s="16" t="b">
        <f>FALSE()</f>
        <v>0</v>
      </c>
      <c r="S1342" s="17">
        <f t="shared" si="20"/>
        <v>25.1</v>
      </c>
      <c r="T1342">
        <f>COUNTIF('👤 Customers'!$A:$A, B1342)</f>
        <v>1</v>
      </c>
      <c r="U1342">
        <f>COUNTIF('🚴 Riders'!A1341:A1401, C1342)</f>
        <v>0</v>
      </c>
      <c r="V1342">
        <f>COUNTIF('🏭 Facilities'!A1341:A1349, D1342)</f>
        <v>0</v>
      </c>
    </row>
    <row r="1343" spans="1:22">
      <c r="A1343" s="18" t="s">
        <v>3338</v>
      </c>
      <c r="B1343" s="18" t="s">
        <v>250</v>
      </c>
      <c r="C1343" s="18" t="s">
        <v>153</v>
      </c>
      <c r="D1343" s="18" t="s">
        <v>197</v>
      </c>
      <c r="E1343" s="26">
        <v>45282</v>
      </c>
      <c r="F1343" s="18" t="s">
        <v>3339</v>
      </c>
      <c r="G1343" s="18" t="s">
        <v>117</v>
      </c>
      <c r="H1343" s="18">
        <v>5.8</v>
      </c>
      <c r="I1343" s="18">
        <v>149</v>
      </c>
      <c r="J1343" s="18">
        <v>0</v>
      </c>
      <c r="K1343" s="18">
        <v>864.2</v>
      </c>
      <c r="L1343" s="18" t="s">
        <v>146</v>
      </c>
      <c r="M1343" s="18" t="s">
        <v>133</v>
      </c>
      <c r="N1343" s="20"/>
      <c r="O1343" s="20"/>
      <c r="P1343" s="20"/>
      <c r="Q1343" s="18" t="b">
        <f>FALSE()</f>
        <v>0</v>
      </c>
      <c r="R1343" s="18" t="b">
        <f>FALSE()</f>
        <v>0</v>
      </c>
      <c r="S1343" s="19" t="str">
        <f t="shared" si="20"/>
        <v>N/A</v>
      </c>
      <c r="T1343">
        <f>COUNTIF('👤 Customers'!$A:$A, B1343)</f>
        <v>1</v>
      </c>
      <c r="U1343">
        <f>COUNTIF('🚴 Riders'!A1342:A1402, C1343)</f>
        <v>0</v>
      </c>
      <c r="V1343">
        <f>COUNTIF('🏭 Facilities'!A1342:A1350, D1343)</f>
        <v>0</v>
      </c>
    </row>
    <row r="1344" spans="1:22">
      <c r="A1344" s="16" t="s">
        <v>3340</v>
      </c>
      <c r="B1344" s="16" t="s">
        <v>1108</v>
      </c>
      <c r="C1344" s="16" t="s">
        <v>354</v>
      </c>
      <c r="D1344" s="16" t="s">
        <v>197</v>
      </c>
      <c r="E1344" s="25">
        <v>45318</v>
      </c>
      <c r="F1344" s="16" t="s">
        <v>3341</v>
      </c>
      <c r="G1344" s="16" t="s">
        <v>117</v>
      </c>
      <c r="H1344" s="16">
        <v>1.8</v>
      </c>
      <c r="I1344" s="16">
        <v>149</v>
      </c>
      <c r="J1344" s="16">
        <v>0</v>
      </c>
      <c r="K1344" s="16">
        <v>268.2</v>
      </c>
      <c r="L1344" s="16" t="s">
        <v>139</v>
      </c>
      <c r="M1344" s="16" t="s">
        <v>119</v>
      </c>
      <c r="N1344" s="27">
        <v>45318.664583333331</v>
      </c>
      <c r="O1344" s="27">
        <v>45319.397916666669</v>
      </c>
      <c r="P1344" s="16">
        <v>3.2</v>
      </c>
      <c r="Q1344" s="16" t="b">
        <f>FALSE()</f>
        <v>0</v>
      </c>
      <c r="R1344" s="16" t="b">
        <f>TRUE()</f>
        <v>1</v>
      </c>
      <c r="S1344" s="17">
        <f t="shared" si="20"/>
        <v>17.600000000000001</v>
      </c>
      <c r="T1344">
        <f>COUNTIF('👤 Customers'!$A:$A, B1344)</f>
        <v>1</v>
      </c>
      <c r="U1344">
        <f>COUNTIF('🚴 Riders'!A1343:A1403, C1344)</f>
        <v>0</v>
      </c>
      <c r="V1344">
        <f>COUNTIF('🏭 Facilities'!A1343:A1351, D1344)</f>
        <v>0</v>
      </c>
    </row>
    <row r="1345" spans="1:22">
      <c r="A1345" s="18" t="s">
        <v>3342</v>
      </c>
      <c r="B1345" s="18" t="s">
        <v>1102</v>
      </c>
      <c r="C1345" s="18" t="s">
        <v>315</v>
      </c>
      <c r="D1345" s="18" t="s">
        <v>197</v>
      </c>
      <c r="E1345" s="26">
        <v>45152</v>
      </c>
      <c r="F1345" s="18" t="s">
        <v>3343</v>
      </c>
      <c r="G1345" s="18" t="s">
        <v>117</v>
      </c>
      <c r="H1345" s="18">
        <v>1.1000000000000001</v>
      </c>
      <c r="I1345" s="18">
        <v>149</v>
      </c>
      <c r="J1345" s="18">
        <v>10</v>
      </c>
      <c r="K1345" s="18">
        <v>147.51</v>
      </c>
      <c r="L1345" s="18" t="s">
        <v>126</v>
      </c>
      <c r="M1345" s="18" t="s">
        <v>140</v>
      </c>
      <c r="N1345" s="28">
        <v>45152.375694444447</v>
      </c>
      <c r="O1345" s="28">
        <v>45153.345138888886</v>
      </c>
      <c r="P1345" s="20"/>
      <c r="Q1345" s="18" t="b">
        <f>FALSE()</f>
        <v>0</v>
      </c>
      <c r="R1345" s="18" t="b">
        <f>TRUE()</f>
        <v>1</v>
      </c>
      <c r="S1345" s="19">
        <f t="shared" si="20"/>
        <v>23.3</v>
      </c>
      <c r="T1345">
        <f>COUNTIF('👤 Customers'!$A:$A, B1345)</f>
        <v>1</v>
      </c>
      <c r="U1345">
        <f>COUNTIF('🚴 Riders'!A1344:A1404, C1345)</f>
        <v>0</v>
      </c>
      <c r="V1345">
        <f>COUNTIF('🏭 Facilities'!A1344:A1352, D1345)</f>
        <v>0</v>
      </c>
    </row>
    <row r="1346" spans="1:22">
      <c r="A1346" s="16" t="s">
        <v>3344</v>
      </c>
      <c r="B1346" s="16" t="s">
        <v>1589</v>
      </c>
      <c r="C1346" s="16" t="s">
        <v>339</v>
      </c>
      <c r="D1346" s="16" t="s">
        <v>123</v>
      </c>
      <c r="E1346" s="25">
        <v>45283</v>
      </c>
      <c r="F1346" s="16" t="s">
        <v>3345</v>
      </c>
      <c r="G1346" s="16" t="s">
        <v>125</v>
      </c>
      <c r="H1346" s="16">
        <v>3.8</v>
      </c>
      <c r="I1346" s="16">
        <v>199</v>
      </c>
      <c r="J1346" s="16">
        <v>0</v>
      </c>
      <c r="K1346" s="16">
        <v>756.2</v>
      </c>
      <c r="L1346" s="16" t="s">
        <v>118</v>
      </c>
      <c r="M1346" s="16" t="s">
        <v>133</v>
      </c>
      <c r="N1346" s="20"/>
      <c r="O1346" s="20"/>
      <c r="P1346" s="20"/>
      <c r="Q1346" s="16" t="b">
        <f>FALSE()</f>
        <v>0</v>
      </c>
      <c r="R1346" s="16" t="b">
        <f>FALSE()</f>
        <v>0</v>
      </c>
      <c r="S1346" s="17" t="str">
        <f t="shared" ref="S1346:S1409" si="21">IF(OR(N1346="",O1346=""),"N/A",ROUND(((O1346-N1346)*24),1))</f>
        <v>N/A</v>
      </c>
      <c r="T1346">
        <f>COUNTIF('👤 Customers'!$A:$A, B1346)</f>
        <v>1</v>
      </c>
      <c r="U1346">
        <f>COUNTIF('🚴 Riders'!A1345:A1405, C1346)</f>
        <v>0</v>
      </c>
      <c r="V1346">
        <f>COUNTIF('🏭 Facilities'!A1345:A1353, D1346)</f>
        <v>0</v>
      </c>
    </row>
    <row r="1347" spans="1:22">
      <c r="A1347" s="18" t="s">
        <v>3346</v>
      </c>
      <c r="B1347" s="18" t="s">
        <v>1694</v>
      </c>
      <c r="C1347" s="18" t="s">
        <v>322</v>
      </c>
      <c r="D1347" s="18" t="s">
        <v>130</v>
      </c>
      <c r="E1347" s="26">
        <v>44927</v>
      </c>
      <c r="F1347" s="18" t="s">
        <v>3347</v>
      </c>
      <c r="G1347" s="18" t="s">
        <v>176</v>
      </c>
      <c r="H1347" s="18">
        <v>7.1</v>
      </c>
      <c r="I1347" s="18">
        <v>599</v>
      </c>
      <c r="J1347" s="18">
        <v>0</v>
      </c>
      <c r="K1347" s="18">
        <v>4252.8999999999996</v>
      </c>
      <c r="L1347" s="18" t="s">
        <v>146</v>
      </c>
      <c r="M1347" s="18" t="s">
        <v>119</v>
      </c>
      <c r="N1347" s="28">
        <v>44927.571527777778</v>
      </c>
      <c r="O1347" s="28">
        <v>44928.493750000001</v>
      </c>
      <c r="P1347" s="18">
        <v>4</v>
      </c>
      <c r="Q1347" s="18" t="b">
        <f>FALSE()</f>
        <v>0</v>
      </c>
      <c r="R1347" s="18" t="b">
        <f>FALSE()</f>
        <v>0</v>
      </c>
      <c r="S1347" s="19">
        <f t="shared" si="21"/>
        <v>22.1</v>
      </c>
      <c r="T1347">
        <f>COUNTIF('👤 Customers'!$A:$A, B1347)</f>
        <v>1</v>
      </c>
      <c r="U1347">
        <f>COUNTIF('🚴 Riders'!A1346:A1406, C1347)</f>
        <v>0</v>
      </c>
      <c r="V1347">
        <f>COUNTIF('🏭 Facilities'!A1346:A1354, D1347)</f>
        <v>0</v>
      </c>
    </row>
    <row r="1348" spans="1:22">
      <c r="A1348" s="16" t="s">
        <v>3348</v>
      </c>
      <c r="B1348" s="16" t="s">
        <v>1410</v>
      </c>
      <c r="C1348" s="16" t="s">
        <v>170</v>
      </c>
      <c r="D1348" s="16" t="s">
        <v>184</v>
      </c>
      <c r="E1348" s="25">
        <v>45504</v>
      </c>
      <c r="F1348" s="16" t="s">
        <v>3349</v>
      </c>
      <c r="G1348" s="16" t="s">
        <v>125</v>
      </c>
      <c r="H1348" s="16">
        <v>4.9000000000000004</v>
      </c>
      <c r="I1348" s="16">
        <v>199</v>
      </c>
      <c r="J1348" s="16">
        <v>0</v>
      </c>
      <c r="K1348" s="16">
        <v>975.1</v>
      </c>
      <c r="L1348" s="16" t="s">
        <v>126</v>
      </c>
      <c r="M1348" s="16" t="s">
        <v>119</v>
      </c>
      <c r="N1348" s="27">
        <v>45504.526388888888</v>
      </c>
      <c r="O1348" s="27">
        <v>45505.549305555556</v>
      </c>
      <c r="P1348" s="16">
        <v>2.5</v>
      </c>
      <c r="Q1348" s="16" t="b">
        <f>TRUE()</f>
        <v>1</v>
      </c>
      <c r="R1348" s="16" t="b">
        <f>FALSE()</f>
        <v>0</v>
      </c>
      <c r="S1348" s="17">
        <f t="shared" si="21"/>
        <v>24.6</v>
      </c>
      <c r="T1348">
        <f>COUNTIF('👤 Customers'!$A:$A, B1348)</f>
        <v>1</v>
      </c>
      <c r="U1348">
        <f>COUNTIF('🚴 Riders'!A1347:A1407, C1348)</f>
        <v>0</v>
      </c>
      <c r="V1348">
        <f>COUNTIF('🏭 Facilities'!A1347:A1355, D1348)</f>
        <v>0</v>
      </c>
    </row>
    <row r="1349" spans="1:22">
      <c r="A1349" s="18" t="s">
        <v>3350</v>
      </c>
      <c r="B1349" s="18" t="s">
        <v>2847</v>
      </c>
      <c r="C1349" s="18" t="s">
        <v>265</v>
      </c>
      <c r="D1349" s="18" t="s">
        <v>158</v>
      </c>
      <c r="E1349" s="26">
        <v>45230</v>
      </c>
      <c r="F1349" s="18" t="s">
        <v>3351</v>
      </c>
      <c r="G1349" s="18" t="s">
        <v>145</v>
      </c>
      <c r="H1349" s="18">
        <v>1.7</v>
      </c>
      <c r="I1349" s="18">
        <v>299</v>
      </c>
      <c r="J1349" s="18">
        <v>20</v>
      </c>
      <c r="K1349" s="18">
        <v>406.64</v>
      </c>
      <c r="L1349" s="18" t="s">
        <v>118</v>
      </c>
      <c r="M1349" s="18" t="s">
        <v>133</v>
      </c>
      <c r="N1349" s="20"/>
      <c r="O1349" s="20"/>
      <c r="P1349" s="20"/>
      <c r="Q1349" s="18" t="b">
        <f>TRUE()</f>
        <v>1</v>
      </c>
      <c r="R1349" s="18" t="b">
        <f>FALSE()</f>
        <v>0</v>
      </c>
      <c r="S1349" s="19" t="str">
        <f t="shared" si="21"/>
        <v>N/A</v>
      </c>
      <c r="T1349">
        <f>COUNTIF('👤 Customers'!$A:$A, B1349)</f>
        <v>1</v>
      </c>
      <c r="U1349">
        <f>COUNTIF('🚴 Riders'!A1348:A1408, C1349)</f>
        <v>0</v>
      </c>
      <c r="V1349">
        <f>COUNTIF('🏭 Facilities'!A1348:A1356, D1349)</f>
        <v>0</v>
      </c>
    </row>
    <row r="1350" spans="1:22">
      <c r="A1350" s="16" t="s">
        <v>3352</v>
      </c>
      <c r="B1350" s="16" t="s">
        <v>1480</v>
      </c>
      <c r="C1350" s="16" t="s">
        <v>174</v>
      </c>
      <c r="D1350" s="16" t="s">
        <v>115</v>
      </c>
      <c r="E1350" s="25">
        <v>45366</v>
      </c>
      <c r="F1350" s="16" t="s">
        <v>3353</v>
      </c>
      <c r="G1350" s="16" t="s">
        <v>132</v>
      </c>
      <c r="H1350" s="16">
        <v>6.8</v>
      </c>
      <c r="I1350" s="16">
        <v>399</v>
      </c>
      <c r="J1350" s="16">
        <v>30</v>
      </c>
      <c r="K1350" s="16">
        <v>1899.24</v>
      </c>
      <c r="L1350" s="16" t="s">
        <v>126</v>
      </c>
      <c r="M1350" s="16" t="s">
        <v>140</v>
      </c>
      <c r="N1350" s="27">
        <v>45366.250694444447</v>
      </c>
      <c r="O1350" s="27">
        <v>45367.321527777778</v>
      </c>
      <c r="P1350" s="20"/>
      <c r="Q1350" s="16" t="b">
        <f>FALSE()</f>
        <v>0</v>
      </c>
      <c r="R1350" s="16" t="b">
        <f>FALSE()</f>
        <v>0</v>
      </c>
      <c r="S1350" s="17">
        <f t="shared" si="21"/>
        <v>25.7</v>
      </c>
      <c r="T1350">
        <f>COUNTIF('👤 Customers'!$A:$A, B1350)</f>
        <v>1</v>
      </c>
      <c r="U1350">
        <f>COUNTIF('🚴 Riders'!A1349:A1409, C1350)</f>
        <v>0</v>
      </c>
      <c r="V1350">
        <f>COUNTIF('🏭 Facilities'!A1349:A1357, D1350)</f>
        <v>0</v>
      </c>
    </row>
    <row r="1351" spans="1:22">
      <c r="A1351" s="18" t="s">
        <v>3354</v>
      </c>
      <c r="B1351" s="18" t="s">
        <v>165</v>
      </c>
      <c r="C1351" s="18" t="s">
        <v>224</v>
      </c>
      <c r="D1351" s="18" t="s">
        <v>197</v>
      </c>
      <c r="E1351" s="26">
        <v>45052</v>
      </c>
      <c r="F1351" s="18" t="s">
        <v>3355</v>
      </c>
      <c r="G1351" s="18" t="s">
        <v>145</v>
      </c>
      <c r="H1351" s="18">
        <v>7.1</v>
      </c>
      <c r="I1351" s="18">
        <v>299</v>
      </c>
      <c r="J1351" s="18">
        <v>20</v>
      </c>
      <c r="K1351" s="18">
        <v>1698.32</v>
      </c>
      <c r="L1351" s="18" t="s">
        <v>126</v>
      </c>
      <c r="M1351" s="18" t="s">
        <v>119</v>
      </c>
      <c r="N1351" s="28">
        <v>45052.862500000003</v>
      </c>
      <c r="O1351" s="28">
        <v>45053.75277777778</v>
      </c>
      <c r="P1351" s="18">
        <v>3.1</v>
      </c>
      <c r="Q1351" s="18" t="b">
        <f>FALSE()</f>
        <v>0</v>
      </c>
      <c r="R1351" s="18" t="b">
        <f>FALSE()</f>
        <v>0</v>
      </c>
      <c r="S1351" s="19">
        <f t="shared" si="21"/>
        <v>21.4</v>
      </c>
      <c r="T1351">
        <f>COUNTIF('👤 Customers'!$A:$A, B1351)</f>
        <v>1</v>
      </c>
      <c r="U1351">
        <f>COUNTIF('🚴 Riders'!A1350:A1410, C1351)</f>
        <v>0</v>
      </c>
      <c r="V1351">
        <f>COUNTIF('🏭 Facilities'!A1350:A1358, D1351)</f>
        <v>0</v>
      </c>
    </row>
    <row r="1352" spans="1:22">
      <c r="A1352" s="16" t="s">
        <v>3356</v>
      </c>
      <c r="B1352" s="16" t="s">
        <v>2265</v>
      </c>
      <c r="C1352" s="16" t="s">
        <v>580</v>
      </c>
      <c r="D1352" s="16" t="s">
        <v>158</v>
      </c>
      <c r="E1352" s="25">
        <v>45122</v>
      </c>
      <c r="F1352" s="16" t="s">
        <v>3357</v>
      </c>
      <c r="G1352" s="16" t="s">
        <v>132</v>
      </c>
      <c r="H1352" s="16">
        <v>5.2</v>
      </c>
      <c r="I1352" s="16">
        <v>399</v>
      </c>
      <c r="J1352" s="16">
        <v>20</v>
      </c>
      <c r="K1352" s="16">
        <v>1659.84</v>
      </c>
      <c r="L1352" s="16" t="s">
        <v>118</v>
      </c>
      <c r="M1352" s="16" t="s">
        <v>119</v>
      </c>
      <c r="N1352" s="27">
        <v>45122.875694444447</v>
      </c>
      <c r="O1352" s="27">
        <v>45123.745833333334</v>
      </c>
      <c r="P1352" s="16">
        <v>2.9</v>
      </c>
      <c r="Q1352" s="16" t="b">
        <f>FALSE()</f>
        <v>0</v>
      </c>
      <c r="R1352" s="16" t="b">
        <f>FALSE()</f>
        <v>0</v>
      </c>
      <c r="S1352" s="17">
        <f t="shared" si="21"/>
        <v>20.9</v>
      </c>
      <c r="T1352">
        <f>COUNTIF('👤 Customers'!$A:$A, B1352)</f>
        <v>1</v>
      </c>
      <c r="U1352">
        <f>COUNTIF('🚴 Riders'!A1351:A1411, C1352)</f>
        <v>0</v>
      </c>
      <c r="V1352">
        <f>COUNTIF('🏭 Facilities'!A1351:A1359, D1352)</f>
        <v>0</v>
      </c>
    </row>
    <row r="1353" spans="1:22">
      <c r="A1353" s="18" t="s">
        <v>3358</v>
      </c>
      <c r="B1353" s="18" t="s">
        <v>1911</v>
      </c>
      <c r="C1353" s="18" t="s">
        <v>247</v>
      </c>
      <c r="D1353" s="18" t="s">
        <v>137</v>
      </c>
      <c r="E1353" s="26">
        <v>45538</v>
      </c>
      <c r="F1353" s="18" t="s">
        <v>3359</v>
      </c>
      <c r="G1353" s="18" t="s">
        <v>132</v>
      </c>
      <c r="H1353" s="18">
        <v>1.8</v>
      </c>
      <c r="I1353" s="18">
        <v>399</v>
      </c>
      <c r="J1353" s="18">
        <v>20</v>
      </c>
      <c r="K1353" s="18">
        <v>574.55999999999995</v>
      </c>
      <c r="L1353" s="18" t="s">
        <v>207</v>
      </c>
      <c r="M1353" s="18" t="s">
        <v>133</v>
      </c>
      <c r="N1353" s="20"/>
      <c r="O1353" s="20"/>
      <c r="P1353" s="20"/>
      <c r="Q1353" s="18" t="b">
        <f>FALSE()</f>
        <v>0</v>
      </c>
      <c r="R1353" s="18" t="b">
        <f>TRUE()</f>
        <v>1</v>
      </c>
      <c r="S1353" s="19" t="str">
        <f t="shared" si="21"/>
        <v>N/A</v>
      </c>
      <c r="T1353">
        <f>COUNTIF('👤 Customers'!$A:$A, B1353)</f>
        <v>1</v>
      </c>
      <c r="U1353">
        <f>COUNTIF('🚴 Riders'!A1352:A1412, C1353)</f>
        <v>0</v>
      </c>
      <c r="V1353">
        <f>COUNTIF('🏭 Facilities'!A1352:A1360, D1353)</f>
        <v>0</v>
      </c>
    </row>
    <row r="1354" spans="1:22">
      <c r="A1354" s="16" t="s">
        <v>3360</v>
      </c>
      <c r="B1354" s="16" t="s">
        <v>737</v>
      </c>
      <c r="C1354" s="16" t="s">
        <v>236</v>
      </c>
      <c r="D1354" s="16" t="s">
        <v>123</v>
      </c>
      <c r="E1354" s="25">
        <v>45400</v>
      </c>
      <c r="F1354" s="16" t="s">
        <v>3361</v>
      </c>
      <c r="G1354" s="16" t="s">
        <v>125</v>
      </c>
      <c r="H1354" s="16">
        <v>3.3</v>
      </c>
      <c r="I1354" s="16">
        <v>199</v>
      </c>
      <c r="J1354" s="16">
        <v>0</v>
      </c>
      <c r="K1354" s="16">
        <v>656.7</v>
      </c>
      <c r="L1354" s="16" t="s">
        <v>139</v>
      </c>
      <c r="M1354" s="16" t="s">
        <v>140</v>
      </c>
      <c r="N1354" s="27">
        <v>45400.129861111112</v>
      </c>
      <c r="O1354" s="27">
        <v>45400.709027777775</v>
      </c>
      <c r="P1354" s="20"/>
      <c r="Q1354" s="16" t="b">
        <f>FALSE()</f>
        <v>0</v>
      </c>
      <c r="R1354" s="16" t="b">
        <f>FALSE()</f>
        <v>0</v>
      </c>
      <c r="S1354" s="17">
        <f t="shared" si="21"/>
        <v>13.9</v>
      </c>
      <c r="T1354">
        <f>COUNTIF('👤 Customers'!$A:$A, B1354)</f>
        <v>1</v>
      </c>
      <c r="U1354">
        <f>COUNTIF('🚴 Riders'!A1353:A1413, C1354)</f>
        <v>0</v>
      </c>
      <c r="V1354">
        <f>COUNTIF('🏭 Facilities'!A1353:A1361, D1354)</f>
        <v>0</v>
      </c>
    </row>
    <row r="1355" spans="1:22">
      <c r="A1355" s="18" t="s">
        <v>3362</v>
      </c>
      <c r="B1355" s="18" t="s">
        <v>1948</v>
      </c>
      <c r="C1355" s="18" t="s">
        <v>339</v>
      </c>
      <c r="D1355" s="18" t="s">
        <v>130</v>
      </c>
      <c r="E1355" s="26">
        <v>45151</v>
      </c>
      <c r="F1355" s="18" t="s">
        <v>3363</v>
      </c>
      <c r="G1355" s="18" t="s">
        <v>117</v>
      </c>
      <c r="H1355" s="18">
        <v>3.6</v>
      </c>
      <c r="I1355" s="18">
        <v>149</v>
      </c>
      <c r="J1355" s="18">
        <v>0</v>
      </c>
      <c r="K1355" s="18">
        <v>536.4</v>
      </c>
      <c r="L1355" s="18" t="s">
        <v>118</v>
      </c>
      <c r="M1355" s="18" t="s">
        <v>119</v>
      </c>
      <c r="N1355" s="28">
        <v>45151.209722222222</v>
      </c>
      <c r="O1355" s="28">
        <v>45151.642361111109</v>
      </c>
      <c r="P1355" s="18">
        <v>2.5</v>
      </c>
      <c r="Q1355" s="18" t="b">
        <f>FALSE()</f>
        <v>0</v>
      </c>
      <c r="R1355" s="18" t="b">
        <f>FALSE()</f>
        <v>0</v>
      </c>
      <c r="S1355" s="19">
        <f t="shared" si="21"/>
        <v>10.4</v>
      </c>
      <c r="T1355">
        <f>COUNTIF('👤 Customers'!$A:$A, B1355)</f>
        <v>1</v>
      </c>
      <c r="U1355">
        <f>COUNTIF('🚴 Riders'!A1354:A1414, C1355)</f>
        <v>0</v>
      </c>
      <c r="V1355">
        <f>COUNTIF('🏭 Facilities'!A1354:A1362, D1355)</f>
        <v>0</v>
      </c>
    </row>
    <row r="1356" spans="1:22">
      <c r="A1356" s="16" t="s">
        <v>3364</v>
      </c>
      <c r="B1356" s="16" t="s">
        <v>1030</v>
      </c>
      <c r="C1356" s="16" t="s">
        <v>149</v>
      </c>
      <c r="D1356" s="16" t="s">
        <v>130</v>
      </c>
      <c r="E1356" s="25">
        <v>45150</v>
      </c>
      <c r="F1356" s="16" t="s">
        <v>3365</v>
      </c>
      <c r="G1356" s="16" t="s">
        <v>117</v>
      </c>
      <c r="H1356" s="16">
        <v>6.1</v>
      </c>
      <c r="I1356" s="16">
        <v>149</v>
      </c>
      <c r="J1356" s="16">
        <v>0</v>
      </c>
      <c r="K1356" s="16">
        <v>908.9</v>
      </c>
      <c r="L1356" s="16" t="s">
        <v>139</v>
      </c>
      <c r="M1356" s="16" t="s">
        <v>119</v>
      </c>
      <c r="N1356" s="27">
        <v>45150.406944444447</v>
      </c>
      <c r="O1356" s="27">
        <v>45151.395138888889</v>
      </c>
      <c r="P1356" s="16">
        <v>2.8</v>
      </c>
      <c r="Q1356" s="16" t="b">
        <f>FALSE()</f>
        <v>0</v>
      </c>
      <c r="R1356" s="16" t="b">
        <f>TRUE()</f>
        <v>1</v>
      </c>
      <c r="S1356" s="17">
        <f t="shared" si="21"/>
        <v>23.7</v>
      </c>
      <c r="T1356">
        <f>COUNTIF('👤 Customers'!$A:$A, B1356)</f>
        <v>1</v>
      </c>
      <c r="U1356">
        <f>COUNTIF('🚴 Riders'!A1355:A1415, C1356)</f>
        <v>0</v>
      </c>
      <c r="V1356">
        <f>COUNTIF('🏭 Facilities'!A1355:A1363, D1356)</f>
        <v>0</v>
      </c>
    </row>
    <row r="1357" spans="1:22">
      <c r="A1357" s="18" t="s">
        <v>3366</v>
      </c>
      <c r="B1357" s="18" t="s">
        <v>903</v>
      </c>
      <c r="C1357" s="18" t="s">
        <v>236</v>
      </c>
      <c r="D1357" s="18" t="s">
        <v>137</v>
      </c>
      <c r="E1357" s="26">
        <v>45601</v>
      </c>
      <c r="F1357" s="18" t="s">
        <v>3367</v>
      </c>
      <c r="G1357" s="18" t="s">
        <v>125</v>
      </c>
      <c r="H1357" s="18">
        <v>7.5</v>
      </c>
      <c r="I1357" s="18">
        <v>199</v>
      </c>
      <c r="J1357" s="18">
        <v>10</v>
      </c>
      <c r="K1357" s="18">
        <v>1343.25</v>
      </c>
      <c r="L1357" s="18" t="s">
        <v>139</v>
      </c>
      <c r="M1357" s="18" t="s">
        <v>119</v>
      </c>
      <c r="N1357" s="28">
        <v>45602.066666666666</v>
      </c>
      <c r="O1357" s="28">
        <v>45602.890972222223</v>
      </c>
      <c r="P1357" s="18">
        <v>4.4000000000000004</v>
      </c>
      <c r="Q1357" s="18" t="b">
        <f>FALSE()</f>
        <v>0</v>
      </c>
      <c r="R1357" s="18" t="b">
        <f>FALSE()</f>
        <v>0</v>
      </c>
      <c r="S1357" s="19">
        <f t="shared" si="21"/>
        <v>19.8</v>
      </c>
      <c r="T1357">
        <f>COUNTIF('👤 Customers'!$A:$A, B1357)</f>
        <v>1</v>
      </c>
      <c r="U1357">
        <f>COUNTIF('🚴 Riders'!A1356:A1416, C1357)</f>
        <v>0</v>
      </c>
      <c r="V1357">
        <f>COUNTIF('🏭 Facilities'!A1356:A1364, D1357)</f>
        <v>0</v>
      </c>
    </row>
    <row r="1358" spans="1:22">
      <c r="A1358" s="16" t="s">
        <v>3368</v>
      </c>
      <c r="B1358" s="16" t="s">
        <v>2577</v>
      </c>
      <c r="C1358" s="16" t="s">
        <v>261</v>
      </c>
      <c r="D1358" s="16" t="s">
        <v>137</v>
      </c>
      <c r="E1358" s="25">
        <v>45118</v>
      </c>
      <c r="F1358" s="16" t="s">
        <v>896</v>
      </c>
      <c r="G1358" s="16" t="s">
        <v>176</v>
      </c>
      <c r="H1358" s="16">
        <v>3.4</v>
      </c>
      <c r="I1358" s="16">
        <v>599</v>
      </c>
      <c r="J1358" s="16">
        <v>0</v>
      </c>
      <c r="K1358" s="16">
        <v>2036.6</v>
      </c>
      <c r="L1358" s="16" t="s">
        <v>118</v>
      </c>
      <c r="M1358" s="16" t="s">
        <v>140</v>
      </c>
      <c r="N1358" s="27">
        <v>45118.436805555553</v>
      </c>
      <c r="O1358" s="27">
        <v>45118.987500000003</v>
      </c>
      <c r="P1358" s="20"/>
      <c r="Q1358" s="16" t="b">
        <f>TRUE()</f>
        <v>1</v>
      </c>
      <c r="R1358" s="16" t="b">
        <f>FALSE()</f>
        <v>0</v>
      </c>
      <c r="S1358" s="17">
        <f t="shared" si="21"/>
        <v>13.2</v>
      </c>
      <c r="T1358">
        <f>COUNTIF('👤 Customers'!$A:$A, B1358)</f>
        <v>1</v>
      </c>
      <c r="U1358">
        <f>COUNTIF('🚴 Riders'!A1357:A1417, C1358)</f>
        <v>0</v>
      </c>
      <c r="V1358">
        <f>COUNTIF('🏭 Facilities'!A1357:A1365, D1358)</f>
        <v>0</v>
      </c>
    </row>
    <row r="1359" spans="1:22">
      <c r="A1359" s="18" t="s">
        <v>3369</v>
      </c>
      <c r="B1359" s="18" t="s">
        <v>2375</v>
      </c>
      <c r="C1359" s="18" t="s">
        <v>170</v>
      </c>
      <c r="D1359" s="18" t="s">
        <v>184</v>
      </c>
      <c r="E1359" s="26">
        <v>45005</v>
      </c>
      <c r="F1359" s="18" t="s">
        <v>3370</v>
      </c>
      <c r="G1359" s="18" t="s">
        <v>145</v>
      </c>
      <c r="H1359" s="18">
        <v>1.8</v>
      </c>
      <c r="I1359" s="18">
        <v>299</v>
      </c>
      <c r="J1359" s="18">
        <v>0</v>
      </c>
      <c r="K1359" s="18">
        <v>538.20000000000005</v>
      </c>
      <c r="L1359" s="18" t="s">
        <v>146</v>
      </c>
      <c r="M1359" s="18" t="s">
        <v>119</v>
      </c>
      <c r="N1359" s="28">
        <v>45005.836111111108</v>
      </c>
      <c r="O1359" s="28">
        <v>45006.196527777778</v>
      </c>
      <c r="P1359" s="18">
        <v>4.5999999999999996</v>
      </c>
      <c r="Q1359" s="18" t="b">
        <f>TRUE()</f>
        <v>1</v>
      </c>
      <c r="R1359" s="18" t="b">
        <f>FALSE()</f>
        <v>0</v>
      </c>
      <c r="S1359" s="19">
        <f t="shared" si="21"/>
        <v>8.6999999999999993</v>
      </c>
      <c r="T1359">
        <f>COUNTIF('👤 Customers'!$A:$A, B1359)</f>
        <v>1</v>
      </c>
      <c r="U1359">
        <f>COUNTIF('🚴 Riders'!A1358:A1418, C1359)</f>
        <v>0</v>
      </c>
      <c r="V1359">
        <f>COUNTIF('🏭 Facilities'!A1358:A1366, D1359)</f>
        <v>0</v>
      </c>
    </row>
    <row r="1360" spans="1:22">
      <c r="A1360" s="16" t="s">
        <v>3371</v>
      </c>
      <c r="B1360" s="16" t="s">
        <v>2763</v>
      </c>
      <c r="C1360" s="16" t="s">
        <v>842</v>
      </c>
      <c r="D1360" s="16" t="s">
        <v>123</v>
      </c>
      <c r="E1360" s="25">
        <v>44999</v>
      </c>
      <c r="F1360" s="16" t="s">
        <v>3372</v>
      </c>
      <c r="G1360" s="16" t="s">
        <v>117</v>
      </c>
      <c r="H1360" s="16">
        <v>4.0999999999999996</v>
      </c>
      <c r="I1360" s="16">
        <v>149</v>
      </c>
      <c r="J1360" s="16">
        <v>0</v>
      </c>
      <c r="K1360" s="16">
        <v>610.9</v>
      </c>
      <c r="L1360" s="16" t="s">
        <v>139</v>
      </c>
      <c r="M1360" s="16" t="s">
        <v>119</v>
      </c>
      <c r="N1360" s="27">
        <v>44999.092361111114</v>
      </c>
      <c r="O1360" s="27">
        <v>44999.676388888889</v>
      </c>
      <c r="P1360" s="16">
        <v>4.7</v>
      </c>
      <c r="Q1360" s="16" t="b">
        <f>FALSE()</f>
        <v>0</v>
      </c>
      <c r="R1360" s="16" t="b">
        <f>FALSE()</f>
        <v>0</v>
      </c>
      <c r="S1360" s="17">
        <f t="shared" si="21"/>
        <v>14</v>
      </c>
      <c r="T1360">
        <f>COUNTIF('👤 Customers'!$A:$A, B1360)</f>
        <v>1</v>
      </c>
      <c r="U1360">
        <f>COUNTIF('🚴 Riders'!A1359:A1419, C1360)</f>
        <v>0</v>
      </c>
      <c r="V1360">
        <f>COUNTIF('🏭 Facilities'!A1359:A1367, D1360)</f>
        <v>0</v>
      </c>
    </row>
    <row r="1361" spans="1:22">
      <c r="A1361" s="18" t="s">
        <v>3373</v>
      </c>
      <c r="B1361" s="18" t="s">
        <v>495</v>
      </c>
      <c r="C1361" s="18" t="s">
        <v>251</v>
      </c>
      <c r="D1361" s="18" t="s">
        <v>130</v>
      </c>
      <c r="E1361" s="26">
        <v>45156</v>
      </c>
      <c r="F1361" s="18" t="s">
        <v>3374</v>
      </c>
      <c r="G1361" s="18" t="s">
        <v>125</v>
      </c>
      <c r="H1361" s="18">
        <v>6.8</v>
      </c>
      <c r="I1361" s="18">
        <v>199</v>
      </c>
      <c r="J1361" s="18">
        <v>20</v>
      </c>
      <c r="K1361" s="18">
        <v>1082.56</v>
      </c>
      <c r="L1361" s="18" t="s">
        <v>118</v>
      </c>
      <c r="M1361" s="18" t="s">
        <v>119</v>
      </c>
      <c r="N1361" s="28">
        <v>45156.824305555558</v>
      </c>
      <c r="O1361" s="28">
        <v>45157.408333333333</v>
      </c>
      <c r="P1361" s="18">
        <v>3.2</v>
      </c>
      <c r="Q1361" s="18" t="b">
        <f>FALSE()</f>
        <v>0</v>
      </c>
      <c r="R1361" s="18" t="b">
        <f>FALSE()</f>
        <v>0</v>
      </c>
      <c r="S1361" s="19">
        <f t="shared" si="21"/>
        <v>14</v>
      </c>
      <c r="T1361">
        <f>COUNTIF('👤 Customers'!$A:$A, B1361)</f>
        <v>1</v>
      </c>
      <c r="U1361">
        <f>COUNTIF('🚴 Riders'!A1360:A1420, C1361)</f>
        <v>0</v>
      </c>
      <c r="V1361">
        <f>COUNTIF('🏭 Facilities'!A1360:A1368, D1361)</f>
        <v>0</v>
      </c>
    </row>
    <row r="1362" spans="1:22">
      <c r="A1362" s="16" t="s">
        <v>3375</v>
      </c>
      <c r="B1362" s="16" t="s">
        <v>657</v>
      </c>
      <c r="C1362" s="16" t="s">
        <v>272</v>
      </c>
      <c r="D1362" s="16" t="s">
        <v>197</v>
      </c>
      <c r="E1362" s="25">
        <v>45185</v>
      </c>
      <c r="F1362" s="16" t="s">
        <v>3376</v>
      </c>
      <c r="G1362" s="16" t="s">
        <v>132</v>
      </c>
      <c r="H1362" s="16">
        <v>4.4000000000000004</v>
      </c>
      <c r="I1362" s="16">
        <v>399</v>
      </c>
      <c r="J1362" s="16">
        <v>0</v>
      </c>
      <c r="K1362" s="16">
        <v>1755.6</v>
      </c>
      <c r="L1362" s="16" t="s">
        <v>207</v>
      </c>
      <c r="M1362" s="16" t="s">
        <v>119</v>
      </c>
      <c r="N1362" s="27">
        <v>45185.98541666667</v>
      </c>
      <c r="O1362" s="27">
        <v>45186.709027777775</v>
      </c>
      <c r="P1362" s="16">
        <v>3.1</v>
      </c>
      <c r="Q1362" s="16" t="b">
        <f>FALSE()</f>
        <v>0</v>
      </c>
      <c r="R1362" s="16" t="b">
        <f>FALSE()</f>
        <v>0</v>
      </c>
      <c r="S1362" s="17">
        <f t="shared" si="21"/>
        <v>17.399999999999999</v>
      </c>
      <c r="T1362">
        <f>COUNTIF('👤 Customers'!$A:$A, B1362)</f>
        <v>1</v>
      </c>
      <c r="U1362">
        <f>COUNTIF('🚴 Riders'!A1361:A1421, C1362)</f>
        <v>0</v>
      </c>
      <c r="V1362">
        <f>COUNTIF('🏭 Facilities'!A1361:A1369, D1362)</f>
        <v>0</v>
      </c>
    </row>
    <row r="1363" spans="1:22">
      <c r="A1363" s="18" t="s">
        <v>3377</v>
      </c>
      <c r="B1363" s="18" t="s">
        <v>389</v>
      </c>
      <c r="C1363" s="18" t="s">
        <v>265</v>
      </c>
      <c r="D1363" s="18" t="s">
        <v>137</v>
      </c>
      <c r="E1363" s="26">
        <v>45068</v>
      </c>
      <c r="F1363" s="18" t="s">
        <v>3378</v>
      </c>
      <c r="G1363" s="18" t="s">
        <v>145</v>
      </c>
      <c r="H1363" s="18">
        <v>7.6</v>
      </c>
      <c r="I1363" s="18">
        <v>299</v>
      </c>
      <c r="J1363" s="18">
        <v>0</v>
      </c>
      <c r="K1363" s="18">
        <v>2272.4</v>
      </c>
      <c r="L1363" s="18" t="s">
        <v>139</v>
      </c>
      <c r="M1363" s="18" t="s">
        <v>133</v>
      </c>
      <c r="N1363" s="20"/>
      <c r="O1363" s="20"/>
      <c r="P1363" s="20"/>
      <c r="Q1363" s="18" t="b">
        <f>FALSE()</f>
        <v>0</v>
      </c>
      <c r="R1363" s="18" t="b">
        <f>TRUE()</f>
        <v>1</v>
      </c>
      <c r="S1363" s="19" t="str">
        <f t="shared" si="21"/>
        <v>N/A</v>
      </c>
      <c r="T1363">
        <f>COUNTIF('👤 Customers'!$A:$A, B1363)</f>
        <v>1</v>
      </c>
      <c r="U1363">
        <f>COUNTIF('🚴 Riders'!A1362:A1422, C1363)</f>
        <v>0</v>
      </c>
      <c r="V1363">
        <f>COUNTIF('🏭 Facilities'!A1362:A1370, D1363)</f>
        <v>0</v>
      </c>
    </row>
    <row r="1364" spans="1:22">
      <c r="A1364" s="16" t="s">
        <v>3379</v>
      </c>
      <c r="B1364" s="16" t="s">
        <v>566</v>
      </c>
      <c r="C1364" s="16" t="s">
        <v>114</v>
      </c>
      <c r="D1364" s="16" t="s">
        <v>130</v>
      </c>
      <c r="E1364" s="25">
        <v>45148</v>
      </c>
      <c r="F1364" s="16" t="s">
        <v>3380</v>
      </c>
      <c r="G1364" s="16" t="s">
        <v>176</v>
      </c>
      <c r="H1364" s="16">
        <v>4</v>
      </c>
      <c r="I1364" s="16">
        <v>599</v>
      </c>
      <c r="J1364" s="16">
        <v>0</v>
      </c>
      <c r="K1364" s="16">
        <v>2396</v>
      </c>
      <c r="L1364" s="16" t="s">
        <v>118</v>
      </c>
      <c r="M1364" s="16" t="s">
        <v>119</v>
      </c>
      <c r="N1364" s="27">
        <v>45148.619444444441</v>
      </c>
      <c r="O1364" s="27">
        <v>45149.060416666667</v>
      </c>
      <c r="P1364" s="16">
        <v>4.3</v>
      </c>
      <c r="Q1364" s="16" t="b">
        <f>FALSE()</f>
        <v>0</v>
      </c>
      <c r="R1364" s="16" t="b">
        <f>FALSE()</f>
        <v>0</v>
      </c>
      <c r="S1364" s="17">
        <f t="shared" si="21"/>
        <v>10.6</v>
      </c>
      <c r="T1364">
        <f>COUNTIF('👤 Customers'!$A:$A, B1364)</f>
        <v>1</v>
      </c>
      <c r="U1364">
        <f>COUNTIF('🚴 Riders'!A1363:A1423, C1364)</f>
        <v>0</v>
      </c>
      <c r="V1364">
        <f>COUNTIF('🏭 Facilities'!A1363:A1371, D1364)</f>
        <v>0</v>
      </c>
    </row>
    <row r="1365" spans="1:22">
      <c r="A1365" s="18" t="s">
        <v>3381</v>
      </c>
      <c r="B1365" s="18" t="s">
        <v>1150</v>
      </c>
      <c r="C1365" s="18" t="s">
        <v>1092</v>
      </c>
      <c r="D1365" s="18" t="s">
        <v>158</v>
      </c>
      <c r="E1365" s="26">
        <v>45324</v>
      </c>
      <c r="F1365" s="18" t="s">
        <v>3382</v>
      </c>
      <c r="G1365" s="18" t="s">
        <v>125</v>
      </c>
      <c r="H1365" s="18">
        <v>1.7</v>
      </c>
      <c r="I1365" s="18">
        <v>199</v>
      </c>
      <c r="J1365" s="18">
        <v>0</v>
      </c>
      <c r="K1365" s="18">
        <v>338.3</v>
      </c>
      <c r="L1365" s="18" t="s">
        <v>139</v>
      </c>
      <c r="M1365" s="18" t="s">
        <v>119</v>
      </c>
      <c r="N1365" s="28">
        <v>45324.644444444442</v>
      </c>
      <c r="O1365" s="28">
        <v>45325.46597222222</v>
      </c>
      <c r="P1365" s="18">
        <v>2.7</v>
      </c>
      <c r="Q1365" s="18" t="b">
        <f>FALSE()</f>
        <v>0</v>
      </c>
      <c r="R1365" s="18" t="b">
        <f>FALSE()</f>
        <v>0</v>
      </c>
      <c r="S1365" s="19">
        <f t="shared" si="21"/>
        <v>19.7</v>
      </c>
      <c r="T1365">
        <f>COUNTIF('👤 Customers'!$A:$A, B1365)</f>
        <v>1</v>
      </c>
      <c r="U1365">
        <f>COUNTIF('🚴 Riders'!A1364:A1424, C1365)</f>
        <v>0</v>
      </c>
      <c r="V1365">
        <f>COUNTIF('🏭 Facilities'!A1364:A1372, D1365)</f>
        <v>0</v>
      </c>
    </row>
    <row r="1366" spans="1:22">
      <c r="A1366" s="16" t="s">
        <v>3383</v>
      </c>
      <c r="B1366" s="16" t="s">
        <v>785</v>
      </c>
      <c r="C1366" s="16" t="s">
        <v>220</v>
      </c>
      <c r="D1366" s="16" t="s">
        <v>123</v>
      </c>
      <c r="E1366" s="25">
        <v>45652</v>
      </c>
      <c r="F1366" s="16" t="s">
        <v>3384</v>
      </c>
      <c r="G1366" s="16" t="s">
        <v>132</v>
      </c>
      <c r="H1366" s="16">
        <v>5.0999999999999996</v>
      </c>
      <c r="I1366" s="16">
        <v>399</v>
      </c>
      <c r="J1366" s="16">
        <v>0</v>
      </c>
      <c r="K1366" s="16">
        <v>2034.9</v>
      </c>
      <c r="L1366" s="16" t="s">
        <v>139</v>
      </c>
      <c r="M1366" s="16" t="s">
        <v>119</v>
      </c>
      <c r="N1366" s="27">
        <v>45652.24722222222</v>
      </c>
      <c r="O1366" s="27">
        <v>45652.775000000001</v>
      </c>
      <c r="P1366" s="16">
        <v>4.0999999999999996</v>
      </c>
      <c r="Q1366" s="16" t="b">
        <f>FALSE()</f>
        <v>0</v>
      </c>
      <c r="R1366" s="16" t="b">
        <f>FALSE()</f>
        <v>0</v>
      </c>
      <c r="S1366" s="17">
        <f t="shared" si="21"/>
        <v>12.7</v>
      </c>
      <c r="T1366">
        <f>COUNTIF('👤 Customers'!$A:$A, B1366)</f>
        <v>1</v>
      </c>
      <c r="U1366">
        <f>COUNTIF('🚴 Riders'!A1365:A1425, C1366)</f>
        <v>0</v>
      </c>
      <c r="V1366">
        <f>COUNTIF('🏭 Facilities'!A1365:A1373, D1366)</f>
        <v>0</v>
      </c>
    </row>
    <row r="1367" spans="1:22">
      <c r="A1367" s="18" t="s">
        <v>3385</v>
      </c>
      <c r="B1367" s="18" t="s">
        <v>1073</v>
      </c>
      <c r="C1367" s="18" t="s">
        <v>162</v>
      </c>
      <c r="D1367" s="18" t="s">
        <v>115</v>
      </c>
      <c r="E1367" s="26">
        <v>45192</v>
      </c>
      <c r="F1367" s="18" t="s">
        <v>3386</v>
      </c>
      <c r="G1367" s="18" t="s">
        <v>125</v>
      </c>
      <c r="H1367" s="18">
        <v>5.3</v>
      </c>
      <c r="I1367" s="18">
        <v>199</v>
      </c>
      <c r="J1367" s="18">
        <v>0</v>
      </c>
      <c r="K1367" s="18">
        <v>1054.7</v>
      </c>
      <c r="L1367" s="18" t="s">
        <v>207</v>
      </c>
      <c r="M1367" s="18" t="s">
        <v>119</v>
      </c>
      <c r="N1367" s="28">
        <v>45192.336805555555</v>
      </c>
      <c r="O1367" s="28">
        <v>45192.756944444445</v>
      </c>
      <c r="P1367" s="18">
        <v>3.9</v>
      </c>
      <c r="Q1367" s="18" t="b">
        <f>FALSE()</f>
        <v>0</v>
      </c>
      <c r="R1367" s="18" t="b">
        <f>FALSE()</f>
        <v>0</v>
      </c>
      <c r="S1367" s="19">
        <f t="shared" si="21"/>
        <v>10.1</v>
      </c>
      <c r="T1367">
        <f>COUNTIF('👤 Customers'!$A:$A, B1367)</f>
        <v>1</v>
      </c>
      <c r="U1367">
        <f>COUNTIF('🚴 Riders'!A1366:A1426, C1367)</f>
        <v>0</v>
      </c>
      <c r="V1367">
        <f>COUNTIF('🏭 Facilities'!A1366:A1374, D1367)</f>
        <v>0</v>
      </c>
    </row>
    <row r="1368" spans="1:22">
      <c r="A1368" s="16" t="s">
        <v>3387</v>
      </c>
      <c r="B1368" s="16" t="s">
        <v>1455</v>
      </c>
      <c r="C1368" s="16" t="s">
        <v>315</v>
      </c>
      <c r="D1368" s="16" t="s">
        <v>123</v>
      </c>
      <c r="E1368" s="25">
        <v>45650</v>
      </c>
      <c r="F1368" s="16" t="s">
        <v>3388</v>
      </c>
      <c r="G1368" s="16" t="s">
        <v>117</v>
      </c>
      <c r="H1368" s="16">
        <v>2.1</v>
      </c>
      <c r="I1368" s="16">
        <v>149</v>
      </c>
      <c r="J1368" s="16">
        <v>10</v>
      </c>
      <c r="K1368" s="16">
        <v>281.61</v>
      </c>
      <c r="L1368" s="16" t="s">
        <v>139</v>
      </c>
      <c r="M1368" s="16" t="s">
        <v>133</v>
      </c>
      <c r="N1368" s="20"/>
      <c r="O1368" s="20"/>
      <c r="P1368" s="20"/>
      <c r="Q1368" s="16" t="b">
        <f>FALSE()</f>
        <v>0</v>
      </c>
      <c r="R1368" s="16" t="b">
        <f>FALSE()</f>
        <v>0</v>
      </c>
      <c r="S1368" s="17" t="str">
        <f t="shared" si="21"/>
        <v>N/A</v>
      </c>
      <c r="T1368">
        <f>COUNTIF('👤 Customers'!$A:$A, B1368)</f>
        <v>1</v>
      </c>
      <c r="U1368">
        <f>COUNTIF('🚴 Riders'!A1367:A1427, C1368)</f>
        <v>0</v>
      </c>
      <c r="V1368">
        <f>COUNTIF('🏭 Facilities'!A1367:A1375, D1368)</f>
        <v>0</v>
      </c>
    </row>
    <row r="1369" spans="1:22">
      <c r="A1369" s="18" t="s">
        <v>3389</v>
      </c>
      <c r="B1369" s="18" t="s">
        <v>1444</v>
      </c>
      <c r="C1369" s="18" t="s">
        <v>136</v>
      </c>
      <c r="D1369" s="18" t="s">
        <v>205</v>
      </c>
      <c r="E1369" s="26">
        <v>45530</v>
      </c>
      <c r="F1369" s="18" t="s">
        <v>3390</v>
      </c>
      <c r="G1369" s="18" t="s">
        <v>176</v>
      </c>
      <c r="H1369" s="18">
        <v>3.1</v>
      </c>
      <c r="I1369" s="18">
        <v>599</v>
      </c>
      <c r="J1369" s="18">
        <v>10</v>
      </c>
      <c r="K1369" s="18">
        <v>1671.21</v>
      </c>
      <c r="L1369" s="18" t="s">
        <v>139</v>
      </c>
      <c r="M1369" s="18" t="s">
        <v>140</v>
      </c>
      <c r="N1369" s="28">
        <v>45530.219444444447</v>
      </c>
      <c r="O1369" s="28">
        <v>45530.885416666664</v>
      </c>
      <c r="P1369" s="20"/>
      <c r="Q1369" s="18" t="b">
        <f>FALSE()</f>
        <v>0</v>
      </c>
      <c r="R1369" s="18" t="b">
        <f>FALSE()</f>
        <v>0</v>
      </c>
      <c r="S1369" s="19">
        <f t="shared" si="21"/>
        <v>16</v>
      </c>
      <c r="T1369">
        <f>COUNTIF('👤 Customers'!$A:$A, B1369)</f>
        <v>1</v>
      </c>
      <c r="U1369">
        <f>COUNTIF('🚴 Riders'!A1368:A1428, C1369)</f>
        <v>0</v>
      </c>
      <c r="V1369">
        <f>COUNTIF('🏭 Facilities'!A1368:A1376, D1369)</f>
        <v>0</v>
      </c>
    </row>
    <row r="1370" spans="1:22">
      <c r="A1370" s="16" t="s">
        <v>3391</v>
      </c>
      <c r="B1370" s="16" t="s">
        <v>2546</v>
      </c>
      <c r="C1370" s="16" t="s">
        <v>149</v>
      </c>
      <c r="D1370" s="16" t="s">
        <v>115</v>
      </c>
      <c r="E1370" s="25">
        <v>45197</v>
      </c>
      <c r="F1370" s="16" t="s">
        <v>3392</v>
      </c>
      <c r="G1370" s="16" t="s">
        <v>176</v>
      </c>
      <c r="H1370" s="16">
        <v>1.9</v>
      </c>
      <c r="I1370" s="16">
        <v>599</v>
      </c>
      <c r="J1370" s="16">
        <v>0</v>
      </c>
      <c r="K1370" s="16">
        <v>1138.0999999999999</v>
      </c>
      <c r="L1370" s="16" t="s">
        <v>146</v>
      </c>
      <c r="M1370" s="16" t="s">
        <v>119</v>
      </c>
      <c r="N1370" s="27">
        <v>45197.854166666664</v>
      </c>
      <c r="O1370" s="27">
        <v>45198.196527777778</v>
      </c>
      <c r="P1370" s="16">
        <v>4</v>
      </c>
      <c r="Q1370" s="16" t="b">
        <f>FALSE()</f>
        <v>0</v>
      </c>
      <c r="R1370" s="16" t="b">
        <f>FALSE()</f>
        <v>0</v>
      </c>
      <c r="S1370" s="17">
        <f t="shared" si="21"/>
        <v>8.1999999999999993</v>
      </c>
      <c r="T1370">
        <f>COUNTIF('👤 Customers'!$A:$A, B1370)</f>
        <v>1</v>
      </c>
      <c r="U1370">
        <f>COUNTIF('🚴 Riders'!A1369:A1429, C1370)</f>
        <v>0</v>
      </c>
      <c r="V1370">
        <f>COUNTIF('🏭 Facilities'!A1369:A1377, D1370)</f>
        <v>0</v>
      </c>
    </row>
    <row r="1371" spans="1:22">
      <c r="A1371" s="18" t="s">
        <v>3393</v>
      </c>
      <c r="B1371" s="18" t="s">
        <v>530</v>
      </c>
      <c r="C1371" s="18" t="s">
        <v>300</v>
      </c>
      <c r="D1371" s="18" t="s">
        <v>115</v>
      </c>
      <c r="E1371" s="26">
        <v>45578</v>
      </c>
      <c r="F1371" s="18" t="s">
        <v>3394</v>
      </c>
      <c r="G1371" s="18" t="s">
        <v>125</v>
      </c>
      <c r="H1371" s="18">
        <v>6.7</v>
      </c>
      <c r="I1371" s="18">
        <v>199</v>
      </c>
      <c r="J1371" s="18">
        <v>0</v>
      </c>
      <c r="K1371" s="18">
        <v>1333.3</v>
      </c>
      <c r="L1371" s="18" t="s">
        <v>126</v>
      </c>
      <c r="M1371" s="18" t="s">
        <v>133</v>
      </c>
      <c r="N1371" s="20"/>
      <c r="O1371" s="20"/>
      <c r="P1371" s="20"/>
      <c r="Q1371" s="18" t="b">
        <f>FALSE()</f>
        <v>0</v>
      </c>
      <c r="R1371" s="18" t="b">
        <f>FALSE()</f>
        <v>0</v>
      </c>
      <c r="S1371" s="19" t="str">
        <f t="shared" si="21"/>
        <v>N/A</v>
      </c>
      <c r="T1371">
        <f>COUNTIF('👤 Customers'!$A:$A, B1371)</f>
        <v>1</v>
      </c>
      <c r="U1371">
        <f>COUNTIF('🚴 Riders'!A1370:A1430, C1371)</f>
        <v>0</v>
      </c>
      <c r="V1371">
        <f>COUNTIF('🏭 Facilities'!A1370:A1378, D1371)</f>
        <v>0</v>
      </c>
    </row>
    <row r="1372" spans="1:22">
      <c r="A1372" s="16" t="s">
        <v>3395</v>
      </c>
      <c r="B1372" s="16" t="s">
        <v>1108</v>
      </c>
      <c r="C1372" s="16" t="s">
        <v>247</v>
      </c>
      <c r="D1372" s="16" t="s">
        <v>115</v>
      </c>
      <c r="E1372" s="25">
        <v>45337</v>
      </c>
      <c r="F1372" s="16" t="s">
        <v>3396</v>
      </c>
      <c r="G1372" s="16" t="s">
        <v>117</v>
      </c>
      <c r="H1372" s="16">
        <v>7.4</v>
      </c>
      <c r="I1372" s="16">
        <v>149</v>
      </c>
      <c r="J1372" s="16">
        <v>0</v>
      </c>
      <c r="K1372" s="16">
        <v>1102.5999999999999</v>
      </c>
      <c r="L1372" s="16" t="s">
        <v>207</v>
      </c>
      <c r="M1372" s="16" t="s">
        <v>119</v>
      </c>
      <c r="N1372" s="27">
        <v>45338.118750000001</v>
      </c>
      <c r="O1372" s="27">
        <v>45339.069444444445</v>
      </c>
      <c r="P1372" s="16">
        <v>3.8</v>
      </c>
      <c r="Q1372" s="16" t="b">
        <f>FALSE()</f>
        <v>0</v>
      </c>
      <c r="R1372" s="16" t="b">
        <f>FALSE()</f>
        <v>0</v>
      </c>
      <c r="S1372" s="17">
        <f t="shared" si="21"/>
        <v>22.8</v>
      </c>
      <c r="T1372">
        <f>COUNTIF('👤 Customers'!$A:$A, B1372)</f>
        <v>1</v>
      </c>
      <c r="U1372">
        <f>COUNTIF('🚴 Riders'!A1371:A1431, C1372)</f>
        <v>0</v>
      </c>
      <c r="V1372">
        <f>COUNTIF('🏭 Facilities'!A1371:A1379, D1372)</f>
        <v>0</v>
      </c>
    </row>
    <row r="1373" spans="1:22">
      <c r="A1373" s="18" t="s">
        <v>3397</v>
      </c>
      <c r="B1373" s="18" t="s">
        <v>634</v>
      </c>
      <c r="C1373" s="18" t="s">
        <v>487</v>
      </c>
      <c r="D1373" s="18" t="s">
        <v>197</v>
      </c>
      <c r="E1373" s="26">
        <v>44991</v>
      </c>
      <c r="F1373" s="18" t="s">
        <v>3398</v>
      </c>
      <c r="G1373" s="18" t="s">
        <v>132</v>
      </c>
      <c r="H1373" s="18">
        <v>6.1</v>
      </c>
      <c r="I1373" s="18">
        <v>399</v>
      </c>
      <c r="J1373" s="18">
        <v>10</v>
      </c>
      <c r="K1373" s="18">
        <v>2190.5100000000002</v>
      </c>
      <c r="L1373" s="18" t="s">
        <v>146</v>
      </c>
      <c r="M1373" s="18" t="s">
        <v>119</v>
      </c>
      <c r="N1373" s="28">
        <v>44991.565972222219</v>
      </c>
      <c r="O1373" s="28">
        <v>44992.15</v>
      </c>
      <c r="P1373" s="18">
        <v>3.1</v>
      </c>
      <c r="Q1373" s="18" t="b">
        <f>FALSE()</f>
        <v>0</v>
      </c>
      <c r="R1373" s="18" t="b">
        <f>FALSE()</f>
        <v>0</v>
      </c>
      <c r="S1373" s="19">
        <f t="shared" si="21"/>
        <v>14</v>
      </c>
      <c r="T1373">
        <f>COUNTIF('👤 Customers'!$A:$A, B1373)</f>
        <v>1</v>
      </c>
      <c r="U1373">
        <f>COUNTIF('🚴 Riders'!A1372:A1432, C1373)</f>
        <v>0</v>
      </c>
      <c r="V1373">
        <f>COUNTIF('🏭 Facilities'!A1372:A1380, D1373)</f>
        <v>0</v>
      </c>
    </row>
    <row r="1374" spans="1:22">
      <c r="A1374" s="16" t="s">
        <v>3399</v>
      </c>
      <c r="B1374" s="16" t="s">
        <v>1088</v>
      </c>
      <c r="C1374" s="16" t="s">
        <v>322</v>
      </c>
      <c r="D1374" s="16" t="s">
        <v>137</v>
      </c>
      <c r="E1374" s="25">
        <v>45345</v>
      </c>
      <c r="F1374" s="16" t="s">
        <v>3400</v>
      </c>
      <c r="G1374" s="16" t="s">
        <v>125</v>
      </c>
      <c r="H1374" s="16">
        <v>2.9</v>
      </c>
      <c r="I1374" s="16">
        <v>199</v>
      </c>
      <c r="J1374" s="16">
        <v>20</v>
      </c>
      <c r="K1374" s="16">
        <v>461.68</v>
      </c>
      <c r="L1374" s="16" t="s">
        <v>126</v>
      </c>
      <c r="M1374" s="16" t="s">
        <v>133</v>
      </c>
      <c r="N1374" s="20"/>
      <c r="O1374" s="20"/>
      <c r="P1374" s="20"/>
      <c r="Q1374" s="16" t="b">
        <f>FALSE()</f>
        <v>0</v>
      </c>
      <c r="R1374" s="16" t="b">
        <f>FALSE()</f>
        <v>0</v>
      </c>
      <c r="S1374" s="17" t="str">
        <f t="shared" si="21"/>
        <v>N/A</v>
      </c>
      <c r="T1374">
        <f>COUNTIF('👤 Customers'!$A:$A, B1374)</f>
        <v>1</v>
      </c>
      <c r="U1374">
        <f>COUNTIF('🚴 Riders'!A1373:A1433, C1374)</f>
        <v>0</v>
      </c>
      <c r="V1374">
        <f>COUNTIF('🏭 Facilities'!A1373:A1381, D1374)</f>
        <v>0</v>
      </c>
    </row>
    <row r="1375" spans="1:22">
      <c r="A1375" s="18" t="s">
        <v>3401</v>
      </c>
      <c r="B1375" s="18" t="s">
        <v>142</v>
      </c>
      <c r="C1375" s="18" t="s">
        <v>461</v>
      </c>
      <c r="D1375" s="18" t="s">
        <v>205</v>
      </c>
      <c r="E1375" s="26">
        <v>45214</v>
      </c>
      <c r="F1375" s="18" t="s">
        <v>3402</v>
      </c>
      <c r="G1375" s="18" t="s">
        <v>117</v>
      </c>
      <c r="H1375" s="18">
        <v>2</v>
      </c>
      <c r="I1375" s="18">
        <v>149</v>
      </c>
      <c r="J1375" s="18">
        <v>20</v>
      </c>
      <c r="K1375" s="18">
        <v>238.4</v>
      </c>
      <c r="L1375" s="18" t="s">
        <v>146</v>
      </c>
      <c r="M1375" s="18" t="s">
        <v>119</v>
      </c>
      <c r="N1375" s="28">
        <v>45214.809027777781</v>
      </c>
      <c r="O1375" s="28">
        <v>45215.331944444442</v>
      </c>
      <c r="P1375" s="18">
        <v>3.8</v>
      </c>
      <c r="Q1375" s="18" t="b">
        <f>TRUE()</f>
        <v>1</v>
      </c>
      <c r="R1375" s="18" t="b">
        <f>FALSE()</f>
        <v>0</v>
      </c>
      <c r="S1375" s="19">
        <f t="shared" si="21"/>
        <v>12.5</v>
      </c>
      <c r="T1375">
        <f>COUNTIF('👤 Customers'!$A:$A, B1375)</f>
        <v>1</v>
      </c>
      <c r="U1375">
        <f>COUNTIF('🚴 Riders'!A1374:A1434, C1375)</f>
        <v>0</v>
      </c>
      <c r="V1375">
        <f>COUNTIF('🏭 Facilities'!A1374:A1382, D1375)</f>
        <v>0</v>
      </c>
    </row>
    <row r="1376" spans="1:22">
      <c r="A1376" s="16" t="s">
        <v>3403</v>
      </c>
      <c r="B1376" s="16" t="s">
        <v>2604</v>
      </c>
      <c r="C1376" s="16" t="s">
        <v>487</v>
      </c>
      <c r="D1376" s="16" t="s">
        <v>130</v>
      </c>
      <c r="E1376" s="25">
        <v>45508</v>
      </c>
      <c r="F1376" s="16" t="s">
        <v>3404</v>
      </c>
      <c r="G1376" s="16" t="s">
        <v>125</v>
      </c>
      <c r="H1376" s="16">
        <v>6.4</v>
      </c>
      <c r="I1376" s="16">
        <v>199</v>
      </c>
      <c r="J1376" s="16">
        <v>10</v>
      </c>
      <c r="K1376" s="16">
        <v>1146.24</v>
      </c>
      <c r="L1376" s="16" t="s">
        <v>146</v>
      </c>
      <c r="M1376" s="16" t="s">
        <v>119</v>
      </c>
      <c r="N1376" s="27">
        <v>45508.806250000001</v>
      </c>
      <c r="O1376" s="27">
        <v>45509.456250000003</v>
      </c>
      <c r="P1376" s="16">
        <v>2.7</v>
      </c>
      <c r="Q1376" s="16" t="b">
        <f>FALSE()</f>
        <v>0</v>
      </c>
      <c r="R1376" s="16" t="b">
        <f>FALSE()</f>
        <v>0</v>
      </c>
      <c r="S1376" s="17">
        <f t="shared" si="21"/>
        <v>15.6</v>
      </c>
      <c r="T1376">
        <f>COUNTIF('👤 Customers'!$A:$A, B1376)</f>
        <v>1</v>
      </c>
      <c r="U1376">
        <f>COUNTIF('🚴 Riders'!A1375:A1435, C1376)</f>
        <v>0</v>
      </c>
      <c r="V1376">
        <f>COUNTIF('🏭 Facilities'!A1375:A1383, D1376)</f>
        <v>0</v>
      </c>
    </row>
    <row r="1377" spans="1:22">
      <c r="A1377" s="18" t="s">
        <v>3405</v>
      </c>
      <c r="B1377" s="18" t="s">
        <v>209</v>
      </c>
      <c r="C1377" s="18" t="s">
        <v>122</v>
      </c>
      <c r="D1377" s="18" t="s">
        <v>184</v>
      </c>
      <c r="E1377" s="26">
        <v>45024</v>
      </c>
      <c r="F1377" s="18" t="s">
        <v>3406</v>
      </c>
      <c r="G1377" s="18" t="s">
        <v>176</v>
      </c>
      <c r="H1377" s="18">
        <v>7.9</v>
      </c>
      <c r="I1377" s="18">
        <v>599</v>
      </c>
      <c r="J1377" s="18">
        <v>0</v>
      </c>
      <c r="K1377" s="18">
        <v>4732.1000000000004</v>
      </c>
      <c r="L1377" s="18" t="s">
        <v>146</v>
      </c>
      <c r="M1377" s="18" t="s">
        <v>140</v>
      </c>
      <c r="N1377" s="28">
        <v>45024.742361111108</v>
      </c>
      <c r="O1377" s="28">
        <v>45025.316666666666</v>
      </c>
      <c r="P1377" s="20"/>
      <c r="Q1377" s="18" t="b">
        <f>FALSE()</f>
        <v>0</v>
      </c>
      <c r="R1377" s="18" t="b">
        <f>FALSE()</f>
        <v>0</v>
      </c>
      <c r="S1377" s="19">
        <f t="shared" si="21"/>
        <v>13.8</v>
      </c>
      <c r="T1377">
        <f>COUNTIF('👤 Customers'!$A:$A, B1377)</f>
        <v>1</v>
      </c>
      <c r="U1377">
        <f>COUNTIF('🚴 Riders'!A1376:A1436, C1377)</f>
        <v>0</v>
      </c>
      <c r="V1377">
        <f>COUNTIF('🏭 Facilities'!A1376:A1384, D1377)</f>
        <v>0</v>
      </c>
    </row>
    <row r="1378" spans="1:22">
      <c r="A1378" s="16" t="s">
        <v>3407</v>
      </c>
      <c r="B1378" s="16" t="s">
        <v>293</v>
      </c>
      <c r="C1378" s="16" t="s">
        <v>362</v>
      </c>
      <c r="D1378" s="16" t="s">
        <v>158</v>
      </c>
      <c r="E1378" s="25">
        <v>45005</v>
      </c>
      <c r="F1378" s="16" t="s">
        <v>3408</v>
      </c>
      <c r="G1378" s="16" t="s">
        <v>176</v>
      </c>
      <c r="H1378" s="16">
        <v>6</v>
      </c>
      <c r="I1378" s="16">
        <v>599</v>
      </c>
      <c r="J1378" s="16">
        <v>0</v>
      </c>
      <c r="K1378" s="16">
        <v>3594</v>
      </c>
      <c r="L1378" s="16" t="s">
        <v>126</v>
      </c>
      <c r="M1378" s="16" t="s">
        <v>119</v>
      </c>
      <c r="N1378" s="27">
        <v>45005.52847222222</v>
      </c>
      <c r="O1378" s="27">
        <v>45005.939583333333</v>
      </c>
      <c r="P1378" s="16">
        <v>4.8</v>
      </c>
      <c r="Q1378" s="16" t="b">
        <f>FALSE()</f>
        <v>0</v>
      </c>
      <c r="R1378" s="16" t="b">
        <f>FALSE()</f>
        <v>0</v>
      </c>
      <c r="S1378" s="17">
        <f t="shared" si="21"/>
        <v>9.9</v>
      </c>
      <c r="T1378">
        <f>COUNTIF('👤 Customers'!$A:$A, B1378)</f>
        <v>1</v>
      </c>
      <c r="U1378">
        <f>COUNTIF('🚴 Riders'!A1377:A1437, C1378)</f>
        <v>0</v>
      </c>
      <c r="V1378">
        <f>COUNTIF('🏭 Facilities'!A1377:A1385, D1378)</f>
        <v>0</v>
      </c>
    </row>
    <row r="1379" spans="1:22">
      <c r="A1379" s="18" t="s">
        <v>3409</v>
      </c>
      <c r="B1379" s="18" t="s">
        <v>987</v>
      </c>
      <c r="C1379" s="18" t="s">
        <v>283</v>
      </c>
      <c r="D1379" s="18" t="s">
        <v>158</v>
      </c>
      <c r="E1379" s="26">
        <v>45339</v>
      </c>
      <c r="F1379" s="18" t="s">
        <v>3410</v>
      </c>
      <c r="G1379" s="18" t="s">
        <v>145</v>
      </c>
      <c r="H1379" s="18">
        <v>2.4</v>
      </c>
      <c r="I1379" s="18">
        <v>299</v>
      </c>
      <c r="J1379" s="18">
        <v>10</v>
      </c>
      <c r="K1379" s="18">
        <v>645.84</v>
      </c>
      <c r="L1379" s="18" t="s">
        <v>146</v>
      </c>
      <c r="M1379" s="18" t="s">
        <v>119</v>
      </c>
      <c r="N1379" s="28">
        <v>45339.538888888892</v>
      </c>
      <c r="O1379" s="28">
        <v>45339.947222222225</v>
      </c>
      <c r="P1379" s="18">
        <v>3.1</v>
      </c>
      <c r="Q1379" s="18" t="b">
        <f>FALSE()</f>
        <v>0</v>
      </c>
      <c r="R1379" s="18" t="b">
        <f>FALSE()</f>
        <v>0</v>
      </c>
      <c r="S1379" s="19">
        <f t="shared" si="21"/>
        <v>9.8000000000000007</v>
      </c>
      <c r="T1379">
        <f>COUNTIF('👤 Customers'!$A:$A, B1379)</f>
        <v>1</v>
      </c>
      <c r="U1379">
        <f>COUNTIF('🚴 Riders'!A1378:A1438, C1379)</f>
        <v>0</v>
      </c>
      <c r="V1379">
        <f>COUNTIF('🏭 Facilities'!A1378:A1386, D1379)</f>
        <v>0</v>
      </c>
    </row>
    <row r="1380" spans="1:22">
      <c r="A1380" s="16" t="s">
        <v>3411</v>
      </c>
      <c r="B1380" s="16" t="s">
        <v>2614</v>
      </c>
      <c r="C1380" s="16" t="s">
        <v>129</v>
      </c>
      <c r="D1380" s="16" t="s">
        <v>197</v>
      </c>
      <c r="E1380" s="25">
        <v>44973</v>
      </c>
      <c r="F1380" s="16" t="s">
        <v>3412</v>
      </c>
      <c r="G1380" s="16" t="s">
        <v>125</v>
      </c>
      <c r="H1380" s="16">
        <v>5.4</v>
      </c>
      <c r="I1380" s="16">
        <v>199</v>
      </c>
      <c r="J1380" s="16">
        <v>0</v>
      </c>
      <c r="K1380" s="16">
        <v>1074.5999999999999</v>
      </c>
      <c r="L1380" s="16" t="s">
        <v>118</v>
      </c>
      <c r="M1380" s="16" t="s">
        <v>119</v>
      </c>
      <c r="N1380" s="27">
        <v>44973.911805555559</v>
      </c>
      <c r="O1380" s="27">
        <v>44974.70208333333</v>
      </c>
      <c r="P1380" s="16">
        <v>4.7</v>
      </c>
      <c r="Q1380" s="16" t="b">
        <f>FALSE()</f>
        <v>0</v>
      </c>
      <c r="R1380" s="16" t="b">
        <f>FALSE()</f>
        <v>0</v>
      </c>
      <c r="S1380" s="17">
        <f t="shared" si="21"/>
        <v>19</v>
      </c>
      <c r="T1380">
        <f>COUNTIF('👤 Customers'!$A:$A, B1380)</f>
        <v>1</v>
      </c>
      <c r="U1380">
        <f>COUNTIF('🚴 Riders'!A1379:A1439, C1380)</f>
        <v>0</v>
      </c>
      <c r="V1380">
        <f>COUNTIF('🏭 Facilities'!A1379:A1387, D1380)</f>
        <v>0</v>
      </c>
    </row>
    <row r="1381" spans="1:22">
      <c r="A1381" s="18" t="s">
        <v>3413</v>
      </c>
      <c r="B1381" s="18" t="s">
        <v>1545</v>
      </c>
      <c r="C1381" s="18" t="s">
        <v>157</v>
      </c>
      <c r="D1381" s="18" t="s">
        <v>184</v>
      </c>
      <c r="E1381" s="26">
        <v>45305</v>
      </c>
      <c r="F1381" s="18" t="s">
        <v>3414</v>
      </c>
      <c r="G1381" s="18" t="s">
        <v>176</v>
      </c>
      <c r="H1381" s="18">
        <v>2.2999999999999998</v>
      </c>
      <c r="I1381" s="18">
        <v>599</v>
      </c>
      <c r="J1381" s="18">
        <v>0</v>
      </c>
      <c r="K1381" s="18">
        <v>1377.7</v>
      </c>
      <c r="L1381" s="18" t="s">
        <v>207</v>
      </c>
      <c r="M1381" s="18" t="s">
        <v>119</v>
      </c>
      <c r="N1381" s="28">
        <v>45305.565972222219</v>
      </c>
      <c r="O1381" s="28">
        <v>45306.10833333333</v>
      </c>
      <c r="P1381" s="18">
        <v>4.5999999999999996</v>
      </c>
      <c r="Q1381" s="18" t="b">
        <f>FALSE()</f>
        <v>0</v>
      </c>
      <c r="R1381" s="18" t="b">
        <f>FALSE()</f>
        <v>0</v>
      </c>
      <c r="S1381" s="19">
        <f t="shared" si="21"/>
        <v>13</v>
      </c>
      <c r="T1381">
        <f>COUNTIF('👤 Customers'!$A:$A, B1381)</f>
        <v>1</v>
      </c>
      <c r="U1381">
        <f>COUNTIF('🚴 Riders'!A1380:A1440, C1381)</f>
        <v>0</v>
      </c>
      <c r="V1381">
        <f>COUNTIF('🏭 Facilities'!A1380:A1388, D1381)</f>
        <v>0</v>
      </c>
    </row>
    <row r="1382" spans="1:22">
      <c r="A1382" s="16" t="s">
        <v>3415</v>
      </c>
      <c r="B1382" s="16" t="s">
        <v>731</v>
      </c>
      <c r="C1382" s="16" t="s">
        <v>162</v>
      </c>
      <c r="D1382" s="16" t="s">
        <v>130</v>
      </c>
      <c r="E1382" s="25">
        <v>45068</v>
      </c>
      <c r="F1382" s="16" t="s">
        <v>3416</v>
      </c>
      <c r="G1382" s="16" t="s">
        <v>145</v>
      </c>
      <c r="H1382" s="16">
        <v>1.2</v>
      </c>
      <c r="I1382" s="16">
        <v>299</v>
      </c>
      <c r="J1382" s="16">
        <v>0</v>
      </c>
      <c r="K1382" s="16">
        <v>358.8</v>
      </c>
      <c r="L1382" s="16" t="s">
        <v>118</v>
      </c>
      <c r="M1382" s="16" t="s">
        <v>133</v>
      </c>
      <c r="N1382" s="20"/>
      <c r="O1382" s="20"/>
      <c r="P1382" s="20"/>
      <c r="Q1382" s="16" t="b">
        <f>FALSE()</f>
        <v>0</v>
      </c>
      <c r="R1382" s="16" t="b">
        <f>TRUE()</f>
        <v>1</v>
      </c>
      <c r="S1382" s="17" t="str">
        <f t="shared" si="21"/>
        <v>N/A</v>
      </c>
      <c r="T1382">
        <f>COUNTIF('👤 Customers'!$A:$A, B1382)</f>
        <v>1</v>
      </c>
      <c r="U1382">
        <f>COUNTIF('🚴 Riders'!A1381:A1441, C1382)</f>
        <v>0</v>
      </c>
      <c r="V1382">
        <f>COUNTIF('🏭 Facilities'!A1381:A1389, D1382)</f>
        <v>0</v>
      </c>
    </row>
    <row r="1383" spans="1:22">
      <c r="A1383" s="18" t="s">
        <v>3417</v>
      </c>
      <c r="B1383" s="18" t="s">
        <v>577</v>
      </c>
      <c r="C1383" s="18" t="s">
        <v>251</v>
      </c>
      <c r="D1383" s="18" t="s">
        <v>205</v>
      </c>
      <c r="E1383" s="26">
        <v>45554</v>
      </c>
      <c r="F1383" s="18" t="s">
        <v>3418</v>
      </c>
      <c r="G1383" s="18" t="s">
        <v>117</v>
      </c>
      <c r="H1383" s="18">
        <v>2.8</v>
      </c>
      <c r="I1383" s="18">
        <v>149</v>
      </c>
      <c r="J1383" s="18">
        <v>20</v>
      </c>
      <c r="K1383" s="18">
        <v>333.76</v>
      </c>
      <c r="L1383" s="18" t="s">
        <v>207</v>
      </c>
      <c r="M1383" s="18" t="s">
        <v>140</v>
      </c>
      <c r="N1383" s="28">
        <v>45554.080555555556</v>
      </c>
      <c r="O1383" s="28">
        <v>45554.407638888886</v>
      </c>
      <c r="P1383" s="20"/>
      <c r="Q1383" s="18" t="b">
        <f>FALSE()</f>
        <v>0</v>
      </c>
      <c r="R1383" s="18" t="b">
        <f>FALSE()</f>
        <v>0</v>
      </c>
      <c r="S1383" s="19">
        <f t="shared" si="21"/>
        <v>7.8</v>
      </c>
      <c r="T1383">
        <f>COUNTIF('👤 Customers'!$A:$A, B1383)</f>
        <v>1</v>
      </c>
      <c r="U1383">
        <f>COUNTIF('🚴 Riders'!A1382:A1442, C1383)</f>
        <v>0</v>
      </c>
      <c r="V1383">
        <f>COUNTIF('🏭 Facilities'!A1382:A1390, D1383)</f>
        <v>0</v>
      </c>
    </row>
    <row r="1384" spans="1:22">
      <c r="A1384" s="16" t="s">
        <v>3419</v>
      </c>
      <c r="B1384" s="16" t="s">
        <v>472</v>
      </c>
      <c r="C1384" s="16" t="s">
        <v>304</v>
      </c>
      <c r="D1384" s="16" t="s">
        <v>137</v>
      </c>
      <c r="E1384" s="25">
        <v>45420</v>
      </c>
      <c r="F1384" s="16" t="s">
        <v>3420</v>
      </c>
      <c r="G1384" s="16" t="s">
        <v>117</v>
      </c>
      <c r="H1384" s="16">
        <v>3.9</v>
      </c>
      <c r="I1384" s="16">
        <v>149</v>
      </c>
      <c r="J1384" s="16">
        <v>0</v>
      </c>
      <c r="K1384" s="16">
        <v>581.1</v>
      </c>
      <c r="L1384" s="16" t="s">
        <v>139</v>
      </c>
      <c r="M1384" s="16" t="s">
        <v>119</v>
      </c>
      <c r="N1384" s="27">
        <v>45420.23541666667</v>
      </c>
      <c r="O1384" s="27">
        <v>45420.61041666667</v>
      </c>
      <c r="P1384" s="16">
        <v>5</v>
      </c>
      <c r="Q1384" s="16" t="b">
        <f>TRUE()</f>
        <v>1</v>
      </c>
      <c r="R1384" s="16" t="b">
        <f>TRUE()</f>
        <v>1</v>
      </c>
      <c r="S1384" s="17">
        <f t="shared" si="21"/>
        <v>9</v>
      </c>
      <c r="T1384">
        <f>COUNTIF('👤 Customers'!$A:$A, B1384)</f>
        <v>1</v>
      </c>
      <c r="U1384">
        <f>COUNTIF('🚴 Riders'!A1383:A1443, C1384)</f>
        <v>0</v>
      </c>
      <c r="V1384">
        <f>COUNTIF('🏭 Facilities'!A1383:A1391, D1384)</f>
        <v>0</v>
      </c>
    </row>
    <row r="1385" spans="1:22">
      <c r="A1385" s="18" t="s">
        <v>3421</v>
      </c>
      <c r="B1385" s="18" t="s">
        <v>1589</v>
      </c>
      <c r="C1385" s="18" t="s">
        <v>251</v>
      </c>
      <c r="D1385" s="18" t="s">
        <v>197</v>
      </c>
      <c r="E1385" s="26">
        <v>45252</v>
      </c>
      <c r="F1385" s="18" t="s">
        <v>2540</v>
      </c>
      <c r="G1385" s="18" t="s">
        <v>132</v>
      </c>
      <c r="H1385" s="18">
        <v>4</v>
      </c>
      <c r="I1385" s="18">
        <v>399</v>
      </c>
      <c r="J1385" s="18">
        <v>20</v>
      </c>
      <c r="K1385" s="18">
        <v>1276.8</v>
      </c>
      <c r="L1385" s="18" t="s">
        <v>146</v>
      </c>
      <c r="M1385" s="18" t="s">
        <v>133</v>
      </c>
      <c r="N1385" s="20"/>
      <c r="O1385" s="20"/>
      <c r="P1385" s="20"/>
      <c r="Q1385" s="18" t="b">
        <f>FALSE()</f>
        <v>0</v>
      </c>
      <c r="R1385" s="18" t="b">
        <f>FALSE()</f>
        <v>0</v>
      </c>
      <c r="S1385" s="19" t="str">
        <f t="shared" si="21"/>
        <v>N/A</v>
      </c>
      <c r="T1385">
        <f>COUNTIF('👤 Customers'!$A:$A, B1385)</f>
        <v>1</v>
      </c>
      <c r="U1385">
        <f>COUNTIF('🚴 Riders'!A1384:A1444, C1385)</f>
        <v>0</v>
      </c>
      <c r="V1385">
        <f>COUNTIF('🏭 Facilities'!A1384:A1392, D1385)</f>
        <v>0</v>
      </c>
    </row>
    <row r="1386" spans="1:22">
      <c r="A1386" s="16" t="s">
        <v>3422</v>
      </c>
      <c r="B1386" s="16" t="s">
        <v>2050</v>
      </c>
      <c r="C1386" s="16" t="s">
        <v>196</v>
      </c>
      <c r="D1386" s="16" t="s">
        <v>184</v>
      </c>
      <c r="E1386" s="25">
        <v>45173</v>
      </c>
      <c r="F1386" s="16" t="s">
        <v>3423</v>
      </c>
      <c r="G1386" s="16" t="s">
        <v>132</v>
      </c>
      <c r="H1386" s="16">
        <v>7.5</v>
      </c>
      <c r="I1386" s="16">
        <v>399</v>
      </c>
      <c r="J1386" s="16">
        <v>0</v>
      </c>
      <c r="K1386" s="16">
        <v>2992.5</v>
      </c>
      <c r="L1386" s="16" t="s">
        <v>146</v>
      </c>
      <c r="M1386" s="16" t="s">
        <v>133</v>
      </c>
      <c r="N1386" s="20"/>
      <c r="O1386" s="20"/>
      <c r="P1386" s="20"/>
      <c r="Q1386" s="16" t="b">
        <f>FALSE()</f>
        <v>0</v>
      </c>
      <c r="R1386" s="16" t="b">
        <f>FALSE()</f>
        <v>0</v>
      </c>
      <c r="S1386" s="17" t="str">
        <f t="shared" si="21"/>
        <v>N/A</v>
      </c>
      <c r="T1386">
        <f>COUNTIF('👤 Customers'!$A:$A, B1386)</f>
        <v>1</v>
      </c>
      <c r="U1386">
        <f>COUNTIF('🚴 Riders'!A1385:A1445, C1386)</f>
        <v>0</v>
      </c>
      <c r="V1386">
        <f>COUNTIF('🏭 Facilities'!A1385:A1393, D1386)</f>
        <v>0</v>
      </c>
    </row>
    <row r="1387" spans="1:22">
      <c r="A1387" s="18" t="s">
        <v>3424</v>
      </c>
      <c r="B1387" s="18" t="s">
        <v>1018</v>
      </c>
      <c r="C1387" s="18" t="s">
        <v>166</v>
      </c>
      <c r="D1387" s="18" t="s">
        <v>130</v>
      </c>
      <c r="E1387" s="26">
        <v>45520</v>
      </c>
      <c r="F1387" s="18" t="s">
        <v>3425</v>
      </c>
      <c r="G1387" s="18" t="s">
        <v>117</v>
      </c>
      <c r="H1387" s="18">
        <v>7.6</v>
      </c>
      <c r="I1387" s="18">
        <v>149</v>
      </c>
      <c r="J1387" s="18">
        <v>0</v>
      </c>
      <c r="K1387" s="18">
        <v>1132.4000000000001</v>
      </c>
      <c r="L1387" s="18" t="s">
        <v>118</v>
      </c>
      <c r="M1387" s="18" t="s">
        <v>119</v>
      </c>
      <c r="N1387" s="28">
        <v>45520.2</v>
      </c>
      <c r="O1387" s="28">
        <v>45521.086805555555</v>
      </c>
      <c r="P1387" s="18">
        <v>3.8</v>
      </c>
      <c r="Q1387" s="18" t="b">
        <f>FALSE()</f>
        <v>0</v>
      </c>
      <c r="R1387" s="18" t="b">
        <f>TRUE()</f>
        <v>1</v>
      </c>
      <c r="S1387" s="19">
        <f t="shared" si="21"/>
        <v>21.3</v>
      </c>
      <c r="T1387">
        <f>COUNTIF('👤 Customers'!$A:$A, B1387)</f>
        <v>1</v>
      </c>
      <c r="U1387">
        <f>COUNTIF('🚴 Riders'!A1386:A1446, C1387)</f>
        <v>0</v>
      </c>
      <c r="V1387">
        <f>COUNTIF('🏭 Facilities'!A1386:A1394, D1387)</f>
        <v>0</v>
      </c>
    </row>
    <row r="1388" spans="1:22">
      <c r="A1388" s="16" t="s">
        <v>3426</v>
      </c>
      <c r="B1388" s="16" t="s">
        <v>2265</v>
      </c>
      <c r="C1388" s="16" t="s">
        <v>487</v>
      </c>
      <c r="D1388" s="16" t="s">
        <v>197</v>
      </c>
      <c r="E1388" s="25">
        <v>45308</v>
      </c>
      <c r="F1388" s="16" t="s">
        <v>3427</v>
      </c>
      <c r="G1388" s="16" t="s">
        <v>125</v>
      </c>
      <c r="H1388" s="16">
        <v>4.2</v>
      </c>
      <c r="I1388" s="16">
        <v>199</v>
      </c>
      <c r="J1388" s="16">
        <v>20</v>
      </c>
      <c r="K1388" s="16">
        <v>668.64</v>
      </c>
      <c r="L1388" s="16" t="s">
        <v>139</v>
      </c>
      <c r="M1388" s="16" t="s">
        <v>119</v>
      </c>
      <c r="N1388" s="27">
        <v>45308.45416666667</v>
      </c>
      <c r="O1388" s="27">
        <v>45309.11041666667</v>
      </c>
      <c r="P1388" s="16">
        <v>4.5999999999999996</v>
      </c>
      <c r="Q1388" s="16" t="b">
        <f>FALSE()</f>
        <v>0</v>
      </c>
      <c r="R1388" s="16" t="b">
        <f>FALSE()</f>
        <v>0</v>
      </c>
      <c r="S1388" s="17">
        <f t="shared" si="21"/>
        <v>15.8</v>
      </c>
      <c r="T1388">
        <f>COUNTIF('👤 Customers'!$A:$A, B1388)</f>
        <v>1</v>
      </c>
      <c r="U1388">
        <f>COUNTIF('🚴 Riders'!A1387:A1447, C1388)</f>
        <v>0</v>
      </c>
      <c r="V1388">
        <f>COUNTIF('🏭 Facilities'!A1387:A1395, D1388)</f>
        <v>0</v>
      </c>
    </row>
    <row r="1389" spans="1:22">
      <c r="A1389" s="18" t="s">
        <v>3428</v>
      </c>
      <c r="B1389" s="18" t="s">
        <v>2404</v>
      </c>
      <c r="C1389" s="18" t="s">
        <v>362</v>
      </c>
      <c r="D1389" s="18" t="s">
        <v>115</v>
      </c>
      <c r="E1389" s="26">
        <v>45521</v>
      </c>
      <c r="F1389" s="18" t="s">
        <v>3429</v>
      </c>
      <c r="G1389" s="18" t="s">
        <v>125</v>
      </c>
      <c r="H1389" s="18">
        <v>2.4</v>
      </c>
      <c r="I1389" s="18">
        <v>199</v>
      </c>
      <c r="J1389" s="18">
        <v>20</v>
      </c>
      <c r="K1389" s="18">
        <v>382.08</v>
      </c>
      <c r="L1389" s="18" t="s">
        <v>139</v>
      </c>
      <c r="M1389" s="18" t="s">
        <v>133</v>
      </c>
      <c r="N1389" s="20"/>
      <c r="O1389" s="20"/>
      <c r="P1389" s="20"/>
      <c r="Q1389" s="18" t="b">
        <f>FALSE()</f>
        <v>0</v>
      </c>
      <c r="R1389" s="18" t="b">
        <f>FALSE()</f>
        <v>0</v>
      </c>
      <c r="S1389" s="19" t="str">
        <f t="shared" si="21"/>
        <v>N/A</v>
      </c>
      <c r="T1389">
        <f>COUNTIF('👤 Customers'!$A:$A, B1389)</f>
        <v>1</v>
      </c>
      <c r="U1389">
        <f>COUNTIF('🚴 Riders'!A1388:A1448, C1389)</f>
        <v>0</v>
      </c>
      <c r="V1389">
        <f>COUNTIF('🏭 Facilities'!A1388:A1396, D1389)</f>
        <v>0</v>
      </c>
    </row>
    <row r="1390" spans="1:22">
      <c r="A1390" s="16" t="s">
        <v>3430</v>
      </c>
      <c r="B1390" s="16" t="s">
        <v>371</v>
      </c>
      <c r="C1390" s="16" t="s">
        <v>192</v>
      </c>
      <c r="D1390" s="16" t="s">
        <v>184</v>
      </c>
      <c r="E1390" s="25">
        <v>45324</v>
      </c>
      <c r="F1390" s="16" t="s">
        <v>3431</v>
      </c>
      <c r="G1390" s="16" t="s">
        <v>132</v>
      </c>
      <c r="H1390" s="16">
        <v>6.1</v>
      </c>
      <c r="I1390" s="16">
        <v>399</v>
      </c>
      <c r="J1390" s="16">
        <v>0</v>
      </c>
      <c r="K1390" s="16">
        <v>2433.9</v>
      </c>
      <c r="L1390" s="16" t="s">
        <v>146</v>
      </c>
      <c r="M1390" s="16" t="s">
        <v>119</v>
      </c>
      <c r="N1390" s="27">
        <v>45324.789583333331</v>
      </c>
      <c r="O1390" s="27">
        <v>45325.487500000003</v>
      </c>
      <c r="P1390" s="16">
        <v>2.5</v>
      </c>
      <c r="Q1390" s="16" t="b">
        <f>FALSE()</f>
        <v>0</v>
      </c>
      <c r="R1390" s="16" t="b">
        <f>FALSE()</f>
        <v>0</v>
      </c>
      <c r="S1390" s="17">
        <f t="shared" si="21"/>
        <v>16.8</v>
      </c>
      <c r="T1390">
        <f>COUNTIF('👤 Customers'!$A:$A, B1390)</f>
        <v>1</v>
      </c>
      <c r="U1390">
        <f>COUNTIF('🚴 Riders'!A1389:A1449, C1390)</f>
        <v>0</v>
      </c>
      <c r="V1390">
        <f>COUNTIF('🏭 Facilities'!A1389:A1397, D1390)</f>
        <v>0</v>
      </c>
    </row>
    <row r="1391" spans="1:22">
      <c r="A1391" s="18" t="s">
        <v>3432</v>
      </c>
      <c r="B1391" s="18" t="s">
        <v>1423</v>
      </c>
      <c r="C1391" s="18" t="s">
        <v>265</v>
      </c>
      <c r="D1391" s="18" t="s">
        <v>123</v>
      </c>
      <c r="E1391" s="26">
        <v>45198</v>
      </c>
      <c r="F1391" s="18" t="s">
        <v>3433</v>
      </c>
      <c r="G1391" s="18" t="s">
        <v>132</v>
      </c>
      <c r="H1391" s="18">
        <v>4.5999999999999996</v>
      </c>
      <c r="I1391" s="18">
        <v>399</v>
      </c>
      <c r="J1391" s="18">
        <v>10</v>
      </c>
      <c r="K1391" s="18">
        <v>1651.86</v>
      </c>
      <c r="L1391" s="18" t="s">
        <v>207</v>
      </c>
      <c r="M1391" s="18" t="s">
        <v>119</v>
      </c>
      <c r="N1391" s="28">
        <v>45198.320833333331</v>
      </c>
      <c r="O1391" s="28">
        <v>45198.763194444444</v>
      </c>
      <c r="P1391" s="18">
        <v>4.9000000000000004</v>
      </c>
      <c r="Q1391" s="18" t="b">
        <f>FALSE()</f>
        <v>0</v>
      </c>
      <c r="R1391" s="18" t="b">
        <f>TRUE()</f>
        <v>1</v>
      </c>
      <c r="S1391" s="19">
        <f t="shared" si="21"/>
        <v>10.6</v>
      </c>
      <c r="T1391">
        <f>COUNTIF('👤 Customers'!$A:$A, B1391)</f>
        <v>1</v>
      </c>
      <c r="U1391">
        <f>COUNTIF('🚴 Riders'!A1390:A1450, C1391)</f>
        <v>0</v>
      </c>
      <c r="V1391">
        <f>COUNTIF('🏭 Facilities'!A1390:A1398, D1391)</f>
        <v>0</v>
      </c>
    </row>
    <row r="1392" spans="1:22">
      <c r="A1392" s="16" t="s">
        <v>3434</v>
      </c>
      <c r="B1392" s="16" t="s">
        <v>293</v>
      </c>
      <c r="C1392" s="16" t="s">
        <v>179</v>
      </c>
      <c r="D1392" s="16" t="s">
        <v>184</v>
      </c>
      <c r="E1392" s="25">
        <v>45585</v>
      </c>
      <c r="F1392" s="16" t="s">
        <v>3435</v>
      </c>
      <c r="G1392" s="16" t="s">
        <v>132</v>
      </c>
      <c r="H1392" s="16">
        <v>7</v>
      </c>
      <c r="I1392" s="16">
        <v>399</v>
      </c>
      <c r="J1392" s="16">
        <v>0</v>
      </c>
      <c r="K1392" s="16">
        <v>2793</v>
      </c>
      <c r="L1392" s="16" t="s">
        <v>118</v>
      </c>
      <c r="M1392" s="16" t="s">
        <v>119</v>
      </c>
      <c r="N1392" s="27">
        <v>45585.290972222225</v>
      </c>
      <c r="O1392" s="27">
        <v>45586.155555555553</v>
      </c>
      <c r="P1392" s="16">
        <v>4.4000000000000004</v>
      </c>
      <c r="Q1392" s="16" t="b">
        <f>TRUE()</f>
        <v>1</v>
      </c>
      <c r="R1392" s="16" t="b">
        <f>TRUE()</f>
        <v>1</v>
      </c>
      <c r="S1392" s="17">
        <f t="shared" si="21"/>
        <v>20.7</v>
      </c>
      <c r="T1392">
        <f>COUNTIF('👤 Customers'!$A:$A, B1392)</f>
        <v>1</v>
      </c>
      <c r="U1392">
        <f>COUNTIF('🚴 Riders'!A1391:A1451, C1392)</f>
        <v>0</v>
      </c>
      <c r="V1392">
        <f>COUNTIF('🏭 Facilities'!A1391:A1399, D1392)</f>
        <v>0</v>
      </c>
    </row>
    <row r="1393" spans="1:22">
      <c r="A1393" s="18" t="s">
        <v>3436</v>
      </c>
      <c r="B1393" s="18" t="s">
        <v>890</v>
      </c>
      <c r="C1393" s="18" t="s">
        <v>129</v>
      </c>
      <c r="D1393" s="18" t="s">
        <v>197</v>
      </c>
      <c r="E1393" s="26">
        <v>45463</v>
      </c>
      <c r="F1393" s="18" t="s">
        <v>3437</v>
      </c>
      <c r="G1393" s="18" t="s">
        <v>145</v>
      </c>
      <c r="H1393" s="18">
        <v>5.8</v>
      </c>
      <c r="I1393" s="18">
        <v>299</v>
      </c>
      <c r="J1393" s="18">
        <v>20</v>
      </c>
      <c r="K1393" s="18">
        <v>1387.36</v>
      </c>
      <c r="L1393" s="18" t="s">
        <v>126</v>
      </c>
      <c r="M1393" s="18" t="s">
        <v>119</v>
      </c>
      <c r="N1393" s="28">
        <v>45463.083333333336</v>
      </c>
      <c r="O1393" s="28">
        <v>45463.559027777781</v>
      </c>
      <c r="P1393" s="18">
        <v>4.0999999999999996</v>
      </c>
      <c r="Q1393" s="18" t="b">
        <f>FALSE()</f>
        <v>0</v>
      </c>
      <c r="R1393" s="18" t="b">
        <f>FALSE()</f>
        <v>0</v>
      </c>
      <c r="S1393" s="19">
        <f t="shared" si="21"/>
        <v>11.4</v>
      </c>
      <c r="T1393">
        <f>COUNTIF('👤 Customers'!$A:$A, B1393)</f>
        <v>1</v>
      </c>
      <c r="U1393">
        <f>COUNTIF('🚴 Riders'!A1392:A1452, C1393)</f>
        <v>0</v>
      </c>
      <c r="V1393">
        <f>COUNTIF('🏭 Facilities'!A1392:A1400, D1393)</f>
        <v>0</v>
      </c>
    </row>
    <row r="1394" spans="1:22">
      <c r="A1394" s="16" t="s">
        <v>3438</v>
      </c>
      <c r="B1394" s="16" t="s">
        <v>796</v>
      </c>
      <c r="C1394" s="16" t="s">
        <v>149</v>
      </c>
      <c r="D1394" s="16" t="s">
        <v>158</v>
      </c>
      <c r="E1394" s="25">
        <v>45419</v>
      </c>
      <c r="F1394" s="16" t="s">
        <v>3439</v>
      </c>
      <c r="G1394" s="16" t="s">
        <v>132</v>
      </c>
      <c r="H1394" s="16">
        <v>2</v>
      </c>
      <c r="I1394" s="16">
        <v>399</v>
      </c>
      <c r="J1394" s="16">
        <v>0</v>
      </c>
      <c r="K1394" s="16">
        <v>798</v>
      </c>
      <c r="L1394" s="16" t="s">
        <v>118</v>
      </c>
      <c r="M1394" s="16" t="s">
        <v>119</v>
      </c>
      <c r="N1394" s="27">
        <v>45419.693749999999</v>
      </c>
      <c r="O1394" s="27">
        <v>45420.57916666667</v>
      </c>
      <c r="P1394" s="16">
        <v>4.7</v>
      </c>
      <c r="Q1394" s="16" t="b">
        <f>FALSE()</f>
        <v>0</v>
      </c>
      <c r="R1394" s="16" t="b">
        <f>FALSE()</f>
        <v>0</v>
      </c>
      <c r="S1394" s="17">
        <f t="shared" si="21"/>
        <v>21.3</v>
      </c>
      <c r="T1394">
        <f>COUNTIF('👤 Customers'!$A:$A, B1394)</f>
        <v>1</v>
      </c>
      <c r="U1394">
        <f>COUNTIF('🚴 Riders'!A1393:A1453, C1394)</f>
        <v>0</v>
      </c>
      <c r="V1394">
        <f>COUNTIF('🏭 Facilities'!A1393:A1401, D1394)</f>
        <v>0</v>
      </c>
    </row>
    <row r="1395" spans="1:22">
      <c r="A1395" s="18" t="s">
        <v>3440</v>
      </c>
      <c r="B1395" s="18" t="s">
        <v>3441</v>
      </c>
      <c r="C1395" s="18" t="s">
        <v>479</v>
      </c>
      <c r="D1395" s="18" t="s">
        <v>130</v>
      </c>
      <c r="E1395" s="26">
        <v>45064</v>
      </c>
      <c r="F1395" s="18" t="s">
        <v>3442</v>
      </c>
      <c r="G1395" s="18" t="s">
        <v>117</v>
      </c>
      <c r="H1395" s="18">
        <v>1.5</v>
      </c>
      <c r="I1395" s="18">
        <v>149</v>
      </c>
      <c r="J1395" s="18">
        <v>0</v>
      </c>
      <c r="K1395" s="18">
        <v>223.5</v>
      </c>
      <c r="L1395" s="18" t="s">
        <v>207</v>
      </c>
      <c r="M1395" s="18" t="s">
        <v>119</v>
      </c>
      <c r="N1395" s="28">
        <v>45064.970138888886</v>
      </c>
      <c r="O1395" s="28">
        <v>45065.402083333334</v>
      </c>
      <c r="P1395" s="18">
        <v>3.5</v>
      </c>
      <c r="Q1395" s="18" t="b">
        <f>TRUE()</f>
        <v>1</v>
      </c>
      <c r="R1395" s="18" t="b">
        <f>FALSE()</f>
        <v>0</v>
      </c>
      <c r="S1395" s="19">
        <f t="shared" si="21"/>
        <v>10.4</v>
      </c>
      <c r="T1395">
        <f>COUNTIF('👤 Customers'!$A:$A, B1395)</f>
        <v>1</v>
      </c>
      <c r="U1395">
        <f>COUNTIF('🚴 Riders'!A1394:A1454, C1395)</f>
        <v>0</v>
      </c>
      <c r="V1395">
        <f>COUNTIF('🏭 Facilities'!A1394:A1402, D1395)</f>
        <v>0</v>
      </c>
    </row>
    <row r="1396" spans="1:22">
      <c r="A1396" s="16" t="s">
        <v>3443</v>
      </c>
      <c r="B1396" s="16" t="s">
        <v>397</v>
      </c>
      <c r="C1396" s="16" t="s">
        <v>842</v>
      </c>
      <c r="D1396" s="16" t="s">
        <v>158</v>
      </c>
      <c r="E1396" s="25">
        <v>44967</v>
      </c>
      <c r="F1396" s="16" t="s">
        <v>3444</v>
      </c>
      <c r="G1396" s="16" t="s">
        <v>125</v>
      </c>
      <c r="H1396" s="16">
        <v>2.2999999999999998</v>
      </c>
      <c r="I1396" s="16">
        <v>199</v>
      </c>
      <c r="J1396" s="16">
        <v>0</v>
      </c>
      <c r="K1396" s="16">
        <v>457.7</v>
      </c>
      <c r="L1396" s="16" t="s">
        <v>139</v>
      </c>
      <c r="M1396" s="16" t="s">
        <v>119</v>
      </c>
      <c r="N1396" s="27">
        <v>44967.12777777778</v>
      </c>
      <c r="O1396" s="27">
        <v>44967.709722222222</v>
      </c>
      <c r="P1396" s="16">
        <v>4.2</v>
      </c>
      <c r="Q1396" s="16" t="b">
        <f>FALSE()</f>
        <v>0</v>
      </c>
      <c r="R1396" s="16" t="b">
        <f>FALSE()</f>
        <v>0</v>
      </c>
      <c r="S1396" s="17">
        <f t="shared" si="21"/>
        <v>14</v>
      </c>
      <c r="T1396">
        <f>COUNTIF('👤 Customers'!$A:$A, B1396)</f>
        <v>1</v>
      </c>
      <c r="U1396">
        <f>COUNTIF('🚴 Riders'!A1395:A1455, C1396)</f>
        <v>0</v>
      </c>
      <c r="V1396">
        <f>COUNTIF('🏭 Facilities'!A1395:A1403, D1396)</f>
        <v>0</v>
      </c>
    </row>
    <row r="1397" spans="1:22">
      <c r="A1397" s="18" t="s">
        <v>3445</v>
      </c>
      <c r="B1397" s="18" t="s">
        <v>1447</v>
      </c>
      <c r="C1397" s="18" t="s">
        <v>483</v>
      </c>
      <c r="D1397" s="18" t="s">
        <v>205</v>
      </c>
      <c r="E1397" s="26">
        <v>45044</v>
      </c>
      <c r="F1397" s="18" t="s">
        <v>3446</v>
      </c>
      <c r="G1397" s="18" t="s">
        <v>125</v>
      </c>
      <c r="H1397" s="18">
        <v>1.2</v>
      </c>
      <c r="I1397" s="18">
        <v>199</v>
      </c>
      <c r="J1397" s="18">
        <v>0</v>
      </c>
      <c r="K1397" s="18">
        <v>238.8</v>
      </c>
      <c r="L1397" s="18" t="s">
        <v>207</v>
      </c>
      <c r="M1397" s="18" t="s">
        <v>119</v>
      </c>
      <c r="N1397" s="28">
        <v>45044.709722222222</v>
      </c>
      <c r="O1397" s="28">
        <v>45045.663194444445</v>
      </c>
      <c r="P1397" s="18">
        <v>3.5</v>
      </c>
      <c r="Q1397" s="18" t="b">
        <f>FALSE()</f>
        <v>0</v>
      </c>
      <c r="R1397" s="18" t="b">
        <f>TRUE()</f>
        <v>1</v>
      </c>
      <c r="S1397" s="19">
        <f t="shared" si="21"/>
        <v>22.9</v>
      </c>
      <c r="T1397">
        <f>COUNTIF('👤 Customers'!$A:$A, B1397)</f>
        <v>1</v>
      </c>
      <c r="U1397">
        <f>COUNTIF('🚴 Riders'!A1396:A1456, C1397)</f>
        <v>0</v>
      </c>
      <c r="V1397">
        <f>COUNTIF('🏭 Facilities'!A1396:A1404, D1397)</f>
        <v>0</v>
      </c>
    </row>
    <row r="1398" spans="1:22">
      <c r="A1398" s="16" t="s">
        <v>3447</v>
      </c>
      <c r="B1398" s="16" t="s">
        <v>1512</v>
      </c>
      <c r="C1398" s="16" t="s">
        <v>483</v>
      </c>
      <c r="D1398" s="16" t="s">
        <v>184</v>
      </c>
      <c r="E1398" s="25">
        <v>45190</v>
      </c>
      <c r="F1398" s="16" t="s">
        <v>3448</v>
      </c>
      <c r="G1398" s="16" t="s">
        <v>145</v>
      </c>
      <c r="H1398" s="16">
        <v>4.3</v>
      </c>
      <c r="I1398" s="16">
        <v>299</v>
      </c>
      <c r="J1398" s="16">
        <v>0</v>
      </c>
      <c r="K1398" s="16">
        <v>1285.7</v>
      </c>
      <c r="L1398" s="16" t="s">
        <v>126</v>
      </c>
      <c r="M1398" s="16" t="s">
        <v>119</v>
      </c>
      <c r="N1398" s="27">
        <v>45190.315972222219</v>
      </c>
      <c r="O1398" s="27">
        <v>45190.817361111112</v>
      </c>
      <c r="P1398" s="16">
        <v>4.5</v>
      </c>
      <c r="Q1398" s="16" t="b">
        <f>FALSE()</f>
        <v>0</v>
      </c>
      <c r="R1398" s="16" t="b">
        <f>FALSE()</f>
        <v>0</v>
      </c>
      <c r="S1398" s="17">
        <f t="shared" si="21"/>
        <v>12</v>
      </c>
      <c r="T1398">
        <f>COUNTIF('👤 Customers'!$A:$A, B1398)</f>
        <v>1</v>
      </c>
      <c r="U1398">
        <f>COUNTIF('🚴 Riders'!A1397:A1457, C1398)</f>
        <v>0</v>
      </c>
      <c r="V1398">
        <f>COUNTIF('🏭 Facilities'!A1397:A1405, D1398)</f>
        <v>0</v>
      </c>
    </row>
    <row r="1399" spans="1:22">
      <c r="A1399" s="18" t="s">
        <v>3449</v>
      </c>
      <c r="B1399" s="18" t="s">
        <v>1011</v>
      </c>
      <c r="C1399" s="18" t="s">
        <v>149</v>
      </c>
      <c r="D1399" s="18" t="s">
        <v>115</v>
      </c>
      <c r="E1399" s="26">
        <v>45074</v>
      </c>
      <c r="F1399" s="18" t="s">
        <v>3450</v>
      </c>
      <c r="G1399" s="18" t="s">
        <v>125</v>
      </c>
      <c r="H1399" s="18">
        <v>5.6</v>
      </c>
      <c r="I1399" s="18">
        <v>199</v>
      </c>
      <c r="J1399" s="18">
        <v>0</v>
      </c>
      <c r="K1399" s="18">
        <v>1114.4000000000001</v>
      </c>
      <c r="L1399" s="18" t="s">
        <v>126</v>
      </c>
      <c r="M1399" s="18" t="s">
        <v>119</v>
      </c>
      <c r="N1399" s="28">
        <v>45074.230555555558</v>
      </c>
      <c r="O1399" s="28">
        <v>45074.959027777775</v>
      </c>
      <c r="P1399" s="18">
        <v>4.0999999999999996</v>
      </c>
      <c r="Q1399" s="18" t="b">
        <f>FALSE()</f>
        <v>0</v>
      </c>
      <c r="R1399" s="18" t="b">
        <f>TRUE()</f>
        <v>1</v>
      </c>
      <c r="S1399" s="19">
        <f t="shared" si="21"/>
        <v>17.5</v>
      </c>
      <c r="T1399">
        <f>COUNTIF('👤 Customers'!$A:$A, B1399)</f>
        <v>1</v>
      </c>
      <c r="U1399">
        <f>COUNTIF('🚴 Riders'!A1398:A1458, C1399)</f>
        <v>0</v>
      </c>
      <c r="V1399">
        <f>COUNTIF('🏭 Facilities'!A1398:A1406, D1399)</f>
        <v>0</v>
      </c>
    </row>
    <row r="1400" spans="1:22">
      <c r="A1400" s="16" t="s">
        <v>3451</v>
      </c>
      <c r="B1400" s="16" t="s">
        <v>1832</v>
      </c>
      <c r="C1400" s="16" t="s">
        <v>483</v>
      </c>
      <c r="D1400" s="16" t="s">
        <v>137</v>
      </c>
      <c r="E1400" s="25">
        <v>44946</v>
      </c>
      <c r="F1400" s="16" t="s">
        <v>3452</v>
      </c>
      <c r="G1400" s="16" t="s">
        <v>117</v>
      </c>
      <c r="H1400" s="16">
        <v>3.2</v>
      </c>
      <c r="I1400" s="16">
        <v>149</v>
      </c>
      <c r="J1400" s="16">
        <v>20</v>
      </c>
      <c r="K1400" s="16">
        <v>381.44</v>
      </c>
      <c r="L1400" s="16" t="s">
        <v>146</v>
      </c>
      <c r="M1400" s="16" t="s">
        <v>119</v>
      </c>
      <c r="N1400" s="27">
        <v>44946.509722222225</v>
      </c>
      <c r="O1400" s="27">
        <v>44947.478472222225</v>
      </c>
      <c r="P1400" s="16">
        <v>4.5</v>
      </c>
      <c r="Q1400" s="16" t="b">
        <f>FALSE()</f>
        <v>0</v>
      </c>
      <c r="R1400" s="16" t="b">
        <f>FALSE()</f>
        <v>0</v>
      </c>
      <c r="S1400" s="17">
        <f t="shared" si="21"/>
        <v>23.3</v>
      </c>
      <c r="T1400">
        <f>COUNTIF('👤 Customers'!$A:$A, B1400)</f>
        <v>1</v>
      </c>
      <c r="U1400">
        <f>COUNTIF('🚴 Riders'!A1399:A1459, C1400)</f>
        <v>0</v>
      </c>
      <c r="V1400">
        <f>COUNTIF('🏭 Facilities'!A1399:A1407, D1400)</f>
        <v>0</v>
      </c>
    </row>
    <row r="1401" spans="1:22">
      <c r="A1401" s="18" t="s">
        <v>3453</v>
      </c>
      <c r="B1401" s="18" t="s">
        <v>3454</v>
      </c>
      <c r="C1401" s="18" t="s">
        <v>413</v>
      </c>
      <c r="D1401" s="18" t="s">
        <v>137</v>
      </c>
      <c r="E1401" s="26">
        <v>44931</v>
      </c>
      <c r="F1401" s="18" t="s">
        <v>3455</v>
      </c>
      <c r="G1401" s="18" t="s">
        <v>145</v>
      </c>
      <c r="H1401" s="18">
        <v>2.8</v>
      </c>
      <c r="I1401" s="18">
        <v>299</v>
      </c>
      <c r="J1401" s="18">
        <v>0</v>
      </c>
      <c r="K1401" s="18">
        <v>837.2</v>
      </c>
      <c r="L1401" s="18" t="s">
        <v>207</v>
      </c>
      <c r="M1401" s="18" t="s">
        <v>119</v>
      </c>
      <c r="N1401" s="28">
        <v>44932.048611111109</v>
      </c>
      <c r="O1401" s="28">
        <v>44932.467361111114</v>
      </c>
      <c r="P1401" s="18">
        <v>3.4</v>
      </c>
      <c r="Q1401" s="18" t="b">
        <f>TRUE()</f>
        <v>1</v>
      </c>
      <c r="R1401" s="18" t="b">
        <f>FALSE()</f>
        <v>0</v>
      </c>
      <c r="S1401" s="19">
        <f t="shared" si="21"/>
        <v>10.1</v>
      </c>
      <c r="T1401">
        <f>COUNTIF('👤 Customers'!$A:$A, B1401)</f>
        <v>1</v>
      </c>
      <c r="U1401">
        <f>COUNTIF('🚴 Riders'!A1400:A1460, C1401)</f>
        <v>0</v>
      </c>
      <c r="V1401">
        <f>COUNTIF('🏭 Facilities'!A1400:A1408, D1401)</f>
        <v>0</v>
      </c>
    </row>
    <row r="1402" spans="1:22">
      <c r="A1402" s="16" t="s">
        <v>3456</v>
      </c>
      <c r="B1402" s="16" t="s">
        <v>148</v>
      </c>
      <c r="C1402" s="16" t="s">
        <v>322</v>
      </c>
      <c r="D1402" s="16" t="s">
        <v>184</v>
      </c>
      <c r="E1402" s="25">
        <v>45038</v>
      </c>
      <c r="F1402" s="16" t="s">
        <v>3457</v>
      </c>
      <c r="G1402" s="16" t="s">
        <v>117</v>
      </c>
      <c r="H1402" s="16">
        <v>2.2999999999999998</v>
      </c>
      <c r="I1402" s="16">
        <v>149</v>
      </c>
      <c r="J1402" s="16">
        <v>20</v>
      </c>
      <c r="K1402" s="16">
        <v>274.16000000000003</v>
      </c>
      <c r="L1402" s="16" t="s">
        <v>146</v>
      </c>
      <c r="M1402" s="16" t="s">
        <v>119</v>
      </c>
      <c r="N1402" s="27">
        <v>45039.03402777778</v>
      </c>
      <c r="O1402" s="27">
        <v>45039.493055555555</v>
      </c>
      <c r="P1402" s="16">
        <v>3.2</v>
      </c>
      <c r="Q1402" s="16" t="b">
        <f>FALSE()</f>
        <v>0</v>
      </c>
      <c r="R1402" s="16" t="b">
        <f>FALSE()</f>
        <v>0</v>
      </c>
      <c r="S1402" s="17">
        <f t="shared" si="21"/>
        <v>11</v>
      </c>
      <c r="T1402">
        <f>COUNTIF('👤 Customers'!$A:$A, B1402)</f>
        <v>1</v>
      </c>
      <c r="U1402">
        <f>COUNTIF('🚴 Riders'!A1401:A1461, C1402)</f>
        <v>0</v>
      </c>
      <c r="V1402">
        <f>COUNTIF('🏭 Facilities'!A1401:A1409, D1402)</f>
        <v>0</v>
      </c>
    </row>
    <row r="1403" spans="1:22">
      <c r="A1403" s="18" t="s">
        <v>3458</v>
      </c>
      <c r="B1403" s="18" t="s">
        <v>1776</v>
      </c>
      <c r="C1403" s="18" t="s">
        <v>114</v>
      </c>
      <c r="D1403" s="18" t="s">
        <v>197</v>
      </c>
      <c r="E1403" s="26">
        <v>45581</v>
      </c>
      <c r="F1403" s="18" t="s">
        <v>3459</v>
      </c>
      <c r="G1403" s="18" t="s">
        <v>145</v>
      </c>
      <c r="H1403" s="18">
        <v>7.2</v>
      </c>
      <c r="I1403" s="18">
        <v>299</v>
      </c>
      <c r="J1403" s="18">
        <v>0</v>
      </c>
      <c r="K1403" s="18">
        <v>2152.8000000000002</v>
      </c>
      <c r="L1403" s="18" t="s">
        <v>207</v>
      </c>
      <c r="M1403" s="18" t="s">
        <v>119</v>
      </c>
      <c r="N1403" s="28">
        <v>45581.494444444441</v>
      </c>
      <c r="O1403" s="28">
        <v>45581.976388888892</v>
      </c>
      <c r="P1403" s="18">
        <v>4.8</v>
      </c>
      <c r="Q1403" s="18" t="b">
        <f>FALSE()</f>
        <v>0</v>
      </c>
      <c r="R1403" s="18" t="b">
        <f>TRUE()</f>
        <v>1</v>
      </c>
      <c r="S1403" s="19">
        <f t="shared" si="21"/>
        <v>11.6</v>
      </c>
      <c r="T1403">
        <f>COUNTIF('👤 Customers'!$A:$A, B1403)</f>
        <v>1</v>
      </c>
      <c r="U1403">
        <f>COUNTIF('🚴 Riders'!A1402:A1462, C1403)</f>
        <v>0</v>
      </c>
      <c r="V1403">
        <f>COUNTIF('🏭 Facilities'!A1402:A1410, D1403)</f>
        <v>0</v>
      </c>
    </row>
    <row r="1404" spans="1:22">
      <c r="A1404" s="16" t="s">
        <v>3460</v>
      </c>
      <c r="B1404" s="16" t="s">
        <v>307</v>
      </c>
      <c r="C1404" s="16" t="s">
        <v>240</v>
      </c>
      <c r="D1404" s="16" t="s">
        <v>205</v>
      </c>
      <c r="E1404" s="25">
        <v>45288</v>
      </c>
      <c r="F1404" s="16" t="s">
        <v>3461</v>
      </c>
      <c r="G1404" s="16" t="s">
        <v>176</v>
      </c>
      <c r="H1404" s="16">
        <v>6.7</v>
      </c>
      <c r="I1404" s="16">
        <v>599</v>
      </c>
      <c r="J1404" s="16">
        <v>10</v>
      </c>
      <c r="K1404" s="16">
        <v>3611.97</v>
      </c>
      <c r="L1404" s="16" t="s">
        <v>146</v>
      </c>
      <c r="M1404" s="16" t="s">
        <v>119</v>
      </c>
      <c r="N1404" s="27">
        <v>45288.818749999999</v>
      </c>
      <c r="O1404" s="27">
        <v>45289.640972222223</v>
      </c>
      <c r="P1404" s="16">
        <v>3.9</v>
      </c>
      <c r="Q1404" s="16" t="b">
        <f>TRUE()</f>
        <v>1</v>
      </c>
      <c r="R1404" s="16" t="b">
        <f>TRUE()</f>
        <v>1</v>
      </c>
      <c r="S1404" s="17">
        <f t="shared" si="21"/>
        <v>19.7</v>
      </c>
      <c r="T1404">
        <f>COUNTIF('👤 Customers'!$A:$A, B1404)</f>
        <v>1</v>
      </c>
      <c r="U1404">
        <f>COUNTIF('🚴 Riders'!A1403:A1463, C1404)</f>
        <v>0</v>
      </c>
      <c r="V1404">
        <f>COUNTIF('🏭 Facilities'!A1403:A1411, D1404)</f>
        <v>0</v>
      </c>
    </row>
    <row r="1405" spans="1:22">
      <c r="A1405" s="18" t="s">
        <v>3462</v>
      </c>
      <c r="B1405" s="18" t="s">
        <v>858</v>
      </c>
      <c r="C1405" s="18" t="s">
        <v>339</v>
      </c>
      <c r="D1405" s="18" t="s">
        <v>158</v>
      </c>
      <c r="E1405" s="26">
        <v>45009</v>
      </c>
      <c r="F1405" s="18" t="s">
        <v>3463</v>
      </c>
      <c r="G1405" s="18" t="s">
        <v>125</v>
      </c>
      <c r="H1405" s="18">
        <v>5</v>
      </c>
      <c r="I1405" s="18">
        <v>199</v>
      </c>
      <c r="J1405" s="18">
        <v>0</v>
      </c>
      <c r="K1405" s="18">
        <v>995</v>
      </c>
      <c r="L1405" s="18" t="s">
        <v>118</v>
      </c>
      <c r="M1405" s="18" t="s">
        <v>133</v>
      </c>
      <c r="N1405" s="20"/>
      <c r="O1405" s="20"/>
      <c r="P1405" s="20"/>
      <c r="Q1405" s="18" t="b">
        <f>FALSE()</f>
        <v>0</v>
      </c>
      <c r="R1405" s="18" t="b">
        <f>FALSE()</f>
        <v>0</v>
      </c>
      <c r="S1405" s="19" t="str">
        <f t="shared" si="21"/>
        <v>N/A</v>
      </c>
      <c r="T1405">
        <f>COUNTIF('👤 Customers'!$A:$A, B1405)</f>
        <v>1</v>
      </c>
      <c r="U1405">
        <f>COUNTIF('🚴 Riders'!A1404:A1464, C1405)</f>
        <v>0</v>
      </c>
      <c r="V1405">
        <f>COUNTIF('🏭 Facilities'!A1404:A1412, D1405)</f>
        <v>0</v>
      </c>
    </row>
    <row r="1406" spans="1:22">
      <c r="A1406" s="16" t="s">
        <v>3464</v>
      </c>
      <c r="B1406" s="16" t="s">
        <v>1317</v>
      </c>
      <c r="C1406" s="16" t="s">
        <v>170</v>
      </c>
      <c r="D1406" s="16" t="s">
        <v>184</v>
      </c>
      <c r="E1406" s="25">
        <v>45614</v>
      </c>
      <c r="F1406" s="16" t="s">
        <v>3465</v>
      </c>
      <c r="G1406" s="16" t="s">
        <v>145</v>
      </c>
      <c r="H1406" s="16">
        <v>2.8</v>
      </c>
      <c r="I1406" s="16">
        <v>299</v>
      </c>
      <c r="J1406" s="16">
        <v>0</v>
      </c>
      <c r="K1406" s="16">
        <v>837.2</v>
      </c>
      <c r="L1406" s="16" t="s">
        <v>146</v>
      </c>
      <c r="M1406" s="16" t="s">
        <v>133</v>
      </c>
      <c r="N1406" s="20"/>
      <c r="O1406" s="20"/>
      <c r="P1406" s="20"/>
      <c r="Q1406" s="16" t="b">
        <f>FALSE()</f>
        <v>0</v>
      </c>
      <c r="R1406" s="16" t="b">
        <f>FALSE()</f>
        <v>0</v>
      </c>
      <c r="S1406" s="17" t="str">
        <f t="shared" si="21"/>
        <v>N/A</v>
      </c>
      <c r="T1406">
        <f>COUNTIF('👤 Customers'!$A:$A, B1406)</f>
        <v>1</v>
      </c>
      <c r="U1406">
        <f>COUNTIF('🚴 Riders'!A1405:A1465, C1406)</f>
        <v>0</v>
      </c>
      <c r="V1406">
        <f>COUNTIF('🏭 Facilities'!A1405:A1413, D1406)</f>
        <v>0</v>
      </c>
    </row>
    <row r="1407" spans="1:22">
      <c r="A1407" s="18" t="s">
        <v>3466</v>
      </c>
      <c r="B1407" s="18" t="s">
        <v>495</v>
      </c>
      <c r="C1407" s="18" t="s">
        <v>122</v>
      </c>
      <c r="D1407" s="18" t="s">
        <v>115</v>
      </c>
      <c r="E1407" s="26">
        <v>45128</v>
      </c>
      <c r="F1407" s="18" t="s">
        <v>3467</v>
      </c>
      <c r="G1407" s="18" t="s">
        <v>125</v>
      </c>
      <c r="H1407" s="18">
        <v>4.5999999999999996</v>
      </c>
      <c r="I1407" s="18">
        <v>199</v>
      </c>
      <c r="J1407" s="18">
        <v>0</v>
      </c>
      <c r="K1407" s="18">
        <v>915.4</v>
      </c>
      <c r="L1407" s="18" t="s">
        <v>118</v>
      </c>
      <c r="M1407" s="18" t="s">
        <v>140</v>
      </c>
      <c r="N1407" s="28">
        <v>45128.131249999999</v>
      </c>
      <c r="O1407" s="28">
        <v>45128.536805555559</v>
      </c>
      <c r="P1407" s="20"/>
      <c r="Q1407" s="18" t="b">
        <f>FALSE()</f>
        <v>0</v>
      </c>
      <c r="R1407" s="18" t="b">
        <f>FALSE()</f>
        <v>0</v>
      </c>
      <c r="S1407" s="19">
        <f t="shared" si="21"/>
        <v>9.6999999999999993</v>
      </c>
      <c r="T1407">
        <f>COUNTIF('👤 Customers'!$A:$A, B1407)</f>
        <v>1</v>
      </c>
      <c r="U1407">
        <f>COUNTIF('🚴 Riders'!A1406:A1466, C1407)</f>
        <v>0</v>
      </c>
      <c r="V1407">
        <f>COUNTIF('🏭 Facilities'!A1406:A1414, D1407)</f>
        <v>0</v>
      </c>
    </row>
    <row r="1408" spans="1:22">
      <c r="A1408" s="16" t="s">
        <v>3468</v>
      </c>
      <c r="B1408" s="16" t="s">
        <v>673</v>
      </c>
      <c r="C1408" s="16" t="s">
        <v>580</v>
      </c>
      <c r="D1408" s="16" t="s">
        <v>130</v>
      </c>
      <c r="E1408" s="25">
        <v>44993</v>
      </c>
      <c r="F1408" s="16" t="s">
        <v>3469</v>
      </c>
      <c r="G1408" s="16" t="s">
        <v>145</v>
      </c>
      <c r="H1408" s="16">
        <v>3.1</v>
      </c>
      <c r="I1408" s="16">
        <v>299</v>
      </c>
      <c r="J1408" s="16">
        <v>0</v>
      </c>
      <c r="K1408" s="16">
        <v>926.9</v>
      </c>
      <c r="L1408" s="16" t="s">
        <v>139</v>
      </c>
      <c r="M1408" s="16" t="s">
        <v>133</v>
      </c>
      <c r="N1408" s="20"/>
      <c r="O1408" s="20"/>
      <c r="P1408" s="20"/>
      <c r="Q1408" s="16" t="b">
        <f>FALSE()</f>
        <v>0</v>
      </c>
      <c r="R1408" s="16" t="b">
        <f>FALSE()</f>
        <v>0</v>
      </c>
      <c r="S1408" s="17" t="str">
        <f t="shared" si="21"/>
        <v>N/A</v>
      </c>
      <c r="T1408">
        <f>COUNTIF('👤 Customers'!$A:$A, B1408)</f>
        <v>1</v>
      </c>
      <c r="U1408">
        <f>COUNTIF('🚴 Riders'!A1407:A1467, C1408)</f>
        <v>0</v>
      </c>
      <c r="V1408">
        <f>COUNTIF('🏭 Facilities'!A1407:A1415, D1408)</f>
        <v>0</v>
      </c>
    </row>
    <row r="1409" spans="1:22">
      <c r="A1409" s="18" t="s">
        <v>3470</v>
      </c>
      <c r="B1409" s="18" t="s">
        <v>1679</v>
      </c>
      <c r="C1409" s="18" t="s">
        <v>122</v>
      </c>
      <c r="D1409" s="18" t="s">
        <v>137</v>
      </c>
      <c r="E1409" s="26">
        <v>45026</v>
      </c>
      <c r="F1409" s="18" t="s">
        <v>3471</v>
      </c>
      <c r="G1409" s="18" t="s">
        <v>132</v>
      </c>
      <c r="H1409" s="18">
        <v>6.5</v>
      </c>
      <c r="I1409" s="18">
        <v>399</v>
      </c>
      <c r="J1409" s="18">
        <v>30</v>
      </c>
      <c r="K1409" s="18">
        <v>1815.45</v>
      </c>
      <c r="L1409" s="18" t="s">
        <v>126</v>
      </c>
      <c r="M1409" s="18" t="s">
        <v>119</v>
      </c>
      <c r="N1409" s="28">
        <v>45026.40902777778</v>
      </c>
      <c r="O1409" s="28">
        <v>45027.105555555558</v>
      </c>
      <c r="P1409" s="18">
        <v>3.1</v>
      </c>
      <c r="Q1409" s="18" t="b">
        <f>FALSE()</f>
        <v>0</v>
      </c>
      <c r="R1409" s="18" t="b">
        <f>FALSE()</f>
        <v>0</v>
      </c>
      <c r="S1409" s="19">
        <f t="shared" si="21"/>
        <v>16.7</v>
      </c>
      <c r="T1409">
        <f>COUNTIF('👤 Customers'!$A:$A, B1409)</f>
        <v>1</v>
      </c>
      <c r="U1409">
        <f>COUNTIF('🚴 Riders'!A1408:A1468, C1409)</f>
        <v>0</v>
      </c>
      <c r="V1409">
        <f>COUNTIF('🏭 Facilities'!A1408:A1416, D1409)</f>
        <v>0</v>
      </c>
    </row>
    <row r="1410" spans="1:22">
      <c r="A1410" s="16" t="s">
        <v>3472</v>
      </c>
      <c r="B1410" s="16" t="s">
        <v>191</v>
      </c>
      <c r="C1410" s="16" t="s">
        <v>236</v>
      </c>
      <c r="D1410" s="16" t="s">
        <v>137</v>
      </c>
      <c r="E1410" s="25">
        <v>45140</v>
      </c>
      <c r="F1410" s="16" t="s">
        <v>3473</v>
      </c>
      <c r="G1410" s="16" t="s">
        <v>145</v>
      </c>
      <c r="H1410" s="16">
        <v>2.2999999999999998</v>
      </c>
      <c r="I1410" s="16">
        <v>299</v>
      </c>
      <c r="J1410" s="16">
        <v>10</v>
      </c>
      <c r="K1410" s="16">
        <v>618.92999999999995</v>
      </c>
      <c r="L1410" s="16" t="s">
        <v>126</v>
      </c>
      <c r="M1410" s="16" t="s">
        <v>119</v>
      </c>
      <c r="N1410" s="27">
        <v>45140.116666666669</v>
      </c>
      <c r="O1410" s="27">
        <v>45141.17291666667</v>
      </c>
      <c r="P1410" s="16">
        <v>3.4</v>
      </c>
      <c r="Q1410" s="16" t="b">
        <f>FALSE()</f>
        <v>0</v>
      </c>
      <c r="R1410" s="16" t="b">
        <f>FALSE()</f>
        <v>0</v>
      </c>
      <c r="S1410" s="17">
        <f t="shared" ref="S1410:S1473" si="22">IF(OR(N1410="",O1410=""),"N/A",ROUND(((O1410-N1410)*24),1))</f>
        <v>25.4</v>
      </c>
      <c r="T1410">
        <f>COUNTIF('👤 Customers'!$A:$A, B1410)</f>
        <v>1</v>
      </c>
      <c r="U1410">
        <f>COUNTIF('🚴 Riders'!A1409:A1469, C1410)</f>
        <v>0</v>
      </c>
      <c r="V1410">
        <f>COUNTIF('🏭 Facilities'!A1409:A1417, D1410)</f>
        <v>0</v>
      </c>
    </row>
    <row r="1411" spans="1:22">
      <c r="A1411" s="18" t="s">
        <v>3474</v>
      </c>
      <c r="B1411" s="18" t="s">
        <v>3475</v>
      </c>
      <c r="C1411" s="18" t="s">
        <v>354</v>
      </c>
      <c r="D1411" s="18" t="s">
        <v>115</v>
      </c>
      <c r="E1411" s="26">
        <v>45518</v>
      </c>
      <c r="F1411" s="18" t="s">
        <v>3476</v>
      </c>
      <c r="G1411" s="18" t="s">
        <v>132</v>
      </c>
      <c r="H1411" s="18">
        <v>1</v>
      </c>
      <c r="I1411" s="18">
        <v>399</v>
      </c>
      <c r="J1411" s="18">
        <v>0</v>
      </c>
      <c r="K1411" s="18">
        <v>399</v>
      </c>
      <c r="L1411" s="18" t="s">
        <v>207</v>
      </c>
      <c r="M1411" s="18" t="s">
        <v>133</v>
      </c>
      <c r="N1411" s="20"/>
      <c r="O1411" s="20"/>
      <c r="P1411" s="20"/>
      <c r="Q1411" s="18" t="b">
        <f>FALSE()</f>
        <v>0</v>
      </c>
      <c r="R1411" s="18" t="b">
        <f>FALSE()</f>
        <v>0</v>
      </c>
      <c r="S1411" s="19" t="str">
        <f t="shared" si="22"/>
        <v>N/A</v>
      </c>
      <c r="T1411">
        <f>COUNTIF('👤 Customers'!$A:$A, B1411)</f>
        <v>1</v>
      </c>
      <c r="U1411">
        <f>COUNTIF('🚴 Riders'!A1410:A1470, C1411)</f>
        <v>0</v>
      </c>
      <c r="V1411">
        <f>COUNTIF('🏭 Facilities'!A1410:A1418, D1411)</f>
        <v>0</v>
      </c>
    </row>
    <row r="1412" spans="1:22">
      <c r="A1412" s="16" t="s">
        <v>3477</v>
      </c>
      <c r="B1412" s="16" t="s">
        <v>1512</v>
      </c>
      <c r="C1412" s="16" t="s">
        <v>304</v>
      </c>
      <c r="D1412" s="16" t="s">
        <v>184</v>
      </c>
      <c r="E1412" s="25">
        <v>44929</v>
      </c>
      <c r="F1412" s="16" t="s">
        <v>3478</v>
      </c>
      <c r="G1412" s="16" t="s">
        <v>176</v>
      </c>
      <c r="H1412" s="16">
        <v>4.5999999999999996</v>
      </c>
      <c r="I1412" s="16">
        <v>599</v>
      </c>
      <c r="J1412" s="16">
        <v>10</v>
      </c>
      <c r="K1412" s="16">
        <v>2479.86</v>
      </c>
      <c r="L1412" s="16" t="s">
        <v>146</v>
      </c>
      <c r="M1412" s="16" t="s">
        <v>133</v>
      </c>
      <c r="N1412" s="20"/>
      <c r="O1412" s="20"/>
      <c r="P1412" s="20"/>
      <c r="Q1412" s="16" t="b">
        <f>FALSE()</f>
        <v>0</v>
      </c>
      <c r="R1412" s="16" t="b">
        <f>FALSE()</f>
        <v>0</v>
      </c>
      <c r="S1412" s="17" t="str">
        <f t="shared" si="22"/>
        <v>N/A</v>
      </c>
      <c r="T1412">
        <f>COUNTIF('👤 Customers'!$A:$A, B1412)</f>
        <v>1</v>
      </c>
      <c r="U1412">
        <f>COUNTIF('🚴 Riders'!A1411:A1471, C1412)</f>
        <v>0</v>
      </c>
      <c r="V1412">
        <f>COUNTIF('🏭 Facilities'!A1411:A1419, D1412)</f>
        <v>0</v>
      </c>
    </row>
    <row r="1413" spans="1:22">
      <c r="A1413" s="18" t="s">
        <v>3479</v>
      </c>
      <c r="B1413" s="18" t="s">
        <v>510</v>
      </c>
      <c r="C1413" s="18" t="s">
        <v>563</v>
      </c>
      <c r="D1413" s="18" t="s">
        <v>115</v>
      </c>
      <c r="E1413" s="26">
        <v>45225</v>
      </c>
      <c r="F1413" s="18" t="s">
        <v>3480</v>
      </c>
      <c r="G1413" s="18" t="s">
        <v>176</v>
      </c>
      <c r="H1413" s="18">
        <v>6.3</v>
      </c>
      <c r="I1413" s="18">
        <v>599</v>
      </c>
      <c r="J1413" s="18">
        <v>10</v>
      </c>
      <c r="K1413" s="18">
        <v>3396.33</v>
      </c>
      <c r="L1413" s="18" t="s">
        <v>146</v>
      </c>
      <c r="M1413" s="18" t="s">
        <v>119</v>
      </c>
      <c r="N1413" s="28">
        <v>45225.677777777775</v>
      </c>
      <c r="O1413" s="28">
        <v>45226.418055555558</v>
      </c>
      <c r="P1413" s="18">
        <v>2.6</v>
      </c>
      <c r="Q1413" s="18" t="b">
        <f>TRUE()</f>
        <v>1</v>
      </c>
      <c r="R1413" s="18" t="b">
        <f>FALSE()</f>
        <v>0</v>
      </c>
      <c r="S1413" s="19">
        <f t="shared" si="22"/>
        <v>17.8</v>
      </c>
      <c r="T1413">
        <f>COUNTIF('👤 Customers'!$A:$A, B1413)</f>
        <v>1</v>
      </c>
      <c r="U1413">
        <f>COUNTIF('🚴 Riders'!A1412:A1472, C1413)</f>
        <v>0</v>
      </c>
      <c r="V1413">
        <f>COUNTIF('🏭 Facilities'!A1412:A1420, D1413)</f>
        <v>0</v>
      </c>
    </row>
    <row r="1414" spans="1:22">
      <c r="A1414" s="16" t="s">
        <v>3481</v>
      </c>
      <c r="B1414" s="16" t="s">
        <v>442</v>
      </c>
      <c r="C1414" s="16" t="s">
        <v>343</v>
      </c>
      <c r="D1414" s="16" t="s">
        <v>158</v>
      </c>
      <c r="E1414" s="25">
        <v>45188</v>
      </c>
      <c r="F1414" s="16" t="s">
        <v>3482</v>
      </c>
      <c r="G1414" s="16" t="s">
        <v>117</v>
      </c>
      <c r="H1414" s="16">
        <v>4.8</v>
      </c>
      <c r="I1414" s="16">
        <v>149</v>
      </c>
      <c r="J1414" s="16">
        <v>20</v>
      </c>
      <c r="K1414" s="16">
        <v>572.16</v>
      </c>
      <c r="L1414" s="16" t="s">
        <v>207</v>
      </c>
      <c r="M1414" s="16" t="s">
        <v>119</v>
      </c>
      <c r="N1414" s="27">
        <v>45188.788194444445</v>
      </c>
      <c r="O1414" s="27">
        <v>45189.775000000001</v>
      </c>
      <c r="P1414" s="16">
        <v>2.6</v>
      </c>
      <c r="Q1414" s="16" t="b">
        <f>TRUE()</f>
        <v>1</v>
      </c>
      <c r="R1414" s="16" t="b">
        <f>FALSE()</f>
        <v>0</v>
      </c>
      <c r="S1414" s="17">
        <f t="shared" si="22"/>
        <v>23.7</v>
      </c>
      <c r="T1414">
        <f>COUNTIF('👤 Customers'!$A:$A, B1414)</f>
        <v>1</v>
      </c>
      <c r="U1414">
        <f>COUNTIF('🚴 Riders'!A1413:A1473, C1414)</f>
        <v>0</v>
      </c>
      <c r="V1414">
        <f>COUNTIF('🏭 Facilities'!A1413:A1421, D1414)</f>
        <v>0</v>
      </c>
    </row>
    <row r="1415" spans="1:22">
      <c r="A1415" s="18" t="s">
        <v>3483</v>
      </c>
      <c r="B1415" s="18" t="s">
        <v>1130</v>
      </c>
      <c r="C1415" s="18" t="s">
        <v>717</v>
      </c>
      <c r="D1415" s="18" t="s">
        <v>197</v>
      </c>
      <c r="E1415" s="26">
        <v>45580</v>
      </c>
      <c r="F1415" s="18" t="s">
        <v>3484</v>
      </c>
      <c r="G1415" s="18" t="s">
        <v>176</v>
      </c>
      <c r="H1415" s="18">
        <v>4.5999999999999996</v>
      </c>
      <c r="I1415" s="18">
        <v>599</v>
      </c>
      <c r="J1415" s="18">
        <v>10</v>
      </c>
      <c r="K1415" s="18">
        <v>2479.86</v>
      </c>
      <c r="L1415" s="18" t="s">
        <v>126</v>
      </c>
      <c r="M1415" s="18" t="s">
        <v>119</v>
      </c>
      <c r="N1415" s="28">
        <v>45580.430555555555</v>
      </c>
      <c r="O1415" s="28">
        <v>45581.45</v>
      </c>
      <c r="P1415" s="18">
        <v>3.8</v>
      </c>
      <c r="Q1415" s="18" t="b">
        <f>TRUE()</f>
        <v>1</v>
      </c>
      <c r="R1415" s="18" t="b">
        <f>TRUE()</f>
        <v>1</v>
      </c>
      <c r="S1415" s="19">
        <f t="shared" si="22"/>
        <v>24.5</v>
      </c>
      <c r="T1415">
        <f>COUNTIF('👤 Customers'!$A:$A, B1415)</f>
        <v>1</v>
      </c>
      <c r="U1415">
        <f>COUNTIF('🚴 Riders'!A1414:A1474, C1415)</f>
        <v>0</v>
      </c>
      <c r="V1415">
        <f>COUNTIF('🏭 Facilities'!A1414:A1422, D1415)</f>
        <v>0</v>
      </c>
    </row>
    <row r="1416" spans="1:22">
      <c r="A1416" s="16" t="s">
        <v>3485</v>
      </c>
      <c r="B1416" s="16" t="s">
        <v>394</v>
      </c>
      <c r="C1416" s="16" t="s">
        <v>842</v>
      </c>
      <c r="D1416" s="16" t="s">
        <v>184</v>
      </c>
      <c r="E1416" s="25">
        <v>45396</v>
      </c>
      <c r="F1416" s="16" t="s">
        <v>3486</v>
      </c>
      <c r="G1416" s="16" t="s">
        <v>176</v>
      </c>
      <c r="H1416" s="16">
        <v>5.5</v>
      </c>
      <c r="I1416" s="16">
        <v>599</v>
      </c>
      <c r="J1416" s="16">
        <v>10</v>
      </c>
      <c r="K1416" s="16">
        <v>2965.05</v>
      </c>
      <c r="L1416" s="16" t="s">
        <v>207</v>
      </c>
      <c r="M1416" s="16" t="s">
        <v>119</v>
      </c>
      <c r="N1416" s="27">
        <v>45396.334722222222</v>
      </c>
      <c r="O1416" s="27">
        <v>45397.275694444441</v>
      </c>
      <c r="P1416" s="16">
        <v>4.0999999999999996</v>
      </c>
      <c r="Q1416" s="16" t="b">
        <f>FALSE()</f>
        <v>0</v>
      </c>
      <c r="R1416" s="16" t="b">
        <f>FALSE()</f>
        <v>0</v>
      </c>
      <c r="S1416" s="17">
        <f t="shared" si="22"/>
        <v>22.6</v>
      </c>
      <c r="T1416">
        <f>COUNTIF('👤 Customers'!$A:$A, B1416)</f>
        <v>1</v>
      </c>
      <c r="U1416">
        <f>COUNTIF('🚴 Riders'!A1415:A1475, C1416)</f>
        <v>0</v>
      </c>
      <c r="V1416">
        <f>COUNTIF('🏭 Facilities'!A1415:A1423, D1416)</f>
        <v>0</v>
      </c>
    </row>
    <row r="1417" spans="1:22">
      <c r="A1417" s="18" t="s">
        <v>3487</v>
      </c>
      <c r="B1417" s="18" t="s">
        <v>1679</v>
      </c>
      <c r="C1417" s="18" t="s">
        <v>483</v>
      </c>
      <c r="D1417" s="18" t="s">
        <v>123</v>
      </c>
      <c r="E1417" s="26">
        <v>44980</v>
      </c>
      <c r="F1417" s="18" t="s">
        <v>3488</v>
      </c>
      <c r="G1417" s="18" t="s">
        <v>117</v>
      </c>
      <c r="H1417" s="18">
        <v>2.4</v>
      </c>
      <c r="I1417" s="18">
        <v>149</v>
      </c>
      <c r="J1417" s="18">
        <v>10</v>
      </c>
      <c r="K1417" s="18">
        <v>321.83999999999997</v>
      </c>
      <c r="L1417" s="18" t="s">
        <v>118</v>
      </c>
      <c r="M1417" s="18" t="s">
        <v>119</v>
      </c>
      <c r="N1417" s="28">
        <v>44980.219444444447</v>
      </c>
      <c r="O1417" s="28">
        <v>44980.55972222222</v>
      </c>
      <c r="P1417" s="18">
        <v>4</v>
      </c>
      <c r="Q1417" s="18" t="b">
        <f>FALSE()</f>
        <v>0</v>
      </c>
      <c r="R1417" s="18" t="b">
        <f>FALSE()</f>
        <v>0</v>
      </c>
      <c r="S1417" s="19">
        <f t="shared" si="22"/>
        <v>8.1999999999999993</v>
      </c>
      <c r="T1417">
        <f>COUNTIF('👤 Customers'!$A:$A, B1417)</f>
        <v>1</v>
      </c>
      <c r="U1417">
        <f>COUNTIF('🚴 Riders'!A1416:A1476, C1417)</f>
        <v>0</v>
      </c>
      <c r="V1417">
        <f>COUNTIF('🏭 Facilities'!A1416:A1424, D1417)</f>
        <v>0</v>
      </c>
    </row>
    <row r="1418" spans="1:22">
      <c r="A1418" s="16" t="s">
        <v>3489</v>
      </c>
      <c r="B1418" s="16" t="s">
        <v>2028</v>
      </c>
      <c r="C1418" s="16" t="s">
        <v>326</v>
      </c>
      <c r="D1418" s="16" t="s">
        <v>137</v>
      </c>
      <c r="E1418" s="25">
        <v>45262</v>
      </c>
      <c r="F1418" s="16" t="s">
        <v>3490</v>
      </c>
      <c r="G1418" s="16" t="s">
        <v>145</v>
      </c>
      <c r="H1418" s="16">
        <v>2</v>
      </c>
      <c r="I1418" s="16">
        <v>299</v>
      </c>
      <c r="J1418" s="16">
        <v>0</v>
      </c>
      <c r="K1418" s="16">
        <v>598</v>
      </c>
      <c r="L1418" s="16" t="s">
        <v>146</v>
      </c>
      <c r="M1418" s="16" t="s">
        <v>119</v>
      </c>
      <c r="N1418" s="27">
        <v>45262.600694444445</v>
      </c>
      <c r="O1418" s="27">
        <v>45263.145833333336</v>
      </c>
      <c r="P1418" s="16">
        <v>4.8</v>
      </c>
      <c r="Q1418" s="16" t="b">
        <f>FALSE()</f>
        <v>0</v>
      </c>
      <c r="R1418" s="16" t="b">
        <f>TRUE()</f>
        <v>1</v>
      </c>
      <c r="S1418" s="17">
        <f t="shared" si="22"/>
        <v>13.1</v>
      </c>
      <c r="T1418">
        <f>COUNTIF('👤 Customers'!$A:$A, B1418)</f>
        <v>1</v>
      </c>
      <c r="U1418">
        <f>COUNTIF('🚴 Riders'!A1417:A1477, C1418)</f>
        <v>0</v>
      </c>
      <c r="V1418">
        <f>COUNTIF('🏭 Facilities'!A1417:A1425, D1418)</f>
        <v>0</v>
      </c>
    </row>
    <row r="1419" spans="1:22">
      <c r="A1419" s="18" t="s">
        <v>3491</v>
      </c>
      <c r="B1419" s="18" t="s">
        <v>419</v>
      </c>
      <c r="C1419" s="18" t="s">
        <v>122</v>
      </c>
      <c r="D1419" s="18" t="s">
        <v>205</v>
      </c>
      <c r="E1419" s="26">
        <v>45034</v>
      </c>
      <c r="F1419" s="18" t="s">
        <v>3492</v>
      </c>
      <c r="G1419" s="18" t="s">
        <v>132</v>
      </c>
      <c r="H1419" s="18">
        <v>4.5999999999999996</v>
      </c>
      <c r="I1419" s="18">
        <v>399</v>
      </c>
      <c r="J1419" s="18">
        <v>0</v>
      </c>
      <c r="K1419" s="18">
        <v>1835.4</v>
      </c>
      <c r="L1419" s="18" t="s">
        <v>146</v>
      </c>
      <c r="M1419" s="18" t="s">
        <v>119</v>
      </c>
      <c r="N1419" s="28">
        <v>45034.17291666667</v>
      </c>
      <c r="O1419" s="28">
        <v>45034.650694444441</v>
      </c>
      <c r="P1419" s="18">
        <v>4.7</v>
      </c>
      <c r="Q1419" s="18" t="b">
        <f>FALSE()</f>
        <v>0</v>
      </c>
      <c r="R1419" s="18" t="b">
        <f>FALSE()</f>
        <v>0</v>
      </c>
      <c r="S1419" s="19">
        <f t="shared" si="22"/>
        <v>11.5</v>
      </c>
      <c r="T1419">
        <f>COUNTIF('👤 Customers'!$A:$A, B1419)</f>
        <v>1</v>
      </c>
      <c r="U1419">
        <f>COUNTIF('🚴 Riders'!A1418:A1478, C1419)</f>
        <v>0</v>
      </c>
      <c r="V1419">
        <f>COUNTIF('🏭 Facilities'!A1418:A1426, D1419)</f>
        <v>0</v>
      </c>
    </row>
    <row r="1420" spans="1:22">
      <c r="A1420" s="16" t="s">
        <v>3493</v>
      </c>
      <c r="B1420" s="16" t="s">
        <v>2847</v>
      </c>
      <c r="C1420" s="16" t="s">
        <v>611</v>
      </c>
      <c r="D1420" s="16" t="s">
        <v>130</v>
      </c>
      <c r="E1420" s="25">
        <v>45629</v>
      </c>
      <c r="F1420" s="16" t="s">
        <v>3494</v>
      </c>
      <c r="G1420" s="16" t="s">
        <v>132</v>
      </c>
      <c r="H1420" s="16">
        <v>4.3</v>
      </c>
      <c r="I1420" s="16">
        <v>399</v>
      </c>
      <c r="J1420" s="16">
        <v>10</v>
      </c>
      <c r="K1420" s="16">
        <v>1544.13</v>
      </c>
      <c r="L1420" s="16" t="s">
        <v>118</v>
      </c>
      <c r="M1420" s="16" t="s">
        <v>119</v>
      </c>
      <c r="N1420" s="27">
        <v>45629.919444444444</v>
      </c>
      <c r="O1420" s="27">
        <v>45630.381249999999</v>
      </c>
      <c r="P1420" s="16">
        <v>5</v>
      </c>
      <c r="Q1420" s="16" t="b">
        <f>TRUE()</f>
        <v>1</v>
      </c>
      <c r="R1420" s="16" t="b">
        <f>FALSE()</f>
        <v>0</v>
      </c>
      <c r="S1420" s="17">
        <f t="shared" si="22"/>
        <v>11.1</v>
      </c>
      <c r="T1420">
        <f>COUNTIF('👤 Customers'!$A:$A, B1420)</f>
        <v>1</v>
      </c>
      <c r="U1420">
        <f>COUNTIF('🚴 Riders'!A1419:A1479, C1420)</f>
        <v>0</v>
      </c>
      <c r="V1420">
        <f>COUNTIF('🏭 Facilities'!A1419:A1427, D1420)</f>
        <v>0</v>
      </c>
    </row>
    <row r="1421" spans="1:22">
      <c r="A1421" s="18" t="s">
        <v>3495</v>
      </c>
      <c r="B1421" s="18" t="s">
        <v>698</v>
      </c>
      <c r="C1421" s="18" t="s">
        <v>276</v>
      </c>
      <c r="D1421" s="18" t="s">
        <v>197</v>
      </c>
      <c r="E1421" s="26">
        <v>45050</v>
      </c>
      <c r="F1421" s="18" t="s">
        <v>3496</v>
      </c>
      <c r="G1421" s="18" t="s">
        <v>176</v>
      </c>
      <c r="H1421" s="18">
        <v>1.7</v>
      </c>
      <c r="I1421" s="18">
        <v>599</v>
      </c>
      <c r="J1421" s="18">
        <v>10</v>
      </c>
      <c r="K1421" s="18">
        <v>916.47</v>
      </c>
      <c r="L1421" s="18" t="s">
        <v>207</v>
      </c>
      <c r="M1421" s="18" t="s">
        <v>119</v>
      </c>
      <c r="N1421" s="28">
        <v>45050.965277777781</v>
      </c>
      <c r="O1421" s="28">
        <v>45051.551388888889</v>
      </c>
      <c r="P1421" s="18">
        <v>4.5</v>
      </c>
      <c r="Q1421" s="18" t="b">
        <f>FALSE()</f>
        <v>0</v>
      </c>
      <c r="R1421" s="18" t="b">
        <f>FALSE()</f>
        <v>0</v>
      </c>
      <c r="S1421" s="19">
        <f t="shared" si="22"/>
        <v>14.1</v>
      </c>
      <c r="T1421">
        <f>COUNTIF('👤 Customers'!$A:$A, B1421)</f>
        <v>1</v>
      </c>
      <c r="U1421">
        <f>COUNTIF('🚴 Riders'!A1420:A1480, C1421)</f>
        <v>0</v>
      </c>
      <c r="V1421">
        <f>COUNTIF('🏭 Facilities'!A1420:A1428, D1421)</f>
        <v>0</v>
      </c>
    </row>
    <row r="1422" spans="1:22">
      <c r="A1422" s="16" t="s">
        <v>3497</v>
      </c>
      <c r="B1422" s="16" t="s">
        <v>1058</v>
      </c>
      <c r="C1422" s="16" t="s">
        <v>174</v>
      </c>
      <c r="D1422" s="16" t="s">
        <v>123</v>
      </c>
      <c r="E1422" s="25">
        <v>44940</v>
      </c>
      <c r="F1422" s="16" t="s">
        <v>3498</v>
      </c>
      <c r="G1422" s="16" t="s">
        <v>117</v>
      </c>
      <c r="H1422" s="16">
        <v>5.7</v>
      </c>
      <c r="I1422" s="16">
        <v>149</v>
      </c>
      <c r="J1422" s="16">
        <v>20</v>
      </c>
      <c r="K1422" s="16">
        <v>679.44</v>
      </c>
      <c r="L1422" s="16" t="s">
        <v>139</v>
      </c>
      <c r="M1422" s="16" t="s">
        <v>119</v>
      </c>
      <c r="N1422" s="27">
        <v>44941.052083333336</v>
      </c>
      <c r="O1422" s="27">
        <v>44941.439583333333</v>
      </c>
      <c r="P1422" s="16">
        <v>3.5</v>
      </c>
      <c r="Q1422" s="16" t="b">
        <f>TRUE()</f>
        <v>1</v>
      </c>
      <c r="R1422" s="16" t="b">
        <f>TRUE()</f>
        <v>1</v>
      </c>
      <c r="S1422" s="17">
        <f t="shared" si="22"/>
        <v>9.3000000000000007</v>
      </c>
      <c r="T1422">
        <f>COUNTIF('👤 Customers'!$A:$A, B1422)</f>
        <v>1</v>
      </c>
      <c r="U1422">
        <f>COUNTIF('🚴 Riders'!A1421:A1481, C1422)</f>
        <v>0</v>
      </c>
      <c r="V1422">
        <f>COUNTIF('🏭 Facilities'!A1421:A1429, D1422)</f>
        <v>0</v>
      </c>
    </row>
    <row r="1423" spans="1:22">
      <c r="A1423" s="18" t="s">
        <v>3499</v>
      </c>
      <c r="B1423" s="18" t="s">
        <v>974</v>
      </c>
      <c r="C1423" s="18" t="s">
        <v>179</v>
      </c>
      <c r="D1423" s="18" t="s">
        <v>158</v>
      </c>
      <c r="E1423" s="26">
        <v>45115</v>
      </c>
      <c r="F1423" s="18" t="s">
        <v>3500</v>
      </c>
      <c r="G1423" s="18" t="s">
        <v>176</v>
      </c>
      <c r="H1423" s="18">
        <v>2</v>
      </c>
      <c r="I1423" s="18">
        <v>599</v>
      </c>
      <c r="J1423" s="18">
        <v>0</v>
      </c>
      <c r="K1423" s="18">
        <v>1198</v>
      </c>
      <c r="L1423" s="18" t="s">
        <v>126</v>
      </c>
      <c r="M1423" s="18" t="s">
        <v>119</v>
      </c>
      <c r="N1423" s="28">
        <v>45115.328472222223</v>
      </c>
      <c r="O1423" s="28">
        <v>45116.193749999999</v>
      </c>
      <c r="P1423" s="18">
        <v>3.4</v>
      </c>
      <c r="Q1423" s="18" t="b">
        <f>TRUE()</f>
        <v>1</v>
      </c>
      <c r="R1423" s="18" t="b">
        <f>FALSE()</f>
        <v>0</v>
      </c>
      <c r="S1423" s="19">
        <f t="shared" si="22"/>
        <v>20.8</v>
      </c>
      <c r="T1423">
        <f>COUNTIF('👤 Customers'!$A:$A, B1423)</f>
        <v>1</v>
      </c>
      <c r="U1423">
        <f>COUNTIF('🚴 Riders'!A1422:A1482, C1423)</f>
        <v>0</v>
      </c>
      <c r="V1423">
        <f>COUNTIF('🏭 Facilities'!A1422:A1430, D1423)</f>
        <v>0</v>
      </c>
    </row>
    <row r="1424" spans="1:22">
      <c r="A1424" s="16" t="s">
        <v>3501</v>
      </c>
      <c r="B1424" s="16" t="s">
        <v>1554</v>
      </c>
      <c r="C1424" s="16" t="s">
        <v>204</v>
      </c>
      <c r="D1424" s="16" t="s">
        <v>123</v>
      </c>
      <c r="E1424" s="25">
        <v>45132</v>
      </c>
      <c r="F1424" s="16" t="s">
        <v>3502</v>
      </c>
      <c r="G1424" s="16" t="s">
        <v>176</v>
      </c>
      <c r="H1424" s="16">
        <v>6</v>
      </c>
      <c r="I1424" s="16">
        <v>599</v>
      </c>
      <c r="J1424" s="16">
        <v>0</v>
      </c>
      <c r="K1424" s="16">
        <v>3594</v>
      </c>
      <c r="L1424" s="16" t="s">
        <v>118</v>
      </c>
      <c r="M1424" s="16" t="s">
        <v>140</v>
      </c>
      <c r="N1424" s="27">
        <v>45132.520138888889</v>
      </c>
      <c r="O1424" s="27">
        <v>45133.393750000003</v>
      </c>
      <c r="P1424" s="20"/>
      <c r="Q1424" s="16" t="b">
        <f>FALSE()</f>
        <v>0</v>
      </c>
      <c r="R1424" s="16" t="b">
        <f>TRUE()</f>
        <v>1</v>
      </c>
      <c r="S1424" s="17">
        <f t="shared" si="22"/>
        <v>21</v>
      </c>
      <c r="T1424">
        <f>COUNTIF('👤 Customers'!$A:$A, B1424)</f>
        <v>1</v>
      </c>
      <c r="U1424">
        <f>COUNTIF('🚴 Riders'!A1423:A1483, C1424)</f>
        <v>0</v>
      </c>
      <c r="V1424">
        <f>COUNTIF('🏭 Facilities'!A1423:A1431, D1424)</f>
        <v>0</v>
      </c>
    </row>
    <row r="1425" spans="1:22">
      <c r="A1425" s="18" t="s">
        <v>3503</v>
      </c>
      <c r="B1425" s="18" t="s">
        <v>329</v>
      </c>
      <c r="C1425" s="18" t="s">
        <v>240</v>
      </c>
      <c r="D1425" s="18" t="s">
        <v>184</v>
      </c>
      <c r="E1425" s="26">
        <v>45606</v>
      </c>
      <c r="F1425" s="18" t="s">
        <v>3504</v>
      </c>
      <c r="G1425" s="18" t="s">
        <v>117</v>
      </c>
      <c r="H1425" s="18">
        <v>5.6</v>
      </c>
      <c r="I1425" s="18">
        <v>149</v>
      </c>
      <c r="J1425" s="18">
        <v>20</v>
      </c>
      <c r="K1425" s="18">
        <v>667.52</v>
      </c>
      <c r="L1425" s="18" t="s">
        <v>126</v>
      </c>
      <c r="M1425" s="18" t="s">
        <v>119</v>
      </c>
      <c r="N1425" s="28">
        <v>45606.961805555555</v>
      </c>
      <c r="O1425" s="28">
        <v>45607.470833333333</v>
      </c>
      <c r="P1425" s="18">
        <v>4.0999999999999996</v>
      </c>
      <c r="Q1425" s="18" t="b">
        <f>FALSE()</f>
        <v>0</v>
      </c>
      <c r="R1425" s="18" t="b">
        <f>TRUE()</f>
        <v>1</v>
      </c>
      <c r="S1425" s="19">
        <f t="shared" si="22"/>
        <v>12.2</v>
      </c>
      <c r="T1425">
        <f>COUNTIF('👤 Customers'!$A:$A, B1425)</f>
        <v>1</v>
      </c>
      <c r="U1425">
        <f>COUNTIF('🚴 Riders'!A1424:A1484, C1425)</f>
        <v>0</v>
      </c>
      <c r="V1425">
        <f>COUNTIF('🏭 Facilities'!A1424:A1432, D1425)</f>
        <v>0</v>
      </c>
    </row>
    <row r="1426" spans="1:22">
      <c r="A1426" s="16" t="s">
        <v>3505</v>
      </c>
      <c r="B1426" s="16" t="s">
        <v>254</v>
      </c>
      <c r="C1426" s="16" t="s">
        <v>236</v>
      </c>
      <c r="D1426" s="16" t="s">
        <v>158</v>
      </c>
      <c r="E1426" s="25">
        <v>45314</v>
      </c>
      <c r="F1426" s="16" t="s">
        <v>3506</v>
      </c>
      <c r="G1426" s="16" t="s">
        <v>132</v>
      </c>
      <c r="H1426" s="16">
        <v>7.7</v>
      </c>
      <c r="I1426" s="16">
        <v>399</v>
      </c>
      <c r="J1426" s="16">
        <v>0</v>
      </c>
      <c r="K1426" s="16">
        <v>3072.3</v>
      </c>
      <c r="L1426" s="16" t="s">
        <v>146</v>
      </c>
      <c r="M1426" s="16" t="s">
        <v>119</v>
      </c>
      <c r="N1426" s="27">
        <v>45314.814583333333</v>
      </c>
      <c r="O1426" s="27">
        <v>45315.448611111111</v>
      </c>
      <c r="P1426" s="16">
        <v>2.9</v>
      </c>
      <c r="Q1426" s="16" t="b">
        <f>FALSE()</f>
        <v>0</v>
      </c>
      <c r="R1426" s="16" t="b">
        <f>FALSE()</f>
        <v>0</v>
      </c>
      <c r="S1426" s="17">
        <f t="shared" si="22"/>
        <v>15.2</v>
      </c>
      <c r="T1426">
        <f>COUNTIF('👤 Customers'!$A:$A, B1426)</f>
        <v>1</v>
      </c>
      <c r="U1426">
        <f>COUNTIF('🚴 Riders'!A1425:A1485, C1426)</f>
        <v>0</v>
      </c>
      <c r="V1426">
        <f>COUNTIF('🏭 Facilities'!A1425:A1433, D1426)</f>
        <v>0</v>
      </c>
    </row>
    <row r="1427" spans="1:22">
      <c r="A1427" s="18" t="s">
        <v>3507</v>
      </c>
      <c r="B1427" s="18" t="s">
        <v>450</v>
      </c>
      <c r="C1427" s="18" t="s">
        <v>276</v>
      </c>
      <c r="D1427" s="18" t="s">
        <v>158</v>
      </c>
      <c r="E1427" s="26">
        <v>45509</v>
      </c>
      <c r="F1427" s="18" t="s">
        <v>3508</v>
      </c>
      <c r="G1427" s="18" t="s">
        <v>132</v>
      </c>
      <c r="H1427" s="18">
        <v>6.8</v>
      </c>
      <c r="I1427" s="18">
        <v>399</v>
      </c>
      <c r="J1427" s="18">
        <v>10</v>
      </c>
      <c r="K1427" s="18">
        <v>2441.88</v>
      </c>
      <c r="L1427" s="18" t="s">
        <v>118</v>
      </c>
      <c r="M1427" s="18" t="s">
        <v>119</v>
      </c>
      <c r="N1427" s="28">
        <v>45509.195833333331</v>
      </c>
      <c r="O1427" s="28">
        <v>45510.269444444442</v>
      </c>
      <c r="P1427" s="18">
        <v>4.8</v>
      </c>
      <c r="Q1427" s="18" t="b">
        <f>FALSE()</f>
        <v>0</v>
      </c>
      <c r="R1427" s="18" t="b">
        <f>FALSE()</f>
        <v>0</v>
      </c>
      <c r="S1427" s="19">
        <f t="shared" si="22"/>
        <v>25.8</v>
      </c>
      <c r="T1427">
        <f>COUNTIF('👤 Customers'!$A:$A, B1427)</f>
        <v>1</v>
      </c>
      <c r="U1427">
        <f>COUNTIF('🚴 Riders'!A1426:A1486, C1427)</f>
        <v>0</v>
      </c>
      <c r="V1427">
        <f>COUNTIF('🏭 Facilities'!A1426:A1434, D1427)</f>
        <v>0</v>
      </c>
    </row>
    <row r="1428" spans="1:22">
      <c r="A1428" s="16" t="s">
        <v>3509</v>
      </c>
      <c r="B1428" s="16" t="s">
        <v>472</v>
      </c>
      <c r="C1428" s="16" t="s">
        <v>717</v>
      </c>
      <c r="D1428" s="16" t="s">
        <v>123</v>
      </c>
      <c r="E1428" s="25">
        <v>45591</v>
      </c>
      <c r="F1428" s="16" t="s">
        <v>3510</v>
      </c>
      <c r="G1428" s="16" t="s">
        <v>132</v>
      </c>
      <c r="H1428" s="16">
        <v>2.9</v>
      </c>
      <c r="I1428" s="16">
        <v>399</v>
      </c>
      <c r="J1428" s="16">
        <v>0</v>
      </c>
      <c r="K1428" s="16">
        <v>1157.0999999999999</v>
      </c>
      <c r="L1428" s="16" t="s">
        <v>146</v>
      </c>
      <c r="M1428" s="16" t="s">
        <v>133</v>
      </c>
      <c r="N1428" s="20"/>
      <c r="O1428" s="20"/>
      <c r="P1428" s="20"/>
      <c r="Q1428" s="16" t="b">
        <f>FALSE()</f>
        <v>0</v>
      </c>
      <c r="R1428" s="16" t="b">
        <f>FALSE()</f>
        <v>0</v>
      </c>
      <c r="S1428" s="17" t="str">
        <f t="shared" si="22"/>
        <v>N/A</v>
      </c>
      <c r="T1428">
        <f>COUNTIF('👤 Customers'!$A:$A, B1428)</f>
        <v>1</v>
      </c>
      <c r="U1428">
        <f>COUNTIF('🚴 Riders'!A1427:A1487, C1428)</f>
        <v>0</v>
      </c>
      <c r="V1428">
        <f>COUNTIF('🏭 Facilities'!A1427:A1435, D1428)</f>
        <v>0</v>
      </c>
    </row>
    <row r="1429" spans="1:22">
      <c r="A1429" s="18" t="s">
        <v>3511</v>
      </c>
      <c r="B1429" s="18" t="s">
        <v>3512</v>
      </c>
      <c r="C1429" s="18" t="s">
        <v>431</v>
      </c>
      <c r="D1429" s="18" t="s">
        <v>123</v>
      </c>
      <c r="E1429" s="26">
        <v>44989</v>
      </c>
      <c r="F1429" s="18" t="s">
        <v>3513</v>
      </c>
      <c r="G1429" s="18" t="s">
        <v>132</v>
      </c>
      <c r="H1429" s="18">
        <v>5</v>
      </c>
      <c r="I1429" s="18">
        <v>399</v>
      </c>
      <c r="J1429" s="18">
        <v>10</v>
      </c>
      <c r="K1429" s="18">
        <v>1795.5</v>
      </c>
      <c r="L1429" s="18" t="s">
        <v>146</v>
      </c>
      <c r="M1429" s="18" t="s">
        <v>119</v>
      </c>
      <c r="N1429" s="28">
        <v>44989.563888888886</v>
      </c>
      <c r="O1429" s="28">
        <v>44990.243055555555</v>
      </c>
      <c r="P1429" s="18">
        <v>3.9</v>
      </c>
      <c r="Q1429" s="18" t="b">
        <f>FALSE()</f>
        <v>0</v>
      </c>
      <c r="R1429" s="18" t="b">
        <f>FALSE()</f>
        <v>0</v>
      </c>
      <c r="S1429" s="19">
        <f t="shared" si="22"/>
        <v>16.3</v>
      </c>
      <c r="T1429">
        <f>COUNTIF('👤 Customers'!$A:$A, B1429)</f>
        <v>1</v>
      </c>
      <c r="U1429">
        <f>COUNTIF('🚴 Riders'!A1428:A1488, C1429)</f>
        <v>0</v>
      </c>
      <c r="V1429">
        <f>COUNTIF('🏭 Facilities'!A1428:A1436, D1429)</f>
        <v>0</v>
      </c>
    </row>
    <row r="1430" spans="1:22">
      <c r="A1430" s="16" t="s">
        <v>3514</v>
      </c>
      <c r="B1430" s="16" t="s">
        <v>235</v>
      </c>
      <c r="C1430" s="16" t="s">
        <v>196</v>
      </c>
      <c r="D1430" s="16" t="s">
        <v>158</v>
      </c>
      <c r="E1430" s="25">
        <v>45024</v>
      </c>
      <c r="F1430" s="16" t="s">
        <v>3515</v>
      </c>
      <c r="G1430" s="16" t="s">
        <v>132</v>
      </c>
      <c r="H1430" s="16">
        <v>3.2</v>
      </c>
      <c r="I1430" s="16">
        <v>399</v>
      </c>
      <c r="J1430" s="16">
        <v>0</v>
      </c>
      <c r="K1430" s="16">
        <v>1276.8</v>
      </c>
      <c r="L1430" s="16" t="s">
        <v>146</v>
      </c>
      <c r="M1430" s="16" t="s">
        <v>119</v>
      </c>
      <c r="N1430" s="27">
        <v>45024.586111111108</v>
      </c>
      <c r="O1430" s="27">
        <v>45025.143055555556</v>
      </c>
      <c r="P1430" s="16">
        <v>2.9</v>
      </c>
      <c r="Q1430" s="16" t="b">
        <f>TRUE()</f>
        <v>1</v>
      </c>
      <c r="R1430" s="16" t="b">
        <f>TRUE()</f>
        <v>1</v>
      </c>
      <c r="S1430" s="17">
        <f t="shared" si="22"/>
        <v>13.4</v>
      </c>
      <c r="T1430">
        <f>COUNTIF('👤 Customers'!$A:$A, B1430)</f>
        <v>1</v>
      </c>
      <c r="U1430">
        <f>COUNTIF('🚴 Riders'!A1429:A1489, C1430)</f>
        <v>0</v>
      </c>
      <c r="V1430">
        <f>COUNTIF('🏭 Facilities'!A1429:A1437, D1430)</f>
        <v>0</v>
      </c>
    </row>
    <row r="1431" spans="1:22">
      <c r="A1431" s="18" t="s">
        <v>3516</v>
      </c>
      <c r="B1431" s="18" t="s">
        <v>2028</v>
      </c>
      <c r="C1431" s="18" t="s">
        <v>354</v>
      </c>
      <c r="D1431" s="18" t="s">
        <v>123</v>
      </c>
      <c r="E1431" s="26">
        <v>45541</v>
      </c>
      <c r="F1431" s="18" t="s">
        <v>3517</v>
      </c>
      <c r="G1431" s="18" t="s">
        <v>145</v>
      </c>
      <c r="H1431" s="18">
        <v>6.9</v>
      </c>
      <c r="I1431" s="18">
        <v>299</v>
      </c>
      <c r="J1431" s="18">
        <v>10</v>
      </c>
      <c r="K1431" s="18">
        <v>1856.79</v>
      </c>
      <c r="L1431" s="18" t="s">
        <v>118</v>
      </c>
      <c r="M1431" s="18" t="s">
        <v>119</v>
      </c>
      <c r="N1431" s="28">
        <v>45541.144444444442</v>
      </c>
      <c r="O1431" s="28">
        <v>45541.694444444445</v>
      </c>
      <c r="P1431" s="18">
        <v>4.0999999999999996</v>
      </c>
      <c r="Q1431" s="18" t="b">
        <f>TRUE()</f>
        <v>1</v>
      </c>
      <c r="R1431" s="18" t="b">
        <f>TRUE()</f>
        <v>1</v>
      </c>
      <c r="S1431" s="19">
        <f t="shared" si="22"/>
        <v>13.2</v>
      </c>
      <c r="T1431">
        <f>COUNTIF('👤 Customers'!$A:$A, B1431)</f>
        <v>1</v>
      </c>
      <c r="U1431">
        <f>COUNTIF('🚴 Riders'!A1430:A1490, C1431)</f>
        <v>0</v>
      </c>
      <c r="V1431">
        <f>COUNTIF('🏭 Facilities'!A1430:A1438, D1431)</f>
        <v>0</v>
      </c>
    </row>
    <row r="1432" spans="1:22">
      <c r="A1432" s="16" t="s">
        <v>3518</v>
      </c>
      <c r="B1432" s="16" t="s">
        <v>1018</v>
      </c>
      <c r="C1432" s="16" t="s">
        <v>322</v>
      </c>
      <c r="D1432" s="16" t="s">
        <v>158</v>
      </c>
      <c r="E1432" s="25">
        <v>45447</v>
      </c>
      <c r="F1432" s="16" t="s">
        <v>3519</v>
      </c>
      <c r="G1432" s="16" t="s">
        <v>176</v>
      </c>
      <c r="H1432" s="16">
        <v>4.5</v>
      </c>
      <c r="I1432" s="16">
        <v>599</v>
      </c>
      <c r="J1432" s="16">
        <v>0</v>
      </c>
      <c r="K1432" s="16">
        <v>2695.5</v>
      </c>
      <c r="L1432" s="16" t="s">
        <v>207</v>
      </c>
      <c r="M1432" s="16" t="s">
        <v>133</v>
      </c>
      <c r="N1432" s="20"/>
      <c r="O1432" s="20"/>
      <c r="P1432" s="20"/>
      <c r="Q1432" s="16" t="b">
        <f>FALSE()</f>
        <v>0</v>
      </c>
      <c r="R1432" s="16" t="b">
        <f>FALSE()</f>
        <v>0</v>
      </c>
      <c r="S1432" s="17" t="str">
        <f t="shared" si="22"/>
        <v>N/A</v>
      </c>
      <c r="T1432">
        <f>COUNTIF('👤 Customers'!$A:$A, B1432)</f>
        <v>1</v>
      </c>
      <c r="U1432">
        <f>COUNTIF('🚴 Riders'!A1431:A1491, C1432)</f>
        <v>0</v>
      </c>
      <c r="V1432">
        <f>COUNTIF('🏭 Facilities'!A1431:A1439, D1432)</f>
        <v>0</v>
      </c>
    </row>
    <row r="1433" spans="1:22">
      <c r="A1433" s="18" t="s">
        <v>3520</v>
      </c>
      <c r="B1433" s="18" t="s">
        <v>2460</v>
      </c>
      <c r="C1433" s="18" t="s">
        <v>276</v>
      </c>
      <c r="D1433" s="18" t="s">
        <v>184</v>
      </c>
      <c r="E1433" s="26">
        <v>45382</v>
      </c>
      <c r="F1433" s="18" t="s">
        <v>3521</v>
      </c>
      <c r="G1433" s="18" t="s">
        <v>117</v>
      </c>
      <c r="H1433" s="18">
        <v>4.5</v>
      </c>
      <c r="I1433" s="18">
        <v>149</v>
      </c>
      <c r="J1433" s="18">
        <v>20</v>
      </c>
      <c r="K1433" s="18">
        <v>536.4</v>
      </c>
      <c r="L1433" s="18" t="s">
        <v>139</v>
      </c>
      <c r="M1433" s="18" t="s">
        <v>119</v>
      </c>
      <c r="N1433" s="28">
        <v>45382.875694444447</v>
      </c>
      <c r="O1433" s="28">
        <v>45383.586805555555</v>
      </c>
      <c r="P1433" s="18">
        <v>3.5</v>
      </c>
      <c r="Q1433" s="18" t="b">
        <f>FALSE()</f>
        <v>0</v>
      </c>
      <c r="R1433" s="18" t="b">
        <f>TRUE()</f>
        <v>1</v>
      </c>
      <c r="S1433" s="19">
        <f t="shared" si="22"/>
        <v>17.100000000000001</v>
      </c>
      <c r="T1433">
        <f>COUNTIF('👤 Customers'!$A:$A, B1433)</f>
        <v>1</v>
      </c>
      <c r="U1433">
        <f>COUNTIF('🚴 Riders'!A1432:A1492, C1433)</f>
        <v>0</v>
      </c>
      <c r="V1433">
        <f>COUNTIF('🏭 Facilities'!A1432:A1440, D1433)</f>
        <v>0</v>
      </c>
    </row>
    <row r="1434" spans="1:22">
      <c r="A1434" s="16" t="s">
        <v>3522</v>
      </c>
      <c r="B1434" s="16" t="s">
        <v>3000</v>
      </c>
      <c r="C1434" s="16" t="s">
        <v>322</v>
      </c>
      <c r="D1434" s="16" t="s">
        <v>123</v>
      </c>
      <c r="E1434" s="25">
        <v>45584</v>
      </c>
      <c r="F1434" s="16" t="s">
        <v>3523</v>
      </c>
      <c r="G1434" s="16" t="s">
        <v>125</v>
      </c>
      <c r="H1434" s="16">
        <v>6.7</v>
      </c>
      <c r="I1434" s="16">
        <v>199</v>
      </c>
      <c r="J1434" s="16">
        <v>30</v>
      </c>
      <c r="K1434" s="16">
        <v>933.31</v>
      </c>
      <c r="L1434" s="16" t="s">
        <v>126</v>
      </c>
      <c r="M1434" s="16" t="s">
        <v>119</v>
      </c>
      <c r="N1434" s="27">
        <v>45584.718055555553</v>
      </c>
      <c r="O1434" s="27">
        <v>45585.652083333334</v>
      </c>
      <c r="P1434" s="16">
        <v>4.5</v>
      </c>
      <c r="Q1434" s="16" t="b">
        <f>FALSE()</f>
        <v>0</v>
      </c>
      <c r="R1434" s="16" t="b">
        <f>FALSE()</f>
        <v>0</v>
      </c>
      <c r="S1434" s="17">
        <f t="shared" si="22"/>
        <v>22.4</v>
      </c>
      <c r="T1434">
        <f>COUNTIF('👤 Customers'!$A:$A, B1434)</f>
        <v>1</v>
      </c>
      <c r="U1434">
        <f>COUNTIF('🚴 Riders'!A1433:A1493, C1434)</f>
        <v>0</v>
      </c>
      <c r="V1434">
        <f>COUNTIF('🏭 Facilities'!A1433:A1441, D1434)</f>
        <v>0</v>
      </c>
    </row>
    <row r="1435" spans="1:22">
      <c r="A1435" s="18" t="s">
        <v>3524</v>
      </c>
      <c r="B1435" s="18" t="s">
        <v>419</v>
      </c>
      <c r="C1435" s="18" t="s">
        <v>228</v>
      </c>
      <c r="D1435" s="18" t="s">
        <v>158</v>
      </c>
      <c r="E1435" s="26">
        <v>45019</v>
      </c>
      <c r="F1435" s="18" t="s">
        <v>3525</v>
      </c>
      <c r="G1435" s="18" t="s">
        <v>145</v>
      </c>
      <c r="H1435" s="18">
        <v>1.4</v>
      </c>
      <c r="I1435" s="18">
        <v>299</v>
      </c>
      <c r="J1435" s="18">
        <v>10</v>
      </c>
      <c r="K1435" s="18">
        <v>376.74</v>
      </c>
      <c r="L1435" s="18" t="s">
        <v>126</v>
      </c>
      <c r="M1435" s="18" t="s">
        <v>133</v>
      </c>
      <c r="N1435" s="20"/>
      <c r="O1435" s="20"/>
      <c r="P1435" s="20"/>
      <c r="Q1435" s="18" t="b">
        <f>FALSE()</f>
        <v>0</v>
      </c>
      <c r="R1435" s="18" t="b">
        <f>FALSE()</f>
        <v>0</v>
      </c>
      <c r="S1435" s="19" t="str">
        <f t="shared" si="22"/>
        <v>N/A</v>
      </c>
      <c r="T1435">
        <f>COUNTIF('👤 Customers'!$A:$A, B1435)</f>
        <v>1</v>
      </c>
      <c r="U1435">
        <f>COUNTIF('🚴 Riders'!A1434:A1494, C1435)</f>
        <v>0</v>
      </c>
      <c r="V1435">
        <f>COUNTIF('🏭 Facilities'!A1434:A1442, D1435)</f>
        <v>0</v>
      </c>
    </row>
    <row r="1436" spans="1:22">
      <c r="A1436" s="16" t="s">
        <v>3526</v>
      </c>
      <c r="B1436" s="16" t="s">
        <v>142</v>
      </c>
      <c r="C1436" s="16" t="s">
        <v>326</v>
      </c>
      <c r="D1436" s="16" t="s">
        <v>123</v>
      </c>
      <c r="E1436" s="25">
        <v>44975</v>
      </c>
      <c r="F1436" s="16" t="s">
        <v>3527</v>
      </c>
      <c r="G1436" s="16" t="s">
        <v>132</v>
      </c>
      <c r="H1436" s="16">
        <v>1.7</v>
      </c>
      <c r="I1436" s="16">
        <v>399</v>
      </c>
      <c r="J1436" s="16">
        <v>0</v>
      </c>
      <c r="K1436" s="16">
        <v>678.3</v>
      </c>
      <c r="L1436" s="16" t="s">
        <v>126</v>
      </c>
      <c r="M1436" s="16" t="s">
        <v>133</v>
      </c>
      <c r="N1436" s="20"/>
      <c r="O1436" s="20"/>
      <c r="P1436" s="20"/>
      <c r="Q1436" s="16" t="b">
        <f>FALSE()</f>
        <v>0</v>
      </c>
      <c r="R1436" s="16" t="b">
        <f>FALSE()</f>
        <v>0</v>
      </c>
      <c r="S1436" s="17" t="str">
        <f t="shared" si="22"/>
        <v>N/A</v>
      </c>
      <c r="T1436">
        <f>COUNTIF('👤 Customers'!$A:$A, B1436)</f>
        <v>1</v>
      </c>
      <c r="U1436">
        <f>COUNTIF('🚴 Riders'!A1435:A1495, C1436)</f>
        <v>0</v>
      </c>
      <c r="V1436">
        <f>COUNTIF('🏭 Facilities'!A1435:A1443, D1436)</f>
        <v>0</v>
      </c>
    </row>
    <row r="1437" spans="1:22">
      <c r="A1437" s="18" t="s">
        <v>3528</v>
      </c>
      <c r="B1437" s="18" t="s">
        <v>1466</v>
      </c>
      <c r="C1437" s="18" t="s">
        <v>143</v>
      </c>
      <c r="D1437" s="18" t="s">
        <v>158</v>
      </c>
      <c r="E1437" s="26">
        <v>45640</v>
      </c>
      <c r="F1437" s="18" t="s">
        <v>3529</v>
      </c>
      <c r="G1437" s="18" t="s">
        <v>145</v>
      </c>
      <c r="H1437" s="18">
        <v>6.7</v>
      </c>
      <c r="I1437" s="18">
        <v>299</v>
      </c>
      <c r="J1437" s="18">
        <v>0</v>
      </c>
      <c r="K1437" s="18">
        <v>2003.3</v>
      </c>
      <c r="L1437" s="18" t="s">
        <v>126</v>
      </c>
      <c r="M1437" s="18" t="s">
        <v>140</v>
      </c>
      <c r="N1437" s="28">
        <v>45640.888194444444</v>
      </c>
      <c r="O1437" s="28">
        <v>45641.322916666664</v>
      </c>
      <c r="P1437" s="20"/>
      <c r="Q1437" s="18" t="b">
        <f>FALSE()</f>
        <v>0</v>
      </c>
      <c r="R1437" s="18" t="b">
        <f>TRUE()</f>
        <v>1</v>
      </c>
      <c r="S1437" s="19">
        <f t="shared" si="22"/>
        <v>10.4</v>
      </c>
      <c r="T1437">
        <f>COUNTIF('👤 Customers'!$A:$A, B1437)</f>
        <v>1</v>
      </c>
      <c r="U1437">
        <f>COUNTIF('🚴 Riders'!A1436:A1496, C1437)</f>
        <v>0</v>
      </c>
      <c r="V1437">
        <f>COUNTIF('🏭 Facilities'!A1436:A1444, D1437)</f>
        <v>0</v>
      </c>
    </row>
    <row r="1438" spans="1:22">
      <c r="A1438" s="16" t="s">
        <v>3530</v>
      </c>
      <c r="B1438" s="16" t="s">
        <v>3531</v>
      </c>
      <c r="C1438" s="16" t="s">
        <v>283</v>
      </c>
      <c r="D1438" s="16" t="s">
        <v>123</v>
      </c>
      <c r="E1438" s="25">
        <v>45416</v>
      </c>
      <c r="F1438" s="16" t="s">
        <v>3532</v>
      </c>
      <c r="G1438" s="16" t="s">
        <v>145</v>
      </c>
      <c r="H1438" s="16">
        <v>7.2</v>
      </c>
      <c r="I1438" s="16">
        <v>299</v>
      </c>
      <c r="J1438" s="16">
        <v>0</v>
      </c>
      <c r="K1438" s="16">
        <v>2152.8000000000002</v>
      </c>
      <c r="L1438" s="16" t="s">
        <v>126</v>
      </c>
      <c r="M1438" s="16" t="s">
        <v>119</v>
      </c>
      <c r="N1438" s="27">
        <v>45416.720833333333</v>
      </c>
      <c r="O1438" s="27">
        <v>45417.537499999999</v>
      </c>
      <c r="P1438" s="16">
        <v>4</v>
      </c>
      <c r="Q1438" s="16" t="b">
        <f>FALSE()</f>
        <v>0</v>
      </c>
      <c r="R1438" s="16" t="b">
        <f>FALSE()</f>
        <v>0</v>
      </c>
      <c r="S1438" s="17">
        <f t="shared" si="22"/>
        <v>19.600000000000001</v>
      </c>
      <c r="T1438">
        <f>COUNTIF('👤 Customers'!$A:$A, B1438)</f>
        <v>1</v>
      </c>
      <c r="U1438">
        <f>COUNTIF('🚴 Riders'!A1437:A1497, C1438)</f>
        <v>0</v>
      </c>
      <c r="V1438">
        <f>COUNTIF('🏭 Facilities'!A1437:A1445, D1438)</f>
        <v>0</v>
      </c>
    </row>
    <row r="1439" spans="1:22">
      <c r="A1439" s="18" t="s">
        <v>3533</v>
      </c>
      <c r="B1439" s="18" t="s">
        <v>947</v>
      </c>
      <c r="C1439" s="18" t="s">
        <v>192</v>
      </c>
      <c r="D1439" s="18" t="s">
        <v>205</v>
      </c>
      <c r="E1439" s="26">
        <v>45289</v>
      </c>
      <c r="F1439" s="18" t="s">
        <v>3534</v>
      </c>
      <c r="G1439" s="18" t="s">
        <v>176</v>
      </c>
      <c r="H1439" s="18">
        <v>3.3</v>
      </c>
      <c r="I1439" s="18">
        <v>599</v>
      </c>
      <c r="J1439" s="18">
        <v>0</v>
      </c>
      <c r="K1439" s="18">
        <v>1976.7</v>
      </c>
      <c r="L1439" s="18" t="s">
        <v>146</v>
      </c>
      <c r="M1439" s="18" t="s">
        <v>119</v>
      </c>
      <c r="N1439" s="28">
        <v>45289.57708333333</v>
      </c>
      <c r="O1439" s="28">
        <v>45290.006249999999</v>
      </c>
      <c r="P1439" s="18">
        <v>2.9</v>
      </c>
      <c r="Q1439" s="18" t="b">
        <f>TRUE()</f>
        <v>1</v>
      </c>
      <c r="R1439" s="18" t="b">
        <f>FALSE()</f>
        <v>0</v>
      </c>
      <c r="S1439" s="19">
        <f t="shared" si="22"/>
        <v>10.3</v>
      </c>
      <c r="T1439">
        <f>COUNTIF('👤 Customers'!$A:$A, B1439)</f>
        <v>1</v>
      </c>
      <c r="U1439">
        <f>COUNTIF('🚴 Riders'!A1438:A1498, C1439)</f>
        <v>0</v>
      </c>
      <c r="V1439">
        <f>COUNTIF('🏭 Facilities'!A1438:A1446, D1439)</f>
        <v>0</v>
      </c>
    </row>
    <row r="1440" spans="1:22">
      <c r="A1440" s="16" t="s">
        <v>3535</v>
      </c>
      <c r="B1440" s="16" t="s">
        <v>152</v>
      </c>
      <c r="C1440" s="16" t="s">
        <v>287</v>
      </c>
      <c r="D1440" s="16" t="s">
        <v>184</v>
      </c>
      <c r="E1440" s="25">
        <v>45056</v>
      </c>
      <c r="F1440" s="16" t="s">
        <v>3536</v>
      </c>
      <c r="G1440" s="16" t="s">
        <v>176</v>
      </c>
      <c r="H1440" s="16">
        <v>4.7</v>
      </c>
      <c r="I1440" s="16">
        <v>599</v>
      </c>
      <c r="J1440" s="16">
        <v>20</v>
      </c>
      <c r="K1440" s="16">
        <v>2252.2399999999998</v>
      </c>
      <c r="L1440" s="16" t="s">
        <v>207</v>
      </c>
      <c r="M1440" s="16" t="s">
        <v>119</v>
      </c>
      <c r="N1440" s="27">
        <v>45056.395833333336</v>
      </c>
      <c r="O1440" s="27">
        <v>45056.70208333333</v>
      </c>
      <c r="P1440" s="16">
        <v>3.7</v>
      </c>
      <c r="Q1440" s="16" t="b">
        <f>FALSE()</f>
        <v>0</v>
      </c>
      <c r="R1440" s="16" t="b">
        <f>TRUE()</f>
        <v>1</v>
      </c>
      <c r="S1440" s="17">
        <f t="shared" si="22"/>
        <v>7.3</v>
      </c>
      <c r="T1440">
        <f>COUNTIF('👤 Customers'!$A:$A, B1440)</f>
        <v>1</v>
      </c>
      <c r="U1440">
        <f>COUNTIF('🚴 Riders'!A1439:A1499, C1440)</f>
        <v>0</v>
      </c>
      <c r="V1440">
        <f>COUNTIF('🏭 Facilities'!A1439:A1447, D1440)</f>
        <v>0</v>
      </c>
    </row>
    <row r="1441" spans="1:22">
      <c r="A1441" s="18" t="s">
        <v>3537</v>
      </c>
      <c r="B1441" s="18" t="s">
        <v>822</v>
      </c>
      <c r="C1441" s="18" t="s">
        <v>257</v>
      </c>
      <c r="D1441" s="18" t="s">
        <v>158</v>
      </c>
      <c r="E1441" s="26">
        <v>44948</v>
      </c>
      <c r="F1441" s="18" t="s">
        <v>3538</v>
      </c>
      <c r="G1441" s="18" t="s">
        <v>176</v>
      </c>
      <c r="H1441" s="18">
        <v>5.8</v>
      </c>
      <c r="I1441" s="18">
        <v>599</v>
      </c>
      <c r="J1441" s="18">
        <v>0</v>
      </c>
      <c r="K1441" s="18">
        <v>3474.2</v>
      </c>
      <c r="L1441" s="18" t="s">
        <v>118</v>
      </c>
      <c r="M1441" s="18" t="s">
        <v>133</v>
      </c>
      <c r="N1441" s="20"/>
      <c r="O1441" s="20"/>
      <c r="P1441" s="20"/>
      <c r="Q1441" s="18" t="b">
        <f>FALSE()</f>
        <v>0</v>
      </c>
      <c r="R1441" s="18" t="b">
        <f>FALSE()</f>
        <v>0</v>
      </c>
      <c r="S1441" s="19" t="str">
        <f t="shared" si="22"/>
        <v>N/A</v>
      </c>
      <c r="T1441">
        <f>COUNTIF('👤 Customers'!$A:$A, B1441)</f>
        <v>1</v>
      </c>
      <c r="U1441">
        <f>COUNTIF('🚴 Riders'!A1440:A1500, C1441)</f>
        <v>0</v>
      </c>
      <c r="V1441">
        <f>COUNTIF('🏭 Facilities'!A1440:A1448, D1441)</f>
        <v>0</v>
      </c>
    </row>
    <row r="1442" spans="1:22">
      <c r="A1442" s="16" t="s">
        <v>3539</v>
      </c>
      <c r="B1442" s="16" t="s">
        <v>530</v>
      </c>
      <c r="C1442" s="16" t="s">
        <v>580</v>
      </c>
      <c r="D1442" s="16" t="s">
        <v>184</v>
      </c>
      <c r="E1442" s="25">
        <v>45342</v>
      </c>
      <c r="F1442" s="16" t="s">
        <v>3540</v>
      </c>
      <c r="G1442" s="16" t="s">
        <v>132</v>
      </c>
      <c r="H1442" s="16">
        <v>4.4000000000000004</v>
      </c>
      <c r="I1442" s="16">
        <v>399</v>
      </c>
      <c r="J1442" s="16">
        <v>20</v>
      </c>
      <c r="K1442" s="16">
        <v>1404.48</v>
      </c>
      <c r="L1442" s="16" t="s">
        <v>207</v>
      </c>
      <c r="M1442" s="16" t="s">
        <v>119</v>
      </c>
      <c r="N1442" s="27">
        <v>45343.000694444447</v>
      </c>
      <c r="O1442" s="27">
        <v>45343.678472222222</v>
      </c>
      <c r="P1442" s="16">
        <v>4.5</v>
      </c>
      <c r="Q1442" s="16" t="b">
        <f>FALSE()</f>
        <v>0</v>
      </c>
      <c r="R1442" s="16" t="b">
        <f>FALSE()</f>
        <v>0</v>
      </c>
      <c r="S1442" s="17">
        <f t="shared" si="22"/>
        <v>16.3</v>
      </c>
      <c r="T1442">
        <f>COUNTIF('👤 Customers'!$A:$A, B1442)</f>
        <v>1</v>
      </c>
      <c r="U1442">
        <f>COUNTIF('🚴 Riders'!A1441:A1501, C1442)</f>
        <v>0</v>
      </c>
      <c r="V1442">
        <f>COUNTIF('🏭 Facilities'!A1441:A1449, D1442)</f>
        <v>0</v>
      </c>
    </row>
    <row r="1443" spans="1:22">
      <c r="A1443" s="18" t="s">
        <v>3541</v>
      </c>
      <c r="B1443" s="18" t="s">
        <v>1740</v>
      </c>
      <c r="C1443" s="18" t="s">
        <v>413</v>
      </c>
      <c r="D1443" s="18" t="s">
        <v>130</v>
      </c>
      <c r="E1443" s="26">
        <v>45483</v>
      </c>
      <c r="F1443" s="18" t="s">
        <v>3542</v>
      </c>
      <c r="G1443" s="18" t="s">
        <v>176</v>
      </c>
      <c r="H1443" s="18">
        <v>3.6</v>
      </c>
      <c r="I1443" s="18">
        <v>599</v>
      </c>
      <c r="J1443" s="18">
        <v>0</v>
      </c>
      <c r="K1443" s="18">
        <v>2156.4</v>
      </c>
      <c r="L1443" s="18" t="s">
        <v>207</v>
      </c>
      <c r="M1443" s="18" t="s">
        <v>133</v>
      </c>
      <c r="N1443" s="20"/>
      <c r="O1443" s="20"/>
      <c r="P1443" s="20"/>
      <c r="Q1443" s="18" t="b">
        <f>FALSE()</f>
        <v>0</v>
      </c>
      <c r="R1443" s="18" t="b">
        <f>FALSE()</f>
        <v>0</v>
      </c>
      <c r="S1443" s="19" t="str">
        <f t="shared" si="22"/>
        <v>N/A</v>
      </c>
      <c r="T1443">
        <f>COUNTIF('👤 Customers'!$A:$A, B1443)</f>
        <v>1</v>
      </c>
      <c r="U1443">
        <f>COUNTIF('🚴 Riders'!A1442:A1502, C1443)</f>
        <v>0</v>
      </c>
      <c r="V1443">
        <f>COUNTIF('🏭 Facilities'!A1442:A1450, D1443)</f>
        <v>0</v>
      </c>
    </row>
    <row r="1444" spans="1:22">
      <c r="A1444" s="16" t="s">
        <v>3543</v>
      </c>
      <c r="B1444" s="16" t="s">
        <v>1466</v>
      </c>
      <c r="C1444" s="16" t="s">
        <v>188</v>
      </c>
      <c r="D1444" s="16" t="s">
        <v>205</v>
      </c>
      <c r="E1444" s="25">
        <v>45071</v>
      </c>
      <c r="F1444" s="16" t="s">
        <v>3544</v>
      </c>
      <c r="G1444" s="16" t="s">
        <v>132</v>
      </c>
      <c r="H1444" s="16">
        <v>7.8</v>
      </c>
      <c r="I1444" s="16">
        <v>399</v>
      </c>
      <c r="J1444" s="16">
        <v>0</v>
      </c>
      <c r="K1444" s="16">
        <v>3112.2</v>
      </c>
      <c r="L1444" s="16" t="s">
        <v>139</v>
      </c>
      <c r="M1444" s="16" t="s">
        <v>133</v>
      </c>
      <c r="N1444" s="20"/>
      <c r="O1444" s="20"/>
      <c r="P1444" s="20"/>
      <c r="Q1444" s="16" t="b">
        <f>FALSE()</f>
        <v>0</v>
      </c>
      <c r="R1444" s="16" t="b">
        <f>FALSE()</f>
        <v>0</v>
      </c>
      <c r="S1444" s="17" t="str">
        <f t="shared" si="22"/>
        <v>N/A</v>
      </c>
      <c r="T1444">
        <f>COUNTIF('👤 Customers'!$A:$A, B1444)</f>
        <v>1</v>
      </c>
      <c r="U1444">
        <f>COUNTIF('🚴 Riders'!A1443:A1503, C1444)</f>
        <v>0</v>
      </c>
      <c r="V1444">
        <f>COUNTIF('🏭 Facilities'!A1443:A1451, D1444)</f>
        <v>0</v>
      </c>
    </row>
    <row r="1445" spans="1:22">
      <c r="A1445" s="18" t="s">
        <v>3545</v>
      </c>
      <c r="B1445" s="18" t="s">
        <v>990</v>
      </c>
      <c r="C1445" s="18" t="s">
        <v>350</v>
      </c>
      <c r="D1445" s="18" t="s">
        <v>205</v>
      </c>
      <c r="E1445" s="26">
        <v>44942</v>
      </c>
      <c r="F1445" s="18" t="s">
        <v>3546</v>
      </c>
      <c r="G1445" s="18" t="s">
        <v>145</v>
      </c>
      <c r="H1445" s="18">
        <v>6.6</v>
      </c>
      <c r="I1445" s="18">
        <v>299</v>
      </c>
      <c r="J1445" s="18">
        <v>10</v>
      </c>
      <c r="K1445" s="18">
        <v>1776.06</v>
      </c>
      <c r="L1445" s="18" t="s">
        <v>207</v>
      </c>
      <c r="M1445" s="18" t="s">
        <v>119</v>
      </c>
      <c r="N1445" s="28">
        <v>44942.504861111112</v>
      </c>
      <c r="O1445" s="28">
        <v>44943.271527777775</v>
      </c>
      <c r="P1445" s="18">
        <v>2.7</v>
      </c>
      <c r="Q1445" s="18" t="b">
        <f>TRUE()</f>
        <v>1</v>
      </c>
      <c r="R1445" s="18" t="b">
        <f>TRUE()</f>
        <v>1</v>
      </c>
      <c r="S1445" s="19">
        <f t="shared" si="22"/>
        <v>18.399999999999999</v>
      </c>
      <c r="T1445">
        <f>COUNTIF('👤 Customers'!$A:$A, B1445)</f>
        <v>1</v>
      </c>
      <c r="U1445">
        <f>COUNTIF('🚴 Riders'!A1444:A1504, C1445)</f>
        <v>0</v>
      </c>
      <c r="V1445">
        <f>COUNTIF('🏭 Facilities'!A1444:A1452, D1445)</f>
        <v>0</v>
      </c>
    </row>
    <row r="1446" spans="1:22">
      <c r="A1446" s="16" t="s">
        <v>3547</v>
      </c>
      <c r="B1446" s="16" t="s">
        <v>365</v>
      </c>
      <c r="C1446" s="16" t="s">
        <v>240</v>
      </c>
      <c r="D1446" s="16" t="s">
        <v>123</v>
      </c>
      <c r="E1446" s="25">
        <v>45242</v>
      </c>
      <c r="F1446" s="16" t="s">
        <v>3548</v>
      </c>
      <c r="G1446" s="16" t="s">
        <v>117</v>
      </c>
      <c r="H1446" s="16">
        <v>6.8</v>
      </c>
      <c r="I1446" s="16">
        <v>149</v>
      </c>
      <c r="J1446" s="16">
        <v>0</v>
      </c>
      <c r="K1446" s="16">
        <v>1013.2</v>
      </c>
      <c r="L1446" s="16" t="s">
        <v>207</v>
      </c>
      <c r="M1446" s="16" t="s">
        <v>119</v>
      </c>
      <c r="N1446" s="27">
        <v>45242.884722222225</v>
      </c>
      <c r="O1446" s="27">
        <v>45243.199999999997</v>
      </c>
      <c r="P1446" s="16">
        <v>3.2</v>
      </c>
      <c r="Q1446" s="16" t="b">
        <f>FALSE()</f>
        <v>0</v>
      </c>
      <c r="R1446" s="16" t="b">
        <f>FALSE()</f>
        <v>0</v>
      </c>
      <c r="S1446" s="17">
        <f t="shared" si="22"/>
        <v>7.6</v>
      </c>
      <c r="T1446">
        <f>COUNTIF('👤 Customers'!$A:$A, B1446)</f>
        <v>1</v>
      </c>
      <c r="U1446">
        <f>COUNTIF('🚴 Riders'!A1445:A1505, C1446)</f>
        <v>0</v>
      </c>
      <c r="V1446">
        <f>COUNTIF('🏭 Facilities'!A1445:A1453, D1446)</f>
        <v>0</v>
      </c>
    </row>
    <row r="1447" spans="1:22">
      <c r="A1447" s="18" t="s">
        <v>3549</v>
      </c>
      <c r="B1447" s="18" t="s">
        <v>1058</v>
      </c>
      <c r="C1447" s="18" t="s">
        <v>308</v>
      </c>
      <c r="D1447" s="18" t="s">
        <v>184</v>
      </c>
      <c r="E1447" s="26">
        <v>45014</v>
      </c>
      <c r="F1447" s="18" t="s">
        <v>3550</v>
      </c>
      <c r="G1447" s="18" t="s">
        <v>176</v>
      </c>
      <c r="H1447" s="18">
        <v>4.8</v>
      </c>
      <c r="I1447" s="18">
        <v>599</v>
      </c>
      <c r="J1447" s="18">
        <v>0</v>
      </c>
      <c r="K1447" s="18">
        <v>2875.2</v>
      </c>
      <c r="L1447" s="18" t="s">
        <v>118</v>
      </c>
      <c r="M1447" s="18" t="s">
        <v>119</v>
      </c>
      <c r="N1447" s="28">
        <v>45014.448611111111</v>
      </c>
      <c r="O1447" s="28">
        <v>45015.423611111109</v>
      </c>
      <c r="P1447" s="18">
        <v>4.8</v>
      </c>
      <c r="Q1447" s="18" t="b">
        <f>FALSE()</f>
        <v>0</v>
      </c>
      <c r="R1447" s="18" t="b">
        <f>FALSE()</f>
        <v>0</v>
      </c>
      <c r="S1447" s="19">
        <f t="shared" si="22"/>
        <v>23.4</v>
      </c>
      <c r="T1447">
        <f>COUNTIF('👤 Customers'!$A:$A, B1447)</f>
        <v>1</v>
      </c>
      <c r="U1447">
        <f>COUNTIF('🚴 Riders'!A1446:A1506, C1447)</f>
        <v>0</v>
      </c>
      <c r="V1447">
        <f>COUNTIF('🏭 Facilities'!A1446:A1454, D1447)</f>
        <v>0</v>
      </c>
    </row>
    <row r="1448" spans="1:22">
      <c r="A1448" s="16" t="s">
        <v>3551</v>
      </c>
      <c r="B1448" s="16" t="s">
        <v>1226</v>
      </c>
      <c r="C1448" s="16" t="s">
        <v>213</v>
      </c>
      <c r="D1448" s="16" t="s">
        <v>205</v>
      </c>
      <c r="E1448" s="25">
        <v>45555</v>
      </c>
      <c r="F1448" s="16" t="s">
        <v>3552</v>
      </c>
      <c r="G1448" s="16" t="s">
        <v>125</v>
      </c>
      <c r="H1448" s="16">
        <v>6.7</v>
      </c>
      <c r="I1448" s="16">
        <v>199</v>
      </c>
      <c r="J1448" s="16">
        <v>0</v>
      </c>
      <c r="K1448" s="16">
        <v>1333.3</v>
      </c>
      <c r="L1448" s="16" t="s">
        <v>146</v>
      </c>
      <c r="M1448" s="16" t="s">
        <v>119</v>
      </c>
      <c r="N1448" s="27">
        <v>45555.776388888888</v>
      </c>
      <c r="O1448" s="27">
        <v>45556.219444444447</v>
      </c>
      <c r="P1448" s="16">
        <v>5</v>
      </c>
      <c r="Q1448" s="16" t="b">
        <f>FALSE()</f>
        <v>0</v>
      </c>
      <c r="R1448" s="16" t="b">
        <f>FALSE()</f>
        <v>0</v>
      </c>
      <c r="S1448" s="17">
        <f t="shared" si="22"/>
        <v>10.6</v>
      </c>
      <c r="T1448">
        <f>COUNTIF('👤 Customers'!$A:$A, B1448)</f>
        <v>1</v>
      </c>
      <c r="U1448">
        <f>COUNTIF('🚴 Riders'!A1447:A1507, C1448)</f>
        <v>0</v>
      </c>
      <c r="V1448">
        <f>COUNTIF('🏭 Facilities'!A1447:A1455, D1448)</f>
        <v>0</v>
      </c>
    </row>
    <row r="1449" spans="1:22">
      <c r="A1449" s="18" t="s">
        <v>3553</v>
      </c>
      <c r="B1449" s="18" t="s">
        <v>2170</v>
      </c>
      <c r="C1449" s="18" t="s">
        <v>304</v>
      </c>
      <c r="D1449" s="18" t="s">
        <v>205</v>
      </c>
      <c r="E1449" s="26">
        <v>45543</v>
      </c>
      <c r="F1449" s="18" t="s">
        <v>3554</v>
      </c>
      <c r="G1449" s="18" t="s">
        <v>132</v>
      </c>
      <c r="H1449" s="18">
        <v>2.6</v>
      </c>
      <c r="I1449" s="18">
        <v>399</v>
      </c>
      <c r="J1449" s="18">
        <v>20</v>
      </c>
      <c r="K1449" s="18">
        <v>829.92</v>
      </c>
      <c r="L1449" s="18" t="s">
        <v>126</v>
      </c>
      <c r="M1449" s="18" t="s">
        <v>133</v>
      </c>
      <c r="N1449" s="20"/>
      <c r="O1449" s="20"/>
      <c r="P1449" s="20"/>
      <c r="Q1449" s="18" t="b">
        <f>FALSE()</f>
        <v>0</v>
      </c>
      <c r="R1449" s="18" t="b">
        <f>FALSE()</f>
        <v>0</v>
      </c>
      <c r="S1449" s="19" t="str">
        <f t="shared" si="22"/>
        <v>N/A</v>
      </c>
      <c r="T1449">
        <f>COUNTIF('👤 Customers'!$A:$A, B1449)</f>
        <v>1</v>
      </c>
      <c r="U1449">
        <f>COUNTIF('🚴 Riders'!A1448:A1508, C1449)</f>
        <v>0</v>
      </c>
      <c r="V1449">
        <f>COUNTIF('🏭 Facilities'!A1448:A1456, D1449)</f>
        <v>0</v>
      </c>
    </row>
    <row r="1450" spans="1:22">
      <c r="A1450" s="16" t="s">
        <v>3555</v>
      </c>
      <c r="B1450" s="16" t="s">
        <v>1144</v>
      </c>
      <c r="C1450" s="16" t="s">
        <v>350</v>
      </c>
      <c r="D1450" s="16" t="s">
        <v>197</v>
      </c>
      <c r="E1450" s="25">
        <v>45141</v>
      </c>
      <c r="F1450" s="16" t="s">
        <v>3556</v>
      </c>
      <c r="G1450" s="16" t="s">
        <v>145</v>
      </c>
      <c r="H1450" s="16">
        <v>3.9</v>
      </c>
      <c r="I1450" s="16">
        <v>299</v>
      </c>
      <c r="J1450" s="16">
        <v>10</v>
      </c>
      <c r="K1450" s="16">
        <v>1049.49</v>
      </c>
      <c r="L1450" s="16" t="s">
        <v>118</v>
      </c>
      <c r="M1450" s="16" t="s">
        <v>119</v>
      </c>
      <c r="N1450" s="27">
        <v>45141.574305555558</v>
      </c>
      <c r="O1450" s="27">
        <v>45142.529861111114</v>
      </c>
      <c r="P1450" s="16">
        <v>3.7</v>
      </c>
      <c r="Q1450" s="16" t="b">
        <f>FALSE()</f>
        <v>0</v>
      </c>
      <c r="R1450" s="16" t="b">
        <f>FALSE()</f>
        <v>0</v>
      </c>
      <c r="S1450" s="17">
        <f t="shared" si="22"/>
        <v>22.9</v>
      </c>
      <c r="T1450">
        <f>COUNTIF('👤 Customers'!$A:$A, B1450)</f>
        <v>1</v>
      </c>
      <c r="U1450">
        <f>COUNTIF('🚴 Riders'!A1449:A1509, C1450)</f>
        <v>0</v>
      </c>
      <c r="V1450">
        <f>COUNTIF('🏭 Facilities'!A1449:A1457, D1450)</f>
        <v>0</v>
      </c>
    </row>
    <row r="1451" spans="1:22">
      <c r="A1451" s="18" t="s">
        <v>3557</v>
      </c>
      <c r="B1451" s="18" t="s">
        <v>1530</v>
      </c>
      <c r="C1451" s="18" t="s">
        <v>220</v>
      </c>
      <c r="D1451" s="18" t="s">
        <v>205</v>
      </c>
      <c r="E1451" s="26">
        <v>45521</v>
      </c>
      <c r="F1451" s="18" t="s">
        <v>3558</v>
      </c>
      <c r="G1451" s="18" t="s">
        <v>125</v>
      </c>
      <c r="H1451" s="18">
        <v>2</v>
      </c>
      <c r="I1451" s="18">
        <v>199</v>
      </c>
      <c r="J1451" s="18">
        <v>10</v>
      </c>
      <c r="K1451" s="18">
        <v>358.2</v>
      </c>
      <c r="L1451" s="18" t="s">
        <v>146</v>
      </c>
      <c r="M1451" s="18" t="s">
        <v>119</v>
      </c>
      <c r="N1451" s="28">
        <v>45521.282638888886</v>
      </c>
      <c r="O1451" s="28">
        <v>45521.82916666667</v>
      </c>
      <c r="P1451" s="18">
        <v>3.7</v>
      </c>
      <c r="Q1451" s="18" t="b">
        <f>TRUE()</f>
        <v>1</v>
      </c>
      <c r="R1451" s="18" t="b">
        <f>FALSE()</f>
        <v>0</v>
      </c>
      <c r="S1451" s="19">
        <f t="shared" si="22"/>
        <v>13.1</v>
      </c>
      <c r="T1451">
        <f>COUNTIF('👤 Customers'!$A:$A, B1451)</f>
        <v>1</v>
      </c>
      <c r="U1451">
        <f>COUNTIF('🚴 Riders'!A1450:A1510, C1451)</f>
        <v>0</v>
      </c>
      <c r="V1451">
        <f>COUNTIF('🏭 Facilities'!A1450:A1458, D1451)</f>
        <v>0</v>
      </c>
    </row>
    <row r="1452" spans="1:22">
      <c r="A1452" s="16" t="s">
        <v>3559</v>
      </c>
      <c r="B1452" s="16" t="s">
        <v>329</v>
      </c>
      <c r="C1452" s="16" t="s">
        <v>308</v>
      </c>
      <c r="D1452" s="16" t="s">
        <v>137</v>
      </c>
      <c r="E1452" s="25">
        <v>45047</v>
      </c>
      <c r="F1452" s="16" t="s">
        <v>3560</v>
      </c>
      <c r="G1452" s="16" t="s">
        <v>145</v>
      </c>
      <c r="H1452" s="16">
        <v>7</v>
      </c>
      <c r="I1452" s="16">
        <v>299</v>
      </c>
      <c r="J1452" s="16">
        <v>10</v>
      </c>
      <c r="K1452" s="16">
        <v>1883.7</v>
      </c>
      <c r="L1452" s="16" t="s">
        <v>118</v>
      </c>
      <c r="M1452" s="16" t="s">
        <v>140</v>
      </c>
      <c r="N1452" s="27">
        <v>45047.347916666666</v>
      </c>
      <c r="O1452" s="27">
        <v>45048.004861111112</v>
      </c>
      <c r="P1452" s="20"/>
      <c r="Q1452" s="16" t="b">
        <f>FALSE()</f>
        <v>0</v>
      </c>
      <c r="R1452" s="16" t="b">
        <f>FALSE()</f>
        <v>0</v>
      </c>
      <c r="S1452" s="17">
        <f t="shared" si="22"/>
        <v>15.8</v>
      </c>
      <c r="T1452">
        <f>COUNTIF('👤 Customers'!$A:$A, B1452)</f>
        <v>1</v>
      </c>
      <c r="U1452">
        <f>COUNTIF('🚴 Riders'!A1451:A1511, C1452)</f>
        <v>0</v>
      </c>
      <c r="V1452">
        <f>COUNTIF('🏭 Facilities'!A1451:A1459, D1452)</f>
        <v>0</v>
      </c>
    </row>
    <row r="1453" spans="1:22">
      <c r="A1453" s="18" t="s">
        <v>3561</v>
      </c>
      <c r="B1453" s="18" t="s">
        <v>592</v>
      </c>
      <c r="C1453" s="18" t="s">
        <v>308</v>
      </c>
      <c r="D1453" s="18" t="s">
        <v>115</v>
      </c>
      <c r="E1453" s="26">
        <v>45500</v>
      </c>
      <c r="F1453" s="18" t="s">
        <v>3562</v>
      </c>
      <c r="G1453" s="18" t="s">
        <v>117</v>
      </c>
      <c r="H1453" s="18">
        <v>6.4</v>
      </c>
      <c r="I1453" s="18">
        <v>149</v>
      </c>
      <c r="J1453" s="18">
        <v>0</v>
      </c>
      <c r="K1453" s="18">
        <v>953.6</v>
      </c>
      <c r="L1453" s="18" t="s">
        <v>207</v>
      </c>
      <c r="M1453" s="18" t="s">
        <v>119</v>
      </c>
      <c r="N1453" s="28">
        <v>45500.423611111109</v>
      </c>
      <c r="O1453" s="28">
        <v>45500.747916666667</v>
      </c>
      <c r="P1453" s="18">
        <v>2.7</v>
      </c>
      <c r="Q1453" s="18" t="b">
        <f>FALSE()</f>
        <v>0</v>
      </c>
      <c r="R1453" s="18" t="b">
        <f>TRUE()</f>
        <v>1</v>
      </c>
      <c r="S1453" s="19">
        <f t="shared" si="22"/>
        <v>7.8</v>
      </c>
      <c r="T1453">
        <f>COUNTIF('👤 Customers'!$A:$A, B1453)</f>
        <v>1</v>
      </c>
      <c r="U1453">
        <f>COUNTIF('🚴 Riders'!A1452:A1512, C1453)</f>
        <v>0</v>
      </c>
      <c r="V1453">
        <f>COUNTIF('🏭 Facilities'!A1452:A1460, D1453)</f>
        <v>0</v>
      </c>
    </row>
    <row r="1454" spans="1:22">
      <c r="A1454" s="16" t="s">
        <v>3563</v>
      </c>
      <c r="B1454" s="16" t="s">
        <v>1979</v>
      </c>
      <c r="C1454" s="16" t="s">
        <v>228</v>
      </c>
      <c r="D1454" s="16" t="s">
        <v>115</v>
      </c>
      <c r="E1454" s="25">
        <v>45225</v>
      </c>
      <c r="F1454" s="16" t="s">
        <v>3564</v>
      </c>
      <c r="G1454" s="16" t="s">
        <v>117</v>
      </c>
      <c r="H1454" s="16">
        <v>6.3</v>
      </c>
      <c r="I1454" s="16">
        <v>149</v>
      </c>
      <c r="J1454" s="16">
        <v>0</v>
      </c>
      <c r="K1454" s="16">
        <v>938.7</v>
      </c>
      <c r="L1454" s="16" t="s">
        <v>118</v>
      </c>
      <c r="M1454" s="16" t="s">
        <v>140</v>
      </c>
      <c r="N1454" s="27">
        <v>45225.604861111111</v>
      </c>
      <c r="O1454" s="27">
        <v>45226.317361111112</v>
      </c>
      <c r="P1454" s="20"/>
      <c r="Q1454" s="16" t="b">
        <f>FALSE()</f>
        <v>0</v>
      </c>
      <c r="R1454" s="16" t="b">
        <f>FALSE()</f>
        <v>0</v>
      </c>
      <c r="S1454" s="17">
        <f t="shared" si="22"/>
        <v>17.100000000000001</v>
      </c>
      <c r="T1454">
        <f>COUNTIF('👤 Customers'!$A:$A, B1454)</f>
        <v>1</v>
      </c>
      <c r="U1454">
        <f>COUNTIF('🚴 Riders'!A1453:A1513, C1454)</f>
        <v>0</v>
      </c>
      <c r="V1454">
        <f>COUNTIF('🏭 Facilities'!A1453:A1461, D1454)</f>
        <v>0</v>
      </c>
    </row>
    <row r="1455" spans="1:22">
      <c r="A1455" s="18" t="s">
        <v>3565</v>
      </c>
      <c r="B1455" s="18" t="s">
        <v>2238</v>
      </c>
      <c r="C1455" s="18" t="s">
        <v>322</v>
      </c>
      <c r="D1455" s="18" t="s">
        <v>137</v>
      </c>
      <c r="E1455" s="26">
        <v>44939</v>
      </c>
      <c r="F1455" s="18" t="s">
        <v>3566</v>
      </c>
      <c r="G1455" s="18" t="s">
        <v>132</v>
      </c>
      <c r="H1455" s="18">
        <v>7.2</v>
      </c>
      <c r="I1455" s="18">
        <v>399</v>
      </c>
      <c r="J1455" s="18">
        <v>0</v>
      </c>
      <c r="K1455" s="18">
        <v>2872.8</v>
      </c>
      <c r="L1455" s="18" t="s">
        <v>139</v>
      </c>
      <c r="M1455" s="18" t="s">
        <v>119</v>
      </c>
      <c r="N1455" s="28">
        <v>44939.52847222222</v>
      </c>
      <c r="O1455" s="28">
        <v>44940.224305555559</v>
      </c>
      <c r="P1455" s="18">
        <v>2.6</v>
      </c>
      <c r="Q1455" s="18" t="b">
        <f>FALSE()</f>
        <v>0</v>
      </c>
      <c r="R1455" s="18" t="b">
        <f>FALSE()</f>
        <v>0</v>
      </c>
      <c r="S1455" s="19">
        <f t="shared" si="22"/>
        <v>16.7</v>
      </c>
      <c r="T1455">
        <f>COUNTIF('👤 Customers'!$A:$A, B1455)</f>
        <v>1</v>
      </c>
      <c r="U1455">
        <f>COUNTIF('🚴 Riders'!A1454:A1514, C1455)</f>
        <v>0</v>
      </c>
      <c r="V1455">
        <f>COUNTIF('🏭 Facilities'!A1454:A1462, D1455)</f>
        <v>0</v>
      </c>
    </row>
    <row r="1456" spans="1:22">
      <c r="A1456" s="16" t="s">
        <v>3567</v>
      </c>
      <c r="B1456" s="16" t="s">
        <v>2619</v>
      </c>
      <c r="C1456" s="16" t="s">
        <v>122</v>
      </c>
      <c r="D1456" s="16" t="s">
        <v>115</v>
      </c>
      <c r="E1456" s="25">
        <v>45525</v>
      </c>
      <c r="F1456" s="16" t="s">
        <v>3568</v>
      </c>
      <c r="G1456" s="16" t="s">
        <v>145</v>
      </c>
      <c r="H1456" s="16">
        <v>5.8</v>
      </c>
      <c r="I1456" s="16">
        <v>299</v>
      </c>
      <c r="J1456" s="16">
        <v>0</v>
      </c>
      <c r="K1456" s="16">
        <v>1734.2</v>
      </c>
      <c r="L1456" s="16" t="s">
        <v>139</v>
      </c>
      <c r="M1456" s="16" t="s">
        <v>119</v>
      </c>
      <c r="N1456" s="27">
        <v>45525.676388888889</v>
      </c>
      <c r="O1456" s="27">
        <v>45526.150694444441</v>
      </c>
      <c r="P1456" s="16">
        <v>3.6</v>
      </c>
      <c r="Q1456" s="16" t="b">
        <f>TRUE()</f>
        <v>1</v>
      </c>
      <c r="R1456" s="16" t="b">
        <f>FALSE()</f>
        <v>0</v>
      </c>
      <c r="S1456" s="17">
        <f t="shared" si="22"/>
        <v>11.4</v>
      </c>
      <c r="T1456">
        <f>COUNTIF('👤 Customers'!$A:$A, B1456)</f>
        <v>1</v>
      </c>
      <c r="U1456">
        <f>COUNTIF('🚴 Riders'!A1455:A1515, C1456)</f>
        <v>0</v>
      </c>
      <c r="V1456">
        <f>COUNTIF('🏭 Facilities'!A1455:A1463, D1456)</f>
        <v>0</v>
      </c>
    </row>
    <row r="1457" spans="1:22">
      <c r="A1457" s="18" t="s">
        <v>3569</v>
      </c>
      <c r="B1457" s="18" t="s">
        <v>916</v>
      </c>
      <c r="C1457" s="18" t="s">
        <v>283</v>
      </c>
      <c r="D1457" s="18" t="s">
        <v>158</v>
      </c>
      <c r="E1457" s="26">
        <v>45620</v>
      </c>
      <c r="F1457" s="18" t="s">
        <v>3570</v>
      </c>
      <c r="G1457" s="18" t="s">
        <v>145</v>
      </c>
      <c r="H1457" s="18">
        <v>5.8</v>
      </c>
      <c r="I1457" s="18">
        <v>299</v>
      </c>
      <c r="J1457" s="18">
        <v>0</v>
      </c>
      <c r="K1457" s="18">
        <v>1734.2</v>
      </c>
      <c r="L1457" s="18" t="s">
        <v>139</v>
      </c>
      <c r="M1457" s="18" t="s">
        <v>119</v>
      </c>
      <c r="N1457" s="28">
        <v>45620.268750000003</v>
      </c>
      <c r="O1457" s="28">
        <v>45621.168749999997</v>
      </c>
      <c r="P1457" s="18">
        <v>3.5</v>
      </c>
      <c r="Q1457" s="18" t="b">
        <f>TRUE()</f>
        <v>1</v>
      </c>
      <c r="R1457" s="18" t="b">
        <f>FALSE()</f>
        <v>0</v>
      </c>
      <c r="S1457" s="19">
        <f t="shared" si="22"/>
        <v>21.6</v>
      </c>
      <c r="T1457">
        <f>COUNTIF('👤 Customers'!$A:$A, B1457)</f>
        <v>1</v>
      </c>
      <c r="U1457">
        <f>COUNTIF('🚴 Riders'!A1456:A1516, C1457)</f>
        <v>0</v>
      </c>
      <c r="V1457">
        <f>COUNTIF('🏭 Facilities'!A1456:A1464, D1457)</f>
        <v>0</v>
      </c>
    </row>
    <row r="1458" spans="1:22">
      <c r="A1458" s="16" t="s">
        <v>3571</v>
      </c>
      <c r="B1458" s="16" t="s">
        <v>335</v>
      </c>
      <c r="C1458" s="16" t="s">
        <v>326</v>
      </c>
      <c r="D1458" s="16" t="s">
        <v>123</v>
      </c>
      <c r="E1458" s="25">
        <v>45096</v>
      </c>
      <c r="F1458" s="16" t="s">
        <v>3572</v>
      </c>
      <c r="G1458" s="16" t="s">
        <v>176</v>
      </c>
      <c r="H1458" s="16">
        <v>4</v>
      </c>
      <c r="I1458" s="16">
        <v>599</v>
      </c>
      <c r="J1458" s="16">
        <v>0</v>
      </c>
      <c r="K1458" s="16">
        <v>2396</v>
      </c>
      <c r="L1458" s="16" t="s">
        <v>146</v>
      </c>
      <c r="M1458" s="16" t="s">
        <v>119</v>
      </c>
      <c r="N1458" s="27">
        <v>45096.347916666666</v>
      </c>
      <c r="O1458" s="27">
        <v>45097</v>
      </c>
      <c r="P1458" s="16">
        <v>4.8</v>
      </c>
      <c r="Q1458" s="16" t="b">
        <f>FALSE()</f>
        <v>0</v>
      </c>
      <c r="R1458" s="16" t="b">
        <f>FALSE()</f>
        <v>0</v>
      </c>
      <c r="S1458" s="17">
        <f t="shared" si="22"/>
        <v>15.7</v>
      </c>
      <c r="T1458">
        <f>COUNTIF('👤 Customers'!$A:$A, B1458)</f>
        <v>1</v>
      </c>
      <c r="U1458">
        <f>COUNTIF('🚴 Riders'!A1457:A1517, C1458)</f>
        <v>0</v>
      </c>
      <c r="V1458">
        <f>COUNTIF('🏭 Facilities'!A1457:A1465, D1458)</f>
        <v>0</v>
      </c>
    </row>
    <row r="1459" spans="1:22">
      <c r="A1459" s="18" t="s">
        <v>3573</v>
      </c>
      <c r="B1459" s="18" t="s">
        <v>2398</v>
      </c>
      <c r="C1459" s="18" t="s">
        <v>257</v>
      </c>
      <c r="D1459" s="18" t="s">
        <v>137</v>
      </c>
      <c r="E1459" s="26">
        <v>45454</v>
      </c>
      <c r="F1459" s="18" t="s">
        <v>3574</v>
      </c>
      <c r="G1459" s="18" t="s">
        <v>132</v>
      </c>
      <c r="H1459" s="18">
        <v>2.2000000000000002</v>
      </c>
      <c r="I1459" s="18">
        <v>399</v>
      </c>
      <c r="J1459" s="18">
        <v>10</v>
      </c>
      <c r="K1459" s="18">
        <v>790.02</v>
      </c>
      <c r="L1459" s="18" t="s">
        <v>139</v>
      </c>
      <c r="M1459" s="18" t="s">
        <v>119</v>
      </c>
      <c r="N1459" s="28">
        <v>45454.857638888891</v>
      </c>
      <c r="O1459" s="28">
        <v>45455.372916666667</v>
      </c>
      <c r="P1459" s="18">
        <v>3</v>
      </c>
      <c r="Q1459" s="18" t="b">
        <f>FALSE()</f>
        <v>0</v>
      </c>
      <c r="R1459" s="18" t="b">
        <f>TRUE()</f>
        <v>1</v>
      </c>
      <c r="S1459" s="19">
        <f t="shared" si="22"/>
        <v>12.4</v>
      </c>
      <c r="T1459">
        <f>COUNTIF('👤 Customers'!$A:$A, B1459)</f>
        <v>1</v>
      </c>
      <c r="U1459">
        <f>COUNTIF('🚴 Riders'!A1458:A1518, C1459)</f>
        <v>0</v>
      </c>
      <c r="V1459">
        <f>COUNTIF('🏭 Facilities'!A1458:A1466, D1459)</f>
        <v>0</v>
      </c>
    </row>
    <row r="1460" spans="1:22">
      <c r="A1460" s="16" t="s">
        <v>3575</v>
      </c>
      <c r="B1460" s="16" t="s">
        <v>610</v>
      </c>
      <c r="C1460" s="16" t="s">
        <v>114</v>
      </c>
      <c r="D1460" s="16" t="s">
        <v>158</v>
      </c>
      <c r="E1460" s="25">
        <v>45629</v>
      </c>
      <c r="F1460" s="16" t="s">
        <v>3576</v>
      </c>
      <c r="G1460" s="16" t="s">
        <v>117</v>
      </c>
      <c r="H1460" s="16">
        <v>5.2</v>
      </c>
      <c r="I1460" s="16">
        <v>149</v>
      </c>
      <c r="J1460" s="16">
        <v>0</v>
      </c>
      <c r="K1460" s="16">
        <v>774.8</v>
      </c>
      <c r="L1460" s="16" t="s">
        <v>139</v>
      </c>
      <c r="M1460" s="16" t="s">
        <v>119</v>
      </c>
      <c r="N1460" s="27">
        <v>45629.916666666664</v>
      </c>
      <c r="O1460" s="27">
        <v>45630.501388888886</v>
      </c>
      <c r="P1460" s="16">
        <v>2.6</v>
      </c>
      <c r="Q1460" s="16" t="b">
        <f>FALSE()</f>
        <v>0</v>
      </c>
      <c r="R1460" s="16" t="b">
        <f>FALSE()</f>
        <v>0</v>
      </c>
      <c r="S1460" s="17">
        <f t="shared" si="22"/>
        <v>14</v>
      </c>
      <c r="T1460">
        <f>COUNTIF('👤 Customers'!$A:$A, B1460)</f>
        <v>1</v>
      </c>
      <c r="U1460">
        <f>COUNTIF('🚴 Riders'!A1459:A1519, C1460)</f>
        <v>0</v>
      </c>
      <c r="V1460">
        <f>COUNTIF('🏭 Facilities'!A1459:A1467, D1460)</f>
        <v>0</v>
      </c>
    </row>
    <row r="1461" spans="1:22">
      <c r="A1461" s="18" t="s">
        <v>3577</v>
      </c>
      <c r="B1461" s="18" t="s">
        <v>1200</v>
      </c>
      <c r="C1461" s="18" t="s">
        <v>129</v>
      </c>
      <c r="D1461" s="18" t="s">
        <v>123</v>
      </c>
      <c r="E1461" s="26">
        <v>45286</v>
      </c>
      <c r="F1461" s="18" t="s">
        <v>3578</v>
      </c>
      <c r="G1461" s="18" t="s">
        <v>145</v>
      </c>
      <c r="H1461" s="18">
        <v>6</v>
      </c>
      <c r="I1461" s="18">
        <v>299</v>
      </c>
      <c r="J1461" s="18">
        <v>0</v>
      </c>
      <c r="K1461" s="18">
        <v>1794</v>
      </c>
      <c r="L1461" s="18" t="s">
        <v>207</v>
      </c>
      <c r="M1461" s="18" t="s">
        <v>119</v>
      </c>
      <c r="N1461" s="28">
        <v>45286.996527777781</v>
      </c>
      <c r="O1461" s="28">
        <v>45287.404861111114</v>
      </c>
      <c r="P1461" s="18">
        <v>4.5999999999999996</v>
      </c>
      <c r="Q1461" s="18" t="b">
        <f>FALSE()</f>
        <v>0</v>
      </c>
      <c r="R1461" s="18" t="b">
        <f>FALSE()</f>
        <v>0</v>
      </c>
      <c r="S1461" s="19">
        <f t="shared" si="22"/>
        <v>9.8000000000000007</v>
      </c>
      <c r="T1461">
        <f>COUNTIF('👤 Customers'!$A:$A, B1461)</f>
        <v>1</v>
      </c>
      <c r="U1461">
        <f>COUNTIF('🚴 Riders'!A1460:A1520, C1461)</f>
        <v>0</v>
      </c>
      <c r="V1461">
        <f>COUNTIF('🏭 Facilities'!A1460:A1468, D1461)</f>
        <v>0</v>
      </c>
    </row>
    <row r="1462" spans="1:22">
      <c r="A1462" s="16" t="s">
        <v>3579</v>
      </c>
      <c r="B1462" s="16" t="s">
        <v>3580</v>
      </c>
      <c r="C1462" s="16" t="s">
        <v>228</v>
      </c>
      <c r="D1462" s="16" t="s">
        <v>197</v>
      </c>
      <c r="E1462" s="25">
        <v>45509</v>
      </c>
      <c r="F1462" s="16" t="s">
        <v>3581</v>
      </c>
      <c r="G1462" s="16" t="s">
        <v>132</v>
      </c>
      <c r="H1462" s="16">
        <v>4.2</v>
      </c>
      <c r="I1462" s="16">
        <v>399</v>
      </c>
      <c r="J1462" s="16">
        <v>0</v>
      </c>
      <c r="K1462" s="16">
        <v>1675.8</v>
      </c>
      <c r="L1462" s="16" t="s">
        <v>126</v>
      </c>
      <c r="M1462" s="16" t="s">
        <v>119</v>
      </c>
      <c r="N1462" s="27">
        <v>45509.338888888888</v>
      </c>
      <c r="O1462" s="27">
        <v>45509.815972222219</v>
      </c>
      <c r="P1462" s="16">
        <v>4.5999999999999996</v>
      </c>
      <c r="Q1462" s="16" t="b">
        <f>FALSE()</f>
        <v>0</v>
      </c>
      <c r="R1462" s="16" t="b">
        <f>FALSE()</f>
        <v>0</v>
      </c>
      <c r="S1462" s="17">
        <f t="shared" si="22"/>
        <v>11.4</v>
      </c>
      <c r="T1462">
        <f>COUNTIF('👤 Customers'!$A:$A, B1462)</f>
        <v>1</v>
      </c>
      <c r="U1462">
        <f>COUNTIF('🚴 Riders'!A1461:A1521, C1462)</f>
        <v>0</v>
      </c>
      <c r="V1462">
        <f>COUNTIF('🏭 Facilities'!A1461:A1469, D1462)</f>
        <v>0</v>
      </c>
    </row>
    <row r="1463" spans="1:22">
      <c r="A1463" s="18" t="s">
        <v>3582</v>
      </c>
      <c r="B1463" s="18" t="s">
        <v>827</v>
      </c>
      <c r="C1463" s="18" t="s">
        <v>479</v>
      </c>
      <c r="D1463" s="18" t="s">
        <v>205</v>
      </c>
      <c r="E1463" s="26">
        <v>45307</v>
      </c>
      <c r="F1463" s="18" t="s">
        <v>3583</v>
      </c>
      <c r="G1463" s="18" t="s">
        <v>145</v>
      </c>
      <c r="H1463" s="18">
        <v>5.2</v>
      </c>
      <c r="I1463" s="18">
        <v>299</v>
      </c>
      <c r="J1463" s="18">
        <v>30</v>
      </c>
      <c r="K1463" s="18">
        <v>1088.3599999999999</v>
      </c>
      <c r="L1463" s="18" t="s">
        <v>126</v>
      </c>
      <c r="M1463" s="18" t="s">
        <v>119</v>
      </c>
      <c r="N1463" s="28">
        <v>45307.750694444447</v>
      </c>
      <c r="O1463" s="28">
        <v>45308.109722222223</v>
      </c>
      <c r="P1463" s="18">
        <v>3.2</v>
      </c>
      <c r="Q1463" s="18" t="b">
        <f>FALSE()</f>
        <v>0</v>
      </c>
      <c r="R1463" s="18" t="b">
        <f>FALSE()</f>
        <v>0</v>
      </c>
      <c r="S1463" s="19">
        <f t="shared" si="22"/>
        <v>8.6</v>
      </c>
      <c r="T1463">
        <f>COUNTIF('👤 Customers'!$A:$A, B1463)</f>
        <v>1</v>
      </c>
      <c r="U1463">
        <f>COUNTIF('🚴 Riders'!A1462:A1522, C1463)</f>
        <v>0</v>
      </c>
      <c r="V1463">
        <f>COUNTIF('🏭 Facilities'!A1462:A1470, D1463)</f>
        <v>0</v>
      </c>
    </row>
    <row r="1464" spans="1:22">
      <c r="A1464" s="16" t="s">
        <v>3584</v>
      </c>
      <c r="B1464" s="16" t="s">
        <v>3585</v>
      </c>
      <c r="C1464" s="16" t="s">
        <v>350</v>
      </c>
      <c r="D1464" s="16" t="s">
        <v>137</v>
      </c>
      <c r="E1464" s="25">
        <v>45356</v>
      </c>
      <c r="F1464" s="16" t="s">
        <v>3586</v>
      </c>
      <c r="G1464" s="16" t="s">
        <v>132</v>
      </c>
      <c r="H1464" s="16">
        <v>1.2</v>
      </c>
      <c r="I1464" s="16">
        <v>399</v>
      </c>
      <c r="J1464" s="16">
        <v>0</v>
      </c>
      <c r="K1464" s="16">
        <v>478.8</v>
      </c>
      <c r="L1464" s="16" t="s">
        <v>207</v>
      </c>
      <c r="M1464" s="16" t="s">
        <v>119</v>
      </c>
      <c r="N1464" s="27">
        <v>45357.026388888888</v>
      </c>
      <c r="O1464" s="27">
        <v>45358.035416666666</v>
      </c>
      <c r="P1464" s="16">
        <v>2.6</v>
      </c>
      <c r="Q1464" s="16" t="b">
        <f>FALSE()</f>
        <v>0</v>
      </c>
      <c r="R1464" s="16" t="b">
        <f>FALSE()</f>
        <v>0</v>
      </c>
      <c r="S1464" s="17">
        <f t="shared" si="22"/>
        <v>24.2</v>
      </c>
      <c r="T1464">
        <f>COUNTIF('👤 Customers'!$A:$A, B1464)</f>
        <v>1</v>
      </c>
      <c r="U1464">
        <f>COUNTIF('🚴 Riders'!A1463:A1523, C1464)</f>
        <v>0</v>
      </c>
      <c r="V1464">
        <f>COUNTIF('🏭 Facilities'!A1463:A1471, D1464)</f>
        <v>0</v>
      </c>
    </row>
    <row r="1465" spans="1:22">
      <c r="A1465" s="18" t="s">
        <v>3587</v>
      </c>
      <c r="B1465" s="18" t="s">
        <v>260</v>
      </c>
      <c r="C1465" s="18" t="s">
        <v>174</v>
      </c>
      <c r="D1465" s="18" t="s">
        <v>158</v>
      </c>
      <c r="E1465" s="26">
        <v>45368</v>
      </c>
      <c r="F1465" s="18" t="s">
        <v>3588</v>
      </c>
      <c r="G1465" s="18" t="s">
        <v>176</v>
      </c>
      <c r="H1465" s="18">
        <v>1.1000000000000001</v>
      </c>
      <c r="I1465" s="18">
        <v>599</v>
      </c>
      <c r="J1465" s="18">
        <v>30</v>
      </c>
      <c r="K1465" s="18">
        <v>461.23</v>
      </c>
      <c r="L1465" s="18" t="s">
        <v>146</v>
      </c>
      <c r="M1465" s="18" t="s">
        <v>119</v>
      </c>
      <c r="N1465" s="28">
        <v>45368.722222222219</v>
      </c>
      <c r="O1465" s="28">
        <v>45369.353472222225</v>
      </c>
      <c r="P1465" s="18">
        <v>2.6</v>
      </c>
      <c r="Q1465" s="18" t="b">
        <f>TRUE()</f>
        <v>1</v>
      </c>
      <c r="R1465" s="18" t="b">
        <f>FALSE()</f>
        <v>0</v>
      </c>
      <c r="S1465" s="19">
        <f t="shared" si="22"/>
        <v>15.2</v>
      </c>
      <c r="T1465">
        <f>COUNTIF('👤 Customers'!$A:$A, B1465)</f>
        <v>1</v>
      </c>
      <c r="U1465">
        <f>COUNTIF('🚴 Riders'!A1464:A1524, C1465)</f>
        <v>0</v>
      </c>
      <c r="V1465">
        <f>COUNTIF('🏭 Facilities'!A1464:A1472, D1465)</f>
        <v>0</v>
      </c>
    </row>
    <row r="1466" spans="1:22">
      <c r="A1466" s="16" t="s">
        <v>3589</v>
      </c>
      <c r="B1466" s="16" t="s">
        <v>1051</v>
      </c>
      <c r="C1466" s="16" t="s">
        <v>479</v>
      </c>
      <c r="D1466" s="16" t="s">
        <v>205</v>
      </c>
      <c r="E1466" s="25">
        <v>45615</v>
      </c>
      <c r="F1466" s="16" t="s">
        <v>3590</v>
      </c>
      <c r="G1466" s="16" t="s">
        <v>125</v>
      </c>
      <c r="H1466" s="16">
        <v>7.5</v>
      </c>
      <c r="I1466" s="16">
        <v>199</v>
      </c>
      <c r="J1466" s="16">
        <v>20</v>
      </c>
      <c r="K1466" s="16">
        <v>1194</v>
      </c>
      <c r="L1466" s="16" t="s">
        <v>126</v>
      </c>
      <c r="M1466" s="16" t="s">
        <v>119</v>
      </c>
      <c r="N1466" s="27">
        <v>45616.077777777777</v>
      </c>
      <c r="O1466" s="27">
        <v>45616.588888888888</v>
      </c>
      <c r="P1466" s="16">
        <v>4.9000000000000004</v>
      </c>
      <c r="Q1466" s="16" t="b">
        <f>FALSE()</f>
        <v>0</v>
      </c>
      <c r="R1466" s="16" t="b">
        <f>TRUE()</f>
        <v>1</v>
      </c>
      <c r="S1466" s="17">
        <f t="shared" si="22"/>
        <v>12.3</v>
      </c>
      <c r="T1466">
        <f>COUNTIF('👤 Customers'!$A:$A, B1466)</f>
        <v>1</v>
      </c>
      <c r="U1466">
        <f>COUNTIF('🚴 Riders'!A1465:A1525, C1466)</f>
        <v>0</v>
      </c>
      <c r="V1466">
        <f>COUNTIF('🏭 Facilities'!A1465:A1473, D1466)</f>
        <v>0</v>
      </c>
    </row>
    <row r="1467" spans="1:22">
      <c r="A1467" s="18" t="s">
        <v>3591</v>
      </c>
      <c r="B1467" s="18" t="s">
        <v>791</v>
      </c>
      <c r="C1467" s="18" t="s">
        <v>717</v>
      </c>
      <c r="D1467" s="18" t="s">
        <v>137</v>
      </c>
      <c r="E1467" s="26">
        <v>45070</v>
      </c>
      <c r="F1467" s="18" t="s">
        <v>3592</v>
      </c>
      <c r="G1467" s="18" t="s">
        <v>145</v>
      </c>
      <c r="H1467" s="18">
        <v>6.8</v>
      </c>
      <c r="I1467" s="18">
        <v>299</v>
      </c>
      <c r="J1467" s="18">
        <v>0</v>
      </c>
      <c r="K1467" s="18">
        <v>2033.2</v>
      </c>
      <c r="L1467" s="18" t="s">
        <v>146</v>
      </c>
      <c r="M1467" s="18" t="s">
        <v>119</v>
      </c>
      <c r="N1467" s="28">
        <v>45070.574999999997</v>
      </c>
      <c r="O1467" s="28">
        <v>45071.043749999997</v>
      </c>
      <c r="P1467" s="18">
        <v>3.2</v>
      </c>
      <c r="Q1467" s="18" t="b">
        <f>FALSE()</f>
        <v>0</v>
      </c>
      <c r="R1467" s="18" t="b">
        <f>FALSE()</f>
        <v>0</v>
      </c>
      <c r="S1467" s="19">
        <f t="shared" si="22"/>
        <v>11.3</v>
      </c>
      <c r="T1467">
        <f>COUNTIF('👤 Customers'!$A:$A, B1467)</f>
        <v>1</v>
      </c>
      <c r="U1467">
        <f>COUNTIF('🚴 Riders'!A1466:A1526, C1467)</f>
        <v>0</v>
      </c>
      <c r="V1467">
        <f>COUNTIF('🏭 Facilities'!A1466:A1474, D1467)</f>
        <v>0</v>
      </c>
    </row>
    <row r="1468" spans="1:22">
      <c r="A1468" s="16" t="s">
        <v>3593</v>
      </c>
      <c r="B1468" s="16" t="s">
        <v>2676</v>
      </c>
      <c r="C1468" s="16" t="s">
        <v>174</v>
      </c>
      <c r="D1468" s="16" t="s">
        <v>137</v>
      </c>
      <c r="E1468" s="25">
        <v>45638</v>
      </c>
      <c r="F1468" s="16" t="s">
        <v>3594</v>
      </c>
      <c r="G1468" s="16" t="s">
        <v>176</v>
      </c>
      <c r="H1468" s="16">
        <v>1</v>
      </c>
      <c r="I1468" s="16">
        <v>599</v>
      </c>
      <c r="J1468" s="16">
        <v>0</v>
      </c>
      <c r="K1468" s="16">
        <v>599</v>
      </c>
      <c r="L1468" s="16" t="s">
        <v>118</v>
      </c>
      <c r="M1468" s="16" t="s">
        <v>133</v>
      </c>
      <c r="N1468" s="20"/>
      <c r="O1468" s="20"/>
      <c r="P1468" s="20"/>
      <c r="Q1468" s="16" t="b">
        <f>FALSE()</f>
        <v>0</v>
      </c>
      <c r="R1468" s="16" t="b">
        <f>FALSE()</f>
        <v>0</v>
      </c>
      <c r="S1468" s="17" t="str">
        <f t="shared" si="22"/>
        <v>N/A</v>
      </c>
      <c r="T1468">
        <f>COUNTIF('👤 Customers'!$A:$A, B1468)</f>
        <v>1</v>
      </c>
      <c r="U1468">
        <f>COUNTIF('🚴 Riders'!A1467:A1527, C1468)</f>
        <v>0</v>
      </c>
      <c r="V1468">
        <f>COUNTIF('🏭 Facilities'!A1467:A1475, D1468)</f>
        <v>0</v>
      </c>
    </row>
    <row r="1469" spans="1:22">
      <c r="A1469" s="18" t="s">
        <v>3595</v>
      </c>
      <c r="B1469" s="18" t="s">
        <v>952</v>
      </c>
      <c r="C1469" s="18" t="s">
        <v>236</v>
      </c>
      <c r="D1469" s="18" t="s">
        <v>137</v>
      </c>
      <c r="E1469" s="26">
        <v>45354</v>
      </c>
      <c r="F1469" s="18" t="s">
        <v>3596</v>
      </c>
      <c r="G1469" s="18" t="s">
        <v>117</v>
      </c>
      <c r="H1469" s="18">
        <v>1.8</v>
      </c>
      <c r="I1469" s="18">
        <v>149</v>
      </c>
      <c r="J1469" s="18">
        <v>10</v>
      </c>
      <c r="K1469" s="18">
        <v>241.38</v>
      </c>
      <c r="L1469" s="18" t="s">
        <v>146</v>
      </c>
      <c r="M1469" s="18" t="s">
        <v>140</v>
      </c>
      <c r="N1469" s="28">
        <v>45354.338888888888</v>
      </c>
      <c r="O1469" s="28">
        <v>45354.78402777778</v>
      </c>
      <c r="P1469" s="20"/>
      <c r="Q1469" s="18" t="b">
        <f>FALSE()</f>
        <v>0</v>
      </c>
      <c r="R1469" s="18" t="b">
        <f>TRUE()</f>
        <v>1</v>
      </c>
      <c r="S1469" s="19">
        <f t="shared" si="22"/>
        <v>10.7</v>
      </c>
      <c r="T1469">
        <f>COUNTIF('👤 Customers'!$A:$A, B1469)</f>
        <v>1</v>
      </c>
      <c r="U1469">
        <f>COUNTIF('🚴 Riders'!A1468:A1528, C1469)</f>
        <v>0</v>
      </c>
      <c r="V1469">
        <f>COUNTIF('🏭 Facilities'!A1468:A1476, D1469)</f>
        <v>0</v>
      </c>
    </row>
    <row r="1470" spans="1:22">
      <c r="A1470" s="16" t="s">
        <v>3597</v>
      </c>
      <c r="B1470" s="16" t="s">
        <v>1391</v>
      </c>
      <c r="C1470" s="16" t="s">
        <v>174</v>
      </c>
      <c r="D1470" s="16" t="s">
        <v>137</v>
      </c>
      <c r="E1470" s="25">
        <v>45371</v>
      </c>
      <c r="F1470" s="16" t="s">
        <v>3598</v>
      </c>
      <c r="G1470" s="16" t="s">
        <v>125</v>
      </c>
      <c r="H1470" s="16">
        <v>6.8</v>
      </c>
      <c r="I1470" s="16">
        <v>199</v>
      </c>
      <c r="J1470" s="16">
        <v>0</v>
      </c>
      <c r="K1470" s="16">
        <v>1353.2</v>
      </c>
      <c r="L1470" s="16" t="s">
        <v>139</v>
      </c>
      <c r="M1470" s="16" t="s">
        <v>140</v>
      </c>
      <c r="N1470" s="27">
        <v>45371.772916666669</v>
      </c>
      <c r="O1470" s="27">
        <v>45372.842361111114</v>
      </c>
      <c r="P1470" s="20"/>
      <c r="Q1470" s="16" t="b">
        <f>FALSE()</f>
        <v>0</v>
      </c>
      <c r="R1470" s="16" t="b">
        <f>FALSE()</f>
        <v>0</v>
      </c>
      <c r="S1470" s="17">
        <f t="shared" si="22"/>
        <v>25.7</v>
      </c>
      <c r="T1470">
        <f>COUNTIF('👤 Customers'!$A:$A, B1470)</f>
        <v>1</v>
      </c>
      <c r="U1470">
        <f>COUNTIF('🚴 Riders'!A1469:A1529, C1470)</f>
        <v>0</v>
      </c>
      <c r="V1470">
        <f>COUNTIF('🏭 Facilities'!A1469:A1477, D1470)</f>
        <v>0</v>
      </c>
    </row>
    <row r="1471" spans="1:22">
      <c r="A1471" s="18" t="s">
        <v>3599</v>
      </c>
      <c r="B1471" s="18" t="s">
        <v>380</v>
      </c>
      <c r="C1471" s="18" t="s">
        <v>236</v>
      </c>
      <c r="D1471" s="18" t="s">
        <v>123</v>
      </c>
      <c r="E1471" s="26">
        <v>45428</v>
      </c>
      <c r="F1471" s="18" t="s">
        <v>3600</v>
      </c>
      <c r="G1471" s="18" t="s">
        <v>117</v>
      </c>
      <c r="H1471" s="18">
        <v>6.8</v>
      </c>
      <c r="I1471" s="18">
        <v>149</v>
      </c>
      <c r="J1471" s="18">
        <v>0</v>
      </c>
      <c r="K1471" s="18">
        <v>1013.2</v>
      </c>
      <c r="L1471" s="18" t="s">
        <v>146</v>
      </c>
      <c r="M1471" s="18" t="s">
        <v>119</v>
      </c>
      <c r="N1471" s="28">
        <v>45428.772222222222</v>
      </c>
      <c r="O1471" s="28">
        <v>45429.372916666667</v>
      </c>
      <c r="P1471" s="18">
        <v>4.4000000000000004</v>
      </c>
      <c r="Q1471" s="18" t="b">
        <f>FALSE()</f>
        <v>0</v>
      </c>
      <c r="R1471" s="18" t="b">
        <f>TRUE()</f>
        <v>1</v>
      </c>
      <c r="S1471" s="19">
        <f t="shared" si="22"/>
        <v>14.4</v>
      </c>
      <c r="T1471">
        <f>COUNTIF('👤 Customers'!$A:$A, B1471)</f>
        <v>1</v>
      </c>
      <c r="U1471">
        <f>COUNTIF('🚴 Riders'!A1470:A1530, C1471)</f>
        <v>0</v>
      </c>
      <c r="V1471">
        <f>COUNTIF('🏭 Facilities'!A1470:A1478, D1471)</f>
        <v>0</v>
      </c>
    </row>
    <row r="1472" spans="1:22">
      <c r="A1472" s="16" t="s">
        <v>3601</v>
      </c>
      <c r="B1472" s="16" t="s">
        <v>595</v>
      </c>
      <c r="C1472" s="16" t="s">
        <v>196</v>
      </c>
      <c r="D1472" s="16" t="s">
        <v>158</v>
      </c>
      <c r="E1472" s="25">
        <v>45488</v>
      </c>
      <c r="F1472" s="16" t="s">
        <v>3602</v>
      </c>
      <c r="G1472" s="16" t="s">
        <v>125</v>
      </c>
      <c r="H1472" s="16">
        <v>4.5</v>
      </c>
      <c r="I1472" s="16">
        <v>199</v>
      </c>
      <c r="J1472" s="16">
        <v>0</v>
      </c>
      <c r="K1472" s="16">
        <v>895.5</v>
      </c>
      <c r="L1472" s="16" t="s">
        <v>126</v>
      </c>
      <c r="M1472" s="16" t="s">
        <v>119</v>
      </c>
      <c r="N1472" s="27">
        <v>45488.543749999997</v>
      </c>
      <c r="O1472" s="27">
        <v>45489.190972222219</v>
      </c>
      <c r="P1472" s="16">
        <v>2.9</v>
      </c>
      <c r="Q1472" s="16" t="b">
        <f>FALSE()</f>
        <v>0</v>
      </c>
      <c r="R1472" s="16" t="b">
        <f>FALSE()</f>
        <v>0</v>
      </c>
      <c r="S1472" s="17">
        <f t="shared" si="22"/>
        <v>15.5</v>
      </c>
      <c r="T1472">
        <f>COUNTIF('👤 Customers'!$A:$A, B1472)</f>
        <v>1</v>
      </c>
      <c r="U1472">
        <f>COUNTIF('🚴 Riders'!A1471:A1531, C1472)</f>
        <v>0</v>
      </c>
      <c r="V1472">
        <f>COUNTIF('🏭 Facilities'!A1471:A1479, D1472)</f>
        <v>0</v>
      </c>
    </row>
    <row r="1473" spans="1:22">
      <c r="A1473" s="18" t="s">
        <v>3603</v>
      </c>
      <c r="B1473" s="18" t="s">
        <v>974</v>
      </c>
      <c r="C1473" s="18" t="s">
        <v>358</v>
      </c>
      <c r="D1473" s="18" t="s">
        <v>123</v>
      </c>
      <c r="E1473" s="26">
        <v>45643</v>
      </c>
      <c r="F1473" s="18" t="s">
        <v>3604</v>
      </c>
      <c r="G1473" s="18" t="s">
        <v>125</v>
      </c>
      <c r="H1473" s="18">
        <v>5</v>
      </c>
      <c r="I1473" s="18">
        <v>199</v>
      </c>
      <c r="J1473" s="18">
        <v>20</v>
      </c>
      <c r="K1473" s="18">
        <v>796</v>
      </c>
      <c r="L1473" s="18" t="s">
        <v>207</v>
      </c>
      <c r="M1473" s="18" t="s">
        <v>119</v>
      </c>
      <c r="N1473" s="28">
        <v>45643.529861111114</v>
      </c>
      <c r="O1473" s="28">
        <v>45644.010416666664</v>
      </c>
      <c r="P1473" s="18">
        <v>4</v>
      </c>
      <c r="Q1473" s="18" t="b">
        <f>FALSE()</f>
        <v>0</v>
      </c>
      <c r="R1473" s="18" t="b">
        <f>FALSE()</f>
        <v>0</v>
      </c>
      <c r="S1473" s="19">
        <f t="shared" si="22"/>
        <v>11.5</v>
      </c>
      <c r="T1473">
        <f>COUNTIF('👤 Customers'!$A:$A, B1473)</f>
        <v>1</v>
      </c>
      <c r="U1473">
        <f>COUNTIF('🚴 Riders'!A1472:A1532, C1473)</f>
        <v>0</v>
      </c>
      <c r="V1473">
        <f>COUNTIF('🏭 Facilities'!A1472:A1480, D1473)</f>
        <v>0</v>
      </c>
    </row>
    <row r="1474" spans="1:22">
      <c r="A1474" s="16" t="s">
        <v>3605</v>
      </c>
      <c r="B1474" s="16" t="s">
        <v>838</v>
      </c>
      <c r="C1474" s="16" t="s">
        <v>315</v>
      </c>
      <c r="D1474" s="16" t="s">
        <v>130</v>
      </c>
      <c r="E1474" s="25">
        <v>45636</v>
      </c>
      <c r="F1474" s="16" t="s">
        <v>3606</v>
      </c>
      <c r="G1474" s="16" t="s">
        <v>125</v>
      </c>
      <c r="H1474" s="16">
        <v>5.0999999999999996</v>
      </c>
      <c r="I1474" s="16">
        <v>199</v>
      </c>
      <c r="J1474" s="16">
        <v>0</v>
      </c>
      <c r="K1474" s="16">
        <v>1014.9</v>
      </c>
      <c r="L1474" s="16" t="s">
        <v>118</v>
      </c>
      <c r="M1474" s="16" t="s">
        <v>119</v>
      </c>
      <c r="N1474" s="27">
        <v>45636.895138888889</v>
      </c>
      <c r="O1474" s="27">
        <v>45637.347916666666</v>
      </c>
      <c r="P1474" s="16">
        <v>2.7</v>
      </c>
      <c r="Q1474" s="16" t="b">
        <f>FALSE()</f>
        <v>0</v>
      </c>
      <c r="R1474" s="16" t="b">
        <f>FALSE()</f>
        <v>0</v>
      </c>
      <c r="S1474" s="17">
        <f t="shared" ref="S1474:S1537" si="23">IF(OR(N1474="",O1474=""),"N/A",ROUND(((O1474-N1474)*24),1))</f>
        <v>10.9</v>
      </c>
      <c r="T1474">
        <f>COUNTIF('👤 Customers'!$A:$A, B1474)</f>
        <v>1</v>
      </c>
      <c r="U1474">
        <f>COUNTIF('🚴 Riders'!A1473:A1533, C1474)</f>
        <v>0</v>
      </c>
      <c r="V1474">
        <f>COUNTIF('🏭 Facilities'!A1473:A1481, D1474)</f>
        <v>0</v>
      </c>
    </row>
    <row r="1475" spans="1:22">
      <c r="A1475" s="18" t="s">
        <v>3607</v>
      </c>
      <c r="B1475" s="18" t="s">
        <v>1988</v>
      </c>
      <c r="C1475" s="18" t="s">
        <v>162</v>
      </c>
      <c r="D1475" s="18" t="s">
        <v>184</v>
      </c>
      <c r="E1475" s="26">
        <v>45433</v>
      </c>
      <c r="F1475" s="18" t="s">
        <v>3608</v>
      </c>
      <c r="G1475" s="18" t="s">
        <v>117</v>
      </c>
      <c r="H1475" s="18">
        <v>3.4</v>
      </c>
      <c r="I1475" s="18">
        <v>149</v>
      </c>
      <c r="J1475" s="18">
        <v>30</v>
      </c>
      <c r="K1475" s="18">
        <v>354.62</v>
      </c>
      <c r="L1475" s="18" t="s">
        <v>207</v>
      </c>
      <c r="M1475" s="18" t="s">
        <v>119</v>
      </c>
      <c r="N1475" s="28">
        <v>45433.515277777777</v>
      </c>
      <c r="O1475" s="28">
        <v>45434.436805555553</v>
      </c>
      <c r="P1475" s="18">
        <v>4.5999999999999996</v>
      </c>
      <c r="Q1475" s="18" t="b">
        <f>FALSE()</f>
        <v>0</v>
      </c>
      <c r="R1475" s="18" t="b">
        <f>FALSE()</f>
        <v>0</v>
      </c>
      <c r="S1475" s="19">
        <f t="shared" si="23"/>
        <v>22.1</v>
      </c>
      <c r="T1475">
        <f>COUNTIF('👤 Customers'!$A:$A, B1475)</f>
        <v>1</v>
      </c>
      <c r="U1475">
        <f>COUNTIF('🚴 Riders'!A1474:A1534, C1475)</f>
        <v>0</v>
      </c>
      <c r="V1475">
        <f>COUNTIF('🏭 Facilities'!A1474:A1482, D1475)</f>
        <v>0</v>
      </c>
    </row>
    <row r="1476" spans="1:22">
      <c r="A1476" s="16" t="s">
        <v>3609</v>
      </c>
      <c r="B1476" s="16" t="s">
        <v>1743</v>
      </c>
      <c r="C1476" s="16" t="s">
        <v>413</v>
      </c>
      <c r="D1476" s="16" t="s">
        <v>130</v>
      </c>
      <c r="E1476" s="25">
        <v>45555</v>
      </c>
      <c r="F1476" s="16" t="s">
        <v>3610</v>
      </c>
      <c r="G1476" s="16" t="s">
        <v>176</v>
      </c>
      <c r="H1476" s="16">
        <v>3</v>
      </c>
      <c r="I1476" s="16">
        <v>599</v>
      </c>
      <c r="J1476" s="16">
        <v>10</v>
      </c>
      <c r="K1476" s="16">
        <v>1617.3</v>
      </c>
      <c r="L1476" s="16" t="s">
        <v>139</v>
      </c>
      <c r="M1476" s="16" t="s">
        <v>133</v>
      </c>
      <c r="N1476" s="20"/>
      <c r="O1476" s="20"/>
      <c r="P1476" s="20"/>
      <c r="Q1476" s="16" t="b">
        <f>FALSE()</f>
        <v>0</v>
      </c>
      <c r="R1476" s="16" t="b">
        <f>FALSE()</f>
        <v>0</v>
      </c>
      <c r="S1476" s="17" t="str">
        <f t="shared" si="23"/>
        <v>N/A</v>
      </c>
      <c r="T1476">
        <f>COUNTIF('👤 Customers'!$A:$A, B1476)</f>
        <v>1</v>
      </c>
      <c r="U1476">
        <f>COUNTIF('🚴 Riders'!A1475:A1535, C1476)</f>
        <v>0</v>
      </c>
      <c r="V1476">
        <f>COUNTIF('🏭 Facilities'!A1475:A1483, D1476)</f>
        <v>0</v>
      </c>
    </row>
    <row r="1477" spans="1:22">
      <c r="A1477" s="18" t="s">
        <v>3611</v>
      </c>
      <c r="B1477" s="18" t="s">
        <v>2604</v>
      </c>
      <c r="C1477" s="18" t="s">
        <v>179</v>
      </c>
      <c r="D1477" s="18" t="s">
        <v>123</v>
      </c>
      <c r="E1477" s="26">
        <v>45029</v>
      </c>
      <c r="F1477" s="18" t="s">
        <v>3612</v>
      </c>
      <c r="G1477" s="18" t="s">
        <v>125</v>
      </c>
      <c r="H1477" s="18">
        <v>6.7</v>
      </c>
      <c r="I1477" s="18">
        <v>199</v>
      </c>
      <c r="J1477" s="18">
        <v>0</v>
      </c>
      <c r="K1477" s="18">
        <v>1333.3</v>
      </c>
      <c r="L1477" s="18" t="s">
        <v>118</v>
      </c>
      <c r="M1477" s="18" t="s">
        <v>133</v>
      </c>
      <c r="N1477" s="20"/>
      <c r="O1477" s="20"/>
      <c r="P1477" s="20"/>
      <c r="Q1477" s="18" t="b">
        <f>TRUE()</f>
        <v>1</v>
      </c>
      <c r="R1477" s="18" t="b">
        <f>FALSE()</f>
        <v>0</v>
      </c>
      <c r="S1477" s="19" t="str">
        <f t="shared" si="23"/>
        <v>N/A</v>
      </c>
      <c r="T1477">
        <f>COUNTIF('👤 Customers'!$A:$A, B1477)</f>
        <v>1</v>
      </c>
      <c r="U1477">
        <f>COUNTIF('🚴 Riders'!A1476:A1536, C1477)</f>
        <v>0</v>
      </c>
      <c r="V1477">
        <f>COUNTIF('🏭 Facilities'!A1476:A1484, D1477)</f>
        <v>0</v>
      </c>
    </row>
    <row r="1478" spans="1:22">
      <c r="A1478" s="16" t="s">
        <v>3613</v>
      </c>
      <c r="B1478" s="16" t="s">
        <v>1423</v>
      </c>
      <c r="C1478" s="16" t="s">
        <v>174</v>
      </c>
      <c r="D1478" s="16" t="s">
        <v>197</v>
      </c>
      <c r="E1478" s="25">
        <v>44971</v>
      </c>
      <c r="F1478" s="16" t="s">
        <v>3614</v>
      </c>
      <c r="G1478" s="16" t="s">
        <v>145</v>
      </c>
      <c r="H1478" s="16">
        <v>6.5</v>
      </c>
      <c r="I1478" s="16">
        <v>299</v>
      </c>
      <c r="J1478" s="16">
        <v>10</v>
      </c>
      <c r="K1478" s="16">
        <v>1749.15</v>
      </c>
      <c r="L1478" s="16" t="s">
        <v>207</v>
      </c>
      <c r="M1478" s="16" t="s">
        <v>119</v>
      </c>
      <c r="N1478" s="27">
        <v>44971.75277777778</v>
      </c>
      <c r="O1478" s="27">
        <v>44972.750694444447</v>
      </c>
      <c r="P1478" s="16">
        <v>3.1</v>
      </c>
      <c r="Q1478" s="16" t="b">
        <f>FALSE()</f>
        <v>0</v>
      </c>
      <c r="R1478" s="16" t="b">
        <f>TRUE()</f>
        <v>1</v>
      </c>
      <c r="S1478" s="17">
        <f t="shared" si="23"/>
        <v>24</v>
      </c>
      <c r="T1478">
        <f>COUNTIF('👤 Customers'!$A:$A, B1478)</f>
        <v>1</v>
      </c>
      <c r="U1478">
        <f>COUNTIF('🚴 Riders'!A1477:A1537, C1478)</f>
        <v>0</v>
      </c>
      <c r="V1478">
        <f>COUNTIF('🏭 Facilities'!A1477:A1485, D1478)</f>
        <v>0</v>
      </c>
    </row>
    <row r="1479" spans="1:22">
      <c r="A1479" s="18" t="s">
        <v>3615</v>
      </c>
      <c r="B1479" s="18" t="s">
        <v>338</v>
      </c>
      <c r="C1479" s="18" t="s">
        <v>1092</v>
      </c>
      <c r="D1479" s="18" t="s">
        <v>123</v>
      </c>
      <c r="E1479" s="26">
        <v>45300</v>
      </c>
      <c r="F1479" s="18" t="s">
        <v>3616</v>
      </c>
      <c r="G1479" s="18" t="s">
        <v>145</v>
      </c>
      <c r="H1479" s="18">
        <v>3.2</v>
      </c>
      <c r="I1479" s="18">
        <v>299</v>
      </c>
      <c r="J1479" s="18">
        <v>0</v>
      </c>
      <c r="K1479" s="18">
        <v>956.8</v>
      </c>
      <c r="L1479" s="18" t="s">
        <v>126</v>
      </c>
      <c r="M1479" s="18" t="s">
        <v>119</v>
      </c>
      <c r="N1479" s="28">
        <v>45300.728472222225</v>
      </c>
      <c r="O1479" s="28">
        <v>45301.046527777777</v>
      </c>
      <c r="P1479" s="18">
        <v>3.9</v>
      </c>
      <c r="Q1479" s="18" t="b">
        <f>FALSE()</f>
        <v>0</v>
      </c>
      <c r="R1479" s="18" t="b">
        <f>FALSE()</f>
        <v>0</v>
      </c>
      <c r="S1479" s="19">
        <f t="shared" si="23"/>
        <v>7.6</v>
      </c>
      <c r="T1479">
        <f>COUNTIF('👤 Customers'!$A:$A, B1479)</f>
        <v>1</v>
      </c>
      <c r="U1479">
        <f>COUNTIF('🚴 Riders'!A1478:A1538, C1479)</f>
        <v>0</v>
      </c>
      <c r="V1479">
        <f>COUNTIF('🏭 Facilities'!A1478:A1486, D1479)</f>
        <v>0</v>
      </c>
    </row>
    <row r="1480" spans="1:22">
      <c r="A1480" s="16" t="s">
        <v>3617</v>
      </c>
      <c r="B1480" s="16" t="s">
        <v>1948</v>
      </c>
      <c r="C1480" s="16" t="s">
        <v>283</v>
      </c>
      <c r="D1480" s="16" t="s">
        <v>158</v>
      </c>
      <c r="E1480" s="25">
        <v>45545</v>
      </c>
      <c r="F1480" s="16" t="s">
        <v>3618</v>
      </c>
      <c r="G1480" s="16" t="s">
        <v>125</v>
      </c>
      <c r="H1480" s="16">
        <v>5.0999999999999996</v>
      </c>
      <c r="I1480" s="16">
        <v>199</v>
      </c>
      <c r="J1480" s="16">
        <v>0</v>
      </c>
      <c r="K1480" s="16">
        <v>1014.9</v>
      </c>
      <c r="L1480" s="16" t="s">
        <v>207</v>
      </c>
      <c r="M1480" s="16" t="s">
        <v>119</v>
      </c>
      <c r="N1480" s="27">
        <v>45545.947916666664</v>
      </c>
      <c r="O1480" s="27">
        <v>45546.451388888891</v>
      </c>
      <c r="P1480" s="16">
        <v>4.9000000000000004</v>
      </c>
      <c r="Q1480" s="16" t="b">
        <f>FALSE()</f>
        <v>0</v>
      </c>
      <c r="R1480" s="16" t="b">
        <f>FALSE()</f>
        <v>0</v>
      </c>
      <c r="S1480" s="17">
        <f t="shared" si="23"/>
        <v>12.1</v>
      </c>
      <c r="T1480">
        <f>COUNTIF('👤 Customers'!$A:$A, B1480)</f>
        <v>1</v>
      </c>
      <c r="U1480">
        <f>COUNTIF('🚴 Riders'!A1479:A1539, C1480)</f>
        <v>0</v>
      </c>
      <c r="V1480">
        <f>COUNTIF('🏭 Facilities'!A1479:A1487, D1480)</f>
        <v>0</v>
      </c>
    </row>
    <row r="1481" spans="1:22">
      <c r="A1481" s="18" t="s">
        <v>3619</v>
      </c>
      <c r="B1481" s="18" t="s">
        <v>2722</v>
      </c>
      <c r="C1481" s="18" t="s">
        <v>308</v>
      </c>
      <c r="D1481" s="18" t="s">
        <v>158</v>
      </c>
      <c r="E1481" s="26">
        <v>45174</v>
      </c>
      <c r="F1481" s="18" t="s">
        <v>3620</v>
      </c>
      <c r="G1481" s="18" t="s">
        <v>132</v>
      </c>
      <c r="H1481" s="18">
        <v>5.7</v>
      </c>
      <c r="I1481" s="18">
        <v>399</v>
      </c>
      <c r="J1481" s="18">
        <v>0</v>
      </c>
      <c r="K1481" s="18">
        <v>2274.3000000000002</v>
      </c>
      <c r="L1481" s="18" t="s">
        <v>126</v>
      </c>
      <c r="M1481" s="18" t="s">
        <v>119</v>
      </c>
      <c r="N1481" s="28">
        <v>45174.445138888892</v>
      </c>
      <c r="O1481" s="28">
        <v>45174.88958333333</v>
      </c>
      <c r="P1481" s="18">
        <v>3.6</v>
      </c>
      <c r="Q1481" s="18" t="b">
        <f>FALSE()</f>
        <v>0</v>
      </c>
      <c r="R1481" s="18" t="b">
        <f>TRUE()</f>
        <v>1</v>
      </c>
      <c r="S1481" s="19">
        <f t="shared" si="23"/>
        <v>10.7</v>
      </c>
      <c r="T1481">
        <f>COUNTIF('👤 Customers'!$A:$A, B1481)</f>
        <v>1</v>
      </c>
      <c r="U1481">
        <f>COUNTIF('🚴 Riders'!A1480:A1540, C1481)</f>
        <v>0</v>
      </c>
      <c r="V1481">
        <f>COUNTIF('🏭 Facilities'!A1480:A1488, D1481)</f>
        <v>0</v>
      </c>
    </row>
    <row r="1482" spans="1:22">
      <c r="A1482" s="16" t="s">
        <v>3621</v>
      </c>
      <c r="B1482" s="16" t="s">
        <v>1886</v>
      </c>
      <c r="C1482" s="16" t="s">
        <v>232</v>
      </c>
      <c r="D1482" s="16" t="s">
        <v>137</v>
      </c>
      <c r="E1482" s="25">
        <v>45370</v>
      </c>
      <c r="F1482" s="16" t="s">
        <v>3622</v>
      </c>
      <c r="G1482" s="16" t="s">
        <v>176</v>
      </c>
      <c r="H1482" s="16">
        <v>2.1</v>
      </c>
      <c r="I1482" s="16">
        <v>599</v>
      </c>
      <c r="J1482" s="16">
        <v>10</v>
      </c>
      <c r="K1482" s="16">
        <v>1132.1099999999999</v>
      </c>
      <c r="L1482" s="16" t="s">
        <v>126</v>
      </c>
      <c r="M1482" s="16" t="s">
        <v>133</v>
      </c>
      <c r="N1482" s="20"/>
      <c r="O1482" s="20"/>
      <c r="P1482" s="20"/>
      <c r="Q1482" s="16" t="b">
        <f>TRUE()</f>
        <v>1</v>
      </c>
      <c r="R1482" s="16" t="b">
        <f>FALSE()</f>
        <v>0</v>
      </c>
      <c r="S1482" s="17" t="str">
        <f t="shared" si="23"/>
        <v>N/A</v>
      </c>
      <c r="T1482">
        <f>COUNTIF('👤 Customers'!$A:$A, B1482)</f>
        <v>1</v>
      </c>
      <c r="U1482">
        <f>COUNTIF('🚴 Riders'!A1481:A1541, C1482)</f>
        <v>0</v>
      </c>
      <c r="V1482">
        <f>COUNTIF('🏭 Facilities'!A1481:A1489, D1482)</f>
        <v>0</v>
      </c>
    </row>
    <row r="1483" spans="1:22">
      <c r="A1483" s="18" t="s">
        <v>3623</v>
      </c>
      <c r="B1483" s="18" t="s">
        <v>769</v>
      </c>
      <c r="C1483" s="18" t="s">
        <v>228</v>
      </c>
      <c r="D1483" s="18" t="s">
        <v>123</v>
      </c>
      <c r="E1483" s="26">
        <v>45595</v>
      </c>
      <c r="F1483" s="18" t="s">
        <v>3624</v>
      </c>
      <c r="G1483" s="18" t="s">
        <v>117</v>
      </c>
      <c r="H1483" s="18">
        <v>3.5</v>
      </c>
      <c r="I1483" s="18">
        <v>149</v>
      </c>
      <c r="J1483" s="18">
        <v>0</v>
      </c>
      <c r="K1483" s="18">
        <v>521.5</v>
      </c>
      <c r="L1483" s="18" t="s">
        <v>207</v>
      </c>
      <c r="M1483" s="18" t="s">
        <v>119</v>
      </c>
      <c r="N1483" s="28">
        <v>45595.07916666667</v>
      </c>
      <c r="O1483" s="28">
        <v>45595.958333333336</v>
      </c>
      <c r="P1483" s="18">
        <v>4.2</v>
      </c>
      <c r="Q1483" s="18" t="b">
        <f>TRUE()</f>
        <v>1</v>
      </c>
      <c r="R1483" s="18" t="b">
        <f>FALSE()</f>
        <v>0</v>
      </c>
      <c r="S1483" s="19">
        <f t="shared" si="23"/>
        <v>21.1</v>
      </c>
      <c r="T1483">
        <f>COUNTIF('👤 Customers'!$A:$A, B1483)</f>
        <v>1</v>
      </c>
      <c r="U1483">
        <f>COUNTIF('🚴 Riders'!A1482:A1542, C1483)</f>
        <v>0</v>
      </c>
      <c r="V1483">
        <f>COUNTIF('🏭 Facilities'!A1482:A1490, D1483)</f>
        <v>0</v>
      </c>
    </row>
    <row r="1484" spans="1:22">
      <c r="A1484" s="16" t="s">
        <v>3625</v>
      </c>
      <c r="B1484" s="16" t="s">
        <v>1061</v>
      </c>
      <c r="C1484" s="16" t="s">
        <v>1092</v>
      </c>
      <c r="D1484" s="16" t="s">
        <v>137</v>
      </c>
      <c r="E1484" s="25">
        <v>45303</v>
      </c>
      <c r="F1484" s="16" t="s">
        <v>3626</v>
      </c>
      <c r="G1484" s="16" t="s">
        <v>176</v>
      </c>
      <c r="H1484" s="16">
        <v>4.2</v>
      </c>
      <c r="I1484" s="16">
        <v>599</v>
      </c>
      <c r="J1484" s="16">
        <v>0</v>
      </c>
      <c r="K1484" s="16">
        <v>2515.8000000000002</v>
      </c>
      <c r="L1484" s="16" t="s">
        <v>207</v>
      </c>
      <c r="M1484" s="16" t="s">
        <v>119</v>
      </c>
      <c r="N1484" s="27">
        <v>45303.908333333333</v>
      </c>
      <c r="O1484" s="27">
        <v>45304.352777777778</v>
      </c>
      <c r="P1484" s="16">
        <v>4.9000000000000004</v>
      </c>
      <c r="Q1484" s="16" t="b">
        <f>FALSE()</f>
        <v>0</v>
      </c>
      <c r="R1484" s="16" t="b">
        <f>FALSE()</f>
        <v>0</v>
      </c>
      <c r="S1484" s="17">
        <f t="shared" si="23"/>
        <v>10.7</v>
      </c>
      <c r="T1484">
        <f>COUNTIF('👤 Customers'!$A:$A, B1484)</f>
        <v>1</v>
      </c>
      <c r="U1484">
        <f>COUNTIF('🚴 Riders'!A1483:A1543, C1484)</f>
        <v>0</v>
      </c>
      <c r="V1484">
        <f>COUNTIF('🏭 Facilities'!A1483:A1491, D1484)</f>
        <v>0</v>
      </c>
    </row>
    <row r="1485" spans="1:22">
      <c r="A1485" s="18" t="s">
        <v>3627</v>
      </c>
      <c r="B1485" s="18" t="s">
        <v>2334</v>
      </c>
      <c r="C1485" s="18" t="s">
        <v>611</v>
      </c>
      <c r="D1485" s="18" t="s">
        <v>184</v>
      </c>
      <c r="E1485" s="26">
        <v>45562</v>
      </c>
      <c r="F1485" s="18" t="s">
        <v>3628</v>
      </c>
      <c r="G1485" s="18" t="s">
        <v>117</v>
      </c>
      <c r="H1485" s="18">
        <v>5.4</v>
      </c>
      <c r="I1485" s="18">
        <v>149</v>
      </c>
      <c r="J1485" s="18">
        <v>10</v>
      </c>
      <c r="K1485" s="18">
        <v>724.14</v>
      </c>
      <c r="L1485" s="18" t="s">
        <v>118</v>
      </c>
      <c r="M1485" s="18" t="s">
        <v>140</v>
      </c>
      <c r="N1485" s="28">
        <v>45563.011805555558</v>
      </c>
      <c r="O1485" s="28">
        <v>45563.945833333331</v>
      </c>
      <c r="P1485" s="20"/>
      <c r="Q1485" s="18" t="b">
        <f>FALSE()</f>
        <v>0</v>
      </c>
      <c r="R1485" s="18" t="b">
        <f>FALSE()</f>
        <v>0</v>
      </c>
      <c r="S1485" s="19">
        <f t="shared" si="23"/>
        <v>22.4</v>
      </c>
      <c r="T1485">
        <f>COUNTIF('👤 Customers'!$A:$A, B1485)</f>
        <v>1</v>
      </c>
      <c r="U1485">
        <f>COUNTIF('🚴 Riders'!A1484:A1544, C1485)</f>
        <v>0</v>
      </c>
      <c r="V1485">
        <f>COUNTIF('🏭 Facilities'!A1484:A1492, D1485)</f>
        <v>0</v>
      </c>
    </row>
    <row r="1486" spans="1:22">
      <c r="A1486" s="16" t="s">
        <v>3629</v>
      </c>
      <c r="B1486" s="16" t="s">
        <v>1444</v>
      </c>
      <c r="C1486" s="16" t="s">
        <v>220</v>
      </c>
      <c r="D1486" s="16" t="s">
        <v>158</v>
      </c>
      <c r="E1486" s="25">
        <v>44959</v>
      </c>
      <c r="F1486" s="16" t="s">
        <v>3630</v>
      </c>
      <c r="G1486" s="16" t="s">
        <v>145</v>
      </c>
      <c r="H1486" s="16">
        <v>4.4000000000000004</v>
      </c>
      <c r="I1486" s="16">
        <v>299</v>
      </c>
      <c r="J1486" s="16">
        <v>0</v>
      </c>
      <c r="K1486" s="16">
        <v>1315.6</v>
      </c>
      <c r="L1486" s="16" t="s">
        <v>118</v>
      </c>
      <c r="M1486" s="16" t="s">
        <v>133</v>
      </c>
      <c r="N1486" s="20"/>
      <c r="O1486" s="20"/>
      <c r="P1486" s="20"/>
      <c r="Q1486" s="16" t="b">
        <f>TRUE()</f>
        <v>1</v>
      </c>
      <c r="R1486" s="16" t="b">
        <f>FALSE()</f>
        <v>0</v>
      </c>
      <c r="S1486" s="17" t="str">
        <f t="shared" si="23"/>
        <v>N/A</v>
      </c>
      <c r="T1486">
        <f>COUNTIF('👤 Customers'!$A:$A, B1486)</f>
        <v>1</v>
      </c>
      <c r="U1486">
        <f>COUNTIF('🚴 Riders'!A1485:A1545, C1486)</f>
        <v>0</v>
      </c>
      <c r="V1486">
        <f>COUNTIF('🏭 Facilities'!A1485:A1493, D1486)</f>
        <v>0</v>
      </c>
    </row>
    <row r="1487" spans="1:22">
      <c r="A1487" s="18" t="s">
        <v>3631</v>
      </c>
      <c r="B1487" s="18" t="s">
        <v>3632</v>
      </c>
      <c r="C1487" s="18" t="s">
        <v>162</v>
      </c>
      <c r="D1487" s="18" t="s">
        <v>205</v>
      </c>
      <c r="E1487" s="26">
        <v>44971</v>
      </c>
      <c r="F1487" s="18" t="s">
        <v>3633</v>
      </c>
      <c r="G1487" s="18" t="s">
        <v>132</v>
      </c>
      <c r="H1487" s="18">
        <v>3.4</v>
      </c>
      <c r="I1487" s="18">
        <v>399</v>
      </c>
      <c r="J1487" s="18">
        <v>10</v>
      </c>
      <c r="K1487" s="18">
        <v>1220.94</v>
      </c>
      <c r="L1487" s="18" t="s">
        <v>146</v>
      </c>
      <c r="M1487" s="18" t="s">
        <v>140</v>
      </c>
      <c r="N1487" s="28">
        <v>44971.460416666669</v>
      </c>
      <c r="O1487" s="28">
        <v>44972.081250000003</v>
      </c>
      <c r="P1487" s="20"/>
      <c r="Q1487" s="18" t="b">
        <f>FALSE()</f>
        <v>0</v>
      </c>
      <c r="R1487" s="18" t="b">
        <f>FALSE()</f>
        <v>0</v>
      </c>
      <c r="S1487" s="19">
        <f t="shared" si="23"/>
        <v>14.9</v>
      </c>
      <c r="T1487">
        <f>COUNTIF('👤 Customers'!$A:$A, B1487)</f>
        <v>1</v>
      </c>
      <c r="U1487">
        <f>COUNTIF('🚴 Riders'!A1486:A1546, C1487)</f>
        <v>0</v>
      </c>
      <c r="V1487">
        <f>COUNTIF('🏭 Facilities'!A1486:A1494, D1487)</f>
        <v>0</v>
      </c>
    </row>
    <row r="1488" spans="1:22">
      <c r="A1488" s="16" t="s">
        <v>3634</v>
      </c>
      <c r="B1488" s="16" t="s">
        <v>982</v>
      </c>
      <c r="C1488" s="16" t="s">
        <v>308</v>
      </c>
      <c r="D1488" s="16" t="s">
        <v>123</v>
      </c>
      <c r="E1488" s="25">
        <v>45347</v>
      </c>
      <c r="F1488" s="16" t="s">
        <v>3635</v>
      </c>
      <c r="G1488" s="16" t="s">
        <v>132</v>
      </c>
      <c r="H1488" s="16">
        <v>7.8</v>
      </c>
      <c r="I1488" s="16">
        <v>399</v>
      </c>
      <c r="J1488" s="16">
        <v>0</v>
      </c>
      <c r="K1488" s="16">
        <v>3112.2</v>
      </c>
      <c r="L1488" s="16" t="s">
        <v>139</v>
      </c>
      <c r="M1488" s="16" t="s">
        <v>119</v>
      </c>
      <c r="N1488" s="27">
        <v>45347.708333333336</v>
      </c>
      <c r="O1488" s="27">
        <v>45348.392361111109</v>
      </c>
      <c r="P1488" s="16">
        <v>3.7</v>
      </c>
      <c r="Q1488" s="16" t="b">
        <f>FALSE()</f>
        <v>0</v>
      </c>
      <c r="R1488" s="16" t="b">
        <f>FALSE()</f>
        <v>0</v>
      </c>
      <c r="S1488" s="17">
        <f t="shared" si="23"/>
        <v>16.399999999999999</v>
      </c>
      <c r="T1488">
        <f>COUNTIF('👤 Customers'!$A:$A, B1488)</f>
        <v>1</v>
      </c>
      <c r="U1488">
        <f>COUNTIF('🚴 Riders'!A1487:A1547, C1488)</f>
        <v>0</v>
      </c>
      <c r="V1488">
        <f>COUNTIF('🏭 Facilities'!A1487:A1495, D1488)</f>
        <v>0</v>
      </c>
    </row>
    <row r="1489" spans="1:22">
      <c r="A1489" s="18" t="s">
        <v>3636</v>
      </c>
      <c r="B1489" s="18" t="s">
        <v>3585</v>
      </c>
      <c r="C1489" s="18" t="s">
        <v>354</v>
      </c>
      <c r="D1489" s="18" t="s">
        <v>137</v>
      </c>
      <c r="E1489" s="26">
        <v>45208</v>
      </c>
      <c r="F1489" s="18" t="s">
        <v>3637</v>
      </c>
      <c r="G1489" s="18" t="s">
        <v>117</v>
      </c>
      <c r="H1489" s="18">
        <v>7.5</v>
      </c>
      <c r="I1489" s="18">
        <v>149</v>
      </c>
      <c r="J1489" s="18">
        <v>20</v>
      </c>
      <c r="K1489" s="18">
        <v>894</v>
      </c>
      <c r="L1489" s="18" t="s">
        <v>146</v>
      </c>
      <c r="M1489" s="18" t="s">
        <v>140</v>
      </c>
      <c r="N1489" s="28">
        <v>45208.642361111109</v>
      </c>
      <c r="O1489" s="28">
        <v>45209.493750000001</v>
      </c>
      <c r="P1489" s="20"/>
      <c r="Q1489" s="18" t="b">
        <f>FALSE()</f>
        <v>0</v>
      </c>
      <c r="R1489" s="18" t="b">
        <f>TRUE()</f>
        <v>1</v>
      </c>
      <c r="S1489" s="19">
        <f t="shared" si="23"/>
        <v>20.399999999999999</v>
      </c>
      <c r="T1489">
        <f>COUNTIF('👤 Customers'!$A:$A, B1489)</f>
        <v>1</v>
      </c>
      <c r="U1489">
        <f>COUNTIF('🚴 Riders'!A1488:A1548, C1489)</f>
        <v>0</v>
      </c>
      <c r="V1489">
        <f>COUNTIF('🏭 Facilities'!A1488:A1496, D1489)</f>
        <v>0</v>
      </c>
    </row>
    <row r="1490" spans="1:22">
      <c r="A1490" s="16" t="s">
        <v>3638</v>
      </c>
      <c r="B1490" s="16" t="s">
        <v>2347</v>
      </c>
      <c r="C1490" s="16" t="s">
        <v>196</v>
      </c>
      <c r="D1490" s="16" t="s">
        <v>123</v>
      </c>
      <c r="E1490" s="25">
        <v>45199</v>
      </c>
      <c r="F1490" s="16" t="s">
        <v>3639</v>
      </c>
      <c r="G1490" s="16" t="s">
        <v>125</v>
      </c>
      <c r="H1490" s="16">
        <v>6.3</v>
      </c>
      <c r="I1490" s="16">
        <v>199</v>
      </c>
      <c r="J1490" s="16">
        <v>0</v>
      </c>
      <c r="K1490" s="16">
        <v>1253.7</v>
      </c>
      <c r="L1490" s="16" t="s">
        <v>139</v>
      </c>
      <c r="M1490" s="16" t="s">
        <v>119</v>
      </c>
      <c r="N1490" s="27">
        <v>45199.261805555558</v>
      </c>
      <c r="O1490" s="27">
        <v>45200.104166666664</v>
      </c>
      <c r="P1490" s="16">
        <v>2.9</v>
      </c>
      <c r="Q1490" s="16" t="b">
        <f>FALSE()</f>
        <v>0</v>
      </c>
      <c r="R1490" s="16" t="b">
        <f>FALSE()</f>
        <v>0</v>
      </c>
      <c r="S1490" s="17">
        <f t="shared" si="23"/>
        <v>20.2</v>
      </c>
      <c r="T1490">
        <f>COUNTIF('👤 Customers'!$A:$A, B1490)</f>
        <v>1</v>
      </c>
      <c r="U1490">
        <f>COUNTIF('🚴 Riders'!A1489:A1549, C1490)</f>
        <v>0</v>
      </c>
      <c r="V1490">
        <f>COUNTIF('🏭 Facilities'!A1489:A1497, D1490)</f>
        <v>0</v>
      </c>
    </row>
    <row r="1491" spans="1:22">
      <c r="A1491" s="18" t="s">
        <v>3640</v>
      </c>
      <c r="B1491" s="18" t="s">
        <v>1455</v>
      </c>
      <c r="C1491" s="18" t="s">
        <v>483</v>
      </c>
      <c r="D1491" s="18" t="s">
        <v>137</v>
      </c>
      <c r="E1491" s="26">
        <v>45122</v>
      </c>
      <c r="F1491" s="18" t="s">
        <v>3641</v>
      </c>
      <c r="G1491" s="18" t="s">
        <v>132</v>
      </c>
      <c r="H1491" s="18">
        <v>5.5</v>
      </c>
      <c r="I1491" s="18">
        <v>399</v>
      </c>
      <c r="J1491" s="18">
        <v>0</v>
      </c>
      <c r="K1491" s="18">
        <v>2194.5</v>
      </c>
      <c r="L1491" s="18" t="s">
        <v>146</v>
      </c>
      <c r="M1491" s="18" t="s">
        <v>119</v>
      </c>
      <c r="N1491" s="28">
        <v>45122.833333333336</v>
      </c>
      <c r="O1491" s="28">
        <v>45123.331944444442</v>
      </c>
      <c r="P1491" s="18">
        <v>2.5</v>
      </c>
      <c r="Q1491" s="18" t="b">
        <f>TRUE()</f>
        <v>1</v>
      </c>
      <c r="R1491" s="18" t="b">
        <f>FALSE()</f>
        <v>0</v>
      </c>
      <c r="S1491" s="19">
        <f t="shared" si="23"/>
        <v>12</v>
      </c>
      <c r="T1491">
        <f>COUNTIF('👤 Customers'!$A:$A, B1491)</f>
        <v>1</v>
      </c>
      <c r="U1491">
        <f>COUNTIF('🚴 Riders'!A1490:A1550, C1491)</f>
        <v>0</v>
      </c>
      <c r="V1491">
        <f>COUNTIF('🏭 Facilities'!A1490:A1498, D1491)</f>
        <v>0</v>
      </c>
    </row>
    <row r="1492" spans="1:22">
      <c r="A1492" s="16" t="s">
        <v>3642</v>
      </c>
      <c r="B1492" s="16" t="s">
        <v>3267</v>
      </c>
      <c r="C1492" s="16" t="s">
        <v>580</v>
      </c>
      <c r="D1492" s="16" t="s">
        <v>205</v>
      </c>
      <c r="E1492" s="25">
        <v>45251</v>
      </c>
      <c r="F1492" s="16" t="s">
        <v>3643</v>
      </c>
      <c r="G1492" s="16" t="s">
        <v>145</v>
      </c>
      <c r="H1492" s="16">
        <v>2.2000000000000002</v>
      </c>
      <c r="I1492" s="16">
        <v>299</v>
      </c>
      <c r="J1492" s="16">
        <v>10</v>
      </c>
      <c r="K1492" s="16">
        <v>592.02</v>
      </c>
      <c r="L1492" s="16" t="s">
        <v>126</v>
      </c>
      <c r="M1492" s="16" t="s">
        <v>119</v>
      </c>
      <c r="N1492" s="27">
        <v>45251.326388888891</v>
      </c>
      <c r="O1492" s="27">
        <v>45251.938888888886</v>
      </c>
      <c r="P1492" s="16">
        <v>4.9000000000000004</v>
      </c>
      <c r="Q1492" s="16" t="b">
        <f>FALSE()</f>
        <v>0</v>
      </c>
      <c r="R1492" s="16" t="b">
        <f>TRUE()</f>
        <v>1</v>
      </c>
      <c r="S1492" s="17">
        <f t="shared" si="23"/>
        <v>14.7</v>
      </c>
      <c r="T1492">
        <f>COUNTIF('👤 Customers'!$A:$A, B1492)</f>
        <v>1</v>
      </c>
      <c r="U1492">
        <f>COUNTIF('🚴 Riders'!A1491:A1551, C1492)</f>
        <v>0</v>
      </c>
      <c r="V1492">
        <f>COUNTIF('🏭 Facilities'!A1491:A1499, D1492)</f>
        <v>0</v>
      </c>
    </row>
    <row r="1493" spans="1:22">
      <c r="A1493" s="18" t="s">
        <v>3644</v>
      </c>
      <c r="B1493" s="18" t="s">
        <v>219</v>
      </c>
      <c r="C1493" s="18" t="s">
        <v>300</v>
      </c>
      <c r="D1493" s="18" t="s">
        <v>130</v>
      </c>
      <c r="E1493" s="26">
        <v>44978</v>
      </c>
      <c r="F1493" s="18" t="s">
        <v>3645</v>
      </c>
      <c r="G1493" s="18" t="s">
        <v>145</v>
      </c>
      <c r="H1493" s="18">
        <v>6.9</v>
      </c>
      <c r="I1493" s="18">
        <v>299</v>
      </c>
      <c r="J1493" s="18">
        <v>10</v>
      </c>
      <c r="K1493" s="18">
        <v>1856.79</v>
      </c>
      <c r="L1493" s="18" t="s">
        <v>207</v>
      </c>
      <c r="M1493" s="18" t="s">
        <v>119</v>
      </c>
      <c r="N1493" s="28">
        <v>44978.973611111112</v>
      </c>
      <c r="O1493" s="28">
        <v>44979.730555555558</v>
      </c>
      <c r="P1493" s="18">
        <v>3.4</v>
      </c>
      <c r="Q1493" s="18" t="b">
        <f>FALSE()</f>
        <v>0</v>
      </c>
      <c r="R1493" s="18" t="b">
        <f>FALSE()</f>
        <v>0</v>
      </c>
      <c r="S1493" s="19">
        <f t="shared" si="23"/>
        <v>18.2</v>
      </c>
      <c r="T1493">
        <f>COUNTIF('👤 Customers'!$A:$A, B1493)</f>
        <v>1</v>
      </c>
      <c r="U1493">
        <f>COUNTIF('🚴 Riders'!A1492:A1552, C1493)</f>
        <v>0</v>
      </c>
      <c r="V1493">
        <f>COUNTIF('🏭 Facilities'!A1492:A1500, D1493)</f>
        <v>0</v>
      </c>
    </row>
    <row r="1494" spans="1:22">
      <c r="A1494" s="16" t="s">
        <v>3646</v>
      </c>
      <c r="B1494" s="16" t="s">
        <v>2050</v>
      </c>
      <c r="C1494" s="16" t="s">
        <v>122</v>
      </c>
      <c r="D1494" s="16" t="s">
        <v>158</v>
      </c>
      <c r="E1494" s="25">
        <v>45031</v>
      </c>
      <c r="F1494" s="16" t="s">
        <v>3647</v>
      </c>
      <c r="G1494" s="16" t="s">
        <v>132</v>
      </c>
      <c r="H1494" s="16">
        <v>3.1</v>
      </c>
      <c r="I1494" s="16">
        <v>399</v>
      </c>
      <c r="J1494" s="16">
        <v>0</v>
      </c>
      <c r="K1494" s="16">
        <v>1236.9000000000001</v>
      </c>
      <c r="L1494" s="16" t="s">
        <v>126</v>
      </c>
      <c r="M1494" s="16" t="s">
        <v>119</v>
      </c>
      <c r="N1494" s="27">
        <v>45031.604166666664</v>
      </c>
      <c r="O1494" s="27">
        <v>45032.133333333331</v>
      </c>
      <c r="P1494" s="16">
        <v>4.8</v>
      </c>
      <c r="Q1494" s="16" t="b">
        <f>TRUE()</f>
        <v>1</v>
      </c>
      <c r="R1494" s="16" t="b">
        <f>FALSE()</f>
        <v>0</v>
      </c>
      <c r="S1494" s="17">
        <f t="shared" si="23"/>
        <v>12.7</v>
      </c>
      <c r="T1494">
        <f>COUNTIF('👤 Customers'!$A:$A, B1494)</f>
        <v>1</v>
      </c>
      <c r="U1494">
        <f>COUNTIF('🚴 Riders'!A1493:A1553, C1494)</f>
        <v>0</v>
      </c>
      <c r="V1494">
        <f>COUNTIF('🏭 Facilities'!A1493:A1501, D1494)</f>
        <v>0</v>
      </c>
    </row>
    <row r="1495" spans="1:22">
      <c r="A1495" s="18" t="s">
        <v>3648</v>
      </c>
      <c r="B1495" s="18" t="s">
        <v>2262</v>
      </c>
      <c r="C1495" s="18" t="s">
        <v>247</v>
      </c>
      <c r="D1495" s="18" t="s">
        <v>137</v>
      </c>
      <c r="E1495" s="26">
        <v>44955</v>
      </c>
      <c r="F1495" s="18" t="s">
        <v>3649</v>
      </c>
      <c r="G1495" s="18" t="s">
        <v>117</v>
      </c>
      <c r="H1495" s="18">
        <v>3.8</v>
      </c>
      <c r="I1495" s="18">
        <v>149</v>
      </c>
      <c r="J1495" s="18">
        <v>0</v>
      </c>
      <c r="K1495" s="18">
        <v>566.20000000000005</v>
      </c>
      <c r="L1495" s="18" t="s">
        <v>139</v>
      </c>
      <c r="M1495" s="18" t="s">
        <v>140</v>
      </c>
      <c r="N1495" s="28">
        <v>44956.079861111109</v>
      </c>
      <c r="O1495" s="28">
        <v>44956.999305555553</v>
      </c>
      <c r="P1495" s="20"/>
      <c r="Q1495" s="18" t="b">
        <f>FALSE()</f>
        <v>0</v>
      </c>
      <c r="R1495" s="18" t="b">
        <f>FALSE()</f>
        <v>0</v>
      </c>
      <c r="S1495" s="19">
        <f t="shared" si="23"/>
        <v>22.1</v>
      </c>
      <c r="T1495">
        <f>COUNTIF('👤 Customers'!$A:$A, B1495)</f>
        <v>1</v>
      </c>
      <c r="U1495">
        <f>COUNTIF('🚴 Riders'!A1494:A1554, C1495)</f>
        <v>0</v>
      </c>
      <c r="V1495">
        <f>COUNTIF('🏭 Facilities'!A1494:A1502, D1495)</f>
        <v>0</v>
      </c>
    </row>
    <row r="1496" spans="1:22">
      <c r="A1496" s="16" t="s">
        <v>3650</v>
      </c>
      <c r="B1496" s="16" t="s">
        <v>436</v>
      </c>
      <c r="C1496" s="16" t="s">
        <v>240</v>
      </c>
      <c r="D1496" s="16" t="s">
        <v>158</v>
      </c>
      <c r="E1496" s="25">
        <v>45480</v>
      </c>
      <c r="F1496" s="16" t="s">
        <v>3651</v>
      </c>
      <c r="G1496" s="16" t="s">
        <v>117</v>
      </c>
      <c r="H1496" s="16">
        <v>1.1000000000000001</v>
      </c>
      <c r="I1496" s="16">
        <v>149</v>
      </c>
      <c r="J1496" s="16">
        <v>0</v>
      </c>
      <c r="K1496" s="16">
        <v>163.9</v>
      </c>
      <c r="L1496" s="16" t="s">
        <v>207</v>
      </c>
      <c r="M1496" s="16" t="s">
        <v>119</v>
      </c>
      <c r="N1496" s="27">
        <v>45481.068749999999</v>
      </c>
      <c r="O1496" s="27">
        <v>45481.54583333333</v>
      </c>
      <c r="P1496" s="16">
        <v>4.5999999999999996</v>
      </c>
      <c r="Q1496" s="16" t="b">
        <f>FALSE()</f>
        <v>0</v>
      </c>
      <c r="R1496" s="16" t="b">
        <f>FALSE()</f>
        <v>0</v>
      </c>
      <c r="S1496" s="17">
        <f t="shared" si="23"/>
        <v>11.4</v>
      </c>
      <c r="T1496">
        <f>COUNTIF('👤 Customers'!$A:$A, B1496)</f>
        <v>1</v>
      </c>
      <c r="U1496">
        <f>COUNTIF('🚴 Riders'!A1495:A1555, C1496)</f>
        <v>0</v>
      </c>
      <c r="V1496">
        <f>COUNTIF('🏭 Facilities'!A1495:A1503, D1496)</f>
        <v>0</v>
      </c>
    </row>
    <row r="1497" spans="1:22">
      <c r="A1497" s="18" t="s">
        <v>3652</v>
      </c>
      <c r="B1497" s="18" t="s">
        <v>2170</v>
      </c>
      <c r="C1497" s="18" t="s">
        <v>247</v>
      </c>
      <c r="D1497" s="18" t="s">
        <v>123</v>
      </c>
      <c r="E1497" s="26">
        <v>45600</v>
      </c>
      <c r="F1497" s="18" t="s">
        <v>3653</v>
      </c>
      <c r="G1497" s="18" t="s">
        <v>132</v>
      </c>
      <c r="H1497" s="18">
        <v>6.5</v>
      </c>
      <c r="I1497" s="18">
        <v>399</v>
      </c>
      <c r="J1497" s="18">
        <v>0</v>
      </c>
      <c r="K1497" s="18">
        <v>2593.5</v>
      </c>
      <c r="L1497" s="18" t="s">
        <v>207</v>
      </c>
      <c r="M1497" s="18" t="s">
        <v>140</v>
      </c>
      <c r="N1497" s="28">
        <v>45600.845138888886</v>
      </c>
      <c r="O1497" s="28">
        <v>45601.623611111114</v>
      </c>
      <c r="P1497" s="20"/>
      <c r="Q1497" s="18" t="b">
        <f>FALSE()</f>
        <v>0</v>
      </c>
      <c r="R1497" s="18" t="b">
        <f>FALSE()</f>
        <v>0</v>
      </c>
      <c r="S1497" s="19">
        <f t="shared" si="23"/>
        <v>18.7</v>
      </c>
      <c r="T1497">
        <f>COUNTIF('👤 Customers'!$A:$A, B1497)</f>
        <v>1</v>
      </c>
      <c r="U1497">
        <f>COUNTIF('🚴 Riders'!A1496:A1556, C1497)</f>
        <v>0</v>
      </c>
      <c r="V1497">
        <f>COUNTIF('🏭 Facilities'!A1496:A1504, D1497)</f>
        <v>0</v>
      </c>
    </row>
    <row r="1498" spans="1:22">
      <c r="A1498" s="16" t="s">
        <v>3654</v>
      </c>
      <c r="B1498" s="16" t="s">
        <v>1095</v>
      </c>
      <c r="C1498" s="16" t="s">
        <v>322</v>
      </c>
      <c r="D1498" s="16" t="s">
        <v>158</v>
      </c>
      <c r="E1498" s="25">
        <v>45229</v>
      </c>
      <c r="F1498" s="16" t="s">
        <v>3655</v>
      </c>
      <c r="G1498" s="16" t="s">
        <v>117</v>
      </c>
      <c r="H1498" s="16">
        <v>2.9</v>
      </c>
      <c r="I1498" s="16">
        <v>149</v>
      </c>
      <c r="J1498" s="16">
        <v>20</v>
      </c>
      <c r="K1498" s="16">
        <v>345.68</v>
      </c>
      <c r="L1498" s="16" t="s">
        <v>146</v>
      </c>
      <c r="M1498" s="16" t="s">
        <v>119</v>
      </c>
      <c r="N1498" s="27">
        <v>45229.368750000001</v>
      </c>
      <c r="O1498" s="27">
        <v>45229.822916666664</v>
      </c>
      <c r="P1498" s="16">
        <v>3.4</v>
      </c>
      <c r="Q1498" s="16" t="b">
        <f>FALSE()</f>
        <v>0</v>
      </c>
      <c r="R1498" s="16" t="b">
        <f>FALSE()</f>
        <v>0</v>
      </c>
      <c r="S1498" s="17">
        <f t="shared" si="23"/>
        <v>10.9</v>
      </c>
      <c r="T1498">
        <f>COUNTIF('👤 Customers'!$A:$A, B1498)</f>
        <v>1</v>
      </c>
      <c r="U1498">
        <f>COUNTIF('🚴 Riders'!A1497:A1557, C1498)</f>
        <v>0</v>
      </c>
      <c r="V1498">
        <f>COUNTIF('🏭 Facilities'!A1497:A1505, D1498)</f>
        <v>0</v>
      </c>
    </row>
    <row r="1499" spans="1:22">
      <c r="A1499" s="18" t="s">
        <v>3656</v>
      </c>
      <c r="B1499" s="18" t="s">
        <v>1802</v>
      </c>
      <c r="C1499" s="18" t="s">
        <v>153</v>
      </c>
      <c r="D1499" s="18" t="s">
        <v>158</v>
      </c>
      <c r="E1499" s="26">
        <v>45511</v>
      </c>
      <c r="F1499" s="18" t="s">
        <v>3657</v>
      </c>
      <c r="G1499" s="18" t="s">
        <v>125</v>
      </c>
      <c r="H1499" s="18">
        <v>4</v>
      </c>
      <c r="I1499" s="18">
        <v>199</v>
      </c>
      <c r="J1499" s="18">
        <v>10</v>
      </c>
      <c r="K1499" s="18">
        <v>716.4</v>
      </c>
      <c r="L1499" s="18" t="s">
        <v>126</v>
      </c>
      <c r="M1499" s="18" t="s">
        <v>119</v>
      </c>
      <c r="N1499" s="28">
        <v>45511.244444444441</v>
      </c>
      <c r="O1499" s="28">
        <v>45511.75277777778</v>
      </c>
      <c r="P1499" s="18">
        <v>3.7</v>
      </c>
      <c r="Q1499" s="18" t="b">
        <f>FALSE()</f>
        <v>0</v>
      </c>
      <c r="R1499" s="18" t="b">
        <f>TRUE()</f>
        <v>1</v>
      </c>
      <c r="S1499" s="19">
        <f t="shared" si="23"/>
        <v>12.2</v>
      </c>
      <c r="T1499">
        <f>COUNTIF('👤 Customers'!$A:$A, B1499)</f>
        <v>1</v>
      </c>
      <c r="U1499">
        <f>COUNTIF('🚴 Riders'!A1498:A1558, C1499)</f>
        <v>0</v>
      </c>
      <c r="V1499">
        <f>COUNTIF('🏭 Facilities'!A1498:A1506, D1499)</f>
        <v>0</v>
      </c>
    </row>
    <row r="1500" spans="1:22">
      <c r="A1500" s="16" t="s">
        <v>3658</v>
      </c>
      <c r="B1500" s="16" t="s">
        <v>1219</v>
      </c>
      <c r="C1500" s="16" t="s">
        <v>536</v>
      </c>
      <c r="D1500" s="16" t="s">
        <v>184</v>
      </c>
      <c r="E1500" s="25">
        <v>45354</v>
      </c>
      <c r="F1500" s="16" t="s">
        <v>3659</v>
      </c>
      <c r="G1500" s="16" t="s">
        <v>145</v>
      </c>
      <c r="H1500" s="16">
        <v>1.1000000000000001</v>
      </c>
      <c r="I1500" s="16">
        <v>299</v>
      </c>
      <c r="J1500" s="16">
        <v>0</v>
      </c>
      <c r="K1500" s="16">
        <v>328.9</v>
      </c>
      <c r="L1500" s="16" t="s">
        <v>207</v>
      </c>
      <c r="M1500" s="16" t="s">
        <v>119</v>
      </c>
      <c r="N1500" s="27">
        <v>45354.680555555555</v>
      </c>
      <c r="O1500" s="27">
        <v>45355.409722222219</v>
      </c>
      <c r="P1500" s="16">
        <v>3.2</v>
      </c>
      <c r="Q1500" s="16" t="b">
        <f>FALSE()</f>
        <v>0</v>
      </c>
      <c r="R1500" s="16" t="b">
        <f>FALSE()</f>
        <v>0</v>
      </c>
      <c r="S1500" s="17">
        <f t="shared" si="23"/>
        <v>17.5</v>
      </c>
      <c r="T1500">
        <f>COUNTIF('👤 Customers'!$A:$A, B1500)</f>
        <v>1</v>
      </c>
      <c r="U1500">
        <f>COUNTIF('🚴 Riders'!A1499:A1559, C1500)</f>
        <v>0</v>
      </c>
      <c r="V1500">
        <f>COUNTIF('🏭 Facilities'!A1499:A1507, D1500)</f>
        <v>0</v>
      </c>
    </row>
    <row r="1501" spans="1:22">
      <c r="A1501" s="18" t="s">
        <v>3660</v>
      </c>
      <c r="B1501" s="18" t="s">
        <v>3000</v>
      </c>
      <c r="C1501" s="18" t="s">
        <v>431</v>
      </c>
      <c r="D1501" s="18" t="s">
        <v>158</v>
      </c>
      <c r="E1501" s="26">
        <v>45526</v>
      </c>
      <c r="F1501" s="18" t="s">
        <v>3661</v>
      </c>
      <c r="G1501" s="18" t="s">
        <v>117</v>
      </c>
      <c r="H1501" s="18">
        <v>1.5</v>
      </c>
      <c r="I1501" s="18">
        <v>149</v>
      </c>
      <c r="J1501" s="18">
        <v>0</v>
      </c>
      <c r="K1501" s="18">
        <v>223.5</v>
      </c>
      <c r="L1501" s="18" t="s">
        <v>146</v>
      </c>
      <c r="M1501" s="18" t="s">
        <v>119</v>
      </c>
      <c r="N1501" s="28">
        <v>45526.29791666667</v>
      </c>
      <c r="O1501" s="28">
        <v>45526.938888888886</v>
      </c>
      <c r="P1501" s="18">
        <v>3.1</v>
      </c>
      <c r="Q1501" s="18" t="b">
        <f>FALSE()</f>
        <v>0</v>
      </c>
      <c r="R1501" s="18" t="b">
        <f>FALSE()</f>
        <v>0</v>
      </c>
      <c r="S1501" s="19">
        <f t="shared" si="23"/>
        <v>15.4</v>
      </c>
      <c r="T1501">
        <f>COUNTIF('👤 Customers'!$A:$A, B1501)</f>
        <v>1</v>
      </c>
      <c r="U1501">
        <f>COUNTIF('🚴 Riders'!A1500:A1560, C1501)</f>
        <v>0</v>
      </c>
      <c r="V1501">
        <f>COUNTIF('🏭 Facilities'!A1500:A1508, D1501)</f>
        <v>0</v>
      </c>
    </row>
    <row r="1502" spans="1:22">
      <c r="A1502" s="16" t="s">
        <v>3662</v>
      </c>
      <c r="B1502" s="16" t="s">
        <v>562</v>
      </c>
      <c r="C1502" s="16" t="s">
        <v>136</v>
      </c>
      <c r="D1502" s="16" t="s">
        <v>184</v>
      </c>
      <c r="E1502" s="25">
        <v>45055</v>
      </c>
      <c r="F1502" s="16" t="s">
        <v>3663</v>
      </c>
      <c r="G1502" s="16" t="s">
        <v>117</v>
      </c>
      <c r="H1502" s="16">
        <v>7.1</v>
      </c>
      <c r="I1502" s="16">
        <v>149</v>
      </c>
      <c r="J1502" s="16">
        <v>10</v>
      </c>
      <c r="K1502" s="16">
        <v>952.11</v>
      </c>
      <c r="L1502" s="16" t="s">
        <v>118</v>
      </c>
      <c r="M1502" s="16" t="s">
        <v>119</v>
      </c>
      <c r="N1502" s="27">
        <v>45055.682638888888</v>
      </c>
      <c r="O1502" s="27">
        <v>45056.321527777778</v>
      </c>
      <c r="P1502" s="16">
        <v>4.2</v>
      </c>
      <c r="Q1502" s="16" t="b">
        <f>FALSE()</f>
        <v>0</v>
      </c>
      <c r="R1502" s="16" t="b">
        <f>FALSE()</f>
        <v>0</v>
      </c>
      <c r="S1502" s="17">
        <f t="shared" si="23"/>
        <v>15.3</v>
      </c>
      <c r="T1502">
        <f>COUNTIF('👤 Customers'!$A:$A, B1502)</f>
        <v>1</v>
      </c>
      <c r="U1502">
        <f>COUNTIF('🚴 Riders'!A1501:A1561, C1502)</f>
        <v>0</v>
      </c>
      <c r="V1502">
        <f>COUNTIF('🏭 Facilities'!A1501:A1509, D1502)</f>
        <v>0</v>
      </c>
    </row>
    <row r="1503" spans="1:22">
      <c r="A1503" s="18" t="s">
        <v>3664</v>
      </c>
      <c r="B1503" s="18" t="s">
        <v>830</v>
      </c>
      <c r="C1503" s="18" t="s">
        <v>479</v>
      </c>
      <c r="D1503" s="18" t="s">
        <v>205</v>
      </c>
      <c r="E1503" s="26">
        <v>45497</v>
      </c>
      <c r="F1503" s="18" t="s">
        <v>3665</v>
      </c>
      <c r="G1503" s="18" t="s">
        <v>117</v>
      </c>
      <c r="H1503" s="18">
        <v>1.4</v>
      </c>
      <c r="I1503" s="18">
        <v>149</v>
      </c>
      <c r="J1503" s="18">
        <v>0</v>
      </c>
      <c r="K1503" s="18">
        <v>208.6</v>
      </c>
      <c r="L1503" s="18" t="s">
        <v>139</v>
      </c>
      <c r="M1503" s="18" t="s">
        <v>119</v>
      </c>
      <c r="N1503" s="28">
        <v>45497.177083333336</v>
      </c>
      <c r="O1503" s="28">
        <v>45497.711805555555</v>
      </c>
      <c r="P1503" s="18">
        <v>4.4000000000000004</v>
      </c>
      <c r="Q1503" s="18" t="b">
        <f>FALSE()</f>
        <v>0</v>
      </c>
      <c r="R1503" s="18" t="b">
        <f>TRUE()</f>
        <v>1</v>
      </c>
      <c r="S1503" s="19">
        <f t="shared" si="23"/>
        <v>12.8</v>
      </c>
      <c r="T1503">
        <f>COUNTIF('👤 Customers'!$A:$A, B1503)</f>
        <v>1</v>
      </c>
      <c r="U1503">
        <f>COUNTIF('🚴 Riders'!A1502:A1562, C1503)</f>
        <v>0</v>
      </c>
      <c r="V1503">
        <f>COUNTIF('🏭 Facilities'!A1502:A1510, D1503)</f>
        <v>0</v>
      </c>
    </row>
    <row r="1504" spans="1:22">
      <c r="A1504" s="16" t="s">
        <v>3666</v>
      </c>
      <c r="B1504" s="16" t="s">
        <v>1058</v>
      </c>
      <c r="C1504" s="16" t="s">
        <v>213</v>
      </c>
      <c r="D1504" s="16" t="s">
        <v>197</v>
      </c>
      <c r="E1504" s="25">
        <v>45490</v>
      </c>
      <c r="F1504" s="16" t="s">
        <v>3667</v>
      </c>
      <c r="G1504" s="16" t="s">
        <v>117</v>
      </c>
      <c r="H1504" s="16">
        <v>2.6</v>
      </c>
      <c r="I1504" s="16">
        <v>149</v>
      </c>
      <c r="J1504" s="16">
        <v>10</v>
      </c>
      <c r="K1504" s="16">
        <v>348.66</v>
      </c>
      <c r="L1504" s="16" t="s">
        <v>118</v>
      </c>
      <c r="M1504" s="16" t="s">
        <v>133</v>
      </c>
      <c r="N1504" s="20"/>
      <c r="O1504" s="20"/>
      <c r="P1504" s="20"/>
      <c r="Q1504" s="16" t="b">
        <f>FALSE()</f>
        <v>0</v>
      </c>
      <c r="R1504" s="16" t="b">
        <f>TRUE()</f>
        <v>1</v>
      </c>
      <c r="S1504" s="17" t="str">
        <f t="shared" si="23"/>
        <v>N/A</v>
      </c>
      <c r="T1504">
        <f>COUNTIF('👤 Customers'!$A:$A, B1504)</f>
        <v>1</v>
      </c>
      <c r="U1504">
        <f>COUNTIF('🚴 Riders'!A1503:A1563, C1504)</f>
        <v>0</v>
      </c>
      <c r="V1504">
        <f>COUNTIF('🏭 Facilities'!A1503:A1511, D1504)</f>
        <v>0</v>
      </c>
    </row>
    <row r="1505" spans="1:22">
      <c r="A1505" s="18" t="s">
        <v>3668</v>
      </c>
      <c r="B1505" s="18" t="s">
        <v>1724</v>
      </c>
      <c r="C1505" s="18" t="s">
        <v>251</v>
      </c>
      <c r="D1505" s="18" t="s">
        <v>184</v>
      </c>
      <c r="E1505" s="26">
        <v>45306</v>
      </c>
      <c r="F1505" s="18" t="s">
        <v>3669</v>
      </c>
      <c r="G1505" s="18" t="s">
        <v>145</v>
      </c>
      <c r="H1505" s="18">
        <v>6.2</v>
      </c>
      <c r="I1505" s="18">
        <v>299</v>
      </c>
      <c r="J1505" s="18">
        <v>0</v>
      </c>
      <c r="K1505" s="18">
        <v>1853.8</v>
      </c>
      <c r="L1505" s="18" t="s">
        <v>139</v>
      </c>
      <c r="M1505" s="18" t="s">
        <v>119</v>
      </c>
      <c r="N1505" s="28">
        <v>45306.700694444444</v>
      </c>
      <c r="O1505" s="28">
        <v>45307.694444444445</v>
      </c>
      <c r="P1505" s="18">
        <v>4.3</v>
      </c>
      <c r="Q1505" s="18" t="b">
        <f>TRUE()</f>
        <v>1</v>
      </c>
      <c r="R1505" s="18" t="b">
        <f>FALSE()</f>
        <v>0</v>
      </c>
      <c r="S1505" s="19">
        <f t="shared" si="23"/>
        <v>23.9</v>
      </c>
      <c r="T1505">
        <f>COUNTIF('👤 Customers'!$A:$A, B1505)</f>
        <v>1</v>
      </c>
      <c r="U1505">
        <f>COUNTIF('🚴 Riders'!A1504:A1564, C1505)</f>
        <v>0</v>
      </c>
      <c r="V1505">
        <f>COUNTIF('🏭 Facilities'!A1504:A1512, D1505)</f>
        <v>0</v>
      </c>
    </row>
    <row r="1506" spans="1:22">
      <c r="A1506" s="16" t="s">
        <v>3670</v>
      </c>
      <c r="B1506" s="16" t="s">
        <v>1995</v>
      </c>
      <c r="C1506" s="16" t="s">
        <v>192</v>
      </c>
      <c r="D1506" s="16" t="s">
        <v>158</v>
      </c>
      <c r="E1506" s="25">
        <v>45581</v>
      </c>
      <c r="F1506" s="16" t="s">
        <v>3671</v>
      </c>
      <c r="G1506" s="16" t="s">
        <v>117</v>
      </c>
      <c r="H1506" s="16">
        <v>7.1</v>
      </c>
      <c r="I1506" s="16">
        <v>149</v>
      </c>
      <c r="J1506" s="16">
        <v>0</v>
      </c>
      <c r="K1506" s="16">
        <v>1057.9000000000001</v>
      </c>
      <c r="L1506" s="16" t="s">
        <v>146</v>
      </c>
      <c r="M1506" s="16" t="s">
        <v>119</v>
      </c>
      <c r="N1506" s="27">
        <v>45582.109027777777</v>
      </c>
      <c r="O1506" s="27">
        <v>45582.572222222225</v>
      </c>
      <c r="P1506" s="16">
        <v>4.8</v>
      </c>
      <c r="Q1506" s="16" t="b">
        <f>FALSE()</f>
        <v>0</v>
      </c>
      <c r="R1506" s="16" t="b">
        <f>FALSE()</f>
        <v>0</v>
      </c>
      <c r="S1506" s="17">
        <f t="shared" si="23"/>
        <v>11.1</v>
      </c>
      <c r="T1506">
        <f>COUNTIF('👤 Customers'!$A:$A, B1506)</f>
        <v>1</v>
      </c>
      <c r="U1506">
        <f>COUNTIF('🚴 Riders'!A1505:A1565, C1506)</f>
        <v>0</v>
      </c>
      <c r="V1506">
        <f>COUNTIF('🏭 Facilities'!A1505:A1513, D1506)</f>
        <v>0</v>
      </c>
    </row>
    <row r="1507" spans="1:22">
      <c r="A1507" s="18" t="s">
        <v>3672</v>
      </c>
      <c r="B1507" s="18" t="s">
        <v>1663</v>
      </c>
      <c r="C1507" s="18" t="s">
        <v>174</v>
      </c>
      <c r="D1507" s="18" t="s">
        <v>137</v>
      </c>
      <c r="E1507" s="26">
        <v>45212</v>
      </c>
      <c r="F1507" s="18" t="s">
        <v>3673</v>
      </c>
      <c r="G1507" s="18" t="s">
        <v>117</v>
      </c>
      <c r="H1507" s="18">
        <v>7.2</v>
      </c>
      <c r="I1507" s="18">
        <v>149</v>
      </c>
      <c r="J1507" s="18">
        <v>0</v>
      </c>
      <c r="K1507" s="18">
        <v>1072.8</v>
      </c>
      <c r="L1507" s="18" t="s">
        <v>139</v>
      </c>
      <c r="M1507" s="18" t="s">
        <v>119</v>
      </c>
      <c r="N1507" s="28">
        <v>45212.774305555555</v>
      </c>
      <c r="O1507" s="28">
        <v>45213.67291666667</v>
      </c>
      <c r="P1507" s="18">
        <v>3.7</v>
      </c>
      <c r="Q1507" s="18" t="b">
        <f>FALSE()</f>
        <v>0</v>
      </c>
      <c r="R1507" s="18" t="b">
        <f>FALSE()</f>
        <v>0</v>
      </c>
      <c r="S1507" s="19">
        <f t="shared" si="23"/>
        <v>21.6</v>
      </c>
      <c r="T1507">
        <f>COUNTIF('👤 Customers'!$A:$A, B1507)</f>
        <v>1</v>
      </c>
      <c r="U1507">
        <f>COUNTIF('🚴 Riders'!A1506:A1566, C1507)</f>
        <v>0</v>
      </c>
      <c r="V1507">
        <f>COUNTIF('🏭 Facilities'!A1506:A1514, D1507)</f>
        <v>0</v>
      </c>
    </row>
    <row r="1508" spans="1:22">
      <c r="A1508" s="16" t="s">
        <v>3674</v>
      </c>
      <c r="B1508" s="16" t="s">
        <v>519</v>
      </c>
      <c r="C1508" s="16" t="s">
        <v>308</v>
      </c>
      <c r="D1508" s="16" t="s">
        <v>123</v>
      </c>
      <c r="E1508" s="25">
        <v>45012</v>
      </c>
      <c r="F1508" s="16" t="s">
        <v>3675</v>
      </c>
      <c r="G1508" s="16" t="s">
        <v>125</v>
      </c>
      <c r="H1508" s="16">
        <v>6.4</v>
      </c>
      <c r="I1508" s="16">
        <v>199</v>
      </c>
      <c r="J1508" s="16">
        <v>0</v>
      </c>
      <c r="K1508" s="16">
        <v>1273.5999999999999</v>
      </c>
      <c r="L1508" s="16" t="s">
        <v>207</v>
      </c>
      <c r="M1508" s="16" t="s">
        <v>119</v>
      </c>
      <c r="N1508" s="27">
        <v>45012.559027777781</v>
      </c>
      <c r="O1508" s="27">
        <v>45013.407638888886</v>
      </c>
      <c r="P1508" s="16">
        <v>3.4</v>
      </c>
      <c r="Q1508" s="16" t="b">
        <f>FALSE()</f>
        <v>0</v>
      </c>
      <c r="R1508" s="16" t="b">
        <f>FALSE()</f>
        <v>0</v>
      </c>
      <c r="S1508" s="17">
        <f t="shared" si="23"/>
        <v>20.399999999999999</v>
      </c>
      <c r="T1508">
        <f>COUNTIF('👤 Customers'!$A:$A, B1508)</f>
        <v>1</v>
      </c>
      <c r="U1508">
        <f>COUNTIF('🚴 Riders'!A1507:A1567, C1508)</f>
        <v>0</v>
      </c>
      <c r="V1508">
        <f>COUNTIF('🏭 Facilities'!A1507:A1515, D1508)</f>
        <v>0</v>
      </c>
    </row>
    <row r="1509" spans="1:22">
      <c r="A1509" s="18" t="s">
        <v>3676</v>
      </c>
      <c r="B1509" s="18" t="s">
        <v>2398</v>
      </c>
      <c r="C1509" s="18" t="s">
        <v>354</v>
      </c>
      <c r="D1509" s="18" t="s">
        <v>115</v>
      </c>
      <c r="E1509" s="26">
        <v>45189</v>
      </c>
      <c r="F1509" s="18" t="s">
        <v>3677</v>
      </c>
      <c r="G1509" s="18" t="s">
        <v>125</v>
      </c>
      <c r="H1509" s="18">
        <v>2.6</v>
      </c>
      <c r="I1509" s="18">
        <v>199</v>
      </c>
      <c r="J1509" s="18">
        <v>0</v>
      </c>
      <c r="K1509" s="18">
        <v>517.4</v>
      </c>
      <c r="L1509" s="18" t="s">
        <v>139</v>
      </c>
      <c r="M1509" s="18" t="s">
        <v>119</v>
      </c>
      <c r="N1509" s="28">
        <v>45189.267361111109</v>
      </c>
      <c r="O1509" s="28">
        <v>45190.023611111108</v>
      </c>
      <c r="P1509" s="18">
        <v>4.2</v>
      </c>
      <c r="Q1509" s="18" t="b">
        <f>TRUE()</f>
        <v>1</v>
      </c>
      <c r="R1509" s="18" t="b">
        <f>FALSE()</f>
        <v>0</v>
      </c>
      <c r="S1509" s="19">
        <f t="shared" si="23"/>
        <v>18.100000000000001</v>
      </c>
      <c r="T1509">
        <f>COUNTIF('👤 Customers'!$A:$A, B1509)</f>
        <v>1</v>
      </c>
      <c r="U1509">
        <f>COUNTIF('🚴 Riders'!A1508:A1568, C1509)</f>
        <v>0</v>
      </c>
      <c r="V1509">
        <f>COUNTIF('🏭 Facilities'!A1508:A1516, D1509)</f>
        <v>0</v>
      </c>
    </row>
    <row r="1510" spans="1:22">
      <c r="A1510" s="16" t="s">
        <v>3678</v>
      </c>
      <c r="B1510" s="16" t="s">
        <v>1933</v>
      </c>
      <c r="C1510" s="16" t="s">
        <v>483</v>
      </c>
      <c r="D1510" s="16" t="s">
        <v>123</v>
      </c>
      <c r="E1510" s="25">
        <v>45471</v>
      </c>
      <c r="F1510" s="16" t="s">
        <v>3679</v>
      </c>
      <c r="G1510" s="16" t="s">
        <v>125</v>
      </c>
      <c r="H1510" s="16">
        <v>4.8</v>
      </c>
      <c r="I1510" s="16">
        <v>199</v>
      </c>
      <c r="J1510" s="16">
        <v>0</v>
      </c>
      <c r="K1510" s="16">
        <v>955.2</v>
      </c>
      <c r="L1510" s="16" t="s">
        <v>126</v>
      </c>
      <c r="M1510" s="16" t="s">
        <v>140</v>
      </c>
      <c r="N1510" s="27">
        <v>45471.408333333333</v>
      </c>
      <c r="O1510" s="27">
        <v>45472.07916666667</v>
      </c>
      <c r="P1510" s="20"/>
      <c r="Q1510" s="16" t="b">
        <f>FALSE()</f>
        <v>0</v>
      </c>
      <c r="R1510" s="16" t="b">
        <f>FALSE()</f>
        <v>0</v>
      </c>
      <c r="S1510" s="17">
        <f t="shared" si="23"/>
        <v>16.100000000000001</v>
      </c>
      <c r="T1510">
        <f>COUNTIF('👤 Customers'!$A:$A, B1510)</f>
        <v>1</v>
      </c>
      <c r="U1510">
        <f>COUNTIF('🚴 Riders'!A1509:A1569, C1510)</f>
        <v>0</v>
      </c>
      <c r="V1510">
        <f>COUNTIF('🏭 Facilities'!A1509:A1517, D1510)</f>
        <v>0</v>
      </c>
    </row>
    <row r="1511" spans="1:22">
      <c r="A1511" s="18" t="s">
        <v>3680</v>
      </c>
      <c r="B1511" s="18" t="s">
        <v>1368</v>
      </c>
      <c r="C1511" s="18" t="s">
        <v>122</v>
      </c>
      <c r="D1511" s="18" t="s">
        <v>158</v>
      </c>
      <c r="E1511" s="26">
        <v>45278</v>
      </c>
      <c r="F1511" s="18" t="s">
        <v>3681</v>
      </c>
      <c r="G1511" s="18" t="s">
        <v>176</v>
      </c>
      <c r="H1511" s="18">
        <v>5.5</v>
      </c>
      <c r="I1511" s="18">
        <v>599</v>
      </c>
      <c r="J1511" s="18">
        <v>0</v>
      </c>
      <c r="K1511" s="18">
        <v>3294.5</v>
      </c>
      <c r="L1511" s="18" t="s">
        <v>139</v>
      </c>
      <c r="M1511" s="18" t="s">
        <v>119</v>
      </c>
      <c r="N1511" s="28">
        <v>45278.267361111109</v>
      </c>
      <c r="O1511" s="28">
        <v>45278.855555555558</v>
      </c>
      <c r="P1511" s="18">
        <v>4.4000000000000004</v>
      </c>
      <c r="Q1511" s="18" t="b">
        <f>FALSE()</f>
        <v>0</v>
      </c>
      <c r="R1511" s="18" t="b">
        <f>FALSE()</f>
        <v>0</v>
      </c>
      <c r="S1511" s="19">
        <f t="shared" si="23"/>
        <v>14.1</v>
      </c>
      <c r="T1511">
        <f>COUNTIF('👤 Customers'!$A:$A, B1511)</f>
        <v>1</v>
      </c>
      <c r="U1511">
        <f>COUNTIF('🚴 Riders'!A1510:A1570, C1511)</f>
        <v>0</v>
      </c>
      <c r="V1511">
        <f>COUNTIF('🏭 Facilities'!A1510:A1518, D1511)</f>
        <v>0</v>
      </c>
    </row>
    <row r="1512" spans="1:22">
      <c r="A1512" s="16" t="s">
        <v>3682</v>
      </c>
      <c r="B1512" s="16" t="s">
        <v>486</v>
      </c>
      <c r="C1512" s="16" t="s">
        <v>114</v>
      </c>
      <c r="D1512" s="16" t="s">
        <v>205</v>
      </c>
      <c r="E1512" s="25">
        <v>45454</v>
      </c>
      <c r="F1512" s="16" t="s">
        <v>3683</v>
      </c>
      <c r="G1512" s="16" t="s">
        <v>132</v>
      </c>
      <c r="H1512" s="16">
        <v>5.9</v>
      </c>
      <c r="I1512" s="16">
        <v>399</v>
      </c>
      <c r="J1512" s="16">
        <v>10</v>
      </c>
      <c r="K1512" s="16">
        <v>2118.69</v>
      </c>
      <c r="L1512" s="16" t="s">
        <v>126</v>
      </c>
      <c r="M1512" s="16" t="s">
        <v>133</v>
      </c>
      <c r="N1512" s="20"/>
      <c r="O1512" s="20"/>
      <c r="P1512" s="20"/>
      <c r="Q1512" s="16" t="b">
        <f>FALSE()</f>
        <v>0</v>
      </c>
      <c r="R1512" s="16" t="b">
        <f>FALSE()</f>
        <v>0</v>
      </c>
      <c r="S1512" s="17" t="str">
        <f t="shared" si="23"/>
        <v>N/A</v>
      </c>
      <c r="T1512">
        <f>COUNTIF('👤 Customers'!$A:$A, B1512)</f>
        <v>1</v>
      </c>
      <c r="U1512">
        <f>COUNTIF('🚴 Riders'!A1511:A1571, C1512)</f>
        <v>0</v>
      </c>
      <c r="V1512">
        <f>COUNTIF('🏭 Facilities'!A1511:A1519, D1512)</f>
        <v>0</v>
      </c>
    </row>
    <row r="1513" spans="1:22">
      <c r="A1513" s="18" t="s">
        <v>3684</v>
      </c>
      <c r="B1513" s="18" t="s">
        <v>1165</v>
      </c>
      <c r="C1513" s="18" t="s">
        <v>224</v>
      </c>
      <c r="D1513" s="18" t="s">
        <v>197</v>
      </c>
      <c r="E1513" s="26">
        <v>45370</v>
      </c>
      <c r="F1513" s="18" t="s">
        <v>3685</v>
      </c>
      <c r="G1513" s="18" t="s">
        <v>132</v>
      </c>
      <c r="H1513" s="18">
        <v>2</v>
      </c>
      <c r="I1513" s="18">
        <v>399</v>
      </c>
      <c r="J1513" s="18">
        <v>0</v>
      </c>
      <c r="K1513" s="18">
        <v>798</v>
      </c>
      <c r="L1513" s="18" t="s">
        <v>146</v>
      </c>
      <c r="M1513" s="18" t="s">
        <v>119</v>
      </c>
      <c r="N1513" s="28">
        <v>45370.538888888892</v>
      </c>
      <c r="O1513" s="28">
        <v>45371.363194444442</v>
      </c>
      <c r="P1513" s="18">
        <v>4.7</v>
      </c>
      <c r="Q1513" s="18" t="b">
        <f>FALSE()</f>
        <v>0</v>
      </c>
      <c r="R1513" s="18" t="b">
        <f>FALSE()</f>
        <v>0</v>
      </c>
      <c r="S1513" s="19">
        <f t="shared" si="23"/>
        <v>19.8</v>
      </c>
      <c r="T1513">
        <f>COUNTIF('👤 Customers'!$A:$A, B1513)</f>
        <v>1</v>
      </c>
      <c r="U1513">
        <f>COUNTIF('🚴 Riders'!A1512:A1572, C1513)</f>
        <v>0</v>
      </c>
      <c r="V1513">
        <f>COUNTIF('🏭 Facilities'!A1512:A1520, D1513)</f>
        <v>0</v>
      </c>
    </row>
    <row r="1514" spans="1:22">
      <c r="A1514" s="16" t="s">
        <v>3686</v>
      </c>
      <c r="B1514" s="16" t="s">
        <v>353</v>
      </c>
      <c r="C1514" s="16" t="s">
        <v>580</v>
      </c>
      <c r="D1514" s="16" t="s">
        <v>184</v>
      </c>
      <c r="E1514" s="25">
        <v>45243</v>
      </c>
      <c r="F1514" s="16" t="s">
        <v>3687</v>
      </c>
      <c r="G1514" s="16" t="s">
        <v>145</v>
      </c>
      <c r="H1514" s="16">
        <v>2.4</v>
      </c>
      <c r="I1514" s="16">
        <v>299</v>
      </c>
      <c r="J1514" s="16">
        <v>20</v>
      </c>
      <c r="K1514" s="16">
        <v>574.08000000000004</v>
      </c>
      <c r="L1514" s="16" t="s">
        <v>139</v>
      </c>
      <c r="M1514" s="16" t="s">
        <v>119</v>
      </c>
      <c r="N1514" s="27">
        <v>45243.310416666667</v>
      </c>
      <c r="O1514" s="27">
        <v>45243.801388888889</v>
      </c>
      <c r="P1514" s="16">
        <v>3</v>
      </c>
      <c r="Q1514" s="16" t="b">
        <f>FALSE()</f>
        <v>0</v>
      </c>
      <c r="R1514" s="16" t="b">
        <f>FALSE()</f>
        <v>0</v>
      </c>
      <c r="S1514" s="17">
        <f t="shared" si="23"/>
        <v>11.8</v>
      </c>
      <c r="T1514">
        <f>COUNTIF('👤 Customers'!$A:$A, B1514)</f>
        <v>1</v>
      </c>
      <c r="U1514">
        <f>COUNTIF('🚴 Riders'!A1513:A1573, C1514)</f>
        <v>0</v>
      </c>
      <c r="V1514">
        <f>COUNTIF('🏭 Facilities'!A1513:A1521, D1514)</f>
        <v>0</v>
      </c>
    </row>
    <row r="1515" spans="1:22">
      <c r="A1515" s="18" t="s">
        <v>3688</v>
      </c>
      <c r="B1515" s="18" t="s">
        <v>1837</v>
      </c>
      <c r="C1515" s="18" t="s">
        <v>842</v>
      </c>
      <c r="D1515" s="18" t="s">
        <v>158</v>
      </c>
      <c r="E1515" s="26">
        <v>45522</v>
      </c>
      <c r="F1515" s="18" t="s">
        <v>2868</v>
      </c>
      <c r="G1515" s="18" t="s">
        <v>176</v>
      </c>
      <c r="H1515" s="18">
        <v>6.9</v>
      </c>
      <c r="I1515" s="18">
        <v>599</v>
      </c>
      <c r="J1515" s="18">
        <v>0</v>
      </c>
      <c r="K1515" s="18">
        <v>4133.1000000000004</v>
      </c>
      <c r="L1515" s="18" t="s">
        <v>118</v>
      </c>
      <c r="M1515" s="18" t="s">
        <v>133</v>
      </c>
      <c r="N1515" s="20"/>
      <c r="O1515" s="20"/>
      <c r="P1515" s="20"/>
      <c r="Q1515" s="18" t="b">
        <f>FALSE()</f>
        <v>0</v>
      </c>
      <c r="R1515" s="18" t="b">
        <f>FALSE()</f>
        <v>0</v>
      </c>
      <c r="S1515" s="19" t="str">
        <f t="shared" si="23"/>
        <v>N/A</v>
      </c>
      <c r="T1515">
        <f>COUNTIF('👤 Customers'!$A:$A, B1515)</f>
        <v>1</v>
      </c>
      <c r="U1515">
        <f>COUNTIF('🚴 Riders'!A1514:A1574, C1515)</f>
        <v>0</v>
      </c>
      <c r="V1515">
        <f>COUNTIF('🏭 Facilities'!A1514:A1522, D1515)</f>
        <v>0</v>
      </c>
    </row>
    <row r="1516" spans="1:22">
      <c r="A1516" s="16" t="s">
        <v>3689</v>
      </c>
      <c r="B1516" s="16" t="s">
        <v>321</v>
      </c>
      <c r="C1516" s="16" t="s">
        <v>315</v>
      </c>
      <c r="D1516" s="16" t="s">
        <v>158</v>
      </c>
      <c r="E1516" s="25">
        <v>45527</v>
      </c>
      <c r="F1516" s="16" t="s">
        <v>3690</v>
      </c>
      <c r="G1516" s="16" t="s">
        <v>132</v>
      </c>
      <c r="H1516" s="16">
        <v>4.2</v>
      </c>
      <c r="I1516" s="16">
        <v>399</v>
      </c>
      <c r="J1516" s="16">
        <v>0</v>
      </c>
      <c r="K1516" s="16">
        <v>1675.8</v>
      </c>
      <c r="L1516" s="16" t="s">
        <v>146</v>
      </c>
      <c r="M1516" s="16" t="s">
        <v>119</v>
      </c>
      <c r="N1516" s="27">
        <v>45527.206250000003</v>
      </c>
      <c r="O1516" s="27">
        <v>45528.140277777777</v>
      </c>
      <c r="P1516" s="16">
        <v>3.2</v>
      </c>
      <c r="Q1516" s="16" t="b">
        <f>TRUE()</f>
        <v>1</v>
      </c>
      <c r="R1516" s="16" t="b">
        <f>FALSE()</f>
        <v>0</v>
      </c>
      <c r="S1516" s="17">
        <f t="shared" si="23"/>
        <v>22.4</v>
      </c>
      <c r="T1516">
        <f>COUNTIF('👤 Customers'!$A:$A, B1516)</f>
        <v>1</v>
      </c>
      <c r="U1516">
        <f>COUNTIF('🚴 Riders'!A1515:A1575, C1516)</f>
        <v>0</v>
      </c>
      <c r="V1516">
        <f>COUNTIF('🏭 Facilities'!A1515:A1523, D1516)</f>
        <v>0</v>
      </c>
    </row>
    <row r="1517" spans="1:22">
      <c r="A1517" s="18" t="s">
        <v>3691</v>
      </c>
      <c r="B1517" s="18" t="s">
        <v>698</v>
      </c>
      <c r="C1517" s="18" t="s">
        <v>461</v>
      </c>
      <c r="D1517" s="18" t="s">
        <v>184</v>
      </c>
      <c r="E1517" s="26">
        <v>45386</v>
      </c>
      <c r="F1517" s="18" t="s">
        <v>3692</v>
      </c>
      <c r="G1517" s="18" t="s">
        <v>176</v>
      </c>
      <c r="H1517" s="18">
        <v>5.8</v>
      </c>
      <c r="I1517" s="18">
        <v>599</v>
      </c>
      <c r="J1517" s="18">
        <v>10</v>
      </c>
      <c r="K1517" s="18">
        <v>3126.78</v>
      </c>
      <c r="L1517" s="18" t="s">
        <v>126</v>
      </c>
      <c r="M1517" s="18" t="s">
        <v>119</v>
      </c>
      <c r="N1517" s="28">
        <v>45386.44027777778</v>
      </c>
      <c r="O1517" s="28">
        <v>45386.9375</v>
      </c>
      <c r="P1517" s="18">
        <v>3.2</v>
      </c>
      <c r="Q1517" s="18" t="b">
        <f>FALSE()</f>
        <v>0</v>
      </c>
      <c r="R1517" s="18" t="b">
        <f>FALSE()</f>
        <v>0</v>
      </c>
      <c r="S1517" s="19">
        <f t="shared" si="23"/>
        <v>11.9</v>
      </c>
      <c r="T1517">
        <f>COUNTIF('👤 Customers'!$A:$A, B1517)</f>
        <v>1</v>
      </c>
      <c r="U1517">
        <f>COUNTIF('🚴 Riders'!A1516:A1576, C1517)</f>
        <v>0</v>
      </c>
      <c r="V1517">
        <f>COUNTIF('🏭 Facilities'!A1516:A1524, D1517)</f>
        <v>0</v>
      </c>
    </row>
    <row r="1518" spans="1:22">
      <c r="A1518" s="16" t="s">
        <v>3693</v>
      </c>
      <c r="B1518" s="16" t="s">
        <v>1474</v>
      </c>
      <c r="C1518" s="16" t="s">
        <v>304</v>
      </c>
      <c r="D1518" s="16" t="s">
        <v>205</v>
      </c>
      <c r="E1518" s="25">
        <v>45252</v>
      </c>
      <c r="F1518" s="16" t="s">
        <v>3694</v>
      </c>
      <c r="G1518" s="16" t="s">
        <v>145</v>
      </c>
      <c r="H1518" s="16">
        <v>1.2</v>
      </c>
      <c r="I1518" s="16">
        <v>299</v>
      </c>
      <c r="J1518" s="16">
        <v>0</v>
      </c>
      <c r="K1518" s="16">
        <v>358.8</v>
      </c>
      <c r="L1518" s="16" t="s">
        <v>118</v>
      </c>
      <c r="M1518" s="16" t="s">
        <v>119</v>
      </c>
      <c r="N1518" s="27">
        <v>45252.124305555553</v>
      </c>
      <c r="O1518" s="27">
        <v>45252.71597222222</v>
      </c>
      <c r="P1518" s="16">
        <v>5</v>
      </c>
      <c r="Q1518" s="16" t="b">
        <f>FALSE()</f>
        <v>0</v>
      </c>
      <c r="R1518" s="16" t="b">
        <f>FALSE()</f>
        <v>0</v>
      </c>
      <c r="S1518" s="17">
        <f t="shared" si="23"/>
        <v>14.2</v>
      </c>
      <c r="T1518">
        <f>COUNTIF('👤 Customers'!$A:$A, B1518)</f>
        <v>1</v>
      </c>
      <c r="U1518">
        <f>COUNTIF('🚴 Riders'!A1517:A1577, C1518)</f>
        <v>0</v>
      </c>
      <c r="V1518">
        <f>COUNTIF('🏭 Facilities'!A1517:A1525, D1518)</f>
        <v>0</v>
      </c>
    </row>
    <row r="1519" spans="1:22">
      <c r="A1519" s="18" t="s">
        <v>3695</v>
      </c>
      <c r="B1519" s="18" t="s">
        <v>2792</v>
      </c>
      <c r="C1519" s="18" t="s">
        <v>272</v>
      </c>
      <c r="D1519" s="18" t="s">
        <v>197</v>
      </c>
      <c r="E1519" s="26">
        <v>45137</v>
      </c>
      <c r="F1519" s="18" t="s">
        <v>3696</v>
      </c>
      <c r="G1519" s="18" t="s">
        <v>132</v>
      </c>
      <c r="H1519" s="18">
        <v>4.9000000000000004</v>
      </c>
      <c r="I1519" s="18">
        <v>399</v>
      </c>
      <c r="J1519" s="18">
        <v>0</v>
      </c>
      <c r="K1519" s="18">
        <v>1955.1</v>
      </c>
      <c r="L1519" s="18" t="s">
        <v>139</v>
      </c>
      <c r="M1519" s="18" t="s">
        <v>119</v>
      </c>
      <c r="N1519" s="28">
        <v>45138.038888888892</v>
      </c>
      <c r="O1519" s="28">
        <v>45138.519444444442</v>
      </c>
      <c r="P1519" s="18">
        <v>4.3</v>
      </c>
      <c r="Q1519" s="18" t="b">
        <f>TRUE()</f>
        <v>1</v>
      </c>
      <c r="R1519" s="18" t="b">
        <f>FALSE()</f>
        <v>0</v>
      </c>
      <c r="S1519" s="19">
        <f t="shared" si="23"/>
        <v>11.5</v>
      </c>
      <c r="T1519">
        <f>COUNTIF('👤 Customers'!$A:$A, B1519)</f>
        <v>1</v>
      </c>
      <c r="U1519">
        <f>COUNTIF('🚴 Riders'!A1518:A1578, C1519)</f>
        <v>0</v>
      </c>
      <c r="V1519">
        <f>COUNTIF('🏭 Facilities'!A1518:A1526, D1519)</f>
        <v>0</v>
      </c>
    </row>
    <row r="1520" spans="1:22">
      <c r="A1520" s="16" t="s">
        <v>3697</v>
      </c>
      <c r="B1520" s="16" t="s">
        <v>1651</v>
      </c>
      <c r="C1520" s="16" t="s">
        <v>143</v>
      </c>
      <c r="D1520" s="16" t="s">
        <v>184</v>
      </c>
      <c r="E1520" s="25">
        <v>45595</v>
      </c>
      <c r="F1520" s="16" t="s">
        <v>3698</v>
      </c>
      <c r="G1520" s="16" t="s">
        <v>125</v>
      </c>
      <c r="H1520" s="16">
        <v>3.7</v>
      </c>
      <c r="I1520" s="16">
        <v>199</v>
      </c>
      <c r="J1520" s="16">
        <v>0</v>
      </c>
      <c r="K1520" s="16">
        <v>736.3</v>
      </c>
      <c r="L1520" s="16" t="s">
        <v>126</v>
      </c>
      <c r="M1520" s="16" t="s">
        <v>140</v>
      </c>
      <c r="N1520" s="27">
        <v>45595.066666666666</v>
      </c>
      <c r="O1520" s="27">
        <v>45595.534722222219</v>
      </c>
      <c r="P1520" s="20"/>
      <c r="Q1520" s="16" t="b">
        <f>FALSE()</f>
        <v>0</v>
      </c>
      <c r="R1520" s="16" t="b">
        <f>FALSE()</f>
        <v>0</v>
      </c>
      <c r="S1520" s="17">
        <f t="shared" si="23"/>
        <v>11.2</v>
      </c>
      <c r="T1520">
        <f>COUNTIF('👤 Customers'!$A:$A, B1520)</f>
        <v>1</v>
      </c>
      <c r="U1520">
        <f>COUNTIF('🚴 Riders'!A1519:A1579, C1520)</f>
        <v>0</v>
      </c>
      <c r="V1520">
        <f>COUNTIF('🏭 Facilities'!A1519:A1527, D1520)</f>
        <v>0</v>
      </c>
    </row>
    <row r="1521" spans="1:22">
      <c r="A1521" s="18" t="s">
        <v>3699</v>
      </c>
      <c r="B1521" s="18" t="s">
        <v>3700</v>
      </c>
      <c r="C1521" s="18" t="s">
        <v>204</v>
      </c>
      <c r="D1521" s="18" t="s">
        <v>184</v>
      </c>
      <c r="E1521" s="26">
        <v>45612</v>
      </c>
      <c r="F1521" s="18" t="s">
        <v>3701</v>
      </c>
      <c r="G1521" s="18" t="s">
        <v>176</v>
      </c>
      <c r="H1521" s="18">
        <v>7.4</v>
      </c>
      <c r="I1521" s="18">
        <v>599</v>
      </c>
      <c r="J1521" s="18">
        <v>10</v>
      </c>
      <c r="K1521" s="18">
        <v>3989.34</v>
      </c>
      <c r="L1521" s="18" t="s">
        <v>126</v>
      </c>
      <c r="M1521" s="18" t="s">
        <v>140</v>
      </c>
      <c r="N1521" s="28">
        <v>45612.540972222225</v>
      </c>
      <c r="O1521" s="28">
        <v>45613.095833333333</v>
      </c>
      <c r="P1521" s="20"/>
      <c r="Q1521" s="18" t="b">
        <f>FALSE()</f>
        <v>0</v>
      </c>
      <c r="R1521" s="18" t="b">
        <f>FALSE()</f>
        <v>0</v>
      </c>
      <c r="S1521" s="19">
        <f t="shared" si="23"/>
        <v>13.3</v>
      </c>
      <c r="T1521">
        <f>COUNTIF('👤 Customers'!$A:$A, B1521)</f>
        <v>1</v>
      </c>
      <c r="U1521">
        <f>COUNTIF('🚴 Riders'!A1520:A1580, C1521)</f>
        <v>0</v>
      </c>
      <c r="V1521">
        <f>COUNTIF('🏭 Facilities'!A1520:A1528, D1521)</f>
        <v>0</v>
      </c>
    </row>
    <row r="1522" spans="1:22">
      <c r="A1522" s="16" t="s">
        <v>3702</v>
      </c>
      <c r="B1522" s="16" t="s">
        <v>3703</v>
      </c>
      <c r="C1522" s="16" t="s">
        <v>461</v>
      </c>
      <c r="D1522" s="16" t="s">
        <v>197</v>
      </c>
      <c r="E1522" s="25">
        <v>45048</v>
      </c>
      <c r="F1522" s="16" t="s">
        <v>3704</v>
      </c>
      <c r="G1522" s="16" t="s">
        <v>145</v>
      </c>
      <c r="H1522" s="16">
        <v>5.4</v>
      </c>
      <c r="I1522" s="16">
        <v>299</v>
      </c>
      <c r="J1522" s="16">
        <v>0</v>
      </c>
      <c r="K1522" s="16">
        <v>1614.6</v>
      </c>
      <c r="L1522" s="16" t="s">
        <v>139</v>
      </c>
      <c r="M1522" s="16" t="s">
        <v>119</v>
      </c>
      <c r="N1522" s="27">
        <v>45048.277777777781</v>
      </c>
      <c r="O1522" s="27">
        <v>45048.999305555553</v>
      </c>
      <c r="P1522" s="16">
        <v>2.9</v>
      </c>
      <c r="Q1522" s="16" t="b">
        <f>FALSE()</f>
        <v>0</v>
      </c>
      <c r="R1522" s="16" t="b">
        <f>TRUE()</f>
        <v>1</v>
      </c>
      <c r="S1522" s="17">
        <f t="shared" si="23"/>
        <v>17.3</v>
      </c>
      <c r="T1522">
        <f>COUNTIF('👤 Customers'!$A:$A, B1522)</f>
        <v>1</v>
      </c>
      <c r="U1522">
        <f>COUNTIF('🚴 Riders'!A1521:A1581, C1522)</f>
        <v>0</v>
      </c>
      <c r="V1522">
        <f>COUNTIF('🏭 Facilities'!A1521:A1529, D1522)</f>
        <v>0</v>
      </c>
    </row>
    <row r="1523" spans="1:22">
      <c r="A1523" s="18" t="s">
        <v>3705</v>
      </c>
      <c r="B1523" s="18" t="s">
        <v>695</v>
      </c>
      <c r="C1523" s="18" t="s">
        <v>308</v>
      </c>
      <c r="D1523" s="18" t="s">
        <v>184</v>
      </c>
      <c r="E1523" s="26">
        <v>45249</v>
      </c>
      <c r="F1523" s="18" t="s">
        <v>3706</v>
      </c>
      <c r="G1523" s="18" t="s">
        <v>176</v>
      </c>
      <c r="H1523" s="18">
        <v>2.2000000000000002</v>
      </c>
      <c r="I1523" s="18">
        <v>599</v>
      </c>
      <c r="J1523" s="18">
        <v>20</v>
      </c>
      <c r="K1523" s="18">
        <v>1054.24</v>
      </c>
      <c r="L1523" s="18" t="s">
        <v>139</v>
      </c>
      <c r="M1523" s="18" t="s">
        <v>119</v>
      </c>
      <c r="N1523" s="28">
        <v>45249.186111111114</v>
      </c>
      <c r="O1523" s="28">
        <v>45250.136805555558</v>
      </c>
      <c r="P1523" s="18">
        <v>2.9</v>
      </c>
      <c r="Q1523" s="18" t="b">
        <f>FALSE()</f>
        <v>0</v>
      </c>
      <c r="R1523" s="18" t="b">
        <f>FALSE()</f>
        <v>0</v>
      </c>
      <c r="S1523" s="19">
        <f t="shared" si="23"/>
        <v>22.8</v>
      </c>
      <c r="T1523">
        <f>COUNTIF('👤 Customers'!$A:$A, B1523)</f>
        <v>1</v>
      </c>
      <c r="U1523">
        <f>COUNTIF('🚴 Riders'!A1522:A1582, C1523)</f>
        <v>0</v>
      </c>
      <c r="V1523">
        <f>COUNTIF('🏭 Facilities'!A1522:A1530, D1523)</f>
        <v>0</v>
      </c>
    </row>
    <row r="1524" spans="1:22">
      <c r="A1524" s="16" t="s">
        <v>3707</v>
      </c>
      <c r="B1524" s="16" t="s">
        <v>1356</v>
      </c>
      <c r="C1524" s="16" t="s">
        <v>611</v>
      </c>
      <c r="D1524" s="16" t="s">
        <v>197</v>
      </c>
      <c r="E1524" s="25">
        <v>45190</v>
      </c>
      <c r="F1524" s="16" t="s">
        <v>3708</v>
      </c>
      <c r="G1524" s="16" t="s">
        <v>176</v>
      </c>
      <c r="H1524" s="16">
        <v>2.2999999999999998</v>
      </c>
      <c r="I1524" s="16">
        <v>599</v>
      </c>
      <c r="J1524" s="16">
        <v>10</v>
      </c>
      <c r="K1524" s="16">
        <v>1239.93</v>
      </c>
      <c r="L1524" s="16" t="s">
        <v>146</v>
      </c>
      <c r="M1524" s="16" t="s">
        <v>140</v>
      </c>
      <c r="N1524" s="27">
        <v>45190.275694444441</v>
      </c>
      <c r="O1524" s="27">
        <v>45190.668749999997</v>
      </c>
      <c r="P1524" s="20"/>
      <c r="Q1524" s="16" t="b">
        <f>FALSE()</f>
        <v>0</v>
      </c>
      <c r="R1524" s="16" t="b">
        <f>FALSE()</f>
        <v>0</v>
      </c>
      <c r="S1524" s="17">
        <f t="shared" si="23"/>
        <v>9.4</v>
      </c>
      <c r="T1524">
        <f>COUNTIF('👤 Customers'!$A:$A, B1524)</f>
        <v>1</v>
      </c>
      <c r="U1524">
        <f>COUNTIF('🚴 Riders'!A1523:A1583, C1524)</f>
        <v>0</v>
      </c>
      <c r="V1524">
        <f>COUNTIF('🏭 Facilities'!A1523:A1531, D1524)</f>
        <v>0</v>
      </c>
    </row>
    <row r="1525" spans="1:22">
      <c r="A1525" s="18" t="s">
        <v>3709</v>
      </c>
      <c r="B1525" s="18" t="s">
        <v>2028</v>
      </c>
      <c r="C1525" s="18" t="s">
        <v>129</v>
      </c>
      <c r="D1525" s="18" t="s">
        <v>197</v>
      </c>
      <c r="E1525" s="26">
        <v>45012</v>
      </c>
      <c r="F1525" s="18" t="s">
        <v>3710</v>
      </c>
      <c r="G1525" s="18" t="s">
        <v>132</v>
      </c>
      <c r="H1525" s="18">
        <v>6.6</v>
      </c>
      <c r="I1525" s="18">
        <v>399</v>
      </c>
      <c r="J1525" s="18">
        <v>0</v>
      </c>
      <c r="K1525" s="18">
        <v>2633.4</v>
      </c>
      <c r="L1525" s="18" t="s">
        <v>139</v>
      </c>
      <c r="M1525" s="18" t="s">
        <v>119</v>
      </c>
      <c r="N1525" s="28">
        <v>45012.601388888892</v>
      </c>
      <c r="O1525" s="28">
        <v>45012.928472222222</v>
      </c>
      <c r="P1525" s="18">
        <v>2.6</v>
      </c>
      <c r="Q1525" s="18" t="b">
        <f>FALSE()</f>
        <v>0</v>
      </c>
      <c r="R1525" s="18" t="b">
        <f>TRUE()</f>
        <v>1</v>
      </c>
      <c r="S1525" s="19">
        <f t="shared" si="23"/>
        <v>7.8</v>
      </c>
      <c r="T1525">
        <f>COUNTIF('👤 Customers'!$A:$A, B1525)</f>
        <v>1</v>
      </c>
      <c r="U1525">
        <f>COUNTIF('🚴 Riders'!A1524:A1584, C1525)</f>
        <v>0</v>
      </c>
      <c r="V1525">
        <f>COUNTIF('🏭 Facilities'!A1524:A1532, D1525)</f>
        <v>0</v>
      </c>
    </row>
    <row r="1526" spans="1:22">
      <c r="A1526" s="16" t="s">
        <v>3711</v>
      </c>
      <c r="B1526" s="16" t="s">
        <v>1345</v>
      </c>
      <c r="C1526" s="16" t="s">
        <v>461</v>
      </c>
      <c r="D1526" s="16" t="s">
        <v>137</v>
      </c>
      <c r="E1526" s="25">
        <v>45643</v>
      </c>
      <c r="F1526" s="16" t="s">
        <v>3712</v>
      </c>
      <c r="G1526" s="16" t="s">
        <v>145</v>
      </c>
      <c r="H1526" s="16">
        <v>2.4</v>
      </c>
      <c r="I1526" s="16">
        <v>299</v>
      </c>
      <c r="J1526" s="16">
        <v>20</v>
      </c>
      <c r="K1526" s="16">
        <v>574.08000000000004</v>
      </c>
      <c r="L1526" s="16" t="s">
        <v>118</v>
      </c>
      <c r="M1526" s="16" t="s">
        <v>119</v>
      </c>
      <c r="N1526" s="27">
        <v>45643.845138888886</v>
      </c>
      <c r="O1526" s="27">
        <v>45644.367361111108</v>
      </c>
      <c r="P1526" s="16">
        <v>3.3</v>
      </c>
      <c r="Q1526" s="16" t="b">
        <f>FALSE()</f>
        <v>0</v>
      </c>
      <c r="R1526" s="16" t="b">
        <f>FALSE()</f>
        <v>0</v>
      </c>
      <c r="S1526" s="17">
        <f t="shared" si="23"/>
        <v>12.5</v>
      </c>
      <c r="T1526">
        <f>COUNTIF('👤 Customers'!$A:$A, B1526)</f>
        <v>1</v>
      </c>
      <c r="U1526">
        <f>COUNTIF('🚴 Riders'!A1525:A1585, C1526)</f>
        <v>0</v>
      </c>
      <c r="V1526">
        <f>COUNTIF('🏭 Facilities'!A1525:A1533, D1526)</f>
        <v>0</v>
      </c>
    </row>
    <row r="1527" spans="1:22">
      <c r="A1527" s="18" t="s">
        <v>3713</v>
      </c>
      <c r="B1527" s="18" t="s">
        <v>1612</v>
      </c>
      <c r="C1527" s="18" t="s">
        <v>315</v>
      </c>
      <c r="D1527" s="18" t="s">
        <v>205</v>
      </c>
      <c r="E1527" s="26">
        <v>45303</v>
      </c>
      <c r="F1527" s="18" t="s">
        <v>3714</v>
      </c>
      <c r="G1527" s="18" t="s">
        <v>125</v>
      </c>
      <c r="H1527" s="18">
        <v>1.6</v>
      </c>
      <c r="I1527" s="18">
        <v>199</v>
      </c>
      <c r="J1527" s="18">
        <v>0</v>
      </c>
      <c r="K1527" s="18">
        <v>318.39999999999998</v>
      </c>
      <c r="L1527" s="18" t="s">
        <v>207</v>
      </c>
      <c r="M1527" s="18" t="s">
        <v>140</v>
      </c>
      <c r="N1527" s="28">
        <v>45303.427083333336</v>
      </c>
      <c r="O1527" s="28">
        <v>45304.270138888889</v>
      </c>
      <c r="P1527" s="20"/>
      <c r="Q1527" s="18" t="b">
        <f>FALSE()</f>
        <v>0</v>
      </c>
      <c r="R1527" s="18" t="b">
        <f>TRUE()</f>
        <v>1</v>
      </c>
      <c r="S1527" s="19">
        <f t="shared" si="23"/>
        <v>20.2</v>
      </c>
      <c r="T1527">
        <f>COUNTIF('👤 Customers'!$A:$A, B1527)</f>
        <v>1</v>
      </c>
      <c r="U1527">
        <f>COUNTIF('🚴 Riders'!A1526:A1586, C1527)</f>
        <v>0</v>
      </c>
      <c r="V1527">
        <f>COUNTIF('🏭 Facilities'!A1526:A1534, D1527)</f>
        <v>0</v>
      </c>
    </row>
    <row r="1528" spans="1:22">
      <c r="A1528" s="16" t="s">
        <v>3715</v>
      </c>
      <c r="B1528" s="16" t="s">
        <v>620</v>
      </c>
      <c r="C1528" s="16" t="s">
        <v>354</v>
      </c>
      <c r="D1528" s="16" t="s">
        <v>184</v>
      </c>
      <c r="E1528" s="25">
        <v>44996</v>
      </c>
      <c r="F1528" s="16" t="s">
        <v>3716</v>
      </c>
      <c r="G1528" s="16" t="s">
        <v>132</v>
      </c>
      <c r="H1528" s="16">
        <v>7.7</v>
      </c>
      <c r="I1528" s="16">
        <v>399</v>
      </c>
      <c r="J1528" s="16">
        <v>0</v>
      </c>
      <c r="K1528" s="16">
        <v>3072.3</v>
      </c>
      <c r="L1528" s="16" t="s">
        <v>207</v>
      </c>
      <c r="M1528" s="16" t="s">
        <v>119</v>
      </c>
      <c r="N1528" s="27">
        <v>44996.945833333331</v>
      </c>
      <c r="O1528" s="27">
        <v>44997.673611111109</v>
      </c>
      <c r="P1528" s="16">
        <v>4</v>
      </c>
      <c r="Q1528" s="16" t="b">
        <f>FALSE()</f>
        <v>0</v>
      </c>
      <c r="R1528" s="16" t="b">
        <f>FALSE()</f>
        <v>0</v>
      </c>
      <c r="S1528" s="17">
        <f t="shared" si="23"/>
        <v>17.5</v>
      </c>
      <c r="T1528">
        <f>COUNTIF('👤 Customers'!$A:$A, B1528)</f>
        <v>1</v>
      </c>
      <c r="U1528">
        <f>COUNTIF('🚴 Riders'!A1527:A1587, C1528)</f>
        <v>0</v>
      </c>
      <c r="V1528">
        <f>COUNTIF('🏭 Facilities'!A1527:A1535, D1528)</f>
        <v>0</v>
      </c>
    </row>
    <row r="1529" spans="1:22">
      <c r="A1529" s="18" t="s">
        <v>3717</v>
      </c>
      <c r="B1529" s="18" t="s">
        <v>1165</v>
      </c>
      <c r="C1529" s="18" t="s">
        <v>247</v>
      </c>
      <c r="D1529" s="18" t="s">
        <v>123</v>
      </c>
      <c r="E1529" s="26">
        <v>45029</v>
      </c>
      <c r="F1529" s="18" t="s">
        <v>3718</v>
      </c>
      <c r="G1529" s="18" t="s">
        <v>117</v>
      </c>
      <c r="H1529" s="18">
        <v>2.7</v>
      </c>
      <c r="I1529" s="18">
        <v>149</v>
      </c>
      <c r="J1529" s="18">
        <v>0</v>
      </c>
      <c r="K1529" s="18">
        <v>402.3</v>
      </c>
      <c r="L1529" s="18" t="s">
        <v>146</v>
      </c>
      <c r="M1529" s="18" t="s">
        <v>140</v>
      </c>
      <c r="N1529" s="28">
        <v>45029.48333333333</v>
      </c>
      <c r="O1529" s="28">
        <v>45030.057638888888</v>
      </c>
      <c r="P1529" s="20"/>
      <c r="Q1529" s="18" t="b">
        <f>FALSE()</f>
        <v>0</v>
      </c>
      <c r="R1529" s="18" t="b">
        <f>FALSE()</f>
        <v>0</v>
      </c>
      <c r="S1529" s="19">
        <f t="shared" si="23"/>
        <v>13.8</v>
      </c>
      <c r="T1529">
        <f>COUNTIF('👤 Customers'!$A:$A, B1529)</f>
        <v>1</v>
      </c>
      <c r="U1529">
        <f>COUNTIF('🚴 Riders'!A1528:A1588, C1529)</f>
        <v>0</v>
      </c>
      <c r="V1529">
        <f>COUNTIF('🏭 Facilities'!A1528:A1536, D1529)</f>
        <v>0</v>
      </c>
    </row>
    <row r="1530" spans="1:22">
      <c r="A1530" s="16" t="s">
        <v>3719</v>
      </c>
      <c r="B1530" s="16" t="s">
        <v>1368</v>
      </c>
      <c r="C1530" s="16" t="s">
        <v>224</v>
      </c>
      <c r="D1530" s="16" t="s">
        <v>123</v>
      </c>
      <c r="E1530" s="25">
        <v>45560</v>
      </c>
      <c r="F1530" s="16" t="s">
        <v>3720</v>
      </c>
      <c r="G1530" s="16" t="s">
        <v>145</v>
      </c>
      <c r="H1530" s="16">
        <v>6.5</v>
      </c>
      <c r="I1530" s="16">
        <v>299</v>
      </c>
      <c r="J1530" s="16">
        <v>10</v>
      </c>
      <c r="K1530" s="16">
        <v>1749.15</v>
      </c>
      <c r="L1530" s="16" t="s">
        <v>146</v>
      </c>
      <c r="M1530" s="16" t="s">
        <v>119</v>
      </c>
      <c r="N1530" s="27">
        <v>45560.267361111109</v>
      </c>
      <c r="O1530" s="27">
        <v>45561.359722222223</v>
      </c>
      <c r="P1530" s="16">
        <v>3.9</v>
      </c>
      <c r="Q1530" s="16" t="b">
        <f>TRUE()</f>
        <v>1</v>
      </c>
      <c r="R1530" s="16" t="b">
        <f>FALSE()</f>
        <v>0</v>
      </c>
      <c r="S1530" s="17">
        <f t="shared" si="23"/>
        <v>26.2</v>
      </c>
      <c r="T1530">
        <f>COUNTIF('👤 Customers'!$A:$A, B1530)</f>
        <v>1</v>
      </c>
      <c r="U1530">
        <f>COUNTIF('🚴 Riders'!A1529:A1589, C1530)</f>
        <v>0</v>
      </c>
      <c r="V1530">
        <f>COUNTIF('🏭 Facilities'!A1529:A1537, D1530)</f>
        <v>0</v>
      </c>
    </row>
    <row r="1531" spans="1:22">
      <c r="A1531" s="18" t="s">
        <v>3721</v>
      </c>
      <c r="B1531" s="18" t="s">
        <v>1064</v>
      </c>
      <c r="C1531" s="18" t="s">
        <v>179</v>
      </c>
      <c r="D1531" s="18" t="s">
        <v>130</v>
      </c>
      <c r="E1531" s="26">
        <v>45369</v>
      </c>
      <c r="F1531" s="18" t="s">
        <v>3722</v>
      </c>
      <c r="G1531" s="18" t="s">
        <v>145</v>
      </c>
      <c r="H1531" s="18">
        <v>8</v>
      </c>
      <c r="I1531" s="18">
        <v>299</v>
      </c>
      <c r="J1531" s="18">
        <v>0</v>
      </c>
      <c r="K1531" s="18">
        <v>2392</v>
      </c>
      <c r="L1531" s="18" t="s">
        <v>139</v>
      </c>
      <c r="M1531" s="18" t="s">
        <v>119</v>
      </c>
      <c r="N1531" s="28">
        <v>45369.758333333331</v>
      </c>
      <c r="O1531" s="28">
        <v>45370.618750000001</v>
      </c>
      <c r="P1531" s="18">
        <v>2.6</v>
      </c>
      <c r="Q1531" s="18" t="b">
        <f>FALSE()</f>
        <v>0</v>
      </c>
      <c r="R1531" s="18" t="b">
        <f>FALSE()</f>
        <v>0</v>
      </c>
      <c r="S1531" s="19">
        <f t="shared" si="23"/>
        <v>20.7</v>
      </c>
      <c r="T1531">
        <f>COUNTIF('👤 Customers'!$A:$A, B1531)</f>
        <v>1</v>
      </c>
      <c r="U1531">
        <f>COUNTIF('🚴 Riders'!A1530:A1590, C1531)</f>
        <v>0</v>
      </c>
      <c r="V1531">
        <f>COUNTIF('🏭 Facilities'!A1530:A1538, D1531)</f>
        <v>0</v>
      </c>
    </row>
    <row r="1532" spans="1:22">
      <c r="A1532" s="16" t="s">
        <v>3723</v>
      </c>
      <c r="B1532" s="16" t="s">
        <v>646</v>
      </c>
      <c r="C1532" s="16" t="s">
        <v>236</v>
      </c>
      <c r="D1532" s="16" t="s">
        <v>137</v>
      </c>
      <c r="E1532" s="25">
        <v>45529</v>
      </c>
      <c r="F1532" s="16" t="s">
        <v>3724</v>
      </c>
      <c r="G1532" s="16" t="s">
        <v>176</v>
      </c>
      <c r="H1532" s="16">
        <v>7.8</v>
      </c>
      <c r="I1532" s="16">
        <v>599</v>
      </c>
      <c r="J1532" s="16">
        <v>0</v>
      </c>
      <c r="K1532" s="16">
        <v>4672.2</v>
      </c>
      <c r="L1532" s="16" t="s">
        <v>207</v>
      </c>
      <c r="M1532" s="16" t="s">
        <v>133</v>
      </c>
      <c r="N1532" s="20"/>
      <c r="O1532" s="20"/>
      <c r="P1532" s="20"/>
      <c r="Q1532" s="16" t="b">
        <f>FALSE()</f>
        <v>0</v>
      </c>
      <c r="R1532" s="16" t="b">
        <f>FALSE()</f>
        <v>0</v>
      </c>
      <c r="S1532" s="17" t="str">
        <f t="shared" si="23"/>
        <v>N/A</v>
      </c>
      <c r="T1532">
        <f>COUNTIF('👤 Customers'!$A:$A, B1532)</f>
        <v>1</v>
      </c>
      <c r="U1532">
        <f>COUNTIF('🚴 Riders'!A1531:A1591, C1532)</f>
        <v>0</v>
      </c>
      <c r="V1532">
        <f>COUNTIF('🏭 Facilities'!A1531:A1539, D1532)</f>
        <v>0</v>
      </c>
    </row>
    <row r="1533" spans="1:22">
      <c r="A1533" s="18" t="s">
        <v>3725</v>
      </c>
      <c r="B1533" s="18" t="s">
        <v>361</v>
      </c>
      <c r="C1533" s="18" t="s">
        <v>183</v>
      </c>
      <c r="D1533" s="18" t="s">
        <v>115</v>
      </c>
      <c r="E1533" s="26">
        <v>45071</v>
      </c>
      <c r="F1533" s="18" t="s">
        <v>3726</v>
      </c>
      <c r="G1533" s="18" t="s">
        <v>176</v>
      </c>
      <c r="H1533" s="18">
        <v>4.7</v>
      </c>
      <c r="I1533" s="18">
        <v>599</v>
      </c>
      <c r="J1533" s="18">
        <v>0</v>
      </c>
      <c r="K1533" s="18">
        <v>2815.3</v>
      </c>
      <c r="L1533" s="18" t="s">
        <v>146</v>
      </c>
      <c r="M1533" s="18" t="s">
        <v>119</v>
      </c>
      <c r="N1533" s="28">
        <v>45071.569444444445</v>
      </c>
      <c r="O1533" s="28">
        <v>45071.989583333336</v>
      </c>
      <c r="P1533" s="18">
        <v>4</v>
      </c>
      <c r="Q1533" s="18" t="b">
        <f>FALSE()</f>
        <v>0</v>
      </c>
      <c r="R1533" s="18" t="b">
        <f>FALSE()</f>
        <v>0</v>
      </c>
      <c r="S1533" s="19">
        <f t="shared" si="23"/>
        <v>10.1</v>
      </c>
      <c r="T1533">
        <f>COUNTIF('👤 Customers'!$A:$A, B1533)</f>
        <v>1</v>
      </c>
      <c r="U1533">
        <f>COUNTIF('🚴 Riders'!A1532:A1592, C1533)</f>
        <v>0</v>
      </c>
      <c r="V1533">
        <f>COUNTIF('🏭 Facilities'!A1532:A1540, D1533)</f>
        <v>0</v>
      </c>
    </row>
    <row r="1534" spans="1:22">
      <c r="A1534" s="16" t="s">
        <v>3727</v>
      </c>
      <c r="B1534" s="16" t="s">
        <v>1523</v>
      </c>
      <c r="C1534" s="16" t="s">
        <v>272</v>
      </c>
      <c r="D1534" s="16" t="s">
        <v>130</v>
      </c>
      <c r="E1534" s="25">
        <v>45219</v>
      </c>
      <c r="F1534" s="16" t="s">
        <v>3728</v>
      </c>
      <c r="G1534" s="16" t="s">
        <v>176</v>
      </c>
      <c r="H1534" s="16">
        <v>7.9</v>
      </c>
      <c r="I1534" s="16">
        <v>599</v>
      </c>
      <c r="J1534" s="16">
        <v>20</v>
      </c>
      <c r="K1534" s="16">
        <v>3785.68</v>
      </c>
      <c r="L1534" s="16" t="s">
        <v>207</v>
      </c>
      <c r="M1534" s="16" t="s">
        <v>133</v>
      </c>
      <c r="N1534" s="20"/>
      <c r="O1534" s="20"/>
      <c r="P1534" s="20"/>
      <c r="Q1534" s="16" t="b">
        <f>FALSE()</f>
        <v>0</v>
      </c>
      <c r="R1534" s="16" t="b">
        <f>FALSE()</f>
        <v>0</v>
      </c>
      <c r="S1534" s="17" t="str">
        <f t="shared" si="23"/>
        <v>N/A</v>
      </c>
      <c r="T1534">
        <f>COUNTIF('👤 Customers'!$A:$A, B1534)</f>
        <v>1</v>
      </c>
      <c r="U1534">
        <f>COUNTIF('🚴 Riders'!A1533:A1593, C1534)</f>
        <v>0</v>
      </c>
      <c r="V1534">
        <f>COUNTIF('🏭 Facilities'!A1533:A1541, D1534)</f>
        <v>0</v>
      </c>
    </row>
    <row r="1535" spans="1:22">
      <c r="A1535" s="18" t="s">
        <v>3729</v>
      </c>
      <c r="B1535" s="18" t="s">
        <v>2043</v>
      </c>
      <c r="C1535" s="18" t="s">
        <v>304</v>
      </c>
      <c r="D1535" s="18" t="s">
        <v>123</v>
      </c>
      <c r="E1535" s="26">
        <v>45297</v>
      </c>
      <c r="F1535" s="18" t="s">
        <v>3730</v>
      </c>
      <c r="G1535" s="18" t="s">
        <v>145</v>
      </c>
      <c r="H1535" s="18">
        <v>4.9000000000000004</v>
      </c>
      <c r="I1535" s="18">
        <v>299</v>
      </c>
      <c r="J1535" s="18">
        <v>0</v>
      </c>
      <c r="K1535" s="18">
        <v>1465.1</v>
      </c>
      <c r="L1535" s="18" t="s">
        <v>126</v>
      </c>
      <c r="M1535" s="18" t="s">
        <v>119</v>
      </c>
      <c r="N1535" s="28">
        <v>45297.939583333333</v>
      </c>
      <c r="O1535" s="28">
        <v>45298.448611111111</v>
      </c>
      <c r="P1535" s="18">
        <v>3.1</v>
      </c>
      <c r="Q1535" s="18" t="b">
        <f>FALSE()</f>
        <v>0</v>
      </c>
      <c r="R1535" s="18" t="b">
        <f>TRUE()</f>
        <v>1</v>
      </c>
      <c r="S1535" s="19">
        <f t="shared" si="23"/>
        <v>12.2</v>
      </c>
      <c r="T1535">
        <f>COUNTIF('👤 Customers'!$A:$A, B1535)</f>
        <v>1</v>
      </c>
      <c r="U1535">
        <f>COUNTIF('🚴 Riders'!A1534:A1594, C1535)</f>
        <v>0</v>
      </c>
      <c r="V1535">
        <f>COUNTIF('🏭 Facilities'!A1534:A1542, D1535)</f>
        <v>0</v>
      </c>
    </row>
    <row r="1536" spans="1:22">
      <c r="A1536" s="16" t="s">
        <v>3731</v>
      </c>
      <c r="B1536" s="16" t="s">
        <v>2262</v>
      </c>
      <c r="C1536" s="16" t="s">
        <v>196</v>
      </c>
      <c r="D1536" s="16" t="s">
        <v>197</v>
      </c>
      <c r="E1536" s="25">
        <v>45600</v>
      </c>
      <c r="F1536" s="16" t="s">
        <v>3732</v>
      </c>
      <c r="G1536" s="16" t="s">
        <v>117</v>
      </c>
      <c r="H1536" s="16">
        <v>7.3</v>
      </c>
      <c r="I1536" s="16">
        <v>149</v>
      </c>
      <c r="J1536" s="16">
        <v>20</v>
      </c>
      <c r="K1536" s="16">
        <v>870.16</v>
      </c>
      <c r="L1536" s="16" t="s">
        <v>207</v>
      </c>
      <c r="M1536" s="16" t="s">
        <v>119</v>
      </c>
      <c r="N1536" s="27">
        <v>45600.435416666667</v>
      </c>
      <c r="O1536" s="27">
        <v>45601.241666666669</v>
      </c>
      <c r="P1536" s="16">
        <v>5</v>
      </c>
      <c r="Q1536" s="16" t="b">
        <f>FALSE()</f>
        <v>0</v>
      </c>
      <c r="R1536" s="16" t="b">
        <f>TRUE()</f>
        <v>1</v>
      </c>
      <c r="S1536" s="17">
        <f t="shared" si="23"/>
        <v>19.399999999999999</v>
      </c>
      <c r="T1536">
        <f>COUNTIF('👤 Customers'!$A:$A, B1536)</f>
        <v>1</v>
      </c>
      <c r="U1536">
        <f>COUNTIF('🚴 Riders'!A1535:A1595, C1536)</f>
        <v>0</v>
      </c>
      <c r="V1536">
        <f>COUNTIF('🏭 Facilities'!A1535:A1543, D1536)</f>
        <v>0</v>
      </c>
    </row>
    <row r="1537" spans="1:22">
      <c r="A1537" s="18" t="s">
        <v>3733</v>
      </c>
      <c r="B1537" s="18" t="s">
        <v>827</v>
      </c>
      <c r="C1537" s="18" t="s">
        <v>283</v>
      </c>
      <c r="D1537" s="18" t="s">
        <v>197</v>
      </c>
      <c r="E1537" s="26">
        <v>45623</v>
      </c>
      <c r="F1537" s="18" t="s">
        <v>3734</v>
      </c>
      <c r="G1537" s="18" t="s">
        <v>125</v>
      </c>
      <c r="H1537" s="18">
        <v>3</v>
      </c>
      <c r="I1537" s="18">
        <v>199</v>
      </c>
      <c r="J1537" s="18">
        <v>0</v>
      </c>
      <c r="K1537" s="18">
        <v>597</v>
      </c>
      <c r="L1537" s="18" t="s">
        <v>118</v>
      </c>
      <c r="M1537" s="18" t="s">
        <v>140</v>
      </c>
      <c r="N1537" s="28">
        <v>45623.690972222219</v>
      </c>
      <c r="O1537" s="28">
        <v>45624.692361111112</v>
      </c>
      <c r="P1537" s="20"/>
      <c r="Q1537" s="18" t="b">
        <f>FALSE()</f>
        <v>0</v>
      </c>
      <c r="R1537" s="18" t="b">
        <f>FALSE()</f>
        <v>0</v>
      </c>
      <c r="S1537" s="19">
        <f t="shared" si="23"/>
        <v>24</v>
      </c>
      <c r="T1537">
        <f>COUNTIF('👤 Customers'!$A:$A, B1537)</f>
        <v>1</v>
      </c>
      <c r="U1537">
        <f>COUNTIF('🚴 Riders'!A1536:A1596, C1537)</f>
        <v>0</v>
      </c>
      <c r="V1537">
        <f>COUNTIF('🏭 Facilities'!A1536:A1544, D1537)</f>
        <v>0</v>
      </c>
    </row>
    <row r="1538" spans="1:22">
      <c r="A1538" s="16" t="s">
        <v>3735</v>
      </c>
      <c r="B1538" s="16" t="s">
        <v>762</v>
      </c>
      <c r="C1538" s="16" t="s">
        <v>326</v>
      </c>
      <c r="D1538" s="16" t="s">
        <v>115</v>
      </c>
      <c r="E1538" s="25">
        <v>45589</v>
      </c>
      <c r="F1538" s="16" t="s">
        <v>3736</v>
      </c>
      <c r="G1538" s="16" t="s">
        <v>125</v>
      </c>
      <c r="H1538" s="16">
        <v>7.1</v>
      </c>
      <c r="I1538" s="16">
        <v>199</v>
      </c>
      <c r="J1538" s="16">
        <v>10</v>
      </c>
      <c r="K1538" s="16">
        <v>1271.6099999999999</v>
      </c>
      <c r="L1538" s="16" t="s">
        <v>118</v>
      </c>
      <c r="M1538" s="16" t="s">
        <v>133</v>
      </c>
      <c r="N1538" s="20"/>
      <c r="O1538" s="20"/>
      <c r="P1538" s="20"/>
      <c r="Q1538" s="16" t="b">
        <f>FALSE()</f>
        <v>0</v>
      </c>
      <c r="R1538" s="16" t="b">
        <f>FALSE()</f>
        <v>0</v>
      </c>
      <c r="S1538" s="17" t="str">
        <f t="shared" ref="S1538:S1601" si="24">IF(OR(N1538="",O1538=""),"N/A",ROUND(((O1538-N1538)*24),1))</f>
        <v>N/A</v>
      </c>
      <c r="T1538">
        <f>COUNTIF('👤 Customers'!$A:$A, B1538)</f>
        <v>1</v>
      </c>
      <c r="U1538">
        <f>COUNTIF('🚴 Riders'!A1537:A1597, C1538)</f>
        <v>0</v>
      </c>
      <c r="V1538">
        <f>COUNTIF('🏭 Facilities'!A1537:A1545, D1538)</f>
        <v>0</v>
      </c>
    </row>
    <row r="1539" spans="1:22">
      <c r="A1539" s="18" t="s">
        <v>3737</v>
      </c>
      <c r="B1539" s="18" t="s">
        <v>1612</v>
      </c>
      <c r="C1539" s="18" t="s">
        <v>315</v>
      </c>
      <c r="D1539" s="18" t="s">
        <v>137</v>
      </c>
      <c r="E1539" s="26">
        <v>45349</v>
      </c>
      <c r="F1539" s="18" t="s">
        <v>3738</v>
      </c>
      <c r="G1539" s="18" t="s">
        <v>145</v>
      </c>
      <c r="H1539" s="18">
        <v>1.9</v>
      </c>
      <c r="I1539" s="18">
        <v>299</v>
      </c>
      <c r="J1539" s="18">
        <v>0</v>
      </c>
      <c r="K1539" s="18">
        <v>568.1</v>
      </c>
      <c r="L1539" s="18" t="s">
        <v>118</v>
      </c>
      <c r="M1539" s="18" t="s">
        <v>133</v>
      </c>
      <c r="N1539" s="20"/>
      <c r="O1539" s="20"/>
      <c r="P1539" s="20"/>
      <c r="Q1539" s="18" t="b">
        <f>FALSE()</f>
        <v>0</v>
      </c>
      <c r="R1539" s="18" t="b">
        <f>FALSE()</f>
        <v>0</v>
      </c>
      <c r="S1539" s="19" t="str">
        <f t="shared" si="24"/>
        <v>N/A</v>
      </c>
      <c r="T1539">
        <f>COUNTIF('👤 Customers'!$A:$A, B1539)</f>
        <v>1</v>
      </c>
      <c r="U1539">
        <f>COUNTIF('🚴 Riders'!A1538:A1598, C1539)</f>
        <v>0</v>
      </c>
      <c r="V1539">
        <f>COUNTIF('🏭 Facilities'!A1538:A1546, D1539)</f>
        <v>0</v>
      </c>
    </row>
    <row r="1540" spans="1:22">
      <c r="A1540" s="16" t="s">
        <v>3739</v>
      </c>
      <c r="B1540" s="16" t="s">
        <v>209</v>
      </c>
      <c r="C1540" s="16" t="s">
        <v>247</v>
      </c>
      <c r="D1540" s="16" t="s">
        <v>197</v>
      </c>
      <c r="E1540" s="25">
        <v>45478</v>
      </c>
      <c r="F1540" s="16" t="s">
        <v>3740</v>
      </c>
      <c r="G1540" s="16" t="s">
        <v>132</v>
      </c>
      <c r="H1540" s="16">
        <v>1.4</v>
      </c>
      <c r="I1540" s="16">
        <v>399</v>
      </c>
      <c r="J1540" s="16">
        <v>0</v>
      </c>
      <c r="K1540" s="16">
        <v>558.6</v>
      </c>
      <c r="L1540" s="16" t="s">
        <v>146</v>
      </c>
      <c r="M1540" s="16" t="s">
        <v>119</v>
      </c>
      <c r="N1540" s="27">
        <v>45478.165277777778</v>
      </c>
      <c r="O1540" s="27">
        <v>45478.557638888888</v>
      </c>
      <c r="P1540" s="16">
        <v>4.9000000000000004</v>
      </c>
      <c r="Q1540" s="16" t="b">
        <f>FALSE()</f>
        <v>0</v>
      </c>
      <c r="R1540" s="16" t="b">
        <f>FALSE()</f>
        <v>0</v>
      </c>
      <c r="S1540" s="17">
        <f t="shared" si="24"/>
        <v>9.4</v>
      </c>
      <c r="T1540">
        <f>COUNTIF('👤 Customers'!$A:$A, B1540)</f>
        <v>1</v>
      </c>
      <c r="U1540">
        <f>COUNTIF('🚴 Riders'!A1539:A1599, C1540)</f>
        <v>0</v>
      </c>
      <c r="V1540">
        <f>COUNTIF('🏭 Facilities'!A1539:A1547, D1540)</f>
        <v>0</v>
      </c>
    </row>
    <row r="1541" spans="1:22">
      <c r="A1541" s="18" t="s">
        <v>3741</v>
      </c>
      <c r="B1541" s="18" t="s">
        <v>1018</v>
      </c>
      <c r="C1541" s="18" t="s">
        <v>358</v>
      </c>
      <c r="D1541" s="18" t="s">
        <v>158</v>
      </c>
      <c r="E1541" s="26">
        <v>45024</v>
      </c>
      <c r="F1541" s="18" t="s">
        <v>3742</v>
      </c>
      <c r="G1541" s="18" t="s">
        <v>176</v>
      </c>
      <c r="H1541" s="18">
        <v>7.6</v>
      </c>
      <c r="I1541" s="18">
        <v>599</v>
      </c>
      <c r="J1541" s="18">
        <v>20</v>
      </c>
      <c r="K1541" s="18">
        <v>3641.92</v>
      </c>
      <c r="L1541" s="18" t="s">
        <v>146</v>
      </c>
      <c r="M1541" s="18" t="s">
        <v>133</v>
      </c>
      <c r="N1541" s="20"/>
      <c r="O1541" s="20"/>
      <c r="P1541" s="20"/>
      <c r="Q1541" s="18" t="b">
        <f>TRUE()</f>
        <v>1</v>
      </c>
      <c r="R1541" s="18" t="b">
        <f>TRUE()</f>
        <v>1</v>
      </c>
      <c r="S1541" s="19" t="str">
        <f t="shared" si="24"/>
        <v>N/A</v>
      </c>
      <c r="T1541">
        <f>COUNTIF('👤 Customers'!$A:$A, B1541)</f>
        <v>1</v>
      </c>
      <c r="U1541">
        <f>COUNTIF('🚴 Riders'!A1540:A1600, C1541)</f>
        <v>0</v>
      </c>
      <c r="V1541">
        <f>COUNTIF('🏭 Facilities'!A1540:A1548, D1541)</f>
        <v>0</v>
      </c>
    </row>
    <row r="1542" spans="1:22">
      <c r="A1542" s="16" t="s">
        <v>3743</v>
      </c>
      <c r="B1542" s="16" t="s">
        <v>858</v>
      </c>
      <c r="C1542" s="16" t="s">
        <v>483</v>
      </c>
      <c r="D1542" s="16" t="s">
        <v>205</v>
      </c>
      <c r="E1542" s="25">
        <v>45295</v>
      </c>
      <c r="F1542" s="16" t="s">
        <v>3744</v>
      </c>
      <c r="G1542" s="16" t="s">
        <v>117</v>
      </c>
      <c r="H1542" s="16">
        <v>2.7</v>
      </c>
      <c r="I1542" s="16">
        <v>149</v>
      </c>
      <c r="J1542" s="16">
        <v>20</v>
      </c>
      <c r="K1542" s="16">
        <v>321.83999999999997</v>
      </c>
      <c r="L1542" s="16" t="s">
        <v>139</v>
      </c>
      <c r="M1542" s="16" t="s">
        <v>119</v>
      </c>
      <c r="N1542" s="27">
        <v>45295.166666666664</v>
      </c>
      <c r="O1542" s="27">
        <v>45295.843055555553</v>
      </c>
      <c r="P1542" s="16">
        <v>2.9</v>
      </c>
      <c r="Q1542" s="16" t="b">
        <f>FALSE()</f>
        <v>0</v>
      </c>
      <c r="R1542" s="16" t="b">
        <f>FALSE()</f>
        <v>0</v>
      </c>
      <c r="S1542" s="17">
        <f t="shared" si="24"/>
        <v>16.2</v>
      </c>
      <c r="T1542">
        <f>COUNTIF('👤 Customers'!$A:$A, B1542)</f>
        <v>1</v>
      </c>
      <c r="U1542">
        <f>COUNTIF('🚴 Riders'!A1541:A1601, C1542)</f>
        <v>0</v>
      </c>
      <c r="V1542">
        <f>COUNTIF('🏭 Facilities'!A1541:A1549, D1542)</f>
        <v>0</v>
      </c>
    </row>
    <row r="1543" spans="1:22">
      <c r="A1543" s="18" t="s">
        <v>3745</v>
      </c>
      <c r="B1543" s="18" t="s">
        <v>872</v>
      </c>
      <c r="C1543" s="18" t="s">
        <v>315</v>
      </c>
      <c r="D1543" s="18" t="s">
        <v>205</v>
      </c>
      <c r="E1543" s="26">
        <v>45425</v>
      </c>
      <c r="F1543" s="18" t="s">
        <v>3746</v>
      </c>
      <c r="G1543" s="18" t="s">
        <v>117</v>
      </c>
      <c r="H1543" s="18">
        <v>6.9</v>
      </c>
      <c r="I1543" s="18">
        <v>149</v>
      </c>
      <c r="J1543" s="18">
        <v>0</v>
      </c>
      <c r="K1543" s="18">
        <v>1028.0999999999999</v>
      </c>
      <c r="L1543" s="18" t="s">
        <v>207</v>
      </c>
      <c r="M1543" s="18" t="s">
        <v>119</v>
      </c>
      <c r="N1543" s="28">
        <v>45425.757638888892</v>
      </c>
      <c r="O1543" s="28">
        <v>45426.301388888889</v>
      </c>
      <c r="P1543" s="18">
        <v>4.9000000000000004</v>
      </c>
      <c r="Q1543" s="18" t="b">
        <f>FALSE()</f>
        <v>0</v>
      </c>
      <c r="R1543" s="18" t="b">
        <f>FALSE()</f>
        <v>0</v>
      </c>
      <c r="S1543" s="19">
        <f t="shared" si="24"/>
        <v>13</v>
      </c>
      <c r="T1543">
        <f>COUNTIF('👤 Customers'!$A:$A, B1543)</f>
        <v>1</v>
      </c>
      <c r="U1543">
        <f>COUNTIF('🚴 Riders'!A1542:A1602, C1543)</f>
        <v>0</v>
      </c>
      <c r="V1543">
        <f>COUNTIF('🏭 Facilities'!A1542:A1550, D1543)</f>
        <v>0</v>
      </c>
    </row>
    <row r="1544" spans="1:22">
      <c r="A1544" s="16" t="s">
        <v>3747</v>
      </c>
      <c r="B1544" s="16" t="s">
        <v>475</v>
      </c>
      <c r="C1544" s="16" t="s">
        <v>236</v>
      </c>
      <c r="D1544" s="16" t="s">
        <v>205</v>
      </c>
      <c r="E1544" s="25">
        <v>45407</v>
      </c>
      <c r="F1544" s="16" t="s">
        <v>3748</v>
      </c>
      <c r="G1544" s="16" t="s">
        <v>117</v>
      </c>
      <c r="H1544" s="16">
        <v>7</v>
      </c>
      <c r="I1544" s="16">
        <v>149</v>
      </c>
      <c r="J1544" s="16">
        <v>0</v>
      </c>
      <c r="K1544" s="16">
        <v>1043</v>
      </c>
      <c r="L1544" s="16" t="s">
        <v>126</v>
      </c>
      <c r="M1544" s="16" t="s">
        <v>119</v>
      </c>
      <c r="N1544" s="27">
        <v>45407.630555555559</v>
      </c>
      <c r="O1544" s="27">
        <v>45408.347222222219</v>
      </c>
      <c r="P1544" s="16">
        <v>3.1</v>
      </c>
      <c r="Q1544" s="16" t="b">
        <f>TRUE()</f>
        <v>1</v>
      </c>
      <c r="R1544" s="16" t="b">
        <f>FALSE()</f>
        <v>0</v>
      </c>
      <c r="S1544" s="17">
        <f t="shared" si="24"/>
        <v>17.2</v>
      </c>
      <c r="T1544">
        <f>COUNTIF('👤 Customers'!$A:$A, B1544)</f>
        <v>1</v>
      </c>
      <c r="U1544">
        <f>COUNTIF('🚴 Riders'!A1543:A1603, C1544)</f>
        <v>0</v>
      </c>
      <c r="V1544">
        <f>COUNTIF('🏭 Facilities'!A1543:A1551, D1544)</f>
        <v>0</v>
      </c>
    </row>
    <row r="1545" spans="1:22">
      <c r="A1545" s="18" t="s">
        <v>3749</v>
      </c>
      <c r="B1545" s="18" t="s">
        <v>311</v>
      </c>
      <c r="C1545" s="18" t="s">
        <v>183</v>
      </c>
      <c r="D1545" s="18" t="s">
        <v>130</v>
      </c>
      <c r="E1545" s="26">
        <v>45442</v>
      </c>
      <c r="F1545" s="18" t="s">
        <v>3750</v>
      </c>
      <c r="G1545" s="18" t="s">
        <v>132</v>
      </c>
      <c r="H1545" s="18">
        <v>7.8</v>
      </c>
      <c r="I1545" s="18">
        <v>399</v>
      </c>
      <c r="J1545" s="18">
        <v>0</v>
      </c>
      <c r="K1545" s="18">
        <v>3112.2</v>
      </c>
      <c r="L1545" s="18" t="s">
        <v>146</v>
      </c>
      <c r="M1545" s="18" t="s">
        <v>119</v>
      </c>
      <c r="N1545" s="28">
        <v>45442.296527777777</v>
      </c>
      <c r="O1545" s="28">
        <v>45443.195138888892</v>
      </c>
      <c r="P1545" s="18">
        <v>3.7</v>
      </c>
      <c r="Q1545" s="18" t="b">
        <f>FALSE()</f>
        <v>0</v>
      </c>
      <c r="R1545" s="18" t="b">
        <f>TRUE()</f>
        <v>1</v>
      </c>
      <c r="S1545" s="19">
        <f t="shared" si="24"/>
        <v>21.6</v>
      </c>
      <c r="T1545">
        <f>COUNTIF('👤 Customers'!$A:$A, B1545)</f>
        <v>1</v>
      </c>
      <c r="U1545">
        <f>COUNTIF('🚴 Riders'!A1544:A1604, C1545)</f>
        <v>0</v>
      </c>
      <c r="V1545">
        <f>COUNTIF('🏭 Facilities'!A1544:A1552, D1545)</f>
        <v>0</v>
      </c>
    </row>
    <row r="1546" spans="1:22">
      <c r="A1546" s="16" t="s">
        <v>3751</v>
      </c>
      <c r="B1546" s="16" t="s">
        <v>817</v>
      </c>
      <c r="C1546" s="16" t="s">
        <v>204</v>
      </c>
      <c r="D1546" s="16" t="s">
        <v>123</v>
      </c>
      <c r="E1546" s="25">
        <v>45158</v>
      </c>
      <c r="F1546" s="16" t="s">
        <v>3752</v>
      </c>
      <c r="G1546" s="16" t="s">
        <v>132</v>
      </c>
      <c r="H1546" s="16">
        <v>6.7</v>
      </c>
      <c r="I1546" s="16">
        <v>399</v>
      </c>
      <c r="J1546" s="16">
        <v>20</v>
      </c>
      <c r="K1546" s="16">
        <v>2138.64</v>
      </c>
      <c r="L1546" s="16" t="s">
        <v>139</v>
      </c>
      <c r="M1546" s="16" t="s">
        <v>119</v>
      </c>
      <c r="N1546" s="27">
        <v>45158.734027777777</v>
      </c>
      <c r="O1546" s="27">
        <v>45159.407638888886</v>
      </c>
      <c r="P1546" s="16">
        <v>3.6</v>
      </c>
      <c r="Q1546" s="16" t="b">
        <f>FALSE()</f>
        <v>0</v>
      </c>
      <c r="R1546" s="16" t="b">
        <f>FALSE()</f>
        <v>0</v>
      </c>
      <c r="S1546" s="17">
        <f t="shared" si="24"/>
        <v>16.2</v>
      </c>
      <c r="T1546">
        <f>COUNTIF('👤 Customers'!$A:$A, B1546)</f>
        <v>1</v>
      </c>
      <c r="U1546">
        <f>COUNTIF('🚴 Riders'!A1545:A1605, C1546)</f>
        <v>0</v>
      </c>
      <c r="V1546">
        <f>COUNTIF('🏭 Facilities'!A1545:A1553, D1546)</f>
        <v>0</v>
      </c>
    </row>
    <row r="1547" spans="1:22">
      <c r="A1547" s="18" t="s">
        <v>3753</v>
      </c>
      <c r="B1547" s="18" t="s">
        <v>1095</v>
      </c>
      <c r="C1547" s="18" t="s">
        <v>276</v>
      </c>
      <c r="D1547" s="18" t="s">
        <v>205</v>
      </c>
      <c r="E1547" s="26">
        <v>45250</v>
      </c>
      <c r="F1547" s="18" t="s">
        <v>3754</v>
      </c>
      <c r="G1547" s="18" t="s">
        <v>132</v>
      </c>
      <c r="H1547" s="18">
        <v>6.4</v>
      </c>
      <c r="I1547" s="18">
        <v>399</v>
      </c>
      <c r="J1547" s="18">
        <v>0</v>
      </c>
      <c r="K1547" s="18">
        <v>2553.6</v>
      </c>
      <c r="L1547" s="18" t="s">
        <v>126</v>
      </c>
      <c r="M1547" s="18" t="s">
        <v>119</v>
      </c>
      <c r="N1547" s="28">
        <v>45250.258333333331</v>
      </c>
      <c r="O1547" s="28">
        <v>45251.271527777775</v>
      </c>
      <c r="P1547" s="18">
        <v>4.4000000000000004</v>
      </c>
      <c r="Q1547" s="18" t="b">
        <f>FALSE()</f>
        <v>0</v>
      </c>
      <c r="R1547" s="18" t="b">
        <f>FALSE()</f>
        <v>0</v>
      </c>
      <c r="S1547" s="19">
        <f t="shared" si="24"/>
        <v>24.3</v>
      </c>
      <c r="T1547">
        <f>COUNTIF('👤 Customers'!$A:$A, B1547)</f>
        <v>1</v>
      </c>
      <c r="U1547">
        <f>COUNTIF('🚴 Riders'!A1546:A1606, C1547)</f>
        <v>0</v>
      </c>
      <c r="V1547">
        <f>COUNTIF('🏭 Facilities'!A1546:A1554, D1547)</f>
        <v>0</v>
      </c>
    </row>
    <row r="1548" spans="1:22">
      <c r="A1548" s="16" t="s">
        <v>3755</v>
      </c>
      <c r="B1548" s="16" t="s">
        <v>643</v>
      </c>
      <c r="C1548" s="16" t="s">
        <v>1092</v>
      </c>
      <c r="D1548" s="16" t="s">
        <v>205</v>
      </c>
      <c r="E1548" s="25">
        <v>45416</v>
      </c>
      <c r="F1548" s="16" t="s">
        <v>3756</v>
      </c>
      <c r="G1548" s="16" t="s">
        <v>125</v>
      </c>
      <c r="H1548" s="16">
        <v>7.8</v>
      </c>
      <c r="I1548" s="16">
        <v>199</v>
      </c>
      <c r="J1548" s="16">
        <v>10</v>
      </c>
      <c r="K1548" s="16">
        <v>1396.98</v>
      </c>
      <c r="L1548" s="16" t="s">
        <v>126</v>
      </c>
      <c r="M1548" s="16" t="s">
        <v>119</v>
      </c>
      <c r="N1548" s="27">
        <v>45416.272222222222</v>
      </c>
      <c r="O1548" s="27">
        <v>45417.165277777778</v>
      </c>
      <c r="P1548" s="16">
        <v>3.2</v>
      </c>
      <c r="Q1548" s="16" t="b">
        <f>FALSE()</f>
        <v>0</v>
      </c>
      <c r="R1548" s="16" t="b">
        <f>FALSE()</f>
        <v>0</v>
      </c>
      <c r="S1548" s="17">
        <f t="shared" si="24"/>
        <v>21.4</v>
      </c>
      <c r="T1548">
        <f>COUNTIF('👤 Customers'!$A:$A, B1548)</f>
        <v>1</v>
      </c>
      <c r="U1548">
        <f>COUNTIF('🚴 Riders'!A1547:A1607, C1548)</f>
        <v>0</v>
      </c>
      <c r="V1548">
        <f>COUNTIF('🏭 Facilities'!A1547:A1555, D1548)</f>
        <v>0</v>
      </c>
    </row>
    <row r="1549" spans="1:22">
      <c r="A1549" s="18" t="s">
        <v>3757</v>
      </c>
      <c r="B1549" s="18" t="s">
        <v>774</v>
      </c>
      <c r="C1549" s="18" t="s">
        <v>283</v>
      </c>
      <c r="D1549" s="18" t="s">
        <v>197</v>
      </c>
      <c r="E1549" s="26">
        <v>44955</v>
      </c>
      <c r="F1549" s="18" t="s">
        <v>3758</v>
      </c>
      <c r="G1549" s="18" t="s">
        <v>176</v>
      </c>
      <c r="H1549" s="18">
        <v>6.7</v>
      </c>
      <c r="I1549" s="18">
        <v>599</v>
      </c>
      <c r="J1549" s="18">
        <v>0</v>
      </c>
      <c r="K1549" s="18">
        <v>4013.3</v>
      </c>
      <c r="L1549" s="18" t="s">
        <v>118</v>
      </c>
      <c r="M1549" s="18" t="s">
        <v>119</v>
      </c>
      <c r="N1549" s="28">
        <v>44955.863888888889</v>
      </c>
      <c r="O1549" s="28">
        <v>44956.459027777775</v>
      </c>
      <c r="P1549" s="18">
        <v>4.7</v>
      </c>
      <c r="Q1549" s="18" t="b">
        <f>FALSE()</f>
        <v>0</v>
      </c>
      <c r="R1549" s="18" t="b">
        <f>FALSE()</f>
        <v>0</v>
      </c>
      <c r="S1549" s="19">
        <f t="shared" si="24"/>
        <v>14.3</v>
      </c>
      <c r="T1549">
        <f>COUNTIF('👤 Customers'!$A:$A, B1549)</f>
        <v>1</v>
      </c>
      <c r="U1549">
        <f>COUNTIF('🚴 Riders'!A1548:A1608, C1549)</f>
        <v>0</v>
      </c>
      <c r="V1549">
        <f>COUNTIF('🏭 Facilities'!A1548:A1556, D1549)</f>
        <v>0</v>
      </c>
    </row>
    <row r="1550" spans="1:22">
      <c r="A1550" s="16" t="s">
        <v>3759</v>
      </c>
      <c r="B1550" s="16" t="s">
        <v>268</v>
      </c>
      <c r="C1550" s="16" t="s">
        <v>240</v>
      </c>
      <c r="D1550" s="16" t="s">
        <v>115</v>
      </c>
      <c r="E1550" s="25">
        <v>45548</v>
      </c>
      <c r="F1550" s="16" t="s">
        <v>3760</v>
      </c>
      <c r="G1550" s="16" t="s">
        <v>176</v>
      </c>
      <c r="H1550" s="16">
        <v>3.7</v>
      </c>
      <c r="I1550" s="16">
        <v>599</v>
      </c>
      <c r="J1550" s="16">
        <v>0</v>
      </c>
      <c r="K1550" s="16">
        <v>2216.3000000000002</v>
      </c>
      <c r="L1550" s="16" t="s">
        <v>126</v>
      </c>
      <c r="M1550" s="16" t="s">
        <v>133</v>
      </c>
      <c r="N1550" s="20"/>
      <c r="O1550" s="20"/>
      <c r="P1550" s="20"/>
      <c r="Q1550" s="16" t="b">
        <f>TRUE()</f>
        <v>1</v>
      </c>
      <c r="R1550" s="16" t="b">
        <f>TRUE()</f>
        <v>1</v>
      </c>
      <c r="S1550" s="17" t="str">
        <f t="shared" si="24"/>
        <v>N/A</v>
      </c>
      <c r="T1550">
        <f>COUNTIF('👤 Customers'!$A:$A, B1550)</f>
        <v>1</v>
      </c>
      <c r="U1550">
        <f>COUNTIF('🚴 Riders'!A1549:A1609, C1550)</f>
        <v>0</v>
      </c>
      <c r="V1550">
        <f>COUNTIF('🏭 Facilities'!A1549:A1557, D1550)</f>
        <v>0</v>
      </c>
    </row>
    <row r="1551" spans="1:22">
      <c r="A1551" s="18" t="s">
        <v>3761</v>
      </c>
      <c r="B1551" s="18" t="s">
        <v>219</v>
      </c>
      <c r="C1551" s="18" t="s">
        <v>129</v>
      </c>
      <c r="D1551" s="18" t="s">
        <v>137</v>
      </c>
      <c r="E1551" s="26">
        <v>45117</v>
      </c>
      <c r="F1551" s="18" t="s">
        <v>3762</v>
      </c>
      <c r="G1551" s="18" t="s">
        <v>125</v>
      </c>
      <c r="H1551" s="18">
        <v>6</v>
      </c>
      <c r="I1551" s="18">
        <v>199</v>
      </c>
      <c r="J1551" s="18">
        <v>0</v>
      </c>
      <c r="K1551" s="18">
        <v>1194</v>
      </c>
      <c r="L1551" s="18" t="s">
        <v>207</v>
      </c>
      <c r="M1551" s="18" t="s">
        <v>119</v>
      </c>
      <c r="N1551" s="28">
        <v>45117.979166666664</v>
      </c>
      <c r="O1551" s="28">
        <v>45118.479861111111</v>
      </c>
      <c r="P1551" s="18">
        <v>2.7</v>
      </c>
      <c r="Q1551" s="18" t="b">
        <f>FALSE()</f>
        <v>0</v>
      </c>
      <c r="R1551" s="18" t="b">
        <f>FALSE()</f>
        <v>0</v>
      </c>
      <c r="S1551" s="19">
        <f t="shared" si="24"/>
        <v>12</v>
      </c>
      <c r="T1551">
        <f>COUNTIF('👤 Customers'!$A:$A, B1551)</f>
        <v>1</v>
      </c>
      <c r="U1551">
        <f>COUNTIF('🚴 Riders'!A1550:A1610, C1551)</f>
        <v>0</v>
      </c>
      <c r="V1551">
        <f>COUNTIF('🏭 Facilities'!A1550:A1558, D1551)</f>
        <v>0</v>
      </c>
    </row>
    <row r="1552" spans="1:22">
      <c r="A1552" s="16" t="s">
        <v>3763</v>
      </c>
      <c r="B1552" s="16" t="s">
        <v>740</v>
      </c>
      <c r="C1552" s="16" t="s">
        <v>339</v>
      </c>
      <c r="D1552" s="16" t="s">
        <v>158</v>
      </c>
      <c r="E1552" s="25">
        <v>45384</v>
      </c>
      <c r="F1552" s="16" t="s">
        <v>3764</v>
      </c>
      <c r="G1552" s="16" t="s">
        <v>145</v>
      </c>
      <c r="H1552" s="16">
        <v>3.8</v>
      </c>
      <c r="I1552" s="16">
        <v>299</v>
      </c>
      <c r="J1552" s="16">
        <v>0</v>
      </c>
      <c r="K1552" s="16">
        <v>1136.2</v>
      </c>
      <c r="L1552" s="16" t="s">
        <v>118</v>
      </c>
      <c r="M1552" s="16" t="s">
        <v>140</v>
      </c>
      <c r="N1552" s="27">
        <v>45384.279861111114</v>
      </c>
      <c r="O1552" s="27">
        <v>45384.781944444447</v>
      </c>
      <c r="P1552" s="20"/>
      <c r="Q1552" s="16" t="b">
        <f>FALSE()</f>
        <v>0</v>
      </c>
      <c r="R1552" s="16" t="b">
        <f>FALSE()</f>
        <v>0</v>
      </c>
      <c r="S1552" s="17">
        <f t="shared" si="24"/>
        <v>12</v>
      </c>
      <c r="T1552">
        <f>COUNTIF('👤 Customers'!$A:$A, B1552)</f>
        <v>1</v>
      </c>
      <c r="U1552">
        <f>COUNTIF('🚴 Riders'!A1551:A1611, C1552)</f>
        <v>0</v>
      </c>
      <c r="V1552">
        <f>COUNTIF('🏭 Facilities'!A1551:A1559, D1552)</f>
        <v>0</v>
      </c>
    </row>
    <row r="1553" spans="1:22">
      <c r="A1553" s="18" t="s">
        <v>3765</v>
      </c>
      <c r="B1553" s="18" t="s">
        <v>1654</v>
      </c>
      <c r="C1553" s="18" t="s">
        <v>580</v>
      </c>
      <c r="D1553" s="18" t="s">
        <v>158</v>
      </c>
      <c r="E1553" s="26">
        <v>44943</v>
      </c>
      <c r="F1553" s="18" t="s">
        <v>3766</v>
      </c>
      <c r="G1553" s="18" t="s">
        <v>145</v>
      </c>
      <c r="H1553" s="18">
        <v>4.7</v>
      </c>
      <c r="I1553" s="18">
        <v>299</v>
      </c>
      <c r="J1553" s="18">
        <v>0</v>
      </c>
      <c r="K1553" s="18">
        <v>1405.3</v>
      </c>
      <c r="L1553" s="18" t="s">
        <v>118</v>
      </c>
      <c r="M1553" s="18" t="s">
        <v>119</v>
      </c>
      <c r="N1553" s="28">
        <v>44943.411111111112</v>
      </c>
      <c r="O1553" s="28">
        <v>44944.186805555553</v>
      </c>
      <c r="P1553" s="18">
        <v>4.2</v>
      </c>
      <c r="Q1553" s="18" t="b">
        <f>FALSE()</f>
        <v>0</v>
      </c>
      <c r="R1553" s="18" t="b">
        <f>FALSE()</f>
        <v>0</v>
      </c>
      <c r="S1553" s="19">
        <f t="shared" si="24"/>
        <v>18.600000000000001</v>
      </c>
      <c r="T1553">
        <f>COUNTIF('👤 Customers'!$A:$A, B1553)</f>
        <v>1</v>
      </c>
      <c r="U1553">
        <f>COUNTIF('🚴 Riders'!A1552:A1612, C1553)</f>
        <v>0</v>
      </c>
      <c r="V1553">
        <f>COUNTIF('🏭 Facilities'!A1552:A1560, D1553)</f>
        <v>0</v>
      </c>
    </row>
    <row r="1554" spans="1:22">
      <c r="A1554" s="16" t="s">
        <v>3767</v>
      </c>
      <c r="B1554" s="16" t="s">
        <v>2619</v>
      </c>
      <c r="C1554" s="16" t="s">
        <v>343</v>
      </c>
      <c r="D1554" s="16" t="s">
        <v>184</v>
      </c>
      <c r="E1554" s="25">
        <v>45085</v>
      </c>
      <c r="F1554" s="16" t="s">
        <v>3768</v>
      </c>
      <c r="G1554" s="16" t="s">
        <v>132</v>
      </c>
      <c r="H1554" s="16">
        <v>3.4</v>
      </c>
      <c r="I1554" s="16">
        <v>399</v>
      </c>
      <c r="J1554" s="16">
        <v>0</v>
      </c>
      <c r="K1554" s="16">
        <v>1356.6</v>
      </c>
      <c r="L1554" s="16" t="s">
        <v>146</v>
      </c>
      <c r="M1554" s="16" t="s">
        <v>119</v>
      </c>
      <c r="N1554" s="27">
        <v>45085.265277777777</v>
      </c>
      <c r="O1554" s="27">
        <v>45085.781944444447</v>
      </c>
      <c r="P1554" s="16">
        <v>4.8</v>
      </c>
      <c r="Q1554" s="16" t="b">
        <f>FALSE()</f>
        <v>0</v>
      </c>
      <c r="R1554" s="16" t="b">
        <f>FALSE()</f>
        <v>0</v>
      </c>
      <c r="S1554" s="17">
        <f t="shared" si="24"/>
        <v>12.4</v>
      </c>
      <c r="T1554">
        <f>COUNTIF('👤 Customers'!$A:$A, B1554)</f>
        <v>1</v>
      </c>
      <c r="U1554">
        <f>COUNTIF('🚴 Riders'!A1553:A1613, C1554)</f>
        <v>0</v>
      </c>
      <c r="V1554">
        <f>COUNTIF('🏭 Facilities'!A1553:A1561, D1554)</f>
        <v>0</v>
      </c>
    </row>
    <row r="1555" spans="1:22">
      <c r="A1555" s="18" t="s">
        <v>3769</v>
      </c>
      <c r="B1555" s="18" t="s">
        <v>2347</v>
      </c>
      <c r="C1555" s="18" t="s">
        <v>122</v>
      </c>
      <c r="D1555" s="18" t="s">
        <v>197</v>
      </c>
      <c r="E1555" s="26">
        <v>45579</v>
      </c>
      <c r="F1555" s="18" t="s">
        <v>3770</v>
      </c>
      <c r="G1555" s="18" t="s">
        <v>145</v>
      </c>
      <c r="H1555" s="18">
        <v>4.4000000000000004</v>
      </c>
      <c r="I1555" s="18">
        <v>299</v>
      </c>
      <c r="J1555" s="18">
        <v>0</v>
      </c>
      <c r="K1555" s="18">
        <v>1315.6</v>
      </c>
      <c r="L1555" s="18" t="s">
        <v>146</v>
      </c>
      <c r="M1555" s="18" t="s">
        <v>133</v>
      </c>
      <c r="N1555" s="20"/>
      <c r="O1555" s="20"/>
      <c r="P1555" s="20"/>
      <c r="Q1555" s="18" t="b">
        <f>FALSE()</f>
        <v>0</v>
      </c>
      <c r="R1555" s="18" t="b">
        <f>TRUE()</f>
        <v>1</v>
      </c>
      <c r="S1555" s="19" t="str">
        <f t="shared" si="24"/>
        <v>N/A</v>
      </c>
      <c r="T1555">
        <f>COUNTIF('👤 Customers'!$A:$A, B1555)</f>
        <v>1</v>
      </c>
      <c r="U1555">
        <f>COUNTIF('🚴 Riders'!A1554:A1614, C1555)</f>
        <v>0</v>
      </c>
      <c r="V1555">
        <f>COUNTIF('🏭 Facilities'!A1554:A1562, D1555)</f>
        <v>0</v>
      </c>
    </row>
    <row r="1556" spans="1:22">
      <c r="A1556" s="16" t="s">
        <v>3771</v>
      </c>
      <c r="B1556" s="16" t="s">
        <v>1226</v>
      </c>
      <c r="C1556" s="16" t="s">
        <v>228</v>
      </c>
      <c r="D1556" s="16" t="s">
        <v>197</v>
      </c>
      <c r="E1556" s="25">
        <v>45578</v>
      </c>
      <c r="F1556" s="16" t="s">
        <v>3772</v>
      </c>
      <c r="G1556" s="16" t="s">
        <v>117</v>
      </c>
      <c r="H1556" s="16">
        <v>7.1</v>
      </c>
      <c r="I1556" s="16">
        <v>149</v>
      </c>
      <c r="J1556" s="16">
        <v>0</v>
      </c>
      <c r="K1556" s="16">
        <v>1057.9000000000001</v>
      </c>
      <c r="L1556" s="16" t="s">
        <v>118</v>
      </c>
      <c r="M1556" s="16" t="s">
        <v>119</v>
      </c>
      <c r="N1556" s="27">
        <v>45578.864583333336</v>
      </c>
      <c r="O1556" s="27">
        <v>45579.906944444447</v>
      </c>
      <c r="P1556" s="16">
        <v>3.8</v>
      </c>
      <c r="Q1556" s="16" t="b">
        <f>FALSE()</f>
        <v>0</v>
      </c>
      <c r="R1556" s="16" t="b">
        <f>FALSE()</f>
        <v>0</v>
      </c>
      <c r="S1556" s="17">
        <f t="shared" si="24"/>
        <v>25</v>
      </c>
      <c r="T1556">
        <f>COUNTIF('👤 Customers'!$A:$A, B1556)</f>
        <v>1</v>
      </c>
      <c r="U1556">
        <f>COUNTIF('🚴 Riders'!A1555:A1615, C1556)</f>
        <v>0</v>
      </c>
      <c r="V1556">
        <f>COUNTIF('🏭 Facilities'!A1555:A1563, D1556)</f>
        <v>0</v>
      </c>
    </row>
    <row r="1557" spans="1:22">
      <c r="A1557" s="18" t="s">
        <v>3773</v>
      </c>
      <c r="B1557" s="18" t="s">
        <v>1081</v>
      </c>
      <c r="C1557" s="18" t="s">
        <v>251</v>
      </c>
      <c r="D1557" s="18" t="s">
        <v>137</v>
      </c>
      <c r="E1557" s="26">
        <v>45193</v>
      </c>
      <c r="F1557" s="18" t="s">
        <v>3774</v>
      </c>
      <c r="G1557" s="18" t="s">
        <v>132</v>
      </c>
      <c r="H1557" s="18">
        <v>6.6</v>
      </c>
      <c r="I1557" s="18">
        <v>399</v>
      </c>
      <c r="J1557" s="18">
        <v>0</v>
      </c>
      <c r="K1557" s="18">
        <v>2633.4</v>
      </c>
      <c r="L1557" s="18" t="s">
        <v>207</v>
      </c>
      <c r="M1557" s="18" t="s">
        <v>140</v>
      </c>
      <c r="N1557" s="28">
        <v>45193.384027777778</v>
      </c>
      <c r="O1557" s="28">
        <v>45194.154861111114</v>
      </c>
      <c r="P1557" s="20"/>
      <c r="Q1557" s="18" t="b">
        <f>TRUE()</f>
        <v>1</v>
      </c>
      <c r="R1557" s="18" t="b">
        <f>FALSE()</f>
        <v>0</v>
      </c>
      <c r="S1557" s="19">
        <f t="shared" si="24"/>
        <v>18.5</v>
      </c>
      <c r="T1557">
        <f>COUNTIF('👤 Customers'!$A:$A, B1557)</f>
        <v>1</v>
      </c>
      <c r="U1557">
        <f>COUNTIF('🚴 Riders'!A1556:A1616, C1557)</f>
        <v>0</v>
      </c>
      <c r="V1557">
        <f>COUNTIF('🏭 Facilities'!A1556:A1564, D1557)</f>
        <v>0</v>
      </c>
    </row>
    <row r="1558" spans="1:22">
      <c r="A1558" s="16" t="s">
        <v>3775</v>
      </c>
      <c r="B1558" s="16" t="s">
        <v>1219</v>
      </c>
      <c r="C1558" s="16" t="s">
        <v>272</v>
      </c>
      <c r="D1558" s="16" t="s">
        <v>184</v>
      </c>
      <c r="E1558" s="25">
        <v>45629</v>
      </c>
      <c r="F1558" s="16" t="s">
        <v>3776</v>
      </c>
      <c r="G1558" s="16" t="s">
        <v>145</v>
      </c>
      <c r="H1558" s="16">
        <v>5.7</v>
      </c>
      <c r="I1558" s="16">
        <v>299</v>
      </c>
      <c r="J1558" s="16">
        <v>0</v>
      </c>
      <c r="K1558" s="16">
        <v>1704.3</v>
      </c>
      <c r="L1558" s="16" t="s">
        <v>146</v>
      </c>
      <c r="M1558" s="16" t="s">
        <v>119</v>
      </c>
      <c r="N1558" s="27">
        <v>45629.995138888888</v>
      </c>
      <c r="O1558" s="27">
        <v>45630.535416666666</v>
      </c>
      <c r="P1558" s="16">
        <v>4.2</v>
      </c>
      <c r="Q1558" s="16" t="b">
        <f>FALSE()</f>
        <v>0</v>
      </c>
      <c r="R1558" s="16" t="b">
        <f>TRUE()</f>
        <v>1</v>
      </c>
      <c r="S1558" s="17">
        <f t="shared" si="24"/>
        <v>13</v>
      </c>
      <c r="T1558">
        <f>COUNTIF('👤 Customers'!$A:$A, B1558)</f>
        <v>1</v>
      </c>
      <c r="U1558">
        <f>COUNTIF('🚴 Riders'!A1557:A1617, C1558)</f>
        <v>0</v>
      </c>
      <c r="V1558">
        <f>COUNTIF('🏭 Facilities'!A1557:A1565, D1558)</f>
        <v>0</v>
      </c>
    </row>
    <row r="1559" spans="1:22">
      <c r="A1559" s="18" t="s">
        <v>3777</v>
      </c>
      <c r="B1559" s="18" t="s">
        <v>941</v>
      </c>
      <c r="C1559" s="18" t="s">
        <v>283</v>
      </c>
      <c r="D1559" s="18" t="s">
        <v>130</v>
      </c>
      <c r="E1559" s="26">
        <v>45424</v>
      </c>
      <c r="F1559" s="18" t="s">
        <v>3778</v>
      </c>
      <c r="G1559" s="18" t="s">
        <v>132</v>
      </c>
      <c r="H1559" s="18">
        <v>1.6</v>
      </c>
      <c r="I1559" s="18">
        <v>399</v>
      </c>
      <c r="J1559" s="18">
        <v>10</v>
      </c>
      <c r="K1559" s="18">
        <v>574.55999999999995</v>
      </c>
      <c r="L1559" s="18" t="s">
        <v>146</v>
      </c>
      <c r="M1559" s="18" t="s">
        <v>119</v>
      </c>
      <c r="N1559" s="28">
        <v>45424.625</v>
      </c>
      <c r="O1559" s="28">
        <v>45425.022916666669</v>
      </c>
      <c r="P1559" s="18">
        <v>3.2</v>
      </c>
      <c r="Q1559" s="18" t="b">
        <f>FALSE()</f>
        <v>0</v>
      </c>
      <c r="R1559" s="18" t="b">
        <f>FALSE()</f>
        <v>0</v>
      </c>
      <c r="S1559" s="19">
        <f t="shared" si="24"/>
        <v>9.6</v>
      </c>
      <c r="T1559">
        <f>COUNTIF('👤 Customers'!$A:$A, B1559)</f>
        <v>1</v>
      </c>
      <c r="U1559">
        <f>COUNTIF('🚴 Riders'!A1558:A1618, C1559)</f>
        <v>0</v>
      </c>
      <c r="V1559">
        <f>COUNTIF('🏭 Facilities'!A1558:A1566, D1559)</f>
        <v>0</v>
      </c>
    </row>
    <row r="1560" spans="1:22">
      <c r="A1560" s="16" t="s">
        <v>3779</v>
      </c>
      <c r="B1560" s="16" t="s">
        <v>1030</v>
      </c>
      <c r="C1560" s="16" t="s">
        <v>358</v>
      </c>
      <c r="D1560" s="16" t="s">
        <v>130</v>
      </c>
      <c r="E1560" s="25">
        <v>45227</v>
      </c>
      <c r="F1560" s="16" t="s">
        <v>3780</v>
      </c>
      <c r="G1560" s="16" t="s">
        <v>145</v>
      </c>
      <c r="H1560" s="16">
        <v>1.9</v>
      </c>
      <c r="I1560" s="16">
        <v>299</v>
      </c>
      <c r="J1560" s="16">
        <v>0</v>
      </c>
      <c r="K1560" s="16">
        <v>568.1</v>
      </c>
      <c r="L1560" s="16" t="s">
        <v>126</v>
      </c>
      <c r="M1560" s="16" t="s">
        <v>119</v>
      </c>
      <c r="N1560" s="27">
        <v>45228.037499999999</v>
      </c>
      <c r="O1560" s="27">
        <v>45228.929861111108</v>
      </c>
      <c r="P1560" s="16">
        <v>2.8</v>
      </c>
      <c r="Q1560" s="16" t="b">
        <f>FALSE()</f>
        <v>0</v>
      </c>
      <c r="R1560" s="16" t="b">
        <f>FALSE()</f>
        <v>0</v>
      </c>
      <c r="S1560" s="17">
        <f t="shared" si="24"/>
        <v>21.4</v>
      </c>
      <c r="T1560">
        <f>COUNTIF('👤 Customers'!$A:$A, B1560)</f>
        <v>1</v>
      </c>
      <c r="U1560">
        <f>COUNTIF('🚴 Riders'!A1559:A1619, C1560)</f>
        <v>0</v>
      </c>
      <c r="V1560">
        <f>COUNTIF('🏭 Facilities'!A1559:A1567, D1560)</f>
        <v>0</v>
      </c>
    </row>
    <row r="1561" spans="1:22">
      <c r="A1561" s="18" t="s">
        <v>3781</v>
      </c>
      <c r="B1561" s="18" t="s">
        <v>762</v>
      </c>
      <c r="C1561" s="18" t="s">
        <v>354</v>
      </c>
      <c r="D1561" s="18" t="s">
        <v>184</v>
      </c>
      <c r="E1561" s="26">
        <v>45160</v>
      </c>
      <c r="F1561" s="18" t="s">
        <v>3782</v>
      </c>
      <c r="G1561" s="18" t="s">
        <v>125</v>
      </c>
      <c r="H1561" s="18">
        <v>1.9</v>
      </c>
      <c r="I1561" s="18">
        <v>199</v>
      </c>
      <c r="J1561" s="18">
        <v>0</v>
      </c>
      <c r="K1561" s="18">
        <v>378.1</v>
      </c>
      <c r="L1561" s="18" t="s">
        <v>118</v>
      </c>
      <c r="M1561" s="18" t="s">
        <v>133</v>
      </c>
      <c r="N1561" s="20"/>
      <c r="O1561" s="20"/>
      <c r="P1561" s="20"/>
      <c r="Q1561" s="18" t="b">
        <f>FALSE()</f>
        <v>0</v>
      </c>
      <c r="R1561" s="18" t="b">
        <f>TRUE()</f>
        <v>1</v>
      </c>
      <c r="S1561" s="19" t="str">
        <f t="shared" si="24"/>
        <v>N/A</v>
      </c>
      <c r="T1561">
        <f>COUNTIF('👤 Customers'!$A:$A, B1561)</f>
        <v>1</v>
      </c>
      <c r="U1561">
        <f>COUNTIF('🚴 Riders'!A1560:A1620, C1561)</f>
        <v>0</v>
      </c>
      <c r="V1561">
        <f>COUNTIF('🏭 Facilities'!A1560:A1568, D1561)</f>
        <v>0</v>
      </c>
    </row>
    <row r="1562" spans="1:22">
      <c r="A1562" s="16" t="s">
        <v>3783</v>
      </c>
      <c r="B1562" s="16" t="s">
        <v>2120</v>
      </c>
      <c r="C1562" s="16" t="s">
        <v>300</v>
      </c>
      <c r="D1562" s="16" t="s">
        <v>158</v>
      </c>
      <c r="E1562" s="25">
        <v>45110</v>
      </c>
      <c r="F1562" s="16" t="s">
        <v>3784</v>
      </c>
      <c r="G1562" s="16" t="s">
        <v>125</v>
      </c>
      <c r="H1562" s="16">
        <v>3.8</v>
      </c>
      <c r="I1562" s="16">
        <v>199</v>
      </c>
      <c r="J1562" s="16">
        <v>0</v>
      </c>
      <c r="K1562" s="16">
        <v>756.2</v>
      </c>
      <c r="L1562" s="16" t="s">
        <v>118</v>
      </c>
      <c r="M1562" s="16" t="s">
        <v>119</v>
      </c>
      <c r="N1562" s="27">
        <v>45110.772916666669</v>
      </c>
      <c r="O1562" s="27">
        <v>45111.205555555556</v>
      </c>
      <c r="P1562" s="16">
        <v>4.5999999999999996</v>
      </c>
      <c r="Q1562" s="16" t="b">
        <f>FALSE()</f>
        <v>0</v>
      </c>
      <c r="R1562" s="16" t="b">
        <f>FALSE()</f>
        <v>0</v>
      </c>
      <c r="S1562" s="17">
        <f t="shared" si="24"/>
        <v>10.4</v>
      </c>
      <c r="T1562">
        <f>COUNTIF('👤 Customers'!$A:$A, B1562)</f>
        <v>1</v>
      </c>
      <c r="U1562">
        <f>COUNTIF('🚴 Riders'!A1561:A1621, C1562)</f>
        <v>0</v>
      </c>
      <c r="V1562">
        <f>COUNTIF('🏭 Facilities'!A1561:A1569, D1562)</f>
        <v>0</v>
      </c>
    </row>
    <row r="1563" spans="1:22">
      <c r="A1563" s="18" t="s">
        <v>3785</v>
      </c>
      <c r="B1563" s="18" t="s">
        <v>1533</v>
      </c>
      <c r="C1563" s="18" t="s">
        <v>358</v>
      </c>
      <c r="D1563" s="18" t="s">
        <v>137</v>
      </c>
      <c r="E1563" s="26">
        <v>44935</v>
      </c>
      <c r="F1563" s="18" t="s">
        <v>3786</v>
      </c>
      <c r="G1563" s="18" t="s">
        <v>132</v>
      </c>
      <c r="H1563" s="18">
        <v>5.0999999999999996</v>
      </c>
      <c r="I1563" s="18">
        <v>399</v>
      </c>
      <c r="J1563" s="18">
        <v>0</v>
      </c>
      <c r="K1563" s="18">
        <v>2034.9</v>
      </c>
      <c r="L1563" s="18" t="s">
        <v>126</v>
      </c>
      <c r="M1563" s="18" t="s">
        <v>119</v>
      </c>
      <c r="N1563" s="28">
        <v>44935.533333333333</v>
      </c>
      <c r="O1563" s="28">
        <v>44936.434027777781</v>
      </c>
      <c r="P1563" s="18">
        <v>4</v>
      </c>
      <c r="Q1563" s="18" t="b">
        <f>FALSE()</f>
        <v>0</v>
      </c>
      <c r="R1563" s="18" t="b">
        <f>FALSE()</f>
        <v>0</v>
      </c>
      <c r="S1563" s="19">
        <f t="shared" si="24"/>
        <v>21.6</v>
      </c>
      <c r="T1563">
        <f>COUNTIF('👤 Customers'!$A:$A, B1563)</f>
        <v>1</v>
      </c>
      <c r="U1563">
        <f>COUNTIF('🚴 Riders'!A1562:A1622, C1563)</f>
        <v>0</v>
      </c>
      <c r="V1563">
        <f>COUNTIF('🏭 Facilities'!A1562:A1570, D1563)</f>
        <v>0</v>
      </c>
    </row>
    <row r="1564" spans="1:22">
      <c r="A1564" s="16" t="s">
        <v>3787</v>
      </c>
      <c r="B1564" s="16" t="s">
        <v>637</v>
      </c>
      <c r="C1564" s="16" t="s">
        <v>240</v>
      </c>
      <c r="D1564" s="16" t="s">
        <v>137</v>
      </c>
      <c r="E1564" s="25">
        <v>45523</v>
      </c>
      <c r="F1564" s="16" t="s">
        <v>3788</v>
      </c>
      <c r="G1564" s="16" t="s">
        <v>145</v>
      </c>
      <c r="H1564" s="16">
        <v>6.3</v>
      </c>
      <c r="I1564" s="16">
        <v>299</v>
      </c>
      <c r="J1564" s="16">
        <v>0</v>
      </c>
      <c r="K1564" s="16">
        <v>1883.7</v>
      </c>
      <c r="L1564" s="16" t="s">
        <v>139</v>
      </c>
      <c r="M1564" s="16" t="s">
        <v>140</v>
      </c>
      <c r="N1564" s="27">
        <v>45523.15902777778</v>
      </c>
      <c r="O1564" s="27">
        <v>45523.633333333331</v>
      </c>
      <c r="P1564" s="20"/>
      <c r="Q1564" s="16" t="b">
        <f>TRUE()</f>
        <v>1</v>
      </c>
      <c r="R1564" s="16" t="b">
        <f>FALSE()</f>
        <v>0</v>
      </c>
      <c r="S1564" s="17">
        <f t="shared" si="24"/>
        <v>11.4</v>
      </c>
      <c r="T1564">
        <f>COUNTIF('👤 Customers'!$A:$A, B1564)</f>
        <v>1</v>
      </c>
      <c r="U1564">
        <f>COUNTIF('🚴 Riders'!A1563:A1623, C1564)</f>
        <v>0</v>
      </c>
      <c r="V1564">
        <f>COUNTIF('🏭 Facilities'!A1563:A1571, D1564)</f>
        <v>0</v>
      </c>
    </row>
    <row r="1565" spans="1:22">
      <c r="A1565" s="18" t="s">
        <v>3789</v>
      </c>
      <c r="B1565" s="18" t="s">
        <v>1081</v>
      </c>
      <c r="C1565" s="18" t="s">
        <v>322</v>
      </c>
      <c r="D1565" s="18" t="s">
        <v>205</v>
      </c>
      <c r="E1565" s="26">
        <v>45341</v>
      </c>
      <c r="F1565" s="18" t="s">
        <v>3790</v>
      </c>
      <c r="G1565" s="18" t="s">
        <v>145</v>
      </c>
      <c r="H1565" s="18">
        <v>1.3</v>
      </c>
      <c r="I1565" s="18">
        <v>299</v>
      </c>
      <c r="J1565" s="18">
        <v>20</v>
      </c>
      <c r="K1565" s="18">
        <v>310.95999999999998</v>
      </c>
      <c r="L1565" s="18" t="s">
        <v>118</v>
      </c>
      <c r="M1565" s="18" t="s">
        <v>119</v>
      </c>
      <c r="N1565" s="28">
        <v>45341.411111111112</v>
      </c>
      <c r="O1565" s="28">
        <v>45342.354861111111</v>
      </c>
      <c r="P1565" s="18">
        <v>4.5</v>
      </c>
      <c r="Q1565" s="18" t="b">
        <f>FALSE()</f>
        <v>0</v>
      </c>
      <c r="R1565" s="18" t="b">
        <f>FALSE()</f>
        <v>0</v>
      </c>
      <c r="S1565" s="19">
        <f t="shared" si="24"/>
        <v>22.6</v>
      </c>
      <c r="T1565">
        <f>COUNTIF('👤 Customers'!$A:$A, B1565)</f>
        <v>1</v>
      </c>
      <c r="U1565">
        <f>COUNTIF('🚴 Riders'!A1564:A1624, C1565)</f>
        <v>0</v>
      </c>
      <c r="V1565">
        <f>COUNTIF('🏭 Facilities'!A1564:A1572, D1565)</f>
        <v>0</v>
      </c>
    </row>
    <row r="1566" spans="1:22">
      <c r="A1566" s="16" t="s">
        <v>3791</v>
      </c>
      <c r="B1566" s="16" t="s">
        <v>2906</v>
      </c>
      <c r="C1566" s="16" t="s">
        <v>300</v>
      </c>
      <c r="D1566" s="16" t="s">
        <v>197</v>
      </c>
      <c r="E1566" s="25">
        <v>45033</v>
      </c>
      <c r="F1566" s="16" t="s">
        <v>3792</v>
      </c>
      <c r="G1566" s="16" t="s">
        <v>125</v>
      </c>
      <c r="H1566" s="16">
        <v>3.2</v>
      </c>
      <c r="I1566" s="16">
        <v>199</v>
      </c>
      <c r="J1566" s="16">
        <v>10</v>
      </c>
      <c r="K1566" s="16">
        <v>573.12</v>
      </c>
      <c r="L1566" s="16" t="s">
        <v>146</v>
      </c>
      <c r="M1566" s="16" t="s">
        <v>133</v>
      </c>
      <c r="N1566" s="20"/>
      <c r="O1566" s="20"/>
      <c r="P1566" s="20"/>
      <c r="Q1566" s="16" t="b">
        <f>TRUE()</f>
        <v>1</v>
      </c>
      <c r="R1566" s="16" t="b">
        <f>FALSE()</f>
        <v>0</v>
      </c>
      <c r="S1566" s="17" t="str">
        <f t="shared" si="24"/>
        <v>N/A</v>
      </c>
      <c r="T1566">
        <f>COUNTIF('👤 Customers'!$A:$A, B1566)</f>
        <v>1</v>
      </c>
      <c r="U1566">
        <f>COUNTIF('🚴 Riders'!A1565:A1625, C1566)</f>
        <v>0</v>
      </c>
      <c r="V1566">
        <f>COUNTIF('🏭 Facilities'!A1565:A1573, D1566)</f>
        <v>0</v>
      </c>
    </row>
    <row r="1567" spans="1:22">
      <c r="A1567" s="18" t="s">
        <v>3793</v>
      </c>
      <c r="B1567" s="18" t="s">
        <v>1257</v>
      </c>
      <c r="C1567" s="18" t="s">
        <v>196</v>
      </c>
      <c r="D1567" s="18" t="s">
        <v>205</v>
      </c>
      <c r="E1567" s="26">
        <v>45484</v>
      </c>
      <c r="F1567" s="18" t="s">
        <v>3794</v>
      </c>
      <c r="G1567" s="18" t="s">
        <v>176</v>
      </c>
      <c r="H1567" s="18">
        <v>5.2</v>
      </c>
      <c r="I1567" s="18">
        <v>599</v>
      </c>
      <c r="J1567" s="18">
        <v>0</v>
      </c>
      <c r="K1567" s="18">
        <v>3114.8</v>
      </c>
      <c r="L1567" s="18" t="s">
        <v>139</v>
      </c>
      <c r="M1567" s="18" t="s">
        <v>119</v>
      </c>
      <c r="N1567" s="28">
        <v>45485.069444444445</v>
      </c>
      <c r="O1567" s="28">
        <v>45485.643055555556</v>
      </c>
      <c r="P1567" s="18">
        <v>5</v>
      </c>
      <c r="Q1567" s="18" t="b">
        <f>FALSE()</f>
        <v>0</v>
      </c>
      <c r="R1567" s="18" t="b">
        <f>TRUE()</f>
        <v>1</v>
      </c>
      <c r="S1567" s="19">
        <f t="shared" si="24"/>
        <v>13.8</v>
      </c>
      <c r="T1567">
        <f>COUNTIF('👤 Customers'!$A:$A, B1567)</f>
        <v>1</v>
      </c>
      <c r="U1567">
        <f>COUNTIF('🚴 Riders'!A1566:A1626, C1567)</f>
        <v>0</v>
      </c>
      <c r="V1567">
        <f>COUNTIF('🏭 Facilities'!A1566:A1574, D1567)</f>
        <v>0</v>
      </c>
    </row>
    <row r="1568" spans="1:22">
      <c r="A1568" s="16" t="s">
        <v>3795</v>
      </c>
      <c r="B1568" s="16" t="s">
        <v>743</v>
      </c>
      <c r="C1568" s="16" t="s">
        <v>326</v>
      </c>
      <c r="D1568" s="16" t="s">
        <v>158</v>
      </c>
      <c r="E1568" s="25">
        <v>45543</v>
      </c>
      <c r="F1568" s="16" t="s">
        <v>3796</v>
      </c>
      <c r="G1568" s="16" t="s">
        <v>117</v>
      </c>
      <c r="H1568" s="16">
        <v>2</v>
      </c>
      <c r="I1568" s="16">
        <v>149</v>
      </c>
      <c r="J1568" s="16">
        <v>0</v>
      </c>
      <c r="K1568" s="16">
        <v>298</v>
      </c>
      <c r="L1568" s="16" t="s">
        <v>126</v>
      </c>
      <c r="M1568" s="16" t="s">
        <v>119</v>
      </c>
      <c r="N1568" s="27">
        <v>45543.902777777781</v>
      </c>
      <c r="O1568" s="27">
        <v>45544.750694444447</v>
      </c>
      <c r="P1568" s="16">
        <v>4.5</v>
      </c>
      <c r="Q1568" s="16" t="b">
        <f>FALSE()</f>
        <v>0</v>
      </c>
      <c r="R1568" s="16" t="b">
        <f>FALSE()</f>
        <v>0</v>
      </c>
      <c r="S1568" s="17">
        <f t="shared" si="24"/>
        <v>20.3</v>
      </c>
      <c r="T1568">
        <f>COUNTIF('👤 Customers'!$A:$A, B1568)</f>
        <v>1</v>
      </c>
      <c r="U1568">
        <f>COUNTIF('🚴 Riders'!A1567:A1627, C1568)</f>
        <v>0</v>
      </c>
      <c r="V1568">
        <f>COUNTIF('🏭 Facilities'!A1567:A1575, D1568)</f>
        <v>0</v>
      </c>
    </row>
    <row r="1569" spans="1:22">
      <c r="A1569" s="18" t="s">
        <v>3797</v>
      </c>
      <c r="B1569" s="18" t="s">
        <v>2028</v>
      </c>
      <c r="C1569" s="18" t="s">
        <v>179</v>
      </c>
      <c r="D1569" s="18" t="s">
        <v>130</v>
      </c>
      <c r="E1569" s="26">
        <v>45255</v>
      </c>
      <c r="F1569" s="18" t="s">
        <v>3798</v>
      </c>
      <c r="G1569" s="18" t="s">
        <v>125</v>
      </c>
      <c r="H1569" s="18">
        <v>4.0999999999999996</v>
      </c>
      <c r="I1569" s="18">
        <v>199</v>
      </c>
      <c r="J1569" s="18">
        <v>0</v>
      </c>
      <c r="K1569" s="18">
        <v>815.9</v>
      </c>
      <c r="L1569" s="18" t="s">
        <v>118</v>
      </c>
      <c r="M1569" s="18" t="s">
        <v>140</v>
      </c>
      <c r="N1569" s="28">
        <v>45255.640972222223</v>
      </c>
      <c r="O1569" s="28">
        <v>45256.325694444444</v>
      </c>
      <c r="P1569" s="20"/>
      <c r="Q1569" s="18" t="b">
        <f>FALSE()</f>
        <v>0</v>
      </c>
      <c r="R1569" s="18" t="b">
        <f>TRUE()</f>
        <v>1</v>
      </c>
      <c r="S1569" s="19">
        <f t="shared" si="24"/>
        <v>16.399999999999999</v>
      </c>
      <c r="T1569">
        <f>COUNTIF('👤 Customers'!$A:$A, B1569)</f>
        <v>1</v>
      </c>
      <c r="U1569">
        <f>COUNTIF('🚴 Riders'!A1568:A1628, C1569)</f>
        <v>0</v>
      </c>
      <c r="V1569">
        <f>COUNTIF('🏭 Facilities'!A1568:A1576, D1569)</f>
        <v>0</v>
      </c>
    </row>
    <row r="1570" spans="1:22">
      <c r="A1570" s="16" t="s">
        <v>3799</v>
      </c>
      <c r="B1570" s="16" t="s">
        <v>195</v>
      </c>
      <c r="C1570" s="16" t="s">
        <v>461</v>
      </c>
      <c r="D1570" s="16" t="s">
        <v>197</v>
      </c>
      <c r="E1570" s="25">
        <v>45318</v>
      </c>
      <c r="F1570" s="16" t="s">
        <v>3800</v>
      </c>
      <c r="G1570" s="16" t="s">
        <v>117</v>
      </c>
      <c r="H1570" s="16">
        <v>1.2</v>
      </c>
      <c r="I1570" s="16">
        <v>149</v>
      </c>
      <c r="J1570" s="16">
        <v>0</v>
      </c>
      <c r="K1570" s="16">
        <v>178.8</v>
      </c>
      <c r="L1570" s="16" t="s">
        <v>139</v>
      </c>
      <c r="M1570" s="16" t="s">
        <v>119</v>
      </c>
      <c r="N1570" s="27">
        <v>45318.563194444447</v>
      </c>
      <c r="O1570" s="27">
        <v>45318.925000000003</v>
      </c>
      <c r="P1570" s="16">
        <v>3.7</v>
      </c>
      <c r="Q1570" s="16" t="b">
        <f>TRUE()</f>
        <v>1</v>
      </c>
      <c r="R1570" s="16" t="b">
        <f>FALSE()</f>
        <v>0</v>
      </c>
      <c r="S1570" s="17">
        <f t="shared" si="24"/>
        <v>8.6999999999999993</v>
      </c>
      <c r="T1570">
        <f>COUNTIF('👤 Customers'!$A:$A, B1570)</f>
        <v>1</v>
      </c>
      <c r="U1570">
        <f>COUNTIF('🚴 Riders'!A1569:A1629, C1570)</f>
        <v>0</v>
      </c>
      <c r="V1570">
        <f>COUNTIF('🏭 Facilities'!A1569:A1577, D1570)</f>
        <v>0</v>
      </c>
    </row>
    <row r="1571" spans="1:22">
      <c r="A1571" s="18" t="s">
        <v>3801</v>
      </c>
      <c r="B1571" s="18" t="s">
        <v>2673</v>
      </c>
      <c r="C1571" s="18" t="s">
        <v>114</v>
      </c>
      <c r="D1571" s="18" t="s">
        <v>123</v>
      </c>
      <c r="E1571" s="26">
        <v>45196</v>
      </c>
      <c r="F1571" s="18" t="s">
        <v>3802</v>
      </c>
      <c r="G1571" s="18" t="s">
        <v>176</v>
      </c>
      <c r="H1571" s="18">
        <v>4.0999999999999996</v>
      </c>
      <c r="I1571" s="18">
        <v>599</v>
      </c>
      <c r="J1571" s="18">
        <v>0</v>
      </c>
      <c r="K1571" s="18">
        <v>2455.9</v>
      </c>
      <c r="L1571" s="18" t="s">
        <v>139</v>
      </c>
      <c r="M1571" s="18" t="s">
        <v>119</v>
      </c>
      <c r="N1571" s="28">
        <v>45196.461805555555</v>
      </c>
      <c r="O1571" s="28">
        <v>45196.99722222222</v>
      </c>
      <c r="P1571" s="18">
        <v>3.9</v>
      </c>
      <c r="Q1571" s="18" t="b">
        <f>TRUE()</f>
        <v>1</v>
      </c>
      <c r="R1571" s="18" t="b">
        <f>FALSE()</f>
        <v>0</v>
      </c>
      <c r="S1571" s="19">
        <f t="shared" si="24"/>
        <v>12.8</v>
      </c>
      <c r="T1571">
        <f>COUNTIF('👤 Customers'!$A:$A, B1571)</f>
        <v>1</v>
      </c>
      <c r="U1571">
        <f>COUNTIF('🚴 Riders'!A1570:A1630, C1571)</f>
        <v>0</v>
      </c>
      <c r="V1571">
        <f>COUNTIF('🏭 Facilities'!A1570:A1578, D1571)</f>
        <v>0</v>
      </c>
    </row>
    <row r="1572" spans="1:22">
      <c r="A1572" s="16" t="s">
        <v>3803</v>
      </c>
      <c r="B1572" s="16" t="s">
        <v>749</v>
      </c>
      <c r="C1572" s="16" t="s">
        <v>114</v>
      </c>
      <c r="D1572" s="16" t="s">
        <v>115</v>
      </c>
      <c r="E1572" s="25">
        <v>45132</v>
      </c>
      <c r="F1572" s="16" t="s">
        <v>3804</v>
      </c>
      <c r="G1572" s="16" t="s">
        <v>117</v>
      </c>
      <c r="H1572" s="16">
        <v>2.5</v>
      </c>
      <c r="I1572" s="16">
        <v>149</v>
      </c>
      <c r="J1572" s="16">
        <v>10</v>
      </c>
      <c r="K1572" s="16">
        <v>335.25</v>
      </c>
      <c r="L1572" s="16" t="s">
        <v>126</v>
      </c>
      <c r="M1572" s="16" t="s">
        <v>119</v>
      </c>
      <c r="N1572" s="27">
        <v>45132.343055555553</v>
      </c>
      <c r="O1572" s="27">
        <v>45133.414583333331</v>
      </c>
      <c r="P1572" s="16">
        <v>3.9</v>
      </c>
      <c r="Q1572" s="16" t="b">
        <f>FALSE()</f>
        <v>0</v>
      </c>
      <c r="R1572" s="16" t="b">
        <f>FALSE()</f>
        <v>0</v>
      </c>
      <c r="S1572" s="17">
        <f t="shared" si="24"/>
        <v>25.7</v>
      </c>
      <c r="T1572">
        <f>COUNTIF('👤 Customers'!$A:$A, B1572)</f>
        <v>1</v>
      </c>
      <c r="U1572">
        <f>COUNTIF('🚴 Riders'!A1571:A1631, C1572)</f>
        <v>0</v>
      </c>
      <c r="V1572">
        <f>COUNTIF('🏭 Facilities'!A1571:A1579, D1572)</f>
        <v>0</v>
      </c>
    </row>
    <row r="1573" spans="1:22">
      <c r="A1573" s="18" t="s">
        <v>3805</v>
      </c>
      <c r="B1573" s="18" t="s">
        <v>250</v>
      </c>
      <c r="C1573" s="18" t="s">
        <v>220</v>
      </c>
      <c r="D1573" s="18" t="s">
        <v>130</v>
      </c>
      <c r="E1573" s="26">
        <v>45651</v>
      </c>
      <c r="F1573" s="18" t="s">
        <v>1986</v>
      </c>
      <c r="G1573" s="18" t="s">
        <v>176</v>
      </c>
      <c r="H1573" s="18">
        <v>5.5</v>
      </c>
      <c r="I1573" s="18">
        <v>599</v>
      </c>
      <c r="J1573" s="18">
        <v>0</v>
      </c>
      <c r="K1573" s="18">
        <v>3294.5</v>
      </c>
      <c r="L1573" s="18" t="s">
        <v>139</v>
      </c>
      <c r="M1573" s="18" t="s">
        <v>119</v>
      </c>
      <c r="N1573" s="28">
        <v>45651.381944444445</v>
      </c>
      <c r="O1573" s="28">
        <v>45652.447222222225</v>
      </c>
      <c r="P1573" s="18">
        <v>3.3</v>
      </c>
      <c r="Q1573" s="18" t="b">
        <f>FALSE()</f>
        <v>0</v>
      </c>
      <c r="R1573" s="18" t="b">
        <f>FALSE()</f>
        <v>0</v>
      </c>
      <c r="S1573" s="19">
        <f t="shared" si="24"/>
        <v>25.6</v>
      </c>
      <c r="T1573">
        <f>COUNTIF('👤 Customers'!$A:$A, B1573)</f>
        <v>1</v>
      </c>
      <c r="U1573">
        <f>COUNTIF('🚴 Riders'!A1572:A1632, C1573)</f>
        <v>0</v>
      </c>
      <c r="V1573">
        <f>COUNTIF('🏭 Facilities'!A1572:A1580, D1573)</f>
        <v>0</v>
      </c>
    </row>
    <row r="1574" spans="1:22">
      <c r="A1574" s="16" t="s">
        <v>3806</v>
      </c>
      <c r="B1574" s="16" t="s">
        <v>838</v>
      </c>
      <c r="C1574" s="16" t="s">
        <v>358</v>
      </c>
      <c r="D1574" s="16" t="s">
        <v>115</v>
      </c>
      <c r="E1574" s="25">
        <v>45078</v>
      </c>
      <c r="F1574" s="16" t="s">
        <v>3807</v>
      </c>
      <c r="G1574" s="16" t="s">
        <v>117</v>
      </c>
      <c r="H1574" s="16">
        <v>6</v>
      </c>
      <c r="I1574" s="16">
        <v>149</v>
      </c>
      <c r="J1574" s="16">
        <v>0</v>
      </c>
      <c r="K1574" s="16">
        <v>894</v>
      </c>
      <c r="L1574" s="16" t="s">
        <v>126</v>
      </c>
      <c r="M1574" s="16" t="s">
        <v>140</v>
      </c>
      <c r="N1574" s="27">
        <v>45078.430555555555</v>
      </c>
      <c r="O1574" s="27">
        <v>45079.112500000003</v>
      </c>
      <c r="P1574" s="20"/>
      <c r="Q1574" s="16" t="b">
        <f>FALSE()</f>
        <v>0</v>
      </c>
      <c r="R1574" s="16" t="b">
        <f>FALSE()</f>
        <v>0</v>
      </c>
      <c r="S1574" s="17">
        <f t="shared" si="24"/>
        <v>16.399999999999999</v>
      </c>
      <c r="T1574">
        <f>COUNTIF('👤 Customers'!$A:$A, B1574)</f>
        <v>1</v>
      </c>
      <c r="U1574">
        <f>COUNTIF('🚴 Riders'!A1573:A1633, C1574)</f>
        <v>0</v>
      </c>
      <c r="V1574">
        <f>COUNTIF('🏭 Facilities'!A1573:A1581, D1574)</f>
        <v>0</v>
      </c>
    </row>
    <row r="1575" spans="1:22">
      <c r="A1575" s="18" t="s">
        <v>3808</v>
      </c>
      <c r="B1575" s="18" t="s">
        <v>2120</v>
      </c>
      <c r="C1575" s="18" t="s">
        <v>228</v>
      </c>
      <c r="D1575" s="18" t="s">
        <v>137</v>
      </c>
      <c r="E1575" s="26">
        <v>45506</v>
      </c>
      <c r="F1575" s="18" t="s">
        <v>3809</v>
      </c>
      <c r="G1575" s="18" t="s">
        <v>145</v>
      </c>
      <c r="H1575" s="18">
        <v>6.9</v>
      </c>
      <c r="I1575" s="18">
        <v>299</v>
      </c>
      <c r="J1575" s="18">
        <v>20</v>
      </c>
      <c r="K1575" s="18">
        <v>1650.48</v>
      </c>
      <c r="L1575" s="18" t="s">
        <v>207</v>
      </c>
      <c r="M1575" s="18" t="s">
        <v>119</v>
      </c>
      <c r="N1575" s="28">
        <v>45506.606249999997</v>
      </c>
      <c r="O1575" s="28">
        <v>45507.081944444442</v>
      </c>
      <c r="P1575" s="18">
        <v>2.6</v>
      </c>
      <c r="Q1575" s="18" t="b">
        <f>FALSE()</f>
        <v>0</v>
      </c>
      <c r="R1575" s="18" t="b">
        <f>FALSE()</f>
        <v>0</v>
      </c>
      <c r="S1575" s="19">
        <f t="shared" si="24"/>
        <v>11.4</v>
      </c>
      <c r="T1575">
        <f>COUNTIF('👤 Customers'!$A:$A, B1575)</f>
        <v>1</v>
      </c>
      <c r="U1575">
        <f>COUNTIF('🚴 Riders'!A1574:A1634, C1575)</f>
        <v>0</v>
      </c>
      <c r="V1575">
        <f>COUNTIF('🏭 Facilities'!A1574:A1582, D1575)</f>
        <v>0</v>
      </c>
    </row>
    <row r="1576" spans="1:22">
      <c r="A1576" s="16" t="s">
        <v>3810</v>
      </c>
      <c r="B1576" s="16" t="s">
        <v>1423</v>
      </c>
      <c r="C1576" s="16" t="s">
        <v>362</v>
      </c>
      <c r="D1576" s="16" t="s">
        <v>158</v>
      </c>
      <c r="E1576" s="25">
        <v>45095</v>
      </c>
      <c r="F1576" s="16" t="s">
        <v>3811</v>
      </c>
      <c r="G1576" s="16" t="s">
        <v>132</v>
      </c>
      <c r="H1576" s="16">
        <v>7</v>
      </c>
      <c r="I1576" s="16">
        <v>399</v>
      </c>
      <c r="J1576" s="16">
        <v>0</v>
      </c>
      <c r="K1576" s="16">
        <v>2793</v>
      </c>
      <c r="L1576" s="16" t="s">
        <v>118</v>
      </c>
      <c r="M1576" s="16" t="s">
        <v>140</v>
      </c>
      <c r="N1576" s="27">
        <v>45095.668055555558</v>
      </c>
      <c r="O1576" s="27">
        <v>45096.384722222225</v>
      </c>
      <c r="P1576" s="20"/>
      <c r="Q1576" s="16" t="b">
        <f>FALSE()</f>
        <v>0</v>
      </c>
      <c r="R1576" s="16" t="b">
        <f>TRUE()</f>
        <v>1</v>
      </c>
      <c r="S1576" s="17">
        <f t="shared" si="24"/>
        <v>17.2</v>
      </c>
      <c r="T1576">
        <f>COUNTIF('👤 Customers'!$A:$A, B1576)</f>
        <v>1</v>
      </c>
      <c r="U1576">
        <f>COUNTIF('🚴 Riders'!A1575:A1635, C1576)</f>
        <v>0</v>
      </c>
      <c r="V1576">
        <f>COUNTIF('🏭 Facilities'!A1575:A1583, D1576)</f>
        <v>0</v>
      </c>
    </row>
    <row r="1577" spans="1:22">
      <c r="A1577" s="18" t="s">
        <v>3812</v>
      </c>
      <c r="B1577" s="18" t="s">
        <v>1088</v>
      </c>
      <c r="C1577" s="18" t="s">
        <v>1092</v>
      </c>
      <c r="D1577" s="18" t="s">
        <v>137</v>
      </c>
      <c r="E1577" s="26">
        <v>45362</v>
      </c>
      <c r="F1577" s="18" t="s">
        <v>3813</v>
      </c>
      <c r="G1577" s="18" t="s">
        <v>132</v>
      </c>
      <c r="H1577" s="18">
        <v>3.3</v>
      </c>
      <c r="I1577" s="18">
        <v>399</v>
      </c>
      <c r="J1577" s="18">
        <v>10</v>
      </c>
      <c r="K1577" s="18">
        <v>1185.03</v>
      </c>
      <c r="L1577" s="18" t="s">
        <v>118</v>
      </c>
      <c r="M1577" s="18" t="s">
        <v>119</v>
      </c>
      <c r="N1577" s="28">
        <v>45362.643055555556</v>
      </c>
      <c r="O1577" s="28">
        <v>45363.644444444442</v>
      </c>
      <c r="P1577" s="18">
        <v>2.9</v>
      </c>
      <c r="Q1577" s="18" t="b">
        <f>FALSE()</f>
        <v>0</v>
      </c>
      <c r="R1577" s="18" t="b">
        <f>FALSE()</f>
        <v>0</v>
      </c>
      <c r="S1577" s="19">
        <f t="shared" si="24"/>
        <v>24</v>
      </c>
      <c r="T1577">
        <f>COUNTIF('👤 Customers'!$A:$A, B1577)</f>
        <v>1</v>
      </c>
      <c r="U1577">
        <f>COUNTIF('🚴 Riders'!A1576:A1636, C1577)</f>
        <v>0</v>
      </c>
      <c r="V1577">
        <f>COUNTIF('🏭 Facilities'!A1576:A1584, D1577)</f>
        <v>0</v>
      </c>
    </row>
    <row r="1578" spans="1:22">
      <c r="A1578" s="16" t="s">
        <v>3814</v>
      </c>
      <c r="B1578" s="16" t="s">
        <v>1331</v>
      </c>
      <c r="C1578" s="16" t="s">
        <v>308</v>
      </c>
      <c r="D1578" s="16" t="s">
        <v>197</v>
      </c>
      <c r="E1578" s="25">
        <v>45651</v>
      </c>
      <c r="F1578" s="16" t="s">
        <v>3815</v>
      </c>
      <c r="G1578" s="16" t="s">
        <v>132</v>
      </c>
      <c r="H1578" s="16">
        <v>2.6</v>
      </c>
      <c r="I1578" s="16">
        <v>399</v>
      </c>
      <c r="J1578" s="16">
        <v>0</v>
      </c>
      <c r="K1578" s="16">
        <v>1037.4000000000001</v>
      </c>
      <c r="L1578" s="16" t="s">
        <v>118</v>
      </c>
      <c r="M1578" s="16" t="s">
        <v>119</v>
      </c>
      <c r="N1578" s="27">
        <v>45651.838194444441</v>
      </c>
      <c r="O1578" s="27">
        <v>45652.18472222222</v>
      </c>
      <c r="P1578" s="16">
        <v>4.2</v>
      </c>
      <c r="Q1578" s="16" t="b">
        <f>TRUE()</f>
        <v>1</v>
      </c>
      <c r="R1578" s="16" t="b">
        <f>FALSE()</f>
        <v>0</v>
      </c>
      <c r="S1578" s="17">
        <f t="shared" si="24"/>
        <v>8.3000000000000007</v>
      </c>
      <c r="T1578">
        <f>COUNTIF('👤 Customers'!$A:$A, B1578)</f>
        <v>1</v>
      </c>
      <c r="U1578">
        <f>COUNTIF('🚴 Riders'!A1577:A1637, C1578)</f>
        <v>0</v>
      </c>
      <c r="V1578">
        <f>COUNTIF('🏭 Facilities'!A1577:A1585, D1578)</f>
        <v>0</v>
      </c>
    </row>
    <row r="1579" spans="1:22">
      <c r="A1579" s="18" t="s">
        <v>3816</v>
      </c>
      <c r="B1579" s="18" t="s">
        <v>1439</v>
      </c>
      <c r="C1579" s="18" t="s">
        <v>183</v>
      </c>
      <c r="D1579" s="18" t="s">
        <v>137</v>
      </c>
      <c r="E1579" s="26">
        <v>45073</v>
      </c>
      <c r="F1579" s="18" t="s">
        <v>3817</v>
      </c>
      <c r="G1579" s="18" t="s">
        <v>132</v>
      </c>
      <c r="H1579" s="18">
        <v>6.3</v>
      </c>
      <c r="I1579" s="18">
        <v>399</v>
      </c>
      <c r="J1579" s="18">
        <v>0</v>
      </c>
      <c r="K1579" s="18">
        <v>2513.6999999999998</v>
      </c>
      <c r="L1579" s="18" t="s">
        <v>146</v>
      </c>
      <c r="M1579" s="18" t="s">
        <v>119</v>
      </c>
      <c r="N1579" s="28">
        <v>45073.785416666666</v>
      </c>
      <c r="O1579" s="28">
        <v>45074.261111111111</v>
      </c>
      <c r="P1579" s="18">
        <v>2.5</v>
      </c>
      <c r="Q1579" s="18" t="b">
        <f>FALSE()</f>
        <v>0</v>
      </c>
      <c r="R1579" s="18" t="b">
        <f>FALSE()</f>
        <v>0</v>
      </c>
      <c r="S1579" s="19">
        <f t="shared" si="24"/>
        <v>11.4</v>
      </c>
      <c r="T1579">
        <f>COUNTIF('👤 Customers'!$A:$A, B1579)</f>
        <v>1</v>
      </c>
      <c r="U1579">
        <f>COUNTIF('🚴 Riders'!A1578:A1638, C1579)</f>
        <v>0</v>
      </c>
      <c r="V1579">
        <f>COUNTIF('🏭 Facilities'!A1578:A1586, D1579)</f>
        <v>0</v>
      </c>
    </row>
    <row r="1580" spans="1:22">
      <c r="A1580" s="16" t="s">
        <v>3818</v>
      </c>
      <c r="B1580" s="16" t="s">
        <v>1311</v>
      </c>
      <c r="C1580" s="16" t="s">
        <v>114</v>
      </c>
      <c r="D1580" s="16" t="s">
        <v>158</v>
      </c>
      <c r="E1580" s="25">
        <v>45176</v>
      </c>
      <c r="F1580" s="16" t="s">
        <v>3819</v>
      </c>
      <c r="G1580" s="16" t="s">
        <v>125</v>
      </c>
      <c r="H1580" s="16">
        <v>3.3</v>
      </c>
      <c r="I1580" s="16">
        <v>199</v>
      </c>
      <c r="J1580" s="16">
        <v>0</v>
      </c>
      <c r="K1580" s="16">
        <v>656.7</v>
      </c>
      <c r="L1580" s="16" t="s">
        <v>146</v>
      </c>
      <c r="M1580" s="16" t="s">
        <v>119</v>
      </c>
      <c r="N1580" s="27">
        <v>45176.430555555555</v>
      </c>
      <c r="O1580" s="27">
        <v>45177.090277777781</v>
      </c>
      <c r="P1580" s="16">
        <v>4.2</v>
      </c>
      <c r="Q1580" s="16" t="b">
        <f>FALSE()</f>
        <v>0</v>
      </c>
      <c r="R1580" s="16" t="b">
        <f>FALSE()</f>
        <v>0</v>
      </c>
      <c r="S1580" s="17">
        <f t="shared" si="24"/>
        <v>15.8</v>
      </c>
      <c r="T1580">
        <f>COUNTIF('👤 Customers'!$A:$A, B1580)</f>
        <v>1</v>
      </c>
      <c r="U1580">
        <f>COUNTIF('🚴 Riders'!A1579:A1639, C1580)</f>
        <v>0</v>
      </c>
      <c r="V1580">
        <f>COUNTIF('🏭 Facilities'!A1579:A1587, D1580)</f>
        <v>0</v>
      </c>
    </row>
    <row r="1581" spans="1:22">
      <c r="A1581" s="18" t="s">
        <v>3820</v>
      </c>
      <c r="B1581" s="18" t="s">
        <v>1691</v>
      </c>
      <c r="C1581" s="18" t="s">
        <v>536</v>
      </c>
      <c r="D1581" s="18" t="s">
        <v>158</v>
      </c>
      <c r="E1581" s="26">
        <v>45098</v>
      </c>
      <c r="F1581" s="18" t="s">
        <v>3821</v>
      </c>
      <c r="G1581" s="18" t="s">
        <v>125</v>
      </c>
      <c r="H1581" s="18">
        <v>1.2</v>
      </c>
      <c r="I1581" s="18">
        <v>199</v>
      </c>
      <c r="J1581" s="18">
        <v>10</v>
      </c>
      <c r="K1581" s="18">
        <v>214.92</v>
      </c>
      <c r="L1581" s="18" t="s">
        <v>207</v>
      </c>
      <c r="M1581" s="18" t="s">
        <v>119</v>
      </c>
      <c r="N1581" s="28">
        <v>45098.897916666669</v>
      </c>
      <c r="O1581" s="28">
        <v>45099.945833333331</v>
      </c>
      <c r="P1581" s="18">
        <v>4.8</v>
      </c>
      <c r="Q1581" s="18" t="b">
        <f>FALSE()</f>
        <v>0</v>
      </c>
      <c r="R1581" s="18" t="b">
        <f>FALSE()</f>
        <v>0</v>
      </c>
      <c r="S1581" s="19">
        <f t="shared" si="24"/>
        <v>25.1</v>
      </c>
      <c r="T1581">
        <f>COUNTIF('👤 Customers'!$A:$A, B1581)</f>
        <v>1</v>
      </c>
      <c r="U1581">
        <f>COUNTIF('🚴 Riders'!A1580:A1640, C1581)</f>
        <v>0</v>
      </c>
      <c r="V1581">
        <f>COUNTIF('🏭 Facilities'!A1580:A1588, D1581)</f>
        <v>0</v>
      </c>
    </row>
    <row r="1582" spans="1:22">
      <c r="A1582" s="16" t="s">
        <v>3822</v>
      </c>
      <c r="B1582" s="16" t="s">
        <v>1162</v>
      </c>
      <c r="C1582" s="16" t="s">
        <v>611</v>
      </c>
      <c r="D1582" s="16" t="s">
        <v>123</v>
      </c>
      <c r="E1582" s="25">
        <v>45096</v>
      </c>
      <c r="F1582" s="16" t="s">
        <v>3823</v>
      </c>
      <c r="G1582" s="16" t="s">
        <v>132</v>
      </c>
      <c r="H1582" s="16">
        <v>7.6</v>
      </c>
      <c r="I1582" s="16">
        <v>399</v>
      </c>
      <c r="J1582" s="16">
        <v>0</v>
      </c>
      <c r="K1582" s="16">
        <v>3032.4</v>
      </c>
      <c r="L1582" s="16" t="s">
        <v>139</v>
      </c>
      <c r="M1582" s="16" t="s">
        <v>140</v>
      </c>
      <c r="N1582" s="27">
        <v>45096.686805555553</v>
      </c>
      <c r="O1582" s="27">
        <v>45097.77847222222</v>
      </c>
      <c r="P1582" s="20"/>
      <c r="Q1582" s="16" t="b">
        <f>TRUE()</f>
        <v>1</v>
      </c>
      <c r="R1582" s="16" t="b">
        <f>FALSE()</f>
        <v>0</v>
      </c>
      <c r="S1582" s="17">
        <f t="shared" si="24"/>
        <v>26.2</v>
      </c>
      <c r="T1582">
        <f>COUNTIF('👤 Customers'!$A:$A, B1582)</f>
        <v>1</v>
      </c>
      <c r="U1582">
        <f>COUNTIF('🚴 Riders'!A1581:A1641, C1582)</f>
        <v>0</v>
      </c>
      <c r="V1582">
        <f>COUNTIF('🏭 Facilities'!A1581:A1589, D1582)</f>
        <v>0</v>
      </c>
    </row>
    <row r="1583" spans="1:22">
      <c r="A1583" s="18" t="s">
        <v>3824</v>
      </c>
      <c r="B1583" s="18" t="s">
        <v>3825</v>
      </c>
      <c r="C1583" s="18" t="s">
        <v>431</v>
      </c>
      <c r="D1583" s="18" t="s">
        <v>123</v>
      </c>
      <c r="E1583" s="26">
        <v>44929</v>
      </c>
      <c r="F1583" s="18" t="s">
        <v>3826</v>
      </c>
      <c r="G1583" s="18" t="s">
        <v>132</v>
      </c>
      <c r="H1583" s="18">
        <v>4.9000000000000004</v>
      </c>
      <c r="I1583" s="18">
        <v>399</v>
      </c>
      <c r="J1583" s="18">
        <v>0</v>
      </c>
      <c r="K1583" s="18">
        <v>1955.1</v>
      </c>
      <c r="L1583" s="18" t="s">
        <v>207</v>
      </c>
      <c r="M1583" s="18" t="s">
        <v>119</v>
      </c>
      <c r="N1583" s="28">
        <v>44929.815972222219</v>
      </c>
      <c r="O1583" s="28">
        <v>44930.384722222225</v>
      </c>
      <c r="P1583" s="18">
        <v>4.0999999999999996</v>
      </c>
      <c r="Q1583" s="18" t="b">
        <f>TRUE()</f>
        <v>1</v>
      </c>
      <c r="R1583" s="18" t="b">
        <f>FALSE()</f>
        <v>0</v>
      </c>
      <c r="S1583" s="19">
        <f t="shared" si="24"/>
        <v>13.7</v>
      </c>
      <c r="T1583">
        <f>COUNTIF('👤 Customers'!$A:$A, B1583)</f>
        <v>1</v>
      </c>
      <c r="U1583">
        <f>COUNTIF('🚴 Riders'!A1582:A1642, C1583)</f>
        <v>0</v>
      </c>
      <c r="V1583">
        <f>COUNTIF('🏭 Facilities'!A1582:A1590, D1583)</f>
        <v>0</v>
      </c>
    </row>
    <row r="1584" spans="1:22">
      <c r="A1584" s="16" t="s">
        <v>3827</v>
      </c>
      <c r="B1584" s="16" t="s">
        <v>3828</v>
      </c>
      <c r="C1584" s="16" t="s">
        <v>1092</v>
      </c>
      <c r="D1584" s="16" t="s">
        <v>158</v>
      </c>
      <c r="E1584" s="25">
        <v>45424</v>
      </c>
      <c r="F1584" s="16" t="s">
        <v>3829</v>
      </c>
      <c r="G1584" s="16" t="s">
        <v>145</v>
      </c>
      <c r="H1584" s="16">
        <v>6.5</v>
      </c>
      <c r="I1584" s="16">
        <v>299</v>
      </c>
      <c r="J1584" s="16">
        <v>0</v>
      </c>
      <c r="K1584" s="16">
        <v>1943.5</v>
      </c>
      <c r="L1584" s="16" t="s">
        <v>139</v>
      </c>
      <c r="M1584" s="16" t="s">
        <v>119</v>
      </c>
      <c r="N1584" s="27">
        <v>45424.385416666664</v>
      </c>
      <c r="O1584" s="27">
        <v>45425.050694444442</v>
      </c>
      <c r="P1584" s="16">
        <v>4.5</v>
      </c>
      <c r="Q1584" s="16" t="b">
        <f>FALSE()</f>
        <v>0</v>
      </c>
      <c r="R1584" s="16" t="b">
        <f>TRUE()</f>
        <v>1</v>
      </c>
      <c r="S1584" s="17">
        <f t="shared" si="24"/>
        <v>16</v>
      </c>
      <c r="T1584">
        <f>COUNTIF('👤 Customers'!$A:$A, B1584)</f>
        <v>1</v>
      </c>
      <c r="U1584">
        <f>COUNTIF('🚴 Riders'!A1583:A1643, C1584)</f>
        <v>0</v>
      </c>
      <c r="V1584">
        <f>COUNTIF('🏭 Facilities'!A1583:A1591, D1584)</f>
        <v>0</v>
      </c>
    </row>
    <row r="1585" spans="1:22">
      <c r="A1585" s="18" t="s">
        <v>3830</v>
      </c>
      <c r="B1585" s="18" t="s">
        <v>3831</v>
      </c>
      <c r="C1585" s="18" t="s">
        <v>122</v>
      </c>
      <c r="D1585" s="18" t="s">
        <v>130</v>
      </c>
      <c r="E1585" s="26">
        <v>45279</v>
      </c>
      <c r="F1585" s="18" t="s">
        <v>3832</v>
      </c>
      <c r="G1585" s="18" t="s">
        <v>145</v>
      </c>
      <c r="H1585" s="18">
        <v>2</v>
      </c>
      <c r="I1585" s="18">
        <v>299</v>
      </c>
      <c r="J1585" s="18">
        <v>0</v>
      </c>
      <c r="K1585" s="18">
        <v>598</v>
      </c>
      <c r="L1585" s="18" t="s">
        <v>139</v>
      </c>
      <c r="M1585" s="18" t="s">
        <v>119</v>
      </c>
      <c r="N1585" s="28">
        <v>45279.343055555553</v>
      </c>
      <c r="O1585" s="28">
        <v>45279.970138888886</v>
      </c>
      <c r="P1585" s="18">
        <v>3</v>
      </c>
      <c r="Q1585" s="18" t="b">
        <f>FALSE()</f>
        <v>0</v>
      </c>
      <c r="R1585" s="18" t="b">
        <f>FALSE()</f>
        <v>0</v>
      </c>
      <c r="S1585" s="19">
        <f t="shared" si="24"/>
        <v>15</v>
      </c>
      <c r="T1585">
        <f>COUNTIF('👤 Customers'!$A:$A, B1585)</f>
        <v>1</v>
      </c>
      <c r="U1585">
        <f>COUNTIF('🚴 Riders'!A1584:A1644, C1585)</f>
        <v>0</v>
      </c>
      <c r="V1585">
        <f>COUNTIF('🏭 Facilities'!A1584:A1592, D1585)</f>
        <v>0</v>
      </c>
    </row>
    <row r="1586" spans="1:22">
      <c r="A1586" s="16" t="s">
        <v>3833</v>
      </c>
      <c r="B1586" s="16" t="s">
        <v>3834</v>
      </c>
      <c r="C1586" s="16" t="s">
        <v>287</v>
      </c>
      <c r="D1586" s="16" t="s">
        <v>115</v>
      </c>
      <c r="E1586" s="25">
        <v>45419</v>
      </c>
      <c r="F1586" s="16" t="s">
        <v>3835</v>
      </c>
      <c r="G1586" s="16" t="s">
        <v>145</v>
      </c>
      <c r="H1586" s="16">
        <v>7.2</v>
      </c>
      <c r="I1586" s="16">
        <v>299</v>
      </c>
      <c r="J1586" s="16">
        <v>10</v>
      </c>
      <c r="K1586" s="16">
        <v>1937.52</v>
      </c>
      <c r="L1586" s="16" t="s">
        <v>146</v>
      </c>
      <c r="M1586" s="16" t="s">
        <v>119</v>
      </c>
      <c r="N1586" s="27">
        <v>45419.796527777777</v>
      </c>
      <c r="O1586" s="27">
        <v>45420.337500000001</v>
      </c>
      <c r="P1586" s="16">
        <v>3</v>
      </c>
      <c r="Q1586" s="16" t="b">
        <f>FALSE()</f>
        <v>0</v>
      </c>
      <c r="R1586" s="16" t="b">
        <f>FALSE()</f>
        <v>0</v>
      </c>
      <c r="S1586" s="17">
        <f t="shared" si="24"/>
        <v>13</v>
      </c>
      <c r="T1586">
        <f>COUNTIF('👤 Customers'!$A:$A, B1586)</f>
        <v>1</v>
      </c>
      <c r="U1586">
        <f>COUNTIF('🚴 Riders'!A1585:A1645, C1586)</f>
        <v>0</v>
      </c>
      <c r="V1586">
        <f>COUNTIF('🏭 Facilities'!A1585:A1593, D1586)</f>
        <v>0</v>
      </c>
    </row>
    <row r="1587" spans="1:22">
      <c r="A1587" s="18" t="s">
        <v>3836</v>
      </c>
      <c r="B1587" s="18" t="s">
        <v>260</v>
      </c>
      <c r="C1587" s="18" t="s">
        <v>343</v>
      </c>
      <c r="D1587" s="18" t="s">
        <v>158</v>
      </c>
      <c r="E1587" s="26">
        <v>45382</v>
      </c>
      <c r="F1587" s="18" t="s">
        <v>3837</v>
      </c>
      <c r="G1587" s="18" t="s">
        <v>176</v>
      </c>
      <c r="H1587" s="18">
        <v>5.8</v>
      </c>
      <c r="I1587" s="18">
        <v>599</v>
      </c>
      <c r="J1587" s="18">
        <v>10</v>
      </c>
      <c r="K1587" s="18">
        <v>3126.78</v>
      </c>
      <c r="L1587" s="18" t="s">
        <v>126</v>
      </c>
      <c r="M1587" s="18" t="s">
        <v>133</v>
      </c>
      <c r="N1587" s="20"/>
      <c r="O1587" s="20"/>
      <c r="P1587" s="20"/>
      <c r="Q1587" s="18" t="b">
        <f>FALSE()</f>
        <v>0</v>
      </c>
      <c r="R1587" s="18" t="b">
        <f>FALSE()</f>
        <v>0</v>
      </c>
      <c r="S1587" s="19" t="str">
        <f t="shared" si="24"/>
        <v>N/A</v>
      </c>
      <c r="T1587">
        <f>COUNTIF('👤 Customers'!$A:$A, B1587)</f>
        <v>1</v>
      </c>
      <c r="U1587">
        <f>COUNTIF('🚴 Riders'!A1586:A1646, C1587)</f>
        <v>0</v>
      </c>
      <c r="V1587">
        <f>COUNTIF('🏭 Facilities'!A1586:A1594, D1587)</f>
        <v>0</v>
      </c>
    </row>
    <row r="1588" spans="1:22">
      <c r="A1588" s="16" t="s">
        <v>3838</v>
      </c>
      <c r="B1588" s="16" t="s">
        <v>338</v>
      </c>
      <c r="C1588" s="16" t="s">
        <v>1092</v>
      </c>
      <c r="D1588" s="16" t="s">
        <v>158</v>
      </c>
      <c r="E1588" s="25">
        <v>45171</v>
      </c>
      <c r="F1588" s="16" t="s">
        <v>3839</v>
      </c>
      <c r="G1588" s="16" t="s">
        <v>117</v>
      </c>
      <c r="H1588" s="16">
        <v>1.1000000000000001</v>
      </c>
      <c r="I1588" s="16">
        <v>149</v>
      </c>
      <c r="J1588" s="16">
        <v>0</v>
      </c>
      <c r="K1588" s="16">
        <v>163.9</v>
      </c>
      <c r="L1588" s="16" t="s">
        <v>118</v>
      </c>
      <c r="M1588" s="16" t="s">
        <v>140</v>
      </c>
      <c r="N1588" s="27">
        <v>45171.8</v>
      </c>
      <c r="O1588" s="27">
        <v>45172.315972222219</v>
      </c>
      <c r="P1588" s="20"/>
      <c r="Q1588" s="16" t="b">
        <f>FALSE()</f>
        <v>0</v>
      </c>
      <c r="R1588" s="16" t="b">
        <f>TRUE()</f>
        <v>1</v>
      </c>
      <c r="S1588" s="17">
        <f t="shared" si="24"/>
        <v>12.4</v>
      </c>
      <c r="T1588">
        <f>COUNTIF('👤 Customers'!$A:$A, B1588)</f>
        <v>1</v>
      </c>
      <c r="U1588">
        <f>COUNTIF('🚴 Riders'!A1587:A1647, C1588)</f>
        <v>0</v>
      </c>
      <c r="V1588">
        <f>COUNTIF('🏭 Facilities'!A1587:A1595, D1588)</f>
        <v>0</v>
      </c>
    </row>
    <row r="1589" spans="1:22">
      <c r="A1589" s="18" t="s">
        <v>3840</v>
      </c>
      <c r="B1589" s="18" t="s">
        <v>243</v>
      </c>
      <c r="C1589" s="18" t="s">
        <v>479</v>
      </c>
      <c r="D1589" s="18" t="s">
        <v>197</v>
      </c>
      <c r="E1589" s="26">
        <v>45099</v>
      </c>
      <c r="F1589" s="18" t="s">
        <v>3841</v>
      </c>
      <c r="G1589" s="18" t="s">
        <v>176</v>
      </c>
      <c r="H1589" s="18">
        <v>2.8</v>
      </c>
      <c r="I1589" s="18">
        <v>599</v>
      </c>
      <c r="J1589" s="18">
        <v>0</v>
      </c>
      <c r="K1589" s="18">
        <v>1677.2</v>
      </c>
      <c r="L1589" s="18" t="s">
        <v>126</v>
      </c>
      <c r="M1589" s="18" t="s">
        <v>119</v>
      </c>
      <c r="N1589" s="28">
        <v>45099.802777777775</v>
      </c>
      <c r="O1589" s="28">
        <v>45100.682638888888</v>
      </c>
      <c r="P1589" s="18">
        <v>3.3</v>
      </c>
      <c r="Q1589" s="18" t="b">
        <f>FALSE()</f>
        <v>0</v>
      </c>
      <c r="R1589" s="18" t="b">
        <f>FALSE()</f>
        <v>0</v>
      </c>
      <c r="S1589" s="19">
        <f t="shared" si="24"/>
        <v>21.1</v>
      </c>
      <c r="T1589">
        <f>COUNTIF('👤 Customers'!$A:$A, B1589)</f>
        <v>1</v>
      </c>
      <c r="U1589">
        <f>COUNTIF('🚴 Riders'!A1588:A1648, C1589)</f>
        <v>0</v>
      </c>
      <c r="V1589">
        <f>COUNTIF('🏭 Facilities'!A1588:A1596, D1589)</f>
        <v>0</v>
      </c>
    </row>
    <row r="1590" spans="1:22">
      <c r="A1590" s="16" t="s">
        <v>3842</v>
      </c>
      <c r="B1590" s="16" t="s">
        <v>977</v>
      </c>
      <c r="C1590" s="16" t="s">
        <v>479</v>
      </c>
      <c r="D1590" s="16" t="s">
        <v>137</v>
      </c>
      <c r="E1590" s="25">
        <v>45104</v>
      </c>
      <c r="F1590" s="16" t="s">
        <v>3843</v>
      </c>
      <c r="G1590" s="16" t="s">
        <v>117</v>
      </c>
      <c r="H1590" s="16">
        <v>1.1000000000000001</v>
      </c>
      <c r="I1590" s="16">
        <v>149</v>
      </c>
      <c r="J1590" s="16">
        <v>10</v>
      </c>
      <c r="K1590" s="16">
        <v>147.51</v>
      </c>
      <c r="L1590" s="16" t="s">
        <v>207</v>
      </c>
      <c r="M1590" s="16" t="s">
        <v>119</v>
      </c>
      <c r="N1590" s="27">
        <v>45104.196527777778</v>
      </c>
      <c r="O1590" s="27">
        <v>45104.874305555553</v>
      </c>
      <c r="P1590" s="16">
        <v>4.8</v>
      </c>
      <c r="Q1590" s="16" t="b">
        <f>FALSE()</f>
        <v>0</v>
      </c>
      <c r="R1590" s="16" t="b">
        <f>FALSE()</f>
        <v>0</v>
      </c>
      <c r="S1590" s="17">
        <f t="shared" si="24"/>
        <v>16.3</v>
      </c>
      <c r="T1590">
        <f>COUNTIF('👤 Customers'!$A:$A, B1590)</f>
        <v>1</v>
      </c>
      <c r="U1590">
        <f>COUNTIF('🚴 Riders'!A1589:A1649, C1590)</f>
        <v>0</v>
      </c>
      <c r="V1590">
        <f>COUNTIF('🏭 Facilities'!A1589:A1597, D1590)</f>
        <v>0</v>
      </c>
    </row>
    <row r="1591" spans="1:22">
      <c r="A1591" s="18" t="s">
        <v>3844</v>
      </c>
      <c r="B1591" s="18" t="s">
        <v>2313</v>
      </c>
      <c r="C1591" s="18" t="s">
        <v>224</v>
      </c>
      <c r="D1591" s="18" t="s">
        <v>115</v>
      </c>
      <c r="E1591" s="26">
        <v>45473</v>
      </c>
      <c r="F1591" s="18" t="s">
        <v>3845</v>
      </c>
      <c r="G1591" s="18" t="s">
        <v>117</v>
      </c>
      <c r="H1591" s="18">
        <v>7.6</v>
      </c>
      <c r="I1591" s="18">
        <v>149</v>
      </c>
      <c r="J1591" s="18">
        <v>0</v>
      </c>
      <c r="K1591" s="18">
        <v>1132.4000000000001</v>
      </c>
      <c r="L1591" s="18" t="s">
        <v>126</v>
      </c>
      <c r="M1591" s="18" t="s">
        <v>140</v>
      </c>
      <c r="N1591" s="28">
        <v>45473.234722222223</v>
      </c>
      <c r="O1591" s="28">
        <v>45473.863194444442</v>
      </c>
      <c r="P1591" s="20"/>
      <c r="Q1591" s="18" t="b">
        <f>FALSE()</f>
        <v>0</v>
      </c>
      <c r="R1591" s="18" t="b">
        <f>FALSE()</f>
        <v>0</v>
      </c>
      <c r="S1591" s="19">
        <f t="shared" si="24"/>
        <v>15.1</v>
      </c>
      <c r="T1591">
        <f>COUNTIF('👤 Customers'!$A:$A, B1591)</f>
        <v>1</v>
      </c>
      <c r="U1591">
        <f>COUNTIF('🚴 Riders'!A1590:A1650, C1591)</f>
        <v>0</v>
      </c>
      <c r="V1591">
        <f>COUNTIF('🏭 Facilities'!A1590:A1598, D1591)</f>
        <v>0</v>
      </c>
    </row>
    <row r="1592" spans="1:22">
      <c r="A1592" s="16" t="s">
        <v>3846</v>
      </c>
      <c r="B1592" s="16" t="s">
        <v>1781</v>
      </c>
      <c r="C1592" s="16" t="s">
        <v>322</v>
      </c>
      <c r="D1592" s="16" t="s">
        <v>123</v>
      </c>
      <c r="E1592" s="25">
        <v>45335</v>
      </c>
      <c r="F1592" s="16" t="s">
        <v>2056</v>
      </c>
      <c r="G1592" s="16" t="s">
        <v>132</v>
      </c>
      <c r="H1592" s="16">
        <v>7.4</v>
      </c>
      <c r="I1592" s="16">
        <v>399</v>
      </c>
      <c r="J1592" s="16">
        <v>0</v>
      </c>
      <c r="K1592" s="16">
        <v>2952.6</v>
      </c>
      <c r="L1592" s="16" t="s">
        <v>126</v>
      </c>
      <c r="M1592" s="16" t="s">
        <v>119</v>
      </c>
      <c r="N1592" s="27">
        <v>45335.929861111108</v>
      </c>
      <c r="O1592" s="27">
        <v>45336.67083333333</v>
      </c>
      <c r="P1592" s="16">
        <v>3.5</v>
      </c>
      <c r="Q1592" s="16" t="b">
        <f>TRUE()</f>
        <v>1</v>
      </c>
      <c r="R1592" s="16" t="b">
        <f>FALSE()</f>
        <v>0</v>
      </c>
      <c r="S1592" s="17">
        <f t="shared" si="24"/>
        <v>17.8</v>
      </c>
      <c r="T1592">
        <f>COUNTIF('👤 Customers'!$A:$A, B1592)</f>
        <v>1</v>
      </c>
      <c r="U1592">
        <f>COUNTIF('🚴 Riders'!A1591:A1651, C1592)</f>
        <v>0</v>
      </c>
      <c r="V1592">
        <f>COUNTIF('🏭 Facilities'!A1591:A1599, D1592)</f>
        <v>0</v>
      </c>
    </row>
    <row r="1593" spans="1:22">
      <c r="A1593" s="18" t="s">
        <v>3847</v>
      </c>
      <c r="B1593" s="18" t="s">
        <v>734</v>
      </c>
      <c r="C1593" s="18" t="s">
        <v>287</v>
      </c>
      <c r="D1593" s="18" t="s">
        <v>123</v>
      </c>
      <c r="E1593" s="26">
        <v>45495</v>
      </c>
      <c r="F1593" s="18" t="s">
        <v>3848</v>
      </c>
      <c r="G1593" s="18" t="s">
        <v>132</v>
      </c>
      <c r="H1593" s="18">
        <v>5.9</v>
      </c>
      <c r="I1593" s="18">
        <v>399</v>
      </c>
      <c r="J1593" s="18">
        <v>0</v>
      </c>
      <c r="K1593" s="18">
        <v>2354.1</v>
      </c>
      <c r="L1593" s="18" t="s">
        <v>139</v>
      </c>
      <c r="M1593" s="18" t="s">
        <v>140</v>
      </c>
      <c r="N1593" s="28">
        <v>45495.081944444442</v>
      </c>
      <c r="O1593" s="28">
        <v>45495.665277777778</v>
      </c>
      <c r="P1593" s="20"/>
      <c r="Q1593" s="18" t="b">
        <f>TRUE()</f>
        <v>1</v>
      </c>
      <c r="R1593" s="18" t="b">
        <f>FALSE()</f>
        <v>0</v>
      </c>
      <c r="S1593" s="19">
        <f t="shared" si="24"/>
        <v>14</v>
      </c>
      <c r="T1593">
        <f>COUNTIF('👤 Customers'!$A:$A, B1593)</f>
        <v>1</v>
      </c>
      <c r="U1593">
        <f>COUNTIF('🚴 Riders'!A1592:A1652, C1593)</f>
        <v>0</v>
      </c>
      <c r="V1593">
        <f>COUNTIF('🏭 Facilities'!A1592:A1600, D1593)</f>
        <v>0</v>
      </c>
    </row>
    <row r="1594" spans="1:22">
      <c r="A1594" s="16" t="s">
        <v>3849</v>
      </c>
      <c r="B1594" s="16" t="s">
        <v>416</v>
      </c>
      <c r="C1594" s="16" t="s">
        <v>129</v>
      </c>
      <c r="D1594" s="16" t="s">
        <v>184</v>
      </c>
      <c r="E1594" s="25">
        <v>45327</v>
      </c>
      <c r="F1594" s="16" t="s">
        <v>3850</v>
      </c>
      <c r="G1594" s="16" t="s">
        <v>145</v>
      </c>
      <c r="H1594" s="16">
        <v>5.8</v>
      </c>
      <c r="I1594" s="16">
        <v>299</v>
      </c>
      <c r="J1594" s="16">
        <v>10</v>
      </c>
      <c r="K1594" s="16">
        <v>1560.78</v>
      </c>
      <c r="L1594" s="16" t="s">
        <v>146</v>
      </c>
      <c r="M1594" s="16" t="s">
        <v>133</v>
      </c>
      <c r="N1594" s="20"/>
      <c r="O1594" s="20"/>
      <c r="P1594" s="20"/>
      <c r="Q1594" s="16" t="b">
        <f>FALSE()</f>
        <v>0</v>
      </c>
      <c r="R1594" s="16" t="b">
        <f>FALSE()</f>
        <v>0</v>
      </c>
      <c r="S1594" s="17" t="str">
        <f t="shared" si="24"/>
        <v>N/A</v>
      </c>
      <c r="T1594">
        <f>COUNTIF('👤 Customers'!$A:$A, B1594)</f>
        <v>1</v>
      </c>
      <c r="U1594">
        <f>COUNTIF('🚴 Riders'!A1593:A1653, C1594)</f>
        <v>0</v>
      </c>
      <c r="V1594">
        <f>COUNTIF('🏭 Facilities'!A1593:A1601, D1594)</f>
        <v>0</v>
      </c>
    </row>
    <row r="1595" spans="1:22">
      <c r="A1595" s="18" t="s">
        <v>3851</v>
      </c>
      <c r="B1595" s="18" t="s">
        <v>329</v>
      </c>
      <c r="C1595" s="18" t="s">
        <v>354</v>
      </c>
      <c r="D1595" s="18" t="s">
        <v>137</v>
      </c>
      <c r="E1595" s="26">
        <v>45083</v>
      </c>
      <c r="F1595" s="18" t="s">
        <v>3852</v>
      </c>
      <c r="G1595" s="18" t="s">
        <v>145</v>
      </c>
      <c r="H1595" s="18">
        <v>6.6</v>
      </c>
      <c r="I1595" s="18">
        <v>299</v>
      </c>
      <c r="J1595" s="18">
        <v>0</v>
      </c>
      <c r="K1595" s="18">
        <v>1973.4</v>
      </c>
      <c r="L1595" s="18" t="s">
        <v>126</v>
      </c>
      <c r="M1595" s="18" t="s">
        <v>133</v>
      </c>
      <c r="N1595" s="20"/>
      <c r="O1595" s="20"/>
      <c r="P1595" s="20"/>
      <c r="Q1595" s="18" t="b">
        <f>TRUE()</f>
        <v>1</v>
      </c>
      <c r="R1595" s="18" t="b">
        <f>FALSE()</f>
        <v>0</v>
      </c>
      <c r="S1595" s="19" t="str">
        <f t="shared" si="24"/>
        <v>N/A</v>
      </c>
      <c r="T1595">
        <f>COUNTIF('👤 Customers'!$A:$A, B1595)</f>
        <v>1</v>
      </c>
      <c r="U1595">
        <f>COUNTIF('🚴 Riders'!A1594:A1654, C1595)</f>
        <v>0</v>
      </c>
      <c r="V1595">
        <f>COUNTIF('🏭 Facilities'!A1594:A1602, D1595)</f>
        <v>0</v>
      </c>
    </row>
    <row r="1596" spans="1:22">
      <c r="A1596" s="16" t="s">
        <v>3853</v>
      </c>
      <c r="B1596" s="16" t="s">
        <v>704</v>
      </c>
      <c r="C1596" s="16" t="s">
        <v>354</v>
      </c>
      <c r="D1596" s="16" t="s">
        <v>205</v>
      </c>
      <c r="E1596" s="25">
        <v>45626</v>
      </c>
      <c r="F1596" s="16" t="s">
        <v>3854</v>
      </c>
      <c r="G1596" s="16" t="s">
        <v>117</v>
      </c>
      <c r="H1596" s="16">
        <v>6.1</v>
      </c>
      <c r="I1596" s="16">
        <v>149</v>
      </c>
      <c r="J1596" s="16">
        <v>10</v>
      </c>
      <c r="K1596" s="16">
        <v>818.01</v>
      </c>
      <c r="L1596" s="16" t="s">
        <v>118</v>
      </c>
      <c r="M1596" s="16" t="s">
        <v>119</v>
      </c>
      <c r="N1596" s="27">
        <v>45626.884027777778</v>
      </c>
      <c r="O1596" s="27">
        <v>45627.479166666664</v>
      </c>
      <c r="P1596" s="16">
        <v>4.4000000000000004</v>
      </c>
      <c r="Q1596" s="16" t="b">
        <f>FALSE()</f>
        <v>0</v>
      </c>
      <c r="R1596" s="16" t="b">
        <f>FALSE()</f>
        <v>0</v>
      </c>
      <c r="S1596" s="17">
        <f t="shared" si="24"/>
        <v>14.3</v>
      </c>
      <c r="T1596">
        <f>COUNTIF('👤 Customers'!$A:$A, B1596)</f>
        <v>1</v>
      </c>
      <c r="U1596">
        <f>COUNTIF('🚴 Riders'!A1595:A1655, C1596)</f>
        <v>0</v>
      </c>
      <c r="V1596">
        <f>COUNTIF('🏭 Facilities'!A1595:A1603, D1596)</f>
        <v>0</v>
      </c>
    </row>
    <row r="1597" spans="1:22">
      <c r="A1597" s="18" t="s">
        <v>3855</v>
      </c>
      <c r="B1597" s="18" t="s">
        <v>3632</v>
      </c>
      <c r="C1597" s="18" t="s">
        <v>272</v>
      </c>
      <c r="D1597" s="18" t="s">
        <v>158</v>
      </c>
      <c r="E1597" s="26">
        <v>45004</v>
      </c>
      <c r="F1597" s="18" t="s">
        <v>3856</v>
      </c>
      <c r="G1597" s="18" t="s">
        <v>132</v>
      </c>
      <c r="H1597" s="18">
        <v>2.8</v>
      </c>
      <c r="I1597" s="18">
        <v>399</v>
      </c>
      <c r="J1597" s="18">
        <v>0</v>
      </c>
      <c r="K1597" s="18">
        <v>1117.2</v>
      </c>
      <c r="L1597" s="18" t="s">
        <v>146</v>
      </c>
      <c r="M1597" s="18" t="s">
        <v>119</v>
      </c>
      <c r="N1597" s="28">
        <v>45004.597222222219</v>
      </c>
      <c r="O1597" s="28">
        <v>45005.21597222222</v>
      </c>
      <c r="P1597" s="18">
        <v>4.5999999999999996</v>
      </c>
      <c r="Q1597" s="18" t="b">
        <f>FALSE()</f>
        <v>0</v>
      </c>
      <c r="R1597" s="18" t="b">
        <f>TRUE()</f>
        <v>1</v>
      </c>
      <c r="S1597" s="19">
        <f t="shared" si="24"/>
        <v>14.9</v>
      </c>
      <c r="T1597">
        <f>COUNTIF('👤 Customers'!$A:$A, B1597)</f>
        <v>1</v>
      </c>
      <c r="U1597">
        <f>COUNTIF('🚴 Riders'!A1596:A1656, C1597)</f>
        <v>0</v>
      </c>
      <c r="V1597">
        <f>COUNTIF('🏭 Facilities'!A1596:A1604, D1597)</f>
        <v>0</v>
      </c>
    </row>
    <row r="1598" spans="1:22">
      <c r="A1598" s="16" t="s">
        <v>3857</v>
      </c>
      <c r="B1598" s="16" t="s">
        <v>2676</v>
      </c>
      <c r="C1598" s="16" t="s">
        <v>183</v>
      </c>
      <c r="D1598" s="16" t="s">
        <v>115</v>
      </c>
      <c r="E1598" s="25">
        <v>44982</v>
      </c>
      <c r="F1598" s="16" t="s">
        <v>3858</v>
      </c>
      <c r="G1598" s="16" t="s">
        <v>145</v>
      </c>
      <c r="H1598" s="16">
        <v>3.7</v>
      </c>
      <c r="I1598" s="16">
        <v>299</v>
      </c>
      <c r="J1598" s="16">
        <v>0</v>
      </c>
      <c r="K1598" s="16">
        <v>1106.3</v>
      </c>
      <c r="L1598" s="16" t="s">
        <v>118</v>
      </c>
      <c r="M1598" s="16" t="s">
        <v>119</v>
      </c>
      <c r="N1598" s="27">
        <v>44982.416666666664</v>
      </c>
      <c r="O1598" s="27">
        <v>44983.448611111111</v>
      </c>
      <c r="P1598" s="16">
        <v>2.5</v>
      </c>
      <c r="Q1598" s="16" t="b">
        <f>FALSE()</f>
        <v>0</v>
      </c>
      <c r="R1598" s="16" t="b">
        <f>FALSE()</f>
        <v>0</v>
      </c>
      <c r="S1598" s="17">
        <f t="shared" si="24"/>
        <v>24.8</v>
      </c>
      <c r="T1598">
        <f>COUNTIF('👤 Customers'!$A:$A, B1598)</f>
        <v>1</v>
      </c>
      <c r="U1598">
        <f>COUNTIF('🚴 Riders'!A1597:A1657, C1598)</f>
        <v>0</v>
      </c>
      <c r="V1598">
        <f>COUNTIF('🏭 Facilities'!A1597:A1605, D1598)</f>
        <v>0</v>
      </c>
    </row>
    <row r="1599" spans="1:22">
      <c r="A1599" s="18" t="s">
        <v>3859</v>
      </c>
      <c r="B1599" s="18" t="s">
        <v>740</v>
      </c>
      <c r="C1599" s="18" t="s">
        <v>213</v>
      </c>
      <c r="D1599" s="18" t="s">
        <v>184</v>
      </c>
      <c r="E1599" s="26">
        <v>45083</v>
      </c>
      <c r="F1599" s="18" t="s">
        <v>3860</v>
      </c>
      <c r="G1599" s="18" t="s">
        <v>176</v>
      </c>
      <c r="H1599" s="18">
        <v>3.8</v>
      </c>
      <c r="I1599" s="18">
        <v>599</v>
      </c>
      <c r="J1599" s="18">
        <v>0</v>
      </c>
      <c r="K1599" s="18">
        <v>2276.1999999999998</v>
      </c>
      <c r="L1599" s="18" t="s">
        <v>126</v>
      </c>
      <c r="M1599" s="18" t="s">
        <v>119</v>
      </c>
      <c r="N1599" s="28">
        <v>45083.603472222225</v>
      </c>
      <c r="O1599" s="28">
        <v>45084.546527777777</v>
      </c>
      <c r="P1599" s="18">
        <v>3.6</v>
      </c>
      <c r="Q1599" s="18" t="b">
        <f>FALSE()</f>
        <v>0</v>
      </c>
      <c r="R1599" s="18" t="b">
        <f>FALSE()</f>
        <v>0</v>
      </c>
      <c r="S1599" s="19">
        <f t="shared" si="24"/>
        <v>22.6</v>
      </c>
      <c r="T1599">
        <f>COUNTIF('👤 Customers'!$A:$A, B1599)</f>
        <v>1</v>
      </c>
      <c r="U1599">
        <f>COUNTIF('🚴 Riders'!A1598:A1658, C1599)</f>
        <v>0</v>
      </c>
      <c r="V1599">
        <f>COUNTIF('🏭 Facilities'!A1598:A1606, D1599)</f>
        <v>0</v>
      </c>
    </row>
    <row r="1600" spans="1:22">
      <c r="A1600" s="16" t="s">
        <v>3861</v>
      </c>
      <c r="B1600" s="16" t="s">
        <v>982</v>
      </c>
      <c r="C1600" s="16" t="s">
        <v>122</v>
      </c>
      <c r="D1600" s="16" t="s">
        <v>205</v>
      </c>
      <c r="E1600" s="25">
        <v>44962</v>
      </c>
      <c r="F1600" s="16" t="s">
        <v>3862</v>
      </c>
      <c r="G1600" s="16" t="s">
        <v>176</v>
      </c>
      <c r="H1600" s="16">
        <v>3.1</v>
      </c>
      <c r="I1600" s="16">
        <v>599</v>
      </c>
      <c r="J1600" s="16">
        <v>20</v>
      </c>
      <c r="K1600" s="16">
        <v>1485.52</v>
      </c>
      <c r="L1600" s="16" t="s">
        <v>126</v>
      </c>
      <c r="M1600" s="16" t="s">
        <v>119</v>
      </c>
      <c r="N1600" s="27">
        <v>44962.558333333334</v>
      </c>
      <c r="O1600" s="27">
        <v>44963.268750000003</v>
      </c>
      <c r="P1600" s="16">
        <v>3.9</v>
      </c>
      <c r="Q1600" s="16" t="b">
        <f>FALSE()</f>
        <v>0</v>
      </c>
      <c r="R1600" s="16" t="b">
        <f>FALSE()</f>
        <v>0</v>
      </c>
      <c r="S1600" s="17">
        <f t="shared" si="24"/>
        <v>17.100000000000001</v>
      </c>
      <c r="T1600">
        <f>COUNTIF('👤 Customers'!$A:$A, B1600)</f>
        <v>1</v>
      </c>
      <c r="U1600">
        <f>COUNTIF('🚴 Riders'!A1599:A1659, C1600)</f>
        <v>0</v>
      </c>
      <c r="V1600">
        <f>COUNTIF('🏭 Facilities'!A1599:A1607, D1600)</f>
        <v>0</v>
      </c>
    </row>
    <row r="1601" spans="1:22">
      <c r="A1601" s="18" t="s">
        <v>3863</v>
      </c>
      <c r="B1601" s="18" t="s">
        <v>1147</v>
      </c>
      <c r="C1601" s="18" t="s">
        <v>240</v>
      </c>
      <c r="D1601" s="18" t="s">
        <v>115</v>
      </c>
      <c r="E1601" s="26">
        <v>45399</v>
      </c>
      <c r="F1601" s="18" t="s">
        <v>3864</v>
      </c>
      <c r="G1601" s="18" t="s">
        <v>117</v>
      </c>
      <c r="H1601" s="18">
        <v>6.2</v>
      </c>
      <c r="I1601" s="18">
        <v>149</v>
      </c>
      <c r="J1601" s="18">
        <v>0</v>
      </c>
      <c r="K1601" s="18">
        <v>923.8</v>
      </c>
      <c r="L1601" s="18" t="s">
        <v>146</v>
      </c>
      <c r="M1601" s="18" t="s">
        <v>140</v>
      </c>
      <c r="N1601" s="28">
        <v>45399.90625</v>
      </c>
      <c r="O1601" s="28">
        <v>45400.672222222223</v>
      </c>
      <c r="P1601" s="20"/>
      <c r="Q1601" s="18" t="b">
        <f>FALSE()</f>
        <v>0</v>
      </c>
      <c r="R1601" s="18" t="b">
        <f>FALSE()</f>
        <v>0</v>
      </c>
      <c r="S1601" s="19">
        <f t="shared" si="24"/>
        <v>18.399999999999999</v>
      </c>
      <c r="T1601">
        <f>COUNTIF('👤 Customers'!$A:$A, B1601)</f>
        <v>1</v>
      </c>
      <c r="U1601">
        <f>COUNTIF('🚴 Riders'!A1600:A1660, C1601)</f>
        <v>0</v>
      </c>
      <c r="V1601">
        <f>COUNTIF('🏭 Facilities'!A1600:A1608, D1601)</f>
        <v>0</v>
      </c>
    </row>
    <row r="1602" spans="1:22">
      <c r="A1602" s="16" t="s">
        <v>3865</v>
      </c>
      <c r="B1602" s="16" t="s">
        <v>1006</v>
      </c>
      <c r="C1602" s="16" t="s">
        <v>358</v>
      </c>
      <c r="D1602" s="16" t="s">
        <v>158</v>
      </c>
      <c r="E1602" s="25">
        <v>45564</v>
      </c>
      <c r="F1602" s="16" t="s">
        <v>3866</v>
      </c>
      <c r="G1602" s="16" t="s">
        <v>176</v>
      </c>
      <c r="H1602" s="16">
        <v>7.1</v>
      </c>
      <c r="I1602" s="16">
        <v>599</v>
      </c>
      <c r="J1602" s="16">
        <v>0</v>
      </c>
      <c r="K1602" s="16">
        <v>4252.8999999999996</v>
      </c>
      <c r="L1602" s="16" t="s">
        <v>146</v>
      </c>
      <c r="M1602" s="16" t="s">
        <v>119</v>
      </c>
      <c r="N1602" s="27">
        <v>45564.968055555553</v>
      </c>
      <c r="O1602" s="27">
        <v>45565.396527777775</v>
      </c>
      <c r="P1602" s="16">
        <v>3.2</v>
      </c>
      <c r="Q1602" s="16" t="b">
        <f>TRUE()</f>
        <v>1</v>
      </c>
      <c r="R1602" s="16" t="b">
        <f>FALSE()</f>
        <v>0</v>
      </c>
      <c r="S1602" s="17">
        <f t="shared" ref="S1602:S1665" si="25">IF(OR(N1602="",O1602=""),"N/A",ROUND(((O1602-N1602)*24),1))</f>
        <v>10.3</v>
      </c>
      <c r="T1602">
        <f>COUNTIF('👤 Customers'!$A:$A, B1602)</f>
        <v>1</v>
      </c>
      <c r="U1602">
        <f>COUNTIF('🚴 Riders'!A1601:A1661, C1602)</f>
        <v>0</v>
      </c>
      <c r="V1602">
        <f>COUNTIF('🏭 Facilities'!A1601:A1609, D1602)</f>
        <v>0</v>
      </c>
    </row>
    <row r="1603" spans="1:22">
      <c r="A1603" s="18" t="s">
        <v>3867</v>
      </c>
      <c r="B1603" s="18" t="s">
        <v>1562</v>
      </c>
      <c r="C1603" s="18" t="s">
        <v>304</v>
      </c>
      <c r="D1603" s="18" t="s">
        <v>205</v>
      </c>
      <c r="E1603" s="26">
        <v>44959</v>
      </c>
      <c r="F1603" s="18" t="s">
        <v>3868</v>
      </c>
      <c r="G1603" s="18" t="s">
        <v>145</v>
      </c>
      <c r="H1603" s="18">
        <v>2.4</v>
      </c>
      <c r="I1603" s="18">
        <v>299</v>
      </c>
      <c r="J1603" s="18">
        <v>10</v>
      </c>
      <c r="K1603" s="18">
        <v>645.84</v>
      </c>
      <c r="L1603" s="18" t="s">
        <v>139</v>
      </c>
      <c r="M1603" s="18" t="s">
        <v>119</v>
      </c>
      <c r="N1603" s="28">
        <v>44959.936805555553</v>
      </c>
      <c r="O1603" s="28">
        <v>44960.679861111108</v>
      </c>
      <c r="P1603" s="18">
        <v>4.0999999999999996</v>
      </c>
      <c r="Q1603" s="18" t="b">
        <f>FALSE()</f>
        <v>0</v>
      </c>
      <c r="R1603" s="18" t="b">
        <f>FALSE()</f>
        <v>0</v>
      </c>
      <c r="S1603" s="19">
        <f t="shared" si="25"/>
        <v>17.8</v>
      </c>
      <c r="T1603">
        <f>COUNTIF('👤 Customers'!$A:$A, B1603)</f>
        <v>1</v>
      </c>
      <c r="U1603">
        <f>COUNTIF('🚴 Riders'!A1602:A1662, C1603)</f>
        <v>0</v>
      </c>
      <c r="V1603">
        <f>COUNTIF('🏭 Facilities'!A1602:A1610, D1603)</f>
        <v>0</v>
      </c>
    </row>
    <row r="1604" spans="1:22">
      <c r="A1604" s="16" t="s">
        <v>3869</v>
      </c>
      <c r="B1604" s="16" t="s">
        <v>1191</v>
      </c>
      <c r="C1604" s="16" t="s">
        <v>304</v>
      </c>
      <c r="D1604" s="16" t="s">
        <v>137</v>
      </c>
      <c r="E1604" s="25">
        <v>45452</v>
      </c>
      <c r="F1604" s="16" t="s">
        <v>3870</v>
      </c>
      <c r="G1604" s="16" t="s">
        <v>125</v>
      </c>
      <c r="H1604" s="16">
        <v>7.2</v>
      </c>
      <c r="I1604" s="16">
        <v>199</v>
      </c>
      <c r="J1604" s="16">
        <v>0</v>
      </c>
      <c r="K1604" s="16">
        <v>1432.8</v>
      </c>
      <c r="L1604" s="16" t="s">
        <v>146</v>
      </c>
      <c r="M1604" s="16" t="s">
        <v>140</v>
      </c>
      <c r="N1604" s="27">
        <v>45452.841666666667</v>
      </c>
      <c r="O1604" s="27">
        <v>45453.22152777778</v>
      </c>
      <c r="P1604" s="20"/>
      <c r="Q1604" s="16" t="b">
        <f>FALSE()</f>
        <v>0</v>
      </c>
      <c r="R1604" s="16" t="b">
        <f>TRUE()</f>
        <v>1</v>
      </c>
      <c r="S1604" s="17">
        <f t="shared" si="25"/>
        <v>9.1</v>
      </c>
      <c r="T1604">
        <f>COUNTIF('👤 Customers'!$A:$A, B1604)</f>
        <v>1</v>
      </c>
      <c r="U1604">
        <f>COUNTIF('🚴 Riders'!A1603:A1663, C1604)</f>
        <v>0</v>
      </c>
      <c r="V1604">
        <f>COUNTIF('🏭 Facilities'!A1603:A1611, D1604)</f>
        <v>0</v>
      </c>
    </row>
    <row r="1605" spans="1:22">
      <c r="A1605" s="18" t="s">
        <v>3871</v>
      </c>
      <c r="B1605" s="18" t="s">
        <v>875</v>
      </c>
      <c r="C1605" s="18" t="s">
        <v>750</v>
      </c>
      <c r="D1605" s="18" t="s">
        <v>123</v>
      </c>
      <c r="E1605" s="26">
        <v>45604</v>
      </c>
      <c r="F1605" s="18" t="s">
        <v>3872</v>
      </c>
      <c r="G1605" s="18" t="s">
        <v>125</v>
      </c>
      <c r="H1605" s="18">
        <v>6.6</v>
      </c>
      <c r="I1605" s="18">
        <v>199</v>
      </c>
      <c r="J1605" s="18">
        <v>30</v>
      </c>
      <c r="K1605" s="18">
        <v>919.38</v>
      </c>
      <c r="L1605" s="18" t="s">
        <v>146</v>
      </c>
      <c r="M1605" s="18" t="s">
        <v>119</v>
      </c>
      <c r="N1605" s="28">
        <v>45604.388194444444</v>
      </c>
      <c r="O1605" s="28">
        <v>45605.193749999999</v>
      </c>
      <c r="P1605" s="18">
        <v>4.5999999999999996</v>
      </c>
      <c r="Q1605" s="18" t="b">
        <f>TRUE()</f>
        <v>1</v>
      </c>
      <c r="R1605" s="18" t="b">
        <f>TRUE()</f>
        <v>1</v>
      </c>
      <c r="S1605" s="19">
        <f t="shared" si="25"/>
        <v>19.3</v>
      </c>
      <c r="T1605">
        <f>COUNTIF('👤 Customers'!$A:$A, B1605)</f>
        <v>1</v>
      </c>
      <c r="U1605">
        <f>COUNTIF('🚴 Riders'!A1604:A1664, C1605)</f>
        <v>0</v>
      </c>
      <c r="V1605">
        <f>COUNTIF('🏭 Facilities'!A1604:A1612, D1605)</f>
        <v>0</v>
      </c>
    </row>
    <row r="1606" spans="1:22">
      <c r="A1606" s="16" t="s">
        <v>3873</v>
      </c>
      <c r="B1606" s="16" t="s">
        <v>1067</v>
      </c>
      <c r="C1606" s="16" t="s">
        <v>251</v>
      </c>
      <c r="D1606" s="16" t="s">
        <v>205</v>
      </c>
      <c r="E1606" s="25">
        <v>45169</v>
      </c>
      <c r="F1606" s="16" t="s">
        <v>3874</v>
      </c>
      <c r="G1606" s="16" t="s">
        <v>132</v>
      </c>
      <c r="H1606" s="16">
        <v>1.3</v>
      </c>
      <c r="I1606" s="16">
        <v>399</v>
      </c>
      <c r="J1606" s="16">
        <v>0</v>
      </c>
      <c r="K1606" s="16">
        <v>518.70000000000005</v>
      </c>
      <c r="L1606" s="16" t="s">
        <v>146</v>
      </c>
      <c r="M1606" s="16" t="s">
        <v>140</v>
      </c>
      <c r="N1606" s="27">
        <v>45169.561111111114</v>
      </c>
      <c r="O1606" s="27">
        <v>45170.22152777778</v>
      </c>
      <c r="P1606" s="20"/>
      <c r="Q1606" s="16" t="b">
        <f>FALSE()</f>
        <v>0</v>
      </c>
      <c r="R1606" s="16" t="b">
        <f>FALSE()</f>
        <v>0</v>
      </c>
      <c r="S1606" s="17">
        <f t="shared" si="25"/>
        <v>15.8</v>
      </c>
      <c r="T1606">
        <f>COUNTIF('👤 Customers'!$A:$A, B1606)</f>
        <v>1</v>
      </c>
      <c r="U1606">
        <f>COUNTIF('🚴 Riders'!A1605:A1665, C1606)</f>
        <v>0</v>
      </c>
      <c r="V1606">
        <f>COUNTIF('🏭 Facilities'!A1605:A1613, D1606)</f>
        <v>0</v>
      </c>
    </row>
    <row r="1607" spans="1:22">
      <c r="A1607" s="18" t="s">
        <v>3875</v>
      </c>
      <c r="B1607" s="18" t="s">
        <v>678</v>
      </c>
      <c r="C1607" s="18" t="s">
        <v>232</v>
      </c>
      <c r="D1607" s="18" t="s">
        <v>184</v>
      </c>
      <c r="E1607" s="26">
        <v>45436</v>
      </c>
      <c r="F1607" s="18" t="s">
        <v>3876</v>
      </c>
      <c r="G1607" s="18" t="s">
        <v>117</v>
      </c>
      <c r="H1607" s="18">
        <v>1.5</v>
      </c>
      <c r="I1607" s="18">
        <v>149</v>
      </c>
      <c r="J1607" s="18">
        <v>20</v>
      </c>
      <c r="K1607" s="18">
        <v>178.8</v>
      </c>
      <c r="L1607" s="18" t="s">
        <v>146</v>
      </c>
      <c r="M1607" s="18" t="s">
        <v>140</v>
      </c>
      <c r="N1607" s="28">
        <v>45436.82708333333</v>
      </c>
      <c r="O1607" s="28">
        <v>45437.844444444447</v>
      </c>
      <c r="P1607" s="20"/>
      <c r="Q1607" s="18" t="b">
        <f>FALSE()</f>
        <v>0</v>
      </c>
      <c r="R1607" s="18" t="b">
        <f>FALSE()</f>
        <v>0</v>
      </c>
      <c r="S1607" s="19">
        <f t="shared" si="25"/>
        <v>24.4</v>
      </c>
      <c r="T1607">
        <f>COUNTIF('👤 Customers'!$A:$A, B1607)</f>
        <v>1</v>
      </c>
      <c r="U1607">
        <f>COUNTIF('🚴 Riders'!A1606:A1666, C1607)</f>
        <v>0</v>
      </c>
      <c r="V1607">
        <f>COUNTIF('🏭 Facilities'!A1606:A1614, D1607)</f>
        <v>0</v>
      </c>
    </row>
    <row r="1608" spans="1:22">
      <c r="A1608" s="16" t="s">
        <v>3877</v>
      </c>
      <c r="B1608" s="16" t="s">
        <v>495</v>
      </c>
      <c r="C1608" s="16" t="s">
        <v>276</v>
      </c>
      <c r="D1608" s="16" t="s">
        <v>137</v>
      </c>
      <c r="E1608" s="25">
        <v>45578</v>
      </c>
      <c r="F1608" s="16" t="s">
        <v>3878</v>
      </c>
      <c r="G1608" s="16" t="s">
        <v>176</v>
      </c>
      <c r="H1608" s="16">
        <v>3.2</v>
      </c>
      <c r="I1608" s="16">
        <v>599</v>
      </c>
      <c r="J1608" s="16">
        <v>10</v>
      </c>
      <c r="K1608" s="16">
        <v>1725.12</v>
      </c>
      <c r="L1608" s="16" t="s">
        <v>207</v>
      </c>
      <c r="M1608" s="16" t="s">
        <v>119</v>
      </c>
      <c r="N1608" s="27">
        <v>45578.869444444441</v>
      </c>
      <c r="O1608" s="27">
        <v>45579.788888888892</v>
      </c>
      <c r="P1608" s="16">
        <v>4.0999999999999996</v>
      </c>
      <c r="Q1608" s="16" t="b">
        <f>FALSE()</f>
        <v>0</v>
      </c>
      <c r="R1608" s="16" t="b">
        <f>FALSE()</f>
        <v>0</v>
      </c>
      <c r="S1608" s="17">
        <f t="shared" si="25"/>
        <v>22.1</v>
      </c>
      <c r="T1608">
        <f>COUNTIF('👤 Customers'!$A:$A, B1608)</f>
        <v>1</v>
      </c>
      <c r="U1608">
        <f>COUNTIF('🚴 Riders'!A1607:A1667, C1608)</f>
        <v>0</v>
      </c>
      <c r="V1608">
        <f>COUNTIF('🏭 Facilities'!A1607:A1615, D1608)</f>
        <v>0</v>
      </c>
    </row>
    <row r="1609" spans="1:22">
      <c r="A1609" s="18" t="s">
        <v>3879</v>
      </c>
      <c r="B1609" s="18" t="s">
        <v>2238</v>
      </c>
      <c r="C1609" s="18" t="s">
        <v>276</v>
      </c>
      <c r="D1609" s="18" t="s">
        <v>115</v>
      </c>
      <c r="E1609" s="26">
        <v>45260</v>
      </c>
      <c r="F1609" s="18" t="s">
        <v>3880</v>
      </c>
      <c r="G1609" s="18" t="s">
        <v>125</v>
      </c>
      <c r="H1609" s="18">
        <v>6.2</v>
      </c>
      <c r="I1609" s="18">
        <v>199</v>
      </c>
      <c r="J1609" s="18">
        <v>0</v>
      </c>
      <c r="K1609" s="18">
        <v>1233.8</v>
      </c>
      <c r="L1609" s="18" t="s">
        <v>118</v>
      </c>
      <c r="M1609" s="18" t="s">
        <v>133</v>
      </c>
      <c r="N1609" s="20"/>
      <c r="O1609" s="20"/>
      <c r="P1609" s="20"/>
      <c r="Q1609" s="18" t="b">
        <f>FALSE()</f>
        <v>0</v>
      </c>
      <c r="R1609" s="18" t="b">
        <f>FALSE()</f>
        <v>0</v>
      </c>
      <c r="S1609" s="19" t="str">
        <f t="shared" si="25"/>
        <v>N/A</v>
      </c>
      <c r="T1609">
        <f>COUNTIF('👤 Customers'!$A:$A, B1609)</f>
        <v>1</v>
      </c>
      <c r="U1609">
        <f>COUNTIF('🚴 Riders'!A1608:A1668, C1609)</f>
        <v>0</v>
      </c>
      <c r="V1609">
        <f>COUNTIF('🏭 Facilities'!A1608:A1616, D1609)</f>
        <v>0</v>
      </c>
    </row>
    <row r="1610" spans="1:22">
      <c r="A1610" s="16" t="s">
        <v>3881</v>
      </c>
      <c r="B1610" s="16" t="s">
        <v>2120</v>
      </c>
      <c r="C1610" s="16" t="s">
        <v>170</v>
      </c>
      <c r="D1610" s="16" t="s">
        <v>197</v>
      </c>
      <c r="E1610" s="25">
        <v>45586</v>
      </c>
      <c r="F1610" s="16" t="s">
        <v>3882</v>
      </c>
      <c r="G1610" s="16" t="s">
        <v>145</v>
      </c>
      <c r="H1610" s="16">
        <v>2.2999999999999998</v>
      </c>
      <c r="I1610" s="16">
        <v>299</v>
      </c>
      <c r="J1610" s="16">
        <v>0</v>
      </c>
      <c r="K1610" s="16">
        <v>687.7</v>
      </c>
      <c r="L1610" s="16" t="s">
        <v>118</v>
      </c>
      <c r="M1610" s="16" t="s">
        <v>119</v>
      </c>
      <c r="N1610" s="27">
        <v>45586.722916666666</v>
      </c>
      <c r="O1610" s="27">
        <v>45587.511805555558</v>
      </c>
      <c r="P1610" s="16">
        <v>2.7</v>
      </c>
      <c r="Q1610" s="16" t="b">
        <f>FALSE()</f>
        <v>0</v>
      </c>
      <c r="R1610" s="16" t="b">
        <f>FALSE()</f>
        <v>0</v>
      </c>
      <c r="S1610" s="17">
        <f t="shared" si="25"/>
        <v>18.899999999999999</v>
      </c>
      <c r="T1610">
        <f>COUNTIF('👤 Customers'!$A:$A, B1610)</f>
        <v>1</v>
      </c>
      <c r="U1610">
        <f>COUNTIF('🚴 Riders'!A1609:A1669, C1610)</f>
        <v>0</v>
      </c>
      <c r="V1610">
        <f>COUNTIF('🏭 Facilities'!A1609:A1617, D1610)</f>
        <v>0</v>
      </c>
    </row>
    <row r="1611" spans="1:22">
      <c r="A1611" s="18" t="s">
        <v>3883</v>
      </c>
      <c r="B1611" s="18" t="s">
        <v>740</v>
      </c>
      <c r="C1611" s="18" t="s">
        <v>162</v>
      </c>
      <c r="D1611" s="18" t="s">
        <v>123</v>
      </c>
      <c r="E1611" s="26">
        <v>45547</v>
      </c>
      <c r="F1611" s="18" t="s">
        <v>3884</v>
      </c>
      <c r="G1611" s="18" t="s">
        <v>125</v>
      </c>
      <c r="H1611" s="18">
        <v>4.3</v>
      </c>
      <c r="I1611" s="18">
        <v>199</v>
      </c>
      <c r="J1611" s="18">
        <v>0</v>
      </c>
      <c r="K1611" s="18">
        <v>855.7</v>
      </c>
      <c r="L1611" s="18" t="s">
        <v>139</v>
      </c>
      <c r="M1611" s="18" t="s">
        <v>119</v>
      </c>
      <c r="N1611" s="28">
        <v>45547.136805555558</v>
      </c>
      <c r="O1611" s="28">
        <v>45548.161805555559</v>
      </c>
      <c r="P1611" s="18">
        <v>4.0999999999999996</v>
      </c>
      <c r="Q1611" s="18" t="b">
        <f>FALSE()</f>
        <v>0</v>
      </c>
      <c r="R1611" s="18" t="b">
        <f>TRUE()</f>
        <v>1</v>
      </c>
      <c r="S1611" s="19">
        <f t="shared" si="25"/>
        <v>24.6</v>
      </c>
      <c r="T1611">
        <f>COUNTIF('👤 Customers'!$A:$A, B1611)</f>
        <v>1</v>
      </c>
      <c r="U1611">
        <f>COUNTIF('🚴 Riders'!A1610:A1670, C1611)</f>
        <v>0</v>
      </c>
      <c r="V1611">
        <f>COUNTIF('🏭 Facilities'!A1610:A1618, D1611)</f>
        <v>0</v>
      </c>
    </row>
    <row r="1612" spans="1:22">
      <c r="A1612" s="16" t="s">
        <v>3885</v>
      </c>
      <c r="B1612" s="16" t="s">
        <v>409</v>
      </c>
      <c r="C1612" s="16" t="s">
        <v>220</v>
      </c>
      <c r="D1612" s="16" t="s">
        <v>184</v>
      </c>
      <c r="E1612" s="25">
        <v>45253</v>
      </c>
      <c r="F1612" s="16" t="s">
        <v>3886</v>
      </c>
      <c r="G1612" s="16" t="s">
        <v>132</v>
      </c>
      <c r="H1612" s="16">
        <v>2.6</v>
      </c>
      <c r="I1612" s="16">
        <v>399</v>
      </c>
      <c r="J1612" s="16">
        <v>0</v>
      </c>
      <c r="K1612" s="16">
        <v>1037.4000000000001</v>
      </c>
      <c r="L1612" s="16" t="s">
        <v>207</v>
      </c>
      <c r="M1612" s="16" t="s">
        <v>119</v>
      </c>
      <c r="N1612" s="27">
        <v>45253.59375</v>
      </c>
      <c r="O1612" s="27">
        <v>45254.277777777781</v>
      </c>
      <c r="P1612" s="16">
        <v>4.7</v>
      </c>
      <c r="Q1612" s="16" t="b">
        <f>FALSE()</f>
        <v>0</v>
      </c>
      <c r="R1612" s="16" t="b">
        <f>FALSE()</f>
        <v>0</v>
      </c>
      <c r="S1612" s="17">
        <f t="shared" si="25"/>
        <v>16.399999999999999</v>
      </c>
      <c r="T1612">
        <f>COUNTIF('👤 Customers'!$A:$A, B1612)</f>
        <v>1</v>
      </c>
      <c r="U1612">
        <f>COUNTIF('🚴 Riders'!A1611:A1671, C1612)</f>
        <v>0</v>
      </c>
      <c r="V1612">
        <f>COUNTIF('🏭 Facilities'!A1611:A1619, D1612)</f>
        <v>0</v>
      </c>
    </row>
    <row r="1613" spans="1:22">
      <c r="A1613" s="18" t="s">
        <v>3887</v>
      </c>
      <c r="B1613" s="18" t="s">
        <v>416</v>
      </c>
      <c r="C1613" s="18" t="s">
        <v>461</v>
      </c>
      <c r="D1613" s="18" t="s">
        <v>115</v>
      </c>
      <c r="E1613" s="26">
        <v>45372</v>
      </c>
      <c r="F1613" s="18" t="s">
        <v>3888</v>
      </c>
      <c r="G1613" s="18" t="s">
        <v>125</v>
      </c>
      <c r="H1613" s="18">
        <v>1.3</v>
      </c>
      <c r="I1613" s="18">
        <v>199</v>
      </c>
      <c r="J1613" s="18">
        <v>20</v>
      </c>
      <c r="K1613" s="18">
        <v>206.96</v>
      </c>
      <c r="L1613" s="18" t="s">
        <v>126</v>
      </c>
      <c r="M1613" s="18" t="s">
        <v>119</v>
      </c>
      <c r="N1613" s="28">
        <v>45372.290972222225</v>
      </c>
      <c r="O1613" s="28">
        <v>45372.854166666664</v>
      </c>
      <c r="P1613" s="18">
        <v>4.2</v>
      </c>
      <c r="Q1613" s="18" t="b">
        <f>FALSE()</f>
        <v>0</v>
      </c>
      <c r="R1613" s="18" t="b">
        <f>FALSE()</f>
        <v>0</v>
      </c>
      <c r="S1613" s="19">
        <f t="shared" si="25"/>
        <v>13.5</v>
      </c>
      <c r="T1613">
        <f>COUNTIF('👤 Customers'!$A:$A, B1613)</f>
        <v>1</v>
      </c>
      <c r="U1613">
        <f>COUNTIF('🚴 Riders'!A1612:A1672, C1613)</f>
        <v>0</v>
      </c>
      <c r="V1613">
        <f>COUNTIF('🏭 Facilities'!A1612:A1620, D1613)</f>
        <v>0</v>
      </c>
    </row>
    <row r="1614" spans="1:22">
      <c r="A1614" s="16" t="s">
        <v>3889</v>
      </c>
      <c r="B1614" s="16" t="s">
        <v>822</v>
      </c>
      <c r="C1614" s="16" t="s">
        <v>220</v>
      </c>
      <c r="D1614" s="16" t="s">
        <v>197</v>
      </c>
      <c r="E1614" s="25">
        <v>45273</v>
      </c>
      <c r="F1614" s="16" t="s">
        <v>3890</v>
      </c>
      <c r="G1614" s="16" t="s">
        <v>176</v>
      </c>
      <c r="H1614" s="16">
        <v>3.3</v>
      </c>
      <c r="I1614" s="16">
        <v>599</v>
      </c>
      <c r="J1614" s="16">
        <v>0</v>
      </c>
      <c r="K1614" s="16">
        <v>1976.7</v>
      </c>
      <c r="L1614" s="16" t="s">
        <v>146</v>
      </c>
      <c r="M1614" s="16" t="s">
        <v>140</v>
      </c>
      <c r="N1614" s="27">
        <v>45274.042361111111</v>
      </c>
      <c r="O1614" s="27">
        <v>45274.675694444442</v>
      </c>
      <c r="P1614" s="20"/>
      <c r="Q1614" s="16" t="b">
        <f>FALSE()</f>
        <v>0</v>
      </c>
      <c r="R1614" s="16" t="b">
        <f>FALSE()</f>
        <v>0</v>
      </c>
      <c r="S1614" s="17">
        <f t="shared" si="25"/>
        <v>15.2</v>
      </c>
      <c r="T1614">
        <f>COUNTIF('👤 Customers'!$A:$A, B1614)</f>
        <v>1</v>
      </c>
      <c r="U1614">
        <f>COUNTIF('🚴 Riders'!A1613:A1673, C1614)</f>
        <v>0</v>
      </c>
      <c r="V1614">
        <f>COUNTIF('🏭 Facilities'!A1613:A1621, D1614)</f>
        <v>0</v>
      </c>
    </row>
    <row r="1615" spans="1:22">
      <c r="A1615" s="18" t="s">
        <v>3891</v>
      </c>
      <c r="B1615" s="18" t="s">
        <v>3301</v>
      </c>
      <c r="C1615" s="18" t="s">
        <v>136</v>
      </c>
      <c r="D1615" s="18" t="s">
        <v>123</v>
      </c>
      <c r="E1615" s="26">
        <v>45581</v>
      </c>
      <c r="F1615" s="18" t="s">
        <v>3892</v>
      </c>
      <c r="G1615" s="18" t="s">
        <v>145</v>
      </c>
      <c r="H1615" s="18">
        <v>6.2</v>
      </c>
      <c r="I1615" s="18">
        <v>299</v>
      </c>
      <c r="J1615" s="18">
        <v>0</v>
      </c>
      <c r="K1615" s="18">
        <v>1853.8</v>
      </c>
      <c r="L1615" s="18" t="s">
        <v>118</v>
      </c>
      <c r="M1615" s="18" t="s">
        <v>119</v>
      </c>
      <c r="N1615" s="28">
        <v>45581.84375</v>
      </c>
      <c r="O1615" s="28">
        <v>45582.224999999999</v>
      </c>
      <c r="P1615" s="18">
        <v>3.8</v>
      </c>
      <c r="Q1615" s="18" t="b">
        <f>FALSE()</f>
        <v>0</v>
      </c>
      <c r="R1615" s="18" t="b">
        <f>FALSE()</f>
        <v>0</v>
      </c>
      <c r="S1615" s="19">
        <f t="shared" si="25"/>
        <v>9.1</v>
      </c>
      <c r="T1615">
        <f>COUNTIF('👤 Customers'!$A:$A, B1615)</f>
        <v>1</v>
      </c>
      <c r="U1615">
        <f>COUNTIF('🚴 Riders'!A1614:A1674, C1615)</f>
        <v>0</v>
      </c>
      <c r="V1615">
        <f>COUNTIF('🏭 Facilities'!A1614:A1622, D1615)</f>
        <v>0</v>
      </c>
    </row>
    <row r="1616" spans="1:22">
      <c r="A1616" s="16" t="s">
        <v>3893</v>
      </c>
      <c r="B1616" s="16" t="s">
        <v>1515</v>
      </c>
      <c r="C1616" s="16" t="s">
        <v>308</v>
      </c>
      <c r="D1616" s="16" t="s">
        <v>137</v>
      </c>
      <c r="E1616" s="25">
        <v>45230</v>
      </c>
      <c r="F1616" s="16" t="s">
        <v>3894</v>
      </c>
      <c r="G1616" s="16" t="s">
        <v>132</v>
      </c>
      <c r="H1616" s="16">
        <v>3.8</v>
      </c>
      <c r="I1616" s="16">
        <v>399</v>
      </c>
      <c r="J1616" s="16">
        <v>0</v>
      </c>
      <c r="K1616" s="16">
        <v>1516.2</v>
      </c>
      <c r="L1616" s="16" t="s">
        <v>126</v>
      </c>
      <c r="M1616" s="16" t="s">
        <v>133</v>
      </c>
      <c r="N1616" s="20"/>
      <c r="O1616" s="20"/>
      <c r="P1616" s="20"/>
      <c r="Q1616" s="16" t="b">
        <f>FALSE()</f>
        <v>0</v>
      </c>
      <c r="R1616" s="16" t="b">
        <f>FALSE()</f>
        <v>0</v>
      </c>
      <c r="S1616" s="17" t="str">
        <f t="shared" si="25"/>
        <v>N/A</v>
      </c>
      <c r="T1616">
        <f>COUNTIF('👤 Customers'!$A:$A, B1616)</f>
        <v>1</v>
      </c>
      <c r="U1616">
        <f>COUNTIF('🚴 Riders'!A1615:A1675, C1616)</f>
        <v>0</v>
      </c>
      <c r="V1616">
        <f>COUNTIF('🏭 Facilities'!A1615:A1623, D1616)</f>
        <v>0</v>
      </c>
    </row>
    <row r="1617" spans="1:22">
      <c r="A1617" s="18" t="s">
        <v>3895</v>
      </c>
      <c r="B1617" s="18" t="s">
        <v>1200</v>
      </c>
      <c r="C1617" s="18" t="s">
        <v>461</v>
      </c>
      <c r="D1617" s="18" t="s">
        <v>205</v>
      </c>
      <c r="E1617" s="26">
        <v>45044</v>
      </c>
      <c r="F1617" s="18" t="s">
        <v>3896</v>
      </c>
      <c r="G1617" s="18" t="s">
        <v>132</v>
      </c>
      <c r="H1617" s="18">
        <v>5.2</v>
      </c>
      <c r="I1617" s="18">
        <v>399</v>
      </c>
      <c r="J1617" s="18">
        <v>10</v>
      </c>
      <c r="K1617" s="18">
        <v>1867.32</v>
      </c>
      <c r="L1617" s="18" t="s">
        <v>126</v>
      </c>
      <c r="M1617" s="18" t="s">
        <v>119</v>
      </c>
      <c r="N1617" s="28">
        <v>45044.273611111108</v>
      </c>
      <c r="O1617" s="28">
        <v>45045.095138888886</v>
      </c>
      <c r="P1617" s="18">
        <v>3.9</v>
      </c>
      <c r="Q1617" s="18" t="b">
        <f>FALSE()</f>
        <v>0</v>
      </c>
      <c r="R1617" s="18" t="b">
        <f>TRUE()</f>
        <v>1</v>
      </c>
      <c r="S1617" s="19">
        <f t="shared" si="25"/>
        <v>19.7</v>
      </c>
      <c r="T1617">
        <f>COUNTIF('👤 Customers'!$A:$A, B1617)</f>
        <v>1</v>
      </c>
      <c r="U1617">
        <f>COUNTIF('🚴 Riders'!A1616:A1676, C1617)</f>
        <v>0</v>
      </c>
      <c r="V1617">
        <f>COUNTIF('🏭 Facilities'!A1616:A1624, D1617)</f>
        <v>0</v>
      </c>
    </row>
    <row r="1618" spans="1:22">
      <c r="A1618" s="16" t="s">
        <v>3897</v>
      </c>
      <c r="B1618" s="16" t="s">
        <v>1314</v>
      </c>
      <c r="C1618" s="16" t="s">
        <v>204</v>
      </c>
      <c r="D1618" s="16" t="s">
        <v>137</v>
      </c>
      <c r="E1618" s="25">
        <v>45648</v>
      </c>
      <c r="F1618" s="16" t="s">
        <v>3898</v>
      </c>
      <c r="G1618" s="16" t="s">
        <v>176</v>
      </c>
      <c r="H1618" s="16">
        <v>5.5</v>
      </c>
      <c r="I1618" s="16">
        <v>599</v>
      </c>
      <c r="J1618" s="16">
        <v>0</v>
      </c>
      <c r="K1618" s="16">
        <v>3294.5</v>
      </c>
      <c r="L1618" s="16" t="s">
        <v>126</v>
      </c>
      <c r="M1618" s="16" t="s">
        <v>140</v>
      </c>
      <c r="N1618" s="27">
        <v>45648.185416666667</v>
      </c>
      <c r="O1618" s="27">
        <v>45649.031944444447</v>
      </c>
      <c r="P1618" s="20"/>
      <c r="Q1618" s="16" t="b">
        <f>FALSE()</f>
        <v>0</v>
      </c>
      <c r="R1618" s="16" t="b">
        <f>FALSE()</f>
        <v>0</v>
      </c>
      <c r="S1618" s="17">
        <f t="shared" si="25"/>
        <v>20.3</v>
      </c>
      <c r="T1618">
        <f>COUNTIF('👤 Customers'!$A:$A, B1618)</f>
        <v>1</v>
      </c>
      <c r="U1618">
        <f>COUNTIF('🚴 Riders'!A1617:A1677, C1618)</f>
        <v>0</v>
      </c>
      <c r="V1618">
        <f>COUNTIF('🏭 Facilities'!A1617:A1625, D1618)</f>
        <v>0</v>
      </c>
    </row>
    <row r="1619" spans="1:22">
      <c r="A1619" s="18" t="s">
        <v>3899</v>
      </c>
      <c r="B1619" s="18" t="s">
        <v>2401</v>
      </c>
      <c r="C1619" s="18" t="s">
        <v>192</v>
      </c>
      <c r="D1619" s="18" t="s">
        <v>115</v>
      </c>
      <c r="E1619" s="26">
        <v>45638</v>
      </c>
      <c r="F1619" s="18" t="s">
        <v>3900</v>
      </c>
      <c r="G1619" s="18" t="s">
        <v>145</v>
      </c>
      <c r="H1619" s="18">
        <v>3.7</v>
      </c>
      <c r="I1619" s="18">
        <v>299</v>
      </c>
      <c r="J1619" s="18">
        <v>10</v>
      </c>
      <c r="K1619" s="18">
        <v>995.67</v>
      </c>
      <c r="L1619" s="18" t="s">
        <v>207</v>
      </c>
      <c r="M1619" s="18" t="s">
        <v>133</v>
      </c>
      <c r="N1619" s="20"/>
      <c r="O1619" s="20"/>
      <c r="P1619" s="20"/>
      <c r="Q1619" s="18" t="b">
        <f>FALSE()</f>
        <v>0</v>
      </c>
      <c r="R1619" s="18" t="b">
        <f>TRUE()</f>
        <v>1</v>
      </c>
      <c r="S1619" s="19" t="str">
        <f t="shared" si="25"/>
        <v>N/A</v>
      </c>
      <c r="T1619">
        <f>COUNTIF('👤 Customers'!$A:$A, B1619)</f>
        <v>1</v>
      </c>
      <c r="U1619">
        <f>COUNTIF('🚴 Riders'!A1618:A1678, C1619)</f>
        <v>0</v>
      </c>
      <c r="V1619">
        <f>COUNTIF('🏭 Facilities'!A1618:A1626, D1619)</f>
        <v>0</v>
      </c>
    </row>
    <row r="1620" spans="1:22">
      <c r="A1620" s="16" t="s">
        <v>3901</v>
      </c>
      <c r="B1620" s="16" t="s">
        <v>2937</v>
      </c>
      <c r="C1620" s="16" t="s">
        <v>287</v>
      </c>
      <c r="D1620" s="16" t="s">
        <v>115</v>
      </c>
      <c r="E1620" s="25">
        <v>45356</v>
      </c>
      <c r="F1620" s="16" t="s">
        <v>3902</v>
      </c>
      <c r="G1620" s="16" t="s">
        <v>176</v>
      </c>
      <c r="H1620" s="16">
        <v>7.3</v>
      </c>
      <c r="I1620" s="16">
        <v>599</v>
      </c>
      <c r="J1620" s="16">
        <v>0</v>
      </c>
      <c r="K1620" s="16">
        <v>4372.7</v>
      </c>
      <c r="L1620" s="16" t="s">
        <v>126</v>
      </c>
      <c r="M1620" s="16" t="s">
        <v>140</v>
      </c>
      <c r="N1620" s="27">
        <v>45356.839583333334</v>
      </c>
      <c r="O1620" s="27">
        <v>45357.865277777775</v>
      </c>
      <c r="P1620" s="20"/>
      <c r="Q1620" s="16" t="b">
        <f>FALSE()</f>
        <v>0</v>
      </c>
      <c r="R1620" s="16" t="b">
        <f>FALSE()</f>
        <v>0</v>
      </c>
      <c r="S1620" s="17">
        <f t="shared" si="25"/>
        <v>24.6</v>
      </c>
      <c r="T1620">
        <f>COUNTIF('👤 Customers'!$A:$A, B1620)</f>
        <v>1</v>
      </c>
      <c r="U1620">
        <f>COUNTIF('🚴 Riders'!A1619:A1679, C1620)</f>
        <v>0</v>
      </c>
      <c r="V1620">
        <f>COUNTIF('🏭 Facilities'!A1619:A1627, D1620)</f>
        <v>0</v>
      </c>
    </row>
    <row r="1621" spans="1:22">
      <c r="A1621" s="18" t="s">
        <v>3903</v>
      </c>
      <c r="B1621" s="18" t="s">
        <v>1562</v>
      </c>
      <c r="C1621" s="18" t="s">
        <v>232</v>
      </c>
      <c r="D1621" s="18" t="s">
        <v>205</v>
      </c>
      <c r="E1621" s="26">
        <v>45253</v>
      </c>
      <c r="F1621" s="18" t="s">
        <v>3904</v>
      </c>
      <c r="G1621" s="18" t="s">
        <v>145</v>
      </c>
      <c r="H1621" s="18">
        <v>3.3</v>
      </c>
      <c r="I1621" s="18">
        <v>299</v>
      </c>
      <c r="J1621" s="18">
        <v>0</v>
      </c>
      <c r="K1621" s="18">
        <v>986.7</v>
      </c>
      <c r="L1621" s="18" t="s">
        <v>118</v>
      </c>
      <c r="M1621" s="18" t="s">
        <v>119</v>
      </c>
      <c r="N1621" s="28">
        <v>45253.931250000001</v>
      </c>
      <c r="O1621" s="28">
        <v>45254.882638888892</v>
      </c>
      <c r="P1621" s="18">
        <v>4.2</v>
      </c>
      <c r="Q1621" s="18" t="b">
        <f>TRUE()</f>
        <v>1</v>
      </c>
      <c r="R1621" s="18" t="b">
        <f>FALSE()</f>
        <v>0</v>
      </c>
      <c r="S1621" s="19">
        <f t="shared" si="25"/>
        <v>22.8</v>
      </c>
      <c r="T1621">
        <f>COUNTIF('👤 Customers'!$A:$A, B1621)</f>
        <v>1</v>
      </c>
      <c r="U1621">
        <f>COUNTIF('🚴 Riders'!A1620:A1680, C1621)</f>
        <v>0</v>
      </c>
      <c r="V1621">
        <f>COUNTIF('🏭 Facilities'!A1620:A1628, D1621)</f>
        <v>0</v>
      </c>
    </row>
    <row r="1622" spans="1:22">
      <c r="A1622" s="16" t="s">
        <v>3905</v>
      </c>
      <c r="B1622" s="16" t="s">
        <v>947</v>
      </c>
      <c r="C1622" s="16" t="s">
        <v>461</v>
      </c>
      <c r="D1622" s="16" t="s">
        <v>184</v>
      </c>
      <c r="E1622" s="25">
        <v>45110</v>
      </c>
      <c r="F1622" s="16" t="s">
        <v>3906</v>
      </c>
      <c r="G1622" s="16" t="s">
        <v>125</v>
      </c>
      <c r="H1622" s="16">
        <v>6.4</v>
      </c>
      <c r="I1622" s="16">
        <v>199</v>
      </c>
      <c r="J1622" s="16">
        <v>20</v>
      </c>
      <c r="K1622" s="16">
        <v>1018.88</v>
      </c>
      <c r="L1622" s="16" t="s">
        <v>118</v>
      </c>
      <c r="M1622" s="16" t="s">
        <v>140</v>
      </c>
      <c r="N1622" s="27">
        <v>45110.555555555555</v>
      </c>
      <c r="O1622" s="27">
        <v>45111.037499999999</v>
      </c>
      <c r="P1622" s="20"/>
      <c r="Q1622" s="16" t="b">
        <f>FALSE()</f>
        <v>0</v>
      </c>
      <c r="R1622" s="16" t="b">
        <f>FALSE()</f>
        <v>0</v>
      </c>
      <c r="S1622" s="17">
        <f t="shared" si="25"/>
        <v>11.6</v>
      </c>
      <c r="T1622">
        <f>COUNTIF('👤 Customers'!$A:$A, B1622)</f>
        <v>1</v>
      </c>
      <c r="U1622">
        <f>COUNTIF('🚴 Riders'!A1621:A1681, C1622)</f>
        <v>0</v>
      </c>
      <c r="V1622">
        <f>COUNTIF('🏭 Facilities'!A1621:A1629, D1622)</f>
        <v>0</v>
      </c>
    </row>
    <row r="1623" spans="1:22">
      <c r="A1623" s="18" t="s">
        <v>3907</v>
      </c>
      <c r="B1623" s="18" t="s">
        <v>2033</v>
      </c>
      <c r="C1623" s="18" t="s">
        <v>166</v>
      </c>
      <c r="D1623" s="18" t="s">
        <v>123</v>
      </c>
      <c r="E1623" s="26">
        <v>45204</v>
      </c>
      <c r="F1623" s="18" t="s">
        <v>3908</v>
      </c>
      <c r="G1623" s="18" t="s">
        <v>132</v>
      </c>
      <c r="H1623" s="18">
        <v>5.5</v>
      </c>
      <c r="I1623" s="18">
        <v>399</v>
      </c>
      <c r="J1623" s="18">
        <v>0</v>
      </c>
      <c r="K1623" s="18">
        <v>2194.5</v>
      </c>
      <c r="L1623" s="18" t="s">
        <v>118</v>
      </c>
      <c r="M1623" s="18" t="s">
        <v>133</v>
      </c>
      <c r="N1623" s="20"/>
      <c r="O1623" s="20"/>
      <c r="P1623" s="20"/>
      <c r="Q1623" s="18" t="b">
        <f>TRUE()</f>
        <v>1</v>
      </c>
      <c r="R1623" s="18" t="b">
        <f>FALSE()</f>
        <v>0</v>
      </c>
      <c r="S1623" s="19" t="str">
        <f t="shared" si="25"/>
        <v>N/A</v>
      </c>
      <c r="T1623">
        <f>COUNTIF('👤 Customers'!$A:$A, B1623)</f>
        <v>1</v>
      </c>
      <c r="U1623">
        <f>COUNTIF('🚴 Riders'!A1622:A1682, C1623)</f>
        <v>0</v>
      </c>
      <c r="V1623">
        <f>COUNTIF('🏭 Facilities'!A1622:A1630, D1623)</f>
        <v>0</v>
      </c>
    </row>
    <row r="1624" spans="1:22">
      <c r="A1624" s="16" t="s">
        <v>3909</v>
      </c>
      <c r="B1624" s="16" t="s">
        <v>286</v>
      </c>
      <c r="C1624" s="16" t="s">
        <v>170</v>
      </c>
      <c r="D1624" s="16" t="s">
        <v>197</v>
      </c>
      <c r="E1624" s="25">
        <v>45322</v>
      </c>
      <c r="F1624" s="16" t="s">
        <v>3910</v>
      </c>
      <c r="G1624" s="16" t="s">
        <v>176</v>
      </c>
      <c r="H1624" s="16">
        <v>2.5</v>
      </c>
      <c r="I1624" s="16">
        <v>599</v>
      </c>
      <c r="J1624" s="16">
        <v>30</v>
      </c>
      <c r="K1624" s="16">
        <v>1048.25</v>
      </c>
      <c r="L1624" s="16" t="s">
        <v>207</v>
      </c>
      <c r="M1624" s="16" t="s">
        <v>119</v>
      </c>
      <c r="N1624" s="27">
        <v>45322.460416666669</v>
      </c>
      <c r="O1624" s="27">
        <v>45323.496527777781</v>
      </c>
      <c r="P1624" s="16">
        <v>4.8</v>
      </c>
      <c r="Q1624" s="16" t="b">
        <f>FALSE()</f>
        <v>0</v>
      </c>
      <c r="R1624" s="16" t="b">
        <f>FALSE()</f>
        <v>0</v>
      </c>
      <c r="S1624" s="17">
        <f t="shared" si="25"/>
        <v>24.9</v>
      </c>
      <c r="T1624">
        <f>COUNTIF('👤 Customers'!$A:$A, B1624)</f>
        <v>1</v>
      </c>
      <c r="U1624">
        <f>COUNTIF('🚴 Riders'!A1623:A1683, C1624)</f>
        <v>0</v>
      </c>
      <c r="V1624">
        <f>COUNTIF('🏭 Facilities'!A1623:A1631, D1624)</f>
        <v>0</v>
      </c>
    </row>
    <row r="1625" spans="1:22">
      <c r="A1625" s="18" t="s">
        <v>3911</v>
      </c>
      <c r="B1625" s="18" t="s">
        <v>243</v>
      </c>
      <c r="C1625" s="18" t="s">
        <v>204</v>
      </c>
      <c r="D1625" s="18" t="s">
        <v>197</v>
      </c>
      <c r="E1625" s="26">
        <v>45587</v>
      </c>
      <c r="F1625" s="18" t="s">
        <v>3912</v>
      </c>
      <c r="G1625" s="18" t="s">
        <v>125</v>
      </c>
      <c r="H1625" s="18">
        <v>2.4</v>
      </c>
      <c r="I1625" s="18">
        <v>199</v>
      </c>
      <c r="J1625" s="18">
        <v>0</v>
      </c>
      <c r="K1625" s="18">
        <v>477.6</v>
      </c>
      <c r="L1625" s="18" t="s">
        <v>126</v>
      </c>
      <c r="M1625" s="18" t="s">
        <v>119</v>
      </c>
      <c r="N1625" s="28">
        <v>45587.897916666669</v>
      </c>
      <c r="O1625" s="28">
        <v>45588.693055555559</v>
      </c>
      <c r="P1625" s="18">
        <v>4</v>
      </c>
      <c r="Q1625" s="18" t="b">
        <f>FALSE()</f>
        <v>0</v>
      </c>
      <c r="R1625" s="18" t="b">
        <f>FALSE()</f>
        <v>0</v>
      </c>
      <c r="S1625" s="19">
        <f t="shared" si="25"/>
        <v>19.100000000000001</v>
      </c>
      <c r="T1625">
        <f>COUNTIF('👤 Customers'!$A:$A, B1625)</f>
        <v>1</v>
      </c>
      <c r="U1625">
        <f>COUNTIF('🚴 Riders'!A1624:A1684, C1625)</f>
        <v>0</v>
      </c>
      <c r="V1625">
        <f>COUNTIF('🏭 Facilities'!A1624:A1632, D1625)</f>
        <v>0</v>
      </c>
    </row>
    <row r="1626" spans="1:22">
      <c r="A1626" s="16" t="s">
        <v>3913</v>
      </c>
      <c r="B1626" s="16" t="s">
        <v>2654</v>
      </c>
      <c r="C1626" s="16" t="s">
        <v>153</v>
      </c>
      <c r="D1626" s="16" t="s">
        <v>205</v>
      </c>
      <c r="E1626" s="25">
        <v>45406</v>
      </c>
      <c r="F1626" s="16" t="s">
        <v>3914</v>
      </c>
      <c r="G1626" s="16" t="s">
        <v>145</v>
      </c>
      <c r="H1626" s="16">
        <v>4.8</v>
      </c>
      <c r="I1626" s="16">
        <v>299</v>
      </c>
      <c r="J1626" s="16">
        <v>20</v>
      </c>
      <c r="K1626" s="16">
        <v>1148.1600000000001</v>
      </c>
      <c r="L1626" s="16" t="s">
        <v>139</v>
      </c>
      <c r="M1626" s="16" t="s">
        <v>119</v>
      </c>
      <c r="N1626" s="27">
        <v>45406.999305555553</v>
      </c>
      <c r="O1626" s="27">
        <v>45408.088194444441</v>
      </c>
      <c r="P1626" s="16">
        <v>3.8</v>
      </c>
      <c r="Q1626" s="16" t="b">
        <f>FALSE()</f>
        <v>0</v>
      </c>
      <c r="R1626" s="16" t="b">
        <f>FALSE()</f>
        <v>0</v>
      </c>
      <c r="S1626" s="17">
        <f t="shared" si="25"/>
        <v>26.1</v>
      </c>
      <c r="T1626">
        <f>COUNTIF('👤 Customers'!$A:$A, B1626)</f>
        <v>1</v>
      </c>
      <c r="U1626">
        <f>COUNTIF('🚴 Riders'!A1625:A1685, C1626)</f>
        <v>0</v>
      </c>
      <c r="V1626">
        <f>COUNTIF('🏭 Facilities'!A1625:A1633, D1626)</f>
        <v>0</v>
      </c>
    </row>
    <row r="1627" spans="1:22">
      <c r="A1627" s="18" t="s">
        <v>3915</v>
      </c>
      <c r="B1627" s="18" t="s">
        <v>161</v>
      </c>
      <c r="C1627" s="18" t="s">
        <v>261</v>
      </c>
      <c r="D1627" s="18" t="s">
        <v>184</v>
      </c>
      <c r="E1627" s="26">
        <v>45373</v>
      </c>
      <c r="F1627" s="18" t="s">
        <v>3916</v>
      </c>
      <c r="G1627" s="18" t="s">
        <v>117</v>
      </c>
      <c r="H1627" s="18">
        <v>1.2</v>
      </c>
      <c r="I1627" s="18">
        <v>149</v>
      </c>
      <c r="J1627" s="18">
        <v>10</v>
      </c>
      <c r="K1627" s="18">
        <v>160.91999999999999</v>
      </c>
      <c r="L1627" s="18" t="s">
        <v>126</v>
      </c>
      <c r="M1627" s="18" t="s">
        <v>119</v>
      </c>
      <c r="N1627" s="28">
        <v>45373.371527777781</v>
      </c>
      <c r="O1627" s="28">
        <v>45374.051388888889</v>
      </c>
      <c r="P1627" s="18">
        <v>3.6</v>
      </c>
      <c r="Q1627" s="18" t="b">
        <f>FALSE()</f>
        <v>0</v>
      </c>
      <c r="R1627" s="18" t="b">
        <f>FALSE()</f>
        <v>0</v>
      </c>
      <c r="S1627" s="19">
        <f t="shared" si="25"/>
        <v>16.3</v>
      </c>
      <c r="T1627">
        <f>COUNTIF('👤 Customers'!$A:$A, B1627)</f>
        <v>1</v>
      </c>
      <c r="U1627">
        <f>COUNTIF('🚴 Riders'!A1626:A1686, C1627)</f>
        <v>0</v>
      </c>
      <c r="V1627">
        <f>COUNTIF('🏭 Facilities'!A1626:A1634, D1627)</f>
        <v>0</v>
      </c>
    </row>
    <row r="1628" spans="1:22">
      <c r="A1628" s="16" t="s">
        <v>3917</v>
      </c>
      <c r="B1628" s="16" t="s">
        <v>557</v>
      </c>
      <c r="C1628" s="16" t="s">
        <v>717</v>
      </c>
      <c r="D1628" s="16" t="s">
        <v>137</v>
      </c>
      <c r="E1628" s="25">
        <v>45299</v>
      </c>
      <c r="F1628" s="16" t="s">
        <v>3918</v>
      </c>
      <c r="G1628" s="16" t="s">
        <v>132</v>
      </c>
      <c r="H1628" s="16">
        <v>6.3</v>
      </c>
      <c r="I1628" s="16">
        <v>399</v>
      </c>
      <c r="J1628" s="16">
        <v>0</v>
      </c>
      <c r="K1628" s="16">
        <v>2513.6999999999998</v>
      </c>
      <c r="L1628" s="16" t="s">
        <v>146</v>
      </c>
      <c r="M1628" s="16" t="s">
        <v>119</v>
      </c>
      <c r="N1628" s="27">
        <v>45299.792361111111</v>
      </c>
      <c r="O1628" s="27">
        <v>45300.429166666669</v>
      </c>
      <c r="P1628" s="16">
        <v>4.8</v>
      </c>
      <c r="Q1628" s="16" t="b">
        <f>FALSE()</f>
        <v>0</v>
      </c>
      <c r="R1628" s="16" t="b">
        <f>FALSE()</f>
        <v>0</v>
      </c>
      <c r="S1628" s="17">
        <f t="shared" si="25"/>
        <v>15.3</v>
      </c>
      <c r="T1628">
        <f>COUNTIF('👤 Customers'!$A:$A, B1628)</f>
        <v>1</v>
      </c>
      <c r="U1628">
        <f>COUNTIF('🚴 Riders'!A1627:A1687, C1628)</f>
        <v>0</v>
      </c>
      <c r="V1628">
        <f>COUNTIF('🏭 Facilities'!A1627:A1635, D1628)</f>
        <v>0</v>
      </c>
    </row>
    <row r="1629" spans="1:22">
      <c r="A1629" s="18" t="s">
        <v>3919</v>
      </c>
      <c r="B1629" s="18" t="s">
        <v>142</v>
      </c>
      <c r="C1629" s="18" t="s">
        <v>162</v>
      </c>
      <c r="D1629" s="18" t="s">
        <v>205</v>
      </c>
      <c r="E1629" s="26">
        <v>45108</v>
      </c>
      <c r="F1629" s="18" t="s">
        <v>3920</v>
      </c>
      <c r="G1629" s="18" t="s">
        <v>125</v>
      </c>
      <c r="H1629" s="18">
        <v>4.5999999999999996</v>
      </c>
      <c r="I1629" s="18">
        <v>199</v>
      </c>
      <c r="J1629" s="18">
        <v>30</v>
      </c>
      <c r="K1629" s="18">
        <v>640.78</v>
      </c>
      <c r="L1629" s="18" t="s">
        <v>118</v>
      </c>
      <c r="M1629" s="18" t="s">
        <v>140</v>
      </c>
      <c r="N1629" s="28">
        <v>45108.432638888888</v>
      </c>
      <c r="O1629" s="28">
        <v>45108.799305555556</v>
      </c>
      <c r="P1629" s="20"/>
      <c r="Q1629" s="18" t="b">
        <f>FALSE()</f>
        <v>0</v>
      </c>
      <c r="R1629" s="18" t="b">
        <f>FALSE()</f>
        <v>0</v>
      </c>
      <c r="S1629" s="19">
        <f t="shared" si="25"/>
        <v>8.8000000000000007</v>
      </c>
      <c r="T1629">
        <f>COUNTIF('👤 Customers'!$A:$A, B1629)</f>
        <v>1</v>
      </c>
      <c r="U1629">
        <f>COUNTIF('🚴 Riders'!A1628:A1688, C1629)</f>
        <v>0</v>
      </c>
      <c r="V1629">
        <f>COUNTIF('🏭 Facilities'!A1628:A1636, D1629)</f>
        <v>0</v>
      </c>
    </row>
    <row r="1630" spans="1:22">
      <c r="A1630" s="16" t="s">
        <v>3921</v>
      </c>
      <c r="B1630" s="16" t="s">
        <v>403</v>
      </c>
      <c r="C1630" s="16" t="s">
        <v>339</v>
      </c>
      <c r="D1630" s="16" t="s">
        <v>130</v>
      </c>
      <c r="E1630" s="25">
        <v>45103</v>
      </c>
      <c r="F1630" s="16" t="s">
        <v>3922</v>
      </c>
      <c r="G1630" s="16" t="s">
        <v>132</v>
      </c>
      <c r="H1630" s="16">
        <v>2.2000000000000002</v>
      </c>
      <c r="I1630" s="16">
        <v>399</v>
      </c>
      <c r="J1630" s="16">
        <v>0</v>
      </c>
      <c r="K1630" s="16">
        <v>877.8</v>
      </c>
      <c r="L1630" s="16" t="s">
        <v>146</v>
      </c>
      <c r="M1630" s="16" t="s">
        <v>140</v>
      </c>
      <c r="N1630" s="27">
        <v>45103.211111111108</v>
      </c>
      <c r="O1630" s="27">
        <v>45103.967361111114</v>
      </c>
      <c r="P1630" s="20"/>
      <c r="Q1630" s="16" t="b">
        <f>FALSE()</f>
        <v>0</v>
      </c>
      <c r="R1630" s="16" t="b">
        <f>FALSE()</f>
        <v>0</v>
      </c>
      <c r="S1630" s="17">
        <f t="shared" si="25"/>
        <v>18.2</v>
      </c>
      <c r="T1630">
        <f>COUNTIF('👤 Customers'!$A:$A, B1630)</f>
        <v>1</v>
      </c>
      <c r="U1630">
        <f>COUNTIF('🚴 Riders'!A1629:A1689, C1630)</f>
        <v>0</v>
      </c>
      <c r="V1630">
        <f>COUNTIF('🏭 Facilities'!A1629:A1637, D1630)</f>
        <v>0</v>
      </c>
    </row>
    <row r="1631" spans="1:22">
      <c r="A1631" s="18" t="s">
        <v>3923</v>
      </c>
      <c r="B1631" s="18" t="s">
        <v>307</v>
      </c>
      <c r="C1631" s="18" t="s">
        <v>149</v>
      </c>
      <c r="D1631" s="18" t="s">
        <v>205</v>
      </c>
      <c r="E1631" s="26">
        <v>45289</v>
      </c>
      <c r="F1631" s="18" t="s">
        <v>3924</v>
      </c>
      <c r="G1631" s="18" t="s">
        <v>132</v>
      </c>
      <c r="H1631" s="18">
        <v>3.1</v>
      </c>
      <c r="I1631" s="18">
        <v>399</v>
      </c>
      <c r="J1631" s="18">
        <v>10</v>
      </c>
      <c r="K1631" s="18">
        <v>1113.21</v>
      </c>
      <c r="L1631" s="18" t="s">
        <v>146</v>
      </c>
      <c r="M1631" s="18" t="s">
        <v>119</v>
      </c>
      <c r="N1631" s="28">
        <v>45289.51458333333</v>
      </c>
      <c r="O1631" s="28">
        <v>45290.158333333333</v>
      </c>
      <c r="P1631" s="18">
        <v>3.2</v>
      </c>
      <c r="Q1631" s="18" t="b">
        <f>TRUE()</f>
        <v>1</v>
      </c>
      <c r="R1631" s="18" t="b">
        <f>FALSE()</f>
        <v>0</v>
      </c>
      <c r="S1631" s="19">
        <f t="shared" si="25"/>
        <v>15.5</v>
      </c>
      <c r="T1631">
        <f>COUNTIF('👤 Customers'!$A:$A, B1631)</f>
        <v>1</v>
      </c>
      <c r="U1631">
        <f>COUNTIF('🚴 Riders'!A1630:A1690, C1631)</f>
        <v>0</v>
      </c>
      <c r="V1631">
        <f>COUNTIF('🏭 Facilities'!A1630:A1638, D1631)</f>
        <v>0</v>
      </c>
    </row>
    <row r="1632" spans="1:22">
      <c r="A1632" s="16" t="s">
        <v>3925</v>
      </c>
      <c r="B1632" s="16" t="s">
        <v>260</v>
      </c>
      <c r="C1632" s="16" t="s">
        <v>431</v>
      </c>
      <c r="D1632" s="16" t="s">
        <v>197</v>
      </c>
      <c r="E1632" s="25">
        <v>45134</v>
      </c>
      <c r="F1632" s="16" t="s">
        <v>3926</v>
      </c>
      <c r="G1632" s="16" t="s">
        <v>176</v>
      </c>
      <c r="H1632" s="16">
        <v>1.8</v>
      </c>
      <c r="I1632" s="16">
        <v>599</v>
      </c>
      <c r="J1632" s="16">
        <v>0</v>
      </c>
      <c r="K1632" s="16">
        <v>1078.2</v>
      </c>
      <c r="L1632" s="16" t="s">
        <v>139</v>
      </c>
      <c r="M1632" s="16" t="s">
        <v>119</v>
      </c>
      <c r="N1632" s="27">
        <v>45135.025000000001</v>
      </c>
      <c r="O1632" s="27">
        <v>45136.102777777778</v>
      </c>
      <c r="P1632" s="16">
        <v>3.9</v>
      </c>
      <c r="Q1632" s="16" t="b">
        <f>TRUE()</f>
        <v>1</v>
      </c>
      <c r="R1632" s="16" t="b">
        <f>FALSE()</f>
        <v>0</v>
      </c>
      <c r="S1632" s="17">
        <f t="shared" si="25"/>
        <v>25.9</v>
      </c>
      <c r="T1632">
        <f>COUNTIF('👤 Customers'!$A:$A, B1632)</f>
        <v>1</v>
      </c>
      <c r="U1632">
        <f>COUNTIF('🚴 Riders'!A1631:A1691, C1632)</f>
        <v>0</v>
      </c>
      <c r="V1632">
        <f>COUNTIF('🏭 Facilities'!A1631:A1639, D1632)</f>
        <v>0</v>
      </c>
    </row>
    <row r="1633" spans="1:22">
      <c r="A1633" s="18" t="s">
        <v>3927</v>
      </c>
      <c r="B1633" s="18" t="s">
        <v>325</v>
      </c>
      <c r="C1633" s="18" t="s">
        <v>220</v>
      </c>
      <c r="D1633" s="18" t="s">
        <v>123</v>
      </c>
      <c r="E1633" s="26">
        <v>45149</v>
      </c>
      <c r="F1633" s="18" t="s">
        <v>3928</v>
      </c>
      <c r="G1633" s="18" t="s">
        <v>125</v>
      </c>
      <c r="H1633" s="18">
        <v>2.6</v>
      </c>
      <c r="I1633" s="18">
        <v>199</v>
      </c>
      <c r="J1633" s="18">
        <v>10</v>
      </c>
      <c r="K1633" s="18">
        <v>465.66</v>
      </c>
      <c r="L1633" s="18" t="s">
        <v>146</v>
      </c>
      <c r="M1633" s="18" t="s">
        <v>119</v>
      </c>
      <c r="N1633" s="28">
        <v>45149.788194444445</v>
      </c>
      <c r="O1633" s="28">
        <v>45150.443749999999</v>
      </c>
      <c r="P1633" s="18">
        <v>3</v>
      </c>
      <c r="Q1633" s="18" t="b">
        <f>FALSE()</f>
        <v>0</v>
      </c>
      <c r="R1633" s="18" t="b">
        <f>FALSE()</f>
        <v>0</v>
      </c>
      <c r="S1633" s="19">
        <f t="shared" si="25"/>
        <v>15.7</v>
      </c>
      <c r="T1633">
        <f>COUNTIF('👤 Customers'!$A:$A, B1633)</f>
        <v>1</v>
      </c>
      <c r="U1633">
        <f>COUNTIF('🚴 Riders'!A1632:A1692, C1633)</f>
        <v>0</v>
      </c>
      <c r="V1633">
        <f>COUNTIF('🏭 Facilities'!A1632:A1640, D1633)</f>
        <v>0</v>
      </c>
    </row>
    <row r="1634" spans="1:22">
      <c r="A1634" s="16" t="s">
        <v>3929</v>
      </c>
      <c r="B1634" s="16" t="s">
        <v>516</v>
      </c>
      <c r="C1634" s="16" t="s">
        <v>232</v>
      </c>
      <c r="D1634" s="16" t="s">
        <v>184</v>
      </c>
      <c r="E1634" s="25">
        <v>44947</v>
      </c>
      <c r="F1634" s="16" t="s">
        <v>3930</v>
      </c>
      <c r="G1634" s="16" t="s">
        <v>132</v>
      </c>
      <c r="H1634" s="16">
        <v>5.0999999999999996</v>
      </c>
      <c r="I1634" s="16">
        <v>399</v>
      </c>
      <c r="J1634" s="16">
        <v>10</v>
      </c>
      <c r="K1634" s="16">
        <v>1831.41</v>
      </c>
      <c r="L1634" s="16" t="s">
        <v>207</v>
      </c>
      <c r="M1634" s="16" t="s">
        <v>119</v>
      </c>
      <c r="N1634" s="27">
        <v>44947.161805555559</v>
      </c>
      <c r="O1634" s="27">
        <v>44947.722916666666</v>
      </c>
      <c r="P1634" s="16">
        <v>3.6</v>
      </c>
      <c r="Q1634" s="16" t="b">
        <f>FALSE()</f>
        <v>0</v>
      </c>
      <c r="R1634" s="16" t="b">
        <f>FALSE()</f>
        <v>0</v>
      </c>
      <c r="S1634" s="17">
        <f t="shared" si="25"/>
        <v>13.5</v>
      </c>
      <c r="T1634">
        <f>COUNTIF('👤 Customers'!$A:$A, B1634)</f>
        <v>1</v>
      </c>
      <c r="U1634">
        <f>COUNTIF('🚴 Riders'!A1633:A1693, C1634)</f>
        <v>0</v>
      </c>
      <c r="V1634">
        <f>COUNTIF('🏭 Facilities'!A1633:A1641, D1634)</f>
        <v>0</v>
      </c>
    </row>
    <row r="1635" spans="1:22">
      <c r="A1635" s="18" t="s">
        <v>3931</v>
      </c>
      <c r="B1635" s="18" t="s">
        <v>788</v>
      </c>
      <c r="C1635" s="18" t="s">
        <v>276</v>
      </c>
      <c r="D1635" s="18" t="s">
        <v>158</v>
      </c>
      <c r="E1635" s="26">
        <v>45651</v>
      </c>
      <c r="F1635" s="18" t="s">
        <v>3932</v>
      </c>
      <c r="G1635" s="18" t="s">
        <v>125</v>
      </c>
      <c r="H1635" s="18">
        <v>5</v>
      </c>
      <c r="I1635" s="18">
        <v>199</v>
      </c>
      <c r="J1635" s="18">
        <v>10</v>
      </c>
      <c r="K1635" s="18">
        <v>895.5</v>
      </c>
      <c r="L1635" s="18" t="s">
        <v>139</v>
      </c>
      <c r="M1635" s="18" t="s">
        <v>119</v>
      </c>
      <c r="N1635" s="28">
        <v>45651.668749999997</v>
      </c>
      <c r="O1635" s="28">
        <v>45652.147916666669</v>
      </c>
      <c r="P1635" s="18">
        <v>3.6</v>
      </c>
      <c r="Q1635" s="18" t="b">
        <f>FALSE()</f>
        <v>0</v>
      </c>
      <c r="R1635" s="18" t="b">
        <f>FALSE()</f>
        <v>0</v>
      </c>
      <c r="S1635" s="19">
        <f t="shared" si="25"/>
        <v>11.5</v>
      </c>
      <c r="T1635">
        <f>COUNTIF('👤 Customers'!$A:$A, B1635)</f>
        <v>1</v>
      </c>
      <c r="U1635">
        <f>COUNTIF('🚴 Riders'!A1634:A1694, C1635)</f>
        <v>0</v>
      </c>
      <c r="V1635">
        <f>COUNTIF('🏭 Facilities'!A1634:A1642, D1635)</f>
        <v>0</v>
      </c>
    </row>
    <row r="1636" spans="1:22">
      <c r="A1636" s="16" t="s">
        <v>3933</v>
      </c>
      <c r="B1636" s="16" t="s">
        <v>1150</v>
      </c>
      <c r="C1636" s="16" t="s">
        <v>536</v>
      </c>
      <c r="D1636" s="16" t="s">
        <v>184</v>
      </c>
      <c r="E1636" s="25">
        <v>45249</v>
      </c>
      <c r="F1636" s="16" t="s">
        <v>3934</v>
      </c>
      <c r="G1636" s="16" t="s">
        <v>145</v>
      </c>
      <c r="H1636" s="16">
        <v>4</v>
      </c>
      <c r="I1636" s="16">
        <v>299</v>
      </c>
      <c r="J1636" s="16">
        <v>0</v>
      </c>
      <c r="K1636" s="16">
        <v>1196</v>
      </c>
      <c r="L1636" s="16" t="s">
        <v>207</v>
      </c>
      <c r="M1636" s="16" t="s">
        <v>119</v>
      </c>
      <c r="N1636" s="27">
        <v>45249.884722222225</v>
      </c>
      <c r="O1636" s="27">
        <v>45250.8125</v>
      </c>
      <c r="P1636" s="16">
        <v>4.5</v>
      </c>
      <c r="Q1636" s="16" t="b">
        <f>FALSE()</f>
        <v>0</v>
      </c>
      <c r="R1636" s="16" t="b">
        <f>TRUE()</f>
        <v>1</v>
      </c>
      <c r="S1636" s="17">
        <f t="shared" si="25"/>
        <v>22.3</v>
      </c>
      <c r="T1636">
        <f>COUNTIF('👤 Customers'!$A:$A, B1636)</f>
        <v>1</v>
      </c>
      <c r="U1636">
        <f>COUNTIF('🚴 Riders'!A1635:A1695, C1636)</f>
        <v>0</v>
      </c>
      <c r="V1636">
        <f>COUNTIF('🏭 Facilities'!A1635:A1643, D1636)</f>
        <v>0</v>
      </c>
    </row>
    <row r="1637" spans="1:22">
      <c r="A1637" s="18" t="s">
        <v>3935</v>
      </c>
      <c r="B1637" s="18" t="s">
        <v>1654</v>
      </c>
      <c r="C1637" s="18" t="s">
        <v>247</v>
      </c>
      <c r="D1637" s="18" t="s">
        <v>130</v>
      </c>
      <c r="E1637" s="26">
        <v>45469</v>
      </c>
      <c r="F1637" s="18" t="s">
        <v>3936</v>
      </c>
      <c r="G1637" s="18" t="s">
        <v>132</v>
      </c>
      <c r="H1637" s="18">
        <v>2.9</v>
      </c>
      <c r="I1637" s="18">
        <v>399</v>
      </c>
      <c r="J1637" s="18">
        <v>0</v>
      </c>
      <c r="K1637" s="18">
        <v>1157.0999999999999</v>
      </c>
      <c r="L1637" s="18" t="s">
        <v>139</v>
      </c>
      <c r="M1637" s="18" t="s">
        <v>119</v>
      </c>
      <c r="N1637" s="28">
        <v>45469.920138888891</v>
      </c>
      <c r="O1637" s="28">
        <v>45471.013888888891</v>
      </c>
      <c r="P1637" s="18">
        <v>3.7</v>
      </c>
      <c r="Q1637" s="18" t="b">
        <f>FALSE()</f>
        <v>0</v>
      </c>
      <c r="R1637" s="18" t="b">
        <f>TRUE()</f>
        <v>1</v>
      </c>
      <c r="S1637" s="19">
        <f t="shared" si="25"/>
        <v>26.3</v>
      </c>
      <c r="T1637">
        <f>COUNTIF('👤 Customers'!$A:$A, B1637)</f>
        <v>1</v>
      </c>
      <c r="U1637">
        <f>COUNTIF('🚴 Riders'!A1636:A1696, C1637)</f>
        <v>0</v>
      </c>
      <c r="V1637">
        <f>COUNTIF('🏭 Facilities'!A1636:A1644, D1637)</f>
        <v>0</v>
      </c>
    </row>
    <row r="1638" spans="1:22">
      <c r="A1638" s="16" t="s">
        <v>3937</v>
      </c>
      <c r="B1638" s="16" t="s">
        <v>464</v>
      </c>
      <c r="C1638" s="16" t="s">
        <v>308</v>
      </c>
      <c r="D1638" s="16" t="s">
        <v>137</v>
      </c>
      <c r="E1638" s="25">
        <v>45295</v>
      </c>
      <c r="F1638" s="16" t="s">
        <v>3938</v>
      </c>
      <c r="G1638" s="16" t="s">
        <v>145</v>
      </c>
      <c r="H1638" s="16">
        <v>5.3</v>
      </c>
      <c r="I1638" s="16">
        <v>299</v>
      </c>
      <c r="J1638" s="16">
        <v>0</v>
      </c>
      <c r="K1638" s="16">
        <v>1584.7</v>
      </c>
      <c r="L1638" s="16" t="s">
        <v>207</v>
      </c>
      <c r="M1638" s="16" t="s">
        <v>140</v>
      </c>
      <c r="N1638" s="27">
        <v>45295.505555555559</v>
      </c>
      <c r="O1638" s="27">
        <v>45296.418055555558</v>
      </c>
      <c r="P1638" s="20"/>
      <c r="Q1638" s="16" t="b">
        <f>FALSE()</f>
        <v>0</v>
      </c>
      <c r="R1638" s="16" t="b">
        <f>FALSE()</f>
        <v>0</v>
      </c>
      <c r="S1638" s="17">
        <f t="shared" si="25"/>
        <v>21.9</v>
      </c>
      <c r="T1638">
        <f>COUNTIF('👤 Customers'!$A:$A, B1638)</f>
        <v>1</v>
      </c>
      <c r="U1638">
        <f>COUNTIF('🚴 Riders'!A1637:A1697, C1638)</f>
        <v>0</v>
      </c>
      <c r="V1638">
        <f>COUNTIF('🏭 Facilities'!A1637:A1645, D1638)</f>
        <v>0</v>
      </c>
    </row>
    <row r="1639" spans="1:22">
      <c r="A1639" s="18" t="s">
        <v>3939</v>
      </c>
      <c r="B1639" s="18" t="s">
        <v>835</v>
      </c>
      <c r="C1639" s="18" t="s">
        <v>240</v>
      </c>
      <c r="D1639" s="18" t="s">
        <v>184</v>
      </c>
      <c r="E1639" s="26">
        <v>44975</v>
      </c>
      <c r="F1639" s="18" t="s">
        <v>3940</v>
      </c>
      <c r="G1639" s="18" t="s">
        <v>145</v>
      </c>
      <c r="H1639" s="18">
        <v>3.1</v>
      </c>
      <c r="I1639" s="18">
        <v>299</v>
      </c>
      <c r="J1639" s="18">
        <v>0</v>
      </c>
      <c r="K1639" s="18">
        <v>926.9</v>
      </c>
      <c r="L1639" s="18" t="s">
        <v>126</v>
      </c>
      <c r="M1639" s="18" t="s">
        <v>119</v>
      </c>
      <c r="N1639" s="28">
        <v>44975.759027777778</v>
      </c>
      <c r="O1639" s="28">
        <v>44976.353472222225</v>
      </c>
      <c r="P1639" s="18">
        <v>3.9</v>
      </c>
      <c r="Q1639" s="18" t="b">
        <f>FALSE()</f>
        <v>0</v>
      </c>
      <c r="R1639" s="18" t="b">
        <f>FALSE()</f>
        <v>0</v>
      </c>
      <c r="S1639" s="19">
        <f t="shared" si="25"/>
        <v>14.3</v>
      </c>
      <c r="T1639">
        <f>COUNTIF('👤 Customers'!$A:$A, B1639)</f>
        <v>1</v>
      </c>
      <c r="U1639">
        <f>COUNTIF('🚴 Riders'!A1638:A1698, C1639)</f>
        <v>0</v>
      </c>
      <c r="V1639">
        <f>COUNTIF('🏭 Facilities'!A1638:A1646, D1639)</f>
        <v>0</v>
      </c>
    </row>
    <row r="1640" spans="1:22">
      <c r="A1640" s="16" t="s">
        <v>3941</v>
      </c>
      <c r="B1640" s="16" t="s">
        <v>3942</v>
      </c>
      <c r="C1640" s="16" t="s">
        <v>162</v>
      </c>
      <c r="D1640" s="16" t="s">
        <v>205</v>
      </c>
      <c r="E1640" s="25">
        <v>45221</v>
      </c>
      <c r="F1640" s="16" t="s">
        <v>3943</v>
      </c>
      <c r="G1640" s="16" t="s">
        <v>132</v>
      </c>
      <c r="H1640" s="16">
        <v>1.5</v>
      </c>
      <c r="I1640" s="16">
        <v>399</v>
      </c>
      <c r="J1640" s="16">
        <v>0</v>
      </c>
      <c r="K1640" s="16">
        <v>598.5</v>
      </c>
      <c r="L1640" s="16" t="s">
        <v>146</v>
      </c>
      <c r="M1640" s="16" t="s">
        <v>119</v>
      </c>
      <c r="N1640" s="27">
        <v>45221.979861111111</v>
      </c>
      <c r="O1640" s="27">
        <v>45222.827777777777</v>
      </c>
      <c r="P1640" s="16">
        <v>4.4000000000000004</v>
      </c>
      <c r="Q1640" s="16" t="b">
        <f>FALSE()</f>
        <v>0</v>
      </c>
      <c r="R1640" s="16" t="b">
        <f>FALSE()</f>
        <v>0</v>
      </c>
      <c r="S1640" s="17">
        <f t="shared" si="25"/>
        <v>20.3</v>
      </c>
      <c r="T1640">
        <f>COUNTIF('👤 Customers'!$A:$A, B1640)</f>
        <v>1</v>
      </c>
      <c r="U1640">
        <f>COUNTIF('🚴 Riders'!A1639:A1699, C1640)</f>
        <v>0</v>
      </c>
      <c r="V1640">
        <f>COUNTIF('🏭 Facilities'!A1639:A1647, D1640)</f>
        <v>0</v>
      </c>
    </row>
    <row r="1641" spans="1:22">
      <c r="A1641" s="18" t="s">
        <v>3944</v>
      </c>
      <c r="B1641" s="18" t="s">
        <v>2681</v>
      </c>
      <c r="C1641" s="18" t="s">
        <v>272</v>
      </c>
      <c r="D1641" s="18" t="s">
        <v>205</v>
      </c>
      <c r="E1641" s="26">
        <v>45267</v>
      </c>
      <c r="F1641" s="18" t="s">
        <v>3945</v>
      </c>
      <c r="G1641" s="18" t="s">
        <v>145</v>
      </c>
      <c r="H1641" s="18">
        <v>7</v>
      </c>
      <c r="I1641" s="18">
        <v>299</v>
      </c>
      <c r="J1641" s="18">
        <v>0</v>
      </c>
      <c r="K1641" s="18">
        <v>2093</v>
      </c>
      <c r="L1641" s="18" t="s">
        <v>126</v>
      </c>
      <c r="M1641" s="18" t="s">
        <v>119</v>
      </c>
      <c r="N1641" s="28">
        <v>45267.790277777778</v>
      </c>
      <c r="O1641" s="28">
        <v>45268.134027777778</v>
      </c>
      <c r="P1641" s="18">
        <v>4.9000000000000004</v>
      </c>
      <c r="Q1641" s="18" t="b">
        <f>FALSE()</f>
        <v>0</v>
      </c>
      <c r="R1641" s="18" t="b">
        <f>FALSE()</f>
        <v>0</v>
      </c>
      <c r="S1641" s="19">
        <f t="shared" si="25"/>
        <v>8.3000000000000007</v>
      </c>
      <c r="T1641">
        <f>COUNTIF('👤 Customers'!$A:$A, B1641)</f>
        <v>1</v>
      </c>
      <c r="U1641">
        <f>COUNTIF('🚴 Riders'!A1640:A1700, C1641)</f>
        <v>0</v>
      </c>
      <c r="V1641">
        <f>COUNTIF('🏭 Facilities'!A1640:A1648, D1641)</f>
        <v>0</v>
      </c>
    </row>
    <row r="1642" spans="1:22">
      <c r="A1642" s="16" t="s">
        <v>3946</v>
      </c>
      <c r="B1642" s="16" t="s">
        <v>169</v>
      </c>
      <c r="C1642" s="16" t="s">
        <v>354</v>
      </c>
      <c r="D1642" s="16" t="s">
        <v>115</v>
      </c>
      <c r="E1642" s="25">
        <v>44976</v>
      </c>
      <c r="F1642" s="16" t="s">
        <v>3947</v>
      </c>
      <c r="G1642" s="16" t="s">
        <v>132</v>
      </c>
      <c r="H1642" s="16">
        <v>6.8</v>
      </c>
      <c r="I1642" s="16">
        <v>399</v>
      </c>
      <c r="J1642" s="16">
        <v>10</v>
      </c>
      <c r="K1642" s="16">
        <v>2441.88</v>
      </c>
      <c r="L1642" s="16" t="s">
        <v>207</v>
      </c>
      <c r="M1642" s="16" t="s">
        <v>119</v>
      </c>
      <c r="N1642" s="27">
        <v>44976.491666666669</v>
      </c>
      <c r="O1642" s="27">
        <v>44977.498611111114</v>
      </c>
      <c r="P1642" s="16">
        <v>3</v>
      </c>
      <c r="Q1642" s="16" t="b">
        <f>FALSE()</f>
        <v>0</v>
      </c>
      <c r="R1642" s="16" t="b">
        <f>FALSE()</f>
        <v>0</v>
      </c>
      <c r="S1642" s="17">
        <f t="shared" si="25"/>
        <v>24.2</v>
      </c>
      <c r="T1642">
        <f>COUNTIF('👤 Customers'!$A:$A, B1642)</f>
        <v>1</v>
      </c>
      <c r="U1642">
        <f>COUNTIF('🚴 Riders'!A1641:A1701, C1642)</f>
        <v>0</v>
      </c>
      <c r="V1642">
        <f>COUNTIF('🏭 Facilities'!A1641:A1649, D1642)</f>
        <v>0</v>
      </c>
    </row>
    <row r="1643" spans="1:22">
      <c r="A1643" s="18" t="s">
        <v>3948</v>
      </c>
      <c r="B1643" s="18" t="s">
        <v>2229</v>
      </c>
      <c r="C1643" s="18" t="s">
        <v>149</v>
      </c>
      <c r="D1643" s="18" t="s">
        <v>197</v>
      </c>
      <c r="E1643" s="26">
        <v>44927</v>
      </c>
      <c r="F1643" s="18" t="s">
        <v>3949</v>
      </c>
      <c r="G1643" s="18" t="s">
        <v>117</v>
      </c>
      <c r="H1643" s="18">
        <v>4.3</v>
      </c>
      <c r="I1643" s="18">
        <v>149</v>
      </c>
      <c r="J1643" s="18">
        <v>0</v>
      </c>
      <c r="K1643" s="18">
        <v>640.70000000000005</v>
      </c>
      <c r="L1643" s="18" t="s">
        <v>118</v>
      </c>
      <c r="M1643" s="18" t="s">
        <v>119</v>
      </c>
      <c r="N1643" s="28">
        <v>44927.646527777775</v>
      </c>
      <c r="O1643" s="28">
        <v>44928.654861111114</v>
      </c>
      <c r="P1643" s="18">
        <v>4.2</v>
      </c>
      <c r="Q1643" s="18" t="b">
        <f>FALSE()</f>
        <v>0</v>
      </c>
      <c r="R1643" s="18" t="b">
        <f>FALSE()</f>
        <v>0</v>
      </c>
      <c r="S1643" s="19">
        <f t="shared" si="25"/>
        <v>24.2</v>
      </c>
      <c r="T1643">
        <f>COUNTIF('👤 Customers'!$A:$A, B1643)</f>
        <v>1</v>
      </c>
      <c r="U1643">
        <f>COUNTIF('🚴 Riders'!A1642:A1702, C1643)</f>
        <v>0</v>
      </c>
      <c r="V1643">
        <f>COUNTIF('🏭 Facilities'!A1642:A1650, D1643)</f>
        <v>0</v>
      </c>
    </row>
    <row r="1644" spans="1:22">
      <c r="A1644" s="16" t="s">
        <v>3950</v>
      </c>
      <c r="B1644" s="16" t="s">
        <v>1961</v>
      </c>
      <c r="C1644" s="16" t="s">
        <v>362</v>
      </c>
      <c r="D1644" s="16" t="s">
        <v>197</v>
      </c>
      <c r="E1644" s="25">
        <v>45042</v>
      </c>
      <c r="F1644" s="16" t="s">
        <v>3951</v>
      </c>
      <c r="G1644" s="16" t="s">
        <v>117</v>
      </c>
      <c r="H1644" s="16">
        <v>1.6</v>
      </c>
      <c r="I1644" s="16">
        <v>149</v>
      </c>
      <c r="J1644" s="16">
        <v>0</v>
      </c>
      <c r="K1644" s="16">
        <v>238.4</v>
      </c>
      <c r="L1644" s="16" t="s">
        <v>207</v>
      </c>
      <c r="M1644" s="16" t="s">
        <v>133</v>
      </c>
      <c r="N1644" s="20"/>
      <c r="O1644" s="20"/>
      <c r="P1644" s="20"/>
      <c r="Q1644" s="16" t="b">
        <f>FALSE()</f>
        <v>0</v>
      </c>
      <c r="R1644" s="16" t="b">
        <f>TRUE()</f>
        <v>1</v>
      </c>
      <c r="S1644" s="17" t="str">
        <f t="shared" si="25"/>
        <v>N/A</v>
      </c>
      <c r="T1644">
        <f>COUNTIF('👤 Customers'!$A:$A, B1644)</f>
        <v>1</v>
      </c>
      <c r="U1644">
        <f>COUNTIF('🚴 Riders'!A1643:A1703, C1644)</f>
        <v>0</v>
      </c>
      <c r="V1644">
        <f>COUNTIF('🏭 Facilities'!A1643:A1651, D1644)</f>
        <v>0</v>
      </c>
    </row>
    <row r="1645" spans="1:22">
      <c r="A1645" s="18" t="s">
        <v>3952</v>
      </c>
      <c r="B1645" s="18" t="s">
        <v>3531</v>
      </c>
      <c r="C1645" s="18" t="s">
        <v>224</v>
      </c>
      <c r="D1645" s="18" t="s">
        <v>205</v>
      </c>
      <c r="E1645" s="26">
        <v>44937</v>
      </c>
      <c r="F1645" s="18" t="s">
        <v>3953</v>
      </c>
      <c r="G1645" s="18" t="s">
        <v>176</v>
      </c>
      <c r="H1645" s="18">
        <v>3.3</v>
      </c>
      <c r="I1645" s="18">
        <v>599</v>
      </c>
      <c r="J1645" s="18">
        <v>0</v>
      </c>
      <c r="K1645" s="18">
        <v>1976.7</v>
      </c>
      <c r="L1645" s="18" t="s">
        <v>146</v>
      </c>
      <c r="M1645" s="18" t="s">
        <v>119</v>
      </c>
      <c r="N1645" s="28">
        <v>44937.961805555555</v>
      </c>
      <c r="O1645" s="28">
        <v>44938.614583333336</v>
      </c>
      <c r="P1645" s="18">
        <v>2.6</v>
      </c>
      <c r="Q1645" s="18" t="b">
        <f>TRUE()</f>
        <v>1</v>
      </c>
      <c r="R1645" s="18" t="b">
        <f>FALSE()</f>
        <v>0</v>
      </c>
      <c r="S1645" s="19">
        <f t="shared" si="25"/>
        <v>15.7</v>
      </c>
      <c r="T1645">
        <f>COUNTIF('👤 Customers'!$A:$A, B1645)</f>
        <v>1</v>
      </c>
      <c r="U1645">
        <f>COUNTIF('🚴 Riders'!A1644:A1704, C1645)</f>
        <v>0</v>
      </c>
      <c r="V1645">
        <f>COUNTIF('🏭 Facilities'!A1644:A1652, D1645)</f>
        <v>0</v>
      </c>
    </row>
    <row r="1646" spans="1:22">
      <c r="A1646" s="16" t="s">
        <v>3954</v>
      </c>
      <c r="B1646" s="16" t="s">
        <v>1191</v>
      </c>
      <c r="C1646" s="16" t="s">
        <v>213</v>
      </c>
      <c r="D1646" s="16" t="s">
        <v>158</v>
      </c>
      <c r="E1646" s="25">
        <v>45300</v>
      </c>
      <c r="F1646" s="16" t="s">
        <v>3955</v>
      </c>
      <c r="G1646" s="16" t="s">
        <v>132</v>
      </c>
      <c r="H1646" s="16">
        <v>1.6</v>
      </c>
      <c r="I1646" s="16">
        <v>399</v>
      </c>
      <c r="J1646" s="16">
        <v>0</v>
      </c>
      <c r="K1646" s="16">
        <v>638.4</v>
      </c>
      <c r="L1646" s="16" t="s">
        <v>207</v>
      </c>
      <c r="M1646" s="16" t="s">
        <v>119</v>
      </c>
      <c r="N1646" s="27">
        <v>45300.223611111112</v>
      </c>
      <c r="O1646" s="27">
        <v>45301.239583333336</v>
      </c>
      <c r="P1646" s="16">
        <v>4.0999999999999996</v>
      </c>
      <c r="Q1646" s="16" t="b">
        <f>FALSE()</f>
        <v>0</v>
      </c>
      <c r="R1646" s="16" t="b">
        <f>TRUE()</f>
        <v>1</v>
      </c>
      <c r="S1646" s="17">
        <f t="shared" si="25"/>
        <v>24.4</v>
      </c>
      <c r="T1646">
        <f>COUNTIF('👤 Customers'!$A:$A, B1646)</f>
        <v>1</v>
      </c>
      <c r="U1646">
        <f>COUNTIF('🚴 Riders'!A1645:A1705, C1646)</f>
        <v>0</v>
      </c>
      <c r="V1646">
        <f>COUNTIF('🏭 Facilities'!A1645:A1653, D1646)</f>
        <v>0</v>
      </c>
    </row>
    <row r="1647" spans="1:22">
      <c r="A1647" s="18" t="s">
        <v>3956</v>
      </c>
      <c r="B1647" s="18" t="s">
        <v>1356</v>
      </c>
      <c r="C1647" s="18" t="s">
        <v>261</v>
      </c>
      <c r="D1647" s="18" t="s">
        <v>137</v>
      </c>
      <c r="E1647" s="26">
        <v>45547</v>
      </c>
      <c r="F1647" s="18" t="s">
        <v>3957</v>
      </c>
      <c r="G1647" s="18" t="s">
        <v>176</v>
      </c>
      <c r="H1647" s="18">
        <v>1.5</v>
      </c>
      <c r="I1647" s="18">
        <v>599</v>
      </c>
      <c r="J1647" s="18">
        <v>0</v>
      </c>
      <c r="K1647" s="18">
        <v>898.5</v>
      </c>
      <c r="L1647" s="18" t="s">
        <v>118</v>
      </c>
      <c r="M1647" s="18" t="s">
        <v>119</v>
      </c>
      <c r="N1647" s="28">
        <v>45547.270833333336</v>
      </c>
      <c r="O1647" s="28">
        <v>45547.909722222219</v>
      </c>
      <c r="P1647" s="18">
        <v>4.4000000000000004</v>
      </c>
      <c r="Q1647" s="18" t="b">
        <f>FALSE()</f>
        <v>0</v>
      </c>
      <c r="R1647" s="18" t="b">
        <f>FALSE()</f>
        <v>0</v>
      </c>
      <c r="S1647" s="19">
        <f t="shared" si="25"/>
        <v>15.3</v>
      </c>
      <c r="T1647">
        <f>COUNTIF('👤 Customers'!$A:$A, B1647)</f>
        <v>1</v>
      </c>
      <c r="U1647">
        <f>COUNTIF('🚴 Riders'!A1646:A1706, C1647)</f>
        <v>0</v>
      </c>
      <c r="V1647">
        <f>COUNTIF('🏭 Facilities'!A1646:A1654, D1647)</f>
        <v>0</v>
      </c>
    </row>
    <row r="1648" spans="1:22">
      <c r="A1648" s="16" t="s">
        <v>3958</v>
      </c>
      <c r="B1648" s="16" t="s">
        <v>374</v>
      </c>
      <c r="C1648" s="16" t="s">
        <v>358</v>
      </c>
      <c r="D1648" s="16" t="s">
        <v>123</v>
      </c>
      <c r="E1648" s="25">
        <v>45352</v>
      </c>
      <c r="F1648" s="16" t="s">
        <v>3959</v>
      </c>
      <c r="G1648" s="16" t="s">
        <v>125</v>
      </c>
      <c r="H1648" s="16">
        <v>2</v>
      </c>
      <c r="I1648" s="16">
        <v>199</v>
      </c>
      <c r="J1648" s="16">
        <v>0</v>
      </c>
      <c r="K1648" s="16">
        <v>398</v>
      </c>
      <c r="L1648" s="16" t="s">
        <v>207</v>
      </c>
      <c r="M1648" s="16" t="s">
        <v>133</v>
      </c>
      <c r="N1648" s="20"/>
      <c r="O1648" s="20"/>
      <c r="P1648" s="20"/>
      <c r="Q1648" s="16" t="b">
        <f>FALSE()</f>
        <v>0</v>
      </c>
      <c r="R1648" s="16" t="b">
        <f>TRUE()</f>
        <v>1</v>
      </c>
      <c r="S1648" s="17" t="str">
        <f t="shared" si="25"/>
        <v>N/A</v>
      </c>
      <c r="T1648">
        <f>COUNTIF('👤 Customers'!$A:$A, B1648)</f>
        <v>1</v>
      </c>
      <c r="U1648">
        <f>COUNTIF('🚴 Riders'!A1647:A1707, C1648)</f>
        <v>0</v>
      </c>
      <c r="V1648">
        <f>COUNTIF('🏭 Facilities'!A1647:A1655, D1648)</f>
        <v>0</v>
      </c>
    </row>
    <row r="1649" spans="1:22">
      <c r="A1649" s="18" t="s">
        <v>3960</v>
      </c>
      <c r="B1649" s="18" t="s">
        <v>3828</v>
      </c>
      <c r="C1649" s="18" t="s">
        <v>224</v>
      </c>
      <c r="D1649" s="18" t="s">
        <v>205</v>
      </c>
      <c r="E1649" s="26">
        <v>45240</v>
      </c>
      <c r="F1649" s="18" t="s">
        <v>3961</v>
      </c>
      <c r="G1649" s="18" t="s">
        <v>125</v>
      </c>
      <c r="H1649" s="18">
        <v>1.4</v>
      </c>
      <c r="I1649" s="18">
        <v>199</v>
      </c>
      <c r="J1649" s="18">
        <v>0</v>
      </c>
      <c r="K1649" s="18">
        <v>278.60000000000002</v>
      </c>
      <c r="L1649" s="18" t="s">
        <v>126</v>
      </c>
      <c r="M1649" s="18" t="s">
        <v>119</v>
      </c>
      <c r="N1649" s="28">
        <v>45241.146527777775</v>
      </c>
      <c r="O1649" s="28">
        <v>45241.789583333331</v>
      </c>
      <c r="P1649" s="18">
        <v>4.2</v>
      </c>
      <c r="Q1649" s="18" t="b">
        <f>FALSE()</f>
        <v>0</v>
      </c>
      <c r="R1649" s="18" t="b">
        <f>TRUE()</f>
        <v>1</v>
      </c>
      <c r="S1649" s="19">
        <f t="shared" si="25"/>
        <v>15.4</v>
      </c>
      <c r="T1649">
        <f>COUNTIF('👤 Customers'!$A:$A, B1649)</f>
        <v>1</v>
      </c>
      <c r="U1649">
        <f>COUNTIF('🚴 Riders'!A1648:A1708, C1649)</f>
        <v>0</v>
      </c>
      <c r="V1649">
        <f>COUNTIF('🏭 Facilities'!A1648:A1656, D1649)</f>
        <v>0</v>
      </c>
    </row>
    <row r="1650" spans="1:22">
      <c r="A1650" s="16" t="s">
        <v>3962</v>
      </c>
      <c r="B1650" s="16" t="s">
        <v>239</v>
      </c>
      <c r="C1650" s="16" t="s">
        <v>343</v>
      </c>
      <c r="D1650" s="16" t="s">
        <v>205</v>
      </c>
      <c r="E1650" s="25">
        <v>45150</v>
      </c>
      <c r="F1650" s="16" t="s">
        <v>3963</v>
      </c>
      <c r="G1650" s="16" t="s">
        <v>125</v>
      </c>
      <c r="H1650" s="16">
        <v>1.7</v>
      </c>
      <c r="I1650" s="16">
        <v>199</v>
      </c>
      <c r="J1650" s="16">
        <v>10</v>
      </c>
      <c r="K1650" s="16">
        <v>304.47000000000003</v>
      </c>
      <c r="L1650" s="16" t="s">
        <v>146</v>
      </c>
      <c r="M1650" s="16" t="s">
        <v>119</v>
      </c>
      <c r="N1650" s="27">
        <v>45151.013888888891</v>
      </c>
      <c r="O1650" s="27">
        <v>45151.674305555556</v>
      </c>
      <c r="P1650" s="16">
        <v>3.9</v>
      </c>
      <c r="Q1650" s="16" t="b">
        <f>TRUE()</f>
        <v>1</v>
      </c>
      <c r="R1650" s="16" t="b">
        <f>FALSE()</f>
        <v>0</v>
      </c>
      <c r="S1650" s="17">
        <f t="shared" si="25"/>
        <v>15.8</v>
      </c>
      <c r="T1650">
        <f>COUNTIF('👤 Customers'!$A:$A, B1650)</f>
        <v>1</v>
      </c>
      <c r="U1650">
        <f>COUNTIF('🚴 Riders'!A1649:A1709, C1650)</f>
        <v>0</v>
      </c>
      <c r="V1650">
        <f>COUNTIF('🏭 Facilities'!A1649:A1657, D1650)</f>
        <v>0</v>
      </c>
    </row>
    <row r="1651" spans="1:22">
      <c r="A1651" s="18" t="s">
        <v>3964</v>
      </c>
      <c r="B1651" s="18" t="s">
        <v>1150</v>
      </c>
      <c r="C1651" s="18" t="s">
        <v>122</v>
      </c>
      <c r="D1651" s="18" t="s">
        <v>184</v>
      </c>
      <c r="E1651" s="26">
        <v>45239</v>
      </c>
      <c r="F1651" s="18" t="s">
        <v>2874</v>
      </c>
      <c r="G1651" s="18" t="s">
        <v>145</v>
      </c>
      <c r="H1651" s="18">
        <v>7.2</v>
      </c>
      <c r="I1651" s="18">
        <v>299</v>
      </c>
      <c r="J1651" s="18">
        <v>0</v>
      </c>
      <c r="K1651" s="18">
        <v>2152.8000000000002</v>
      </c>
      <c r="L1651" s="18" t="s">
        <v>118</v>
      </c>
      <c r="M1651" s="18" t="s">
        <v>140</v>
      </c>
      <c r="N1651" s="28">
        <v>45239.179861111108</v>
      </c>
      <c r="O1651" s="28">
        <v>45239.638888888891</v>
      </c>
      <c r="P1651" s="20"/>
      <c r="Q1651" s="18" t="b">
        <f>FALSE()</f>
        <v>0</v>
      </c>
      <c r="R1651" s="18" t="b">
        <f>FALSE()</f>
        <v>0</v>
      </c>
      <c r="S1651" s="19">
        <f t="shared" si="25"/>
        <v>11</v>
      </c>
      <c r="T1651">
        <f>COUNTIF('👤 Customers'!$A:$A, B1651)</f>
        <v>1</v>
      </c>
      <c r="U1651">
        <f>COUNTIF('🚴 Riders'!A1650:A1710, C1651)</f>
        <v>0</v>
      </c>
      <c r="V1651">
        <f>COUNTIF('🏭 Facilities'!A1650:A1658, D1651)</f>
        <v>0</v>
      </c>
    </row>
    <row r="1652" spans="1:22">
      <c r="A1652" s="16" t="s">
        <v>3965</v>
      </c>
      <c r="B1652" s="16" t="s">
        <v>235</v>
      </c>
      <c r="C1652" s="16" t="s">
        <v>157</v>
      </c>
      <c r="D1652" s="16" t="s">
        <v>184</v>
      </c>
      <c r="E1652" s="25">
        <v>45028</v>
      </c>
      <c r="F1652" s="16" t="s">
        <v>3966</v>
      </c>
      <c r="G1652" s="16" t="s">
        <v>132</v>
      </c>
      <c r="H1652" s="16">
        <v>5.7</v>
      </c>
      <c r="I1652" s="16">
        <v>399</v>
      </c>
      <c r="J1652" s="16">
        <v>0</v>
      </c>
      <c r="K1652" s="16">
        <v>2274.3000000000002</v>
      </c>
      <c r="L1652" s="16" t="s">
        <v>126</v>
      </c>
      <c r="M1652" s="16" t="s">
        <v>119</v>
      </c>
      <c r="N1652" s="27">
        <v>45028.396527777775</v>
      </c>
      <c r="O1652" s="27">
        <v>45028.788888888892</v>
      </c>
      <c r="P1652" s="16">
        <v>2.8</v>
      </c>
      <c r="Q1652" s="16" t="b">
        <f>FALSE()</f>
        <v>0</v>
      </c>
      <c r="R1652" s="16" t="b">
        <f>FALSE()</f>
        <v>0</v>
      </c>
      <c r="S1652" s="17">
        <f t="shared" si="25"/>
        <v>9.4</v>
      </c>
      <c r="T1652">
        <f>COUNTIF('👤 Customers'!$A:$A, B1652)</f>
        <v>1</v>
      </c>
      <c r="U1652">
        <f>COUNTIF('🚴 Riders'!A1651:A1711, C1652)</f>
        <v>0</v>
      </c>
      <c r="V1652">
        <f>COUNTIF('🏭 Facilities'!A1651:A1659, D1652)</f>
        <v>0</v>
      </c>
    </row>
    <row r="1653" spans="1:22">
      <c r="A1653" s="18" t="s">
        <v>3967</v>
      </c>
      <c r="B1653" s="18" t="s">
        <v>1562</v>
      </c>
      <c r="C1653" s="18" t="s">
        <v>487</v>
      </c>
      <c r="D1653" s="18" t="s">
        <v>130</v>
      </c>
      <c r="E1653" s="26">
        <v>45089</v>
      </c>
      <c r="F1653" s="18" t="s">
        <v>3968</v>
      </c>
      <c r="G1653" s="18" t="s">
        <v>132</v>
      </c>
      <c r="H1653" s="18">
        <v>5</v>
      </c>
      <c r="I1653" s="18">
        <v>399</v>
      </c>
      <c r="J1653" s="18">
        <v>0</v>
      </c>
      <c r="K1653" s="18">
        <v>1995</v>
      </c>
      <c r="L1653" s="18" t="s">
        <v>207</v>
      </c>
      <c r="M1653" s="18" t="s">
        <v>140</v>
      </c>
      <c r="N1653" s="28">
        <v>45089.44027777778</v>
      </c>
      <c r="O1653" s="28">
        <v>45089.899305555555</v>
      </c>
      <c r="P1653" s="20"/>
      <c r="Q1653" s="18" t="b">
        <f>FALSE()</f>
        <v>0</v>
      </c>
      <c r="R1653" s="18" t="b">
        <f>FALSE()</f>
        <v>0</v>
      </c>
      <c r="S1653" s="19">
        <f t="shared" si="25"/>
        <v>11</v>
      </c>
      <c r="T1653">
        <f>COUNTIF('👤 Customers'!$A:$A, B1653)</f>
        <v>1</v>
      </c>
      <c r="U1653">
        <f>COUNTIF('🚴 Riders'!A1652:A1712, C1653)</f>
        <v>0</v>
      </c>
      <c r="V1653">
        <f>COUNTIF('🏭 Facilities'!A1652:A1660, D1653)</f>
        <v>0</v>
      </c>
    </row>
    <row r="1654" spans="1:22">
      <c r="A1654" s="16" t="s">
        <v>3969</v>
      </c>
      <c r="B1654" s="16" t="s">
        <v>759</v>
      </c>
      <c r="C1654" s="16" t="s">
        <v>261</v>
      </c>
      <c r="D1654" s="16" t="s">
        <v>115</v>
      </c>
      <c r="E1654" s="25">
        <v>45187</v>
      </c>
      <c r="F1654" s="16" t="s">
        <v>3970</v>
      </c>
      <c r="G1654" s="16" t="s">
        <v>145</v>
      </c>
      <c r="H1654" s="16">
        <v>5.8</v>
      </c>
      <c r="I1654" s="16">
        <v>299</v>
      </c>
      <c r="J1654" s="16">
        <v>0</v>
      </c>
      <c r="K1654" s="16">
        <v>1734.2</v>
      </c>
      <c r="L1654" s="16" t="s">
        <v>139</v>
      </c>
      <c r="M1654" s="16" t="s">
        <v>119</v>
      </c>
      <c r="N1654" s="27">
        <v>45187.682638888888</v>
      </c>
      <c r="O1654" s="27">
        <v>45188.374305555553</v>
      </c>
      <c r="P1654" s="16">
        <v>4.5</v>
      </c>
      <c r="Q1654" s="16" t="b">
        <f>FALSE()</f>
        <v>0</v>
      </c>
      <c r="R1654" s="16" t="b">
        <f>FALSE()</f>
        <v>0</v>
      </c>
      <c r="S1654" s="17">
        <f t="shared" si="25"/>
        <v>16.600000000000001</v>
      </c>
      <c r="T1654">
        <f>COUNTIF('👤 Customers'!$A:$A, B1654)</f>
        <v>1</v>
      </c>
      <c r="U1654">
        <f>COUNTIF('🚴 Riders'!A1653:A1713, C1654)</f>
        <v>0</v>
      </c>
      <c r="V1654">
        <f>COUNTIF('🏭 Facilities'!A1653:A1661, D1654)</f>
        <v>0</v>
      </c>
    </row>
    <row r="1655" spans="1:22">
      <c r="A1655" s="18" t="s">
        <v>3971</v>
      </c>
      <c r="B1655" s="18" t="s">
        <v>1067</v>
      </c>
      <c r="C1655" s="18" t="s">
        <v>196</v>
      </c>
      <c r="D1655" s="18" t="s">
        <v>115</v>
      </c>
      <c r="E1655" s="26">
        <v>45261</v>
      </c>
      <c r="F1655" s="18" t="s">
        <v>3972</v>
      </c>
      <c r="G1655" s="18" t="s">
        <v>145</v>
      </c>
      <c r="H1655" s="18">
        <v>2.4</v>
      </c>
      <c r="I1655" s="18">
        <v>299</v>
      </c>
      <c r="J1655" s="18">
        <v>0</v>
      </c>
      <c r="K1655" s="18">
        <v>717.6</v>
      </c>
      <c r="L1655" s="18" t="s">
        <v>139</v>
      </c>
      <c r="M1655" s="18" t="s">
        <v>119</v>
      </c>
      <c r="N1655" s="28">
        <v>45261.155555555553</v>
      </c>
      <c r="O1655" s="28">
        <v>45261.914583333331</v>
      </c>
      <c r="P1655" s="18">
        <v>4.0999999999999996</v>
      </c>
      <c r="Q1655" s="18" t="b">
        <f>FALSE()</f>
        <v>0</v>
      </c>
      <c r="R1655" s="18" t="b">
        <f>FALSE()</f>
        <v>0</v>
      </c>
      <c r="S1655" s="19">
        <f t="shared" si="25"/>
        <v>18.2</v>
      </c>
      <c r="T1655">
        <f>COUNTIF('👤 Customers'!$A:$A, B1655)</f>
        <v>1</v>
      </c>
      <c r="U1655">
        <f>COUNTIF('🚴 Riders'!A1654:A1714, C1655)</f>
        <v>0</v>
      </c>
      <c r="V1655">
        <f>COUNTIF('🏭 Facilities'!A1654:A1662, D1655)</f>
        <v>0</v>
      </c>
    </row>
    <row r="1656" spans="1:22">
      <c r="A1656" s="16" t="s">
        <v>3973</v>
      </c>
      <c r="B1656" s="16" t="s">
        <v>3153</v>
      </c>
      <c r="C1656" s="16" t="s">
        <v>204</v>
      </c>
      <c r="D1656" s="16" t="s">
        <v>197</v>
      </c>
      <c r="E1656" s="25">
        <v>45441</v>
      </c>
      <c r="F1656" s="16" t="s">
        <v>3974</v>
      </c>
      <c r="G1656" s="16" t="s">
        <v>176</v>
      </c>
      <c r="H1656" s="16">
        <v>4.9000000000000004</v>
      </c>
      <c r="I1656" s="16">
        <v>599</v>
      </c>
      <c r="J1656" s="16">
        <v>10</v>
      </c>
      <c r="K1656" s="16">
        <v>2641.59</v>
      </c>
      <c r="L1656" s="16" t="s">
        <v>118</v>
      </c>
      <c r="M1656" s="16" t="s">
        <v>119</v>
      </c>
      <c r="N1656" s="27">
        <v>45441.201388888891</v>
      </c>
      <c r="O1656" s="27">
        <v>45442.145833333336</v>
      </c>
      <c r="P1656" s="16">
        <v>4.2</v>
      </c>
      <c r="Q1656" s="16" t="b">
        <f>FALSE()</f>
        <v>0</v>
      </c>
      <c r="R1656" s="16" t="b">
        <f>FALSE()</f>
        <v>0</v>
      </c>
      <c r="S1656" s="17">
        <f t="shared" si="25"/>
        <v>22.7</v>
      </c>
      <c r="T1656">
        <f>COUNTIF('👤 Customers'!$A:$A, B1656)</f>
        <v>1</v>
      </c>
      <c r="U1656">
        <f>COUNTIF('🚴 Riders'!A1655:A1715, C1656)</f>
        <v>0</v>
      </c>
      <c r="V1656">
        <f>COUNTIF('🏭 Facilities'!A1655:A1663, D1656)</f>
        <v>0</v>
      </c>
    </row>
    <row r="1657" spans="1:22">
      <c r="A1657" s="18" t="s">
        <v>3975</v>
      </c>
      <c r="B1657" s="18" t="s">
        <v>654</v>
      </c>
      <c r="C1657" s="18" t="s">
        <v>358</v>
      </c>
      <c r="D1657" s="18" t="s">
        <v>130</v>
      </c>
      <c r="E1657" s="26">
        <v>45241</v>
      </c>
      <c r="F1657" s="18" t="s">
        <v>3976</v>
      </c>
      <c r="G1657" s="18" t="s">
        <v>117</v>
      </c>
      <c r="H1657" s="18">
        <v>6.7</v>
      </c>
      <c r="I1657" s="18">
        <v>149</v>
      </c>
      <c r="J1657" s="18">
        <v>0</v>
      </c>
      <c r="K1657" s="18">
        <v>998.3</v>
      </c>
      <c r="L1657" s="18" t="s">
        <v>146</v>
      </c>
      <c r="M1657" s="18" t="s">
        <v>119</v>
      </c>
      <c r="N1657" s="28">
        <v>45241.076388888891</v>
      </c>
      <c r="O1657" s="28">
        <v>45241.973611111112</v>
      </c>
      <c r="P1657" s="18">
        <v>2.7</v>
      </c>
      <c r="Q1657" s="18" t="b">
        <f>FALSE()</f>
        <v>0</v>
      </c>
      <c r="R1657" s="18" t="b">
        <f>FALSE()</f>
        <v>0</v>
      </c>
      <c r="S1657" s="19">
        <f t="shared" si="25"/>
        <v>21.5</v>
      </c>
      <c r="T1657">
        <f>COUNTIF('👤 Customers'!$A:$A, B1657)</f>
        <v>1</v>
      </c>
      <c r="U1657">
        <f>COUNTIF('🚴 Riders'!A1656:A1716, C1657)</f>
        <v>0</v>
      </c>
      <c r="V1657">
        <f>COUNTIF('🏭 Facilities'!A1656:A1664, D1657)</f>
        <v>0</v>
      </c>
    </row>
    <row r="1658" spans="1:22">
      <c r="A1658" s="16" t="s">
        <v>3977</v>
      </c>
      <c r="B1658" s="16" t="s">
        <v>678</v>
      </c>
      <c r="C1658" s="16" t="s">
        <v>413</v>
      </c>
      <c r="D1658" s="16" t="s">
        <v>115</v>
      </c>
      <c r="E1658" s="25">
        <v>45008</v>
      </c>
      <c r="F1658" s="16" t="s">
        <v>3978</v>
      </c>
      <c r="G1658" s="16" t="s">
        <v>117</v>
      </c>
      <c r="H1658" s="16">
        <v>4.3</v>
      </c>
      <c r="I1658" s="16">
        <v>149</v>
      </c>
      <c r="J1658" s="16">
        <v>30</v>
      </c>
      <c r="K1658" s="16">
        <v>448.49</v>
      </c>
      <c r="L1658" s="16" t="s">
        <v>118</v>
      </c>
      <c r="M1658" s="16" t="s">
        <v>119</v>
      </c>
      <c r="N1658" s="27">
        <v>45008.788888888892</v>
      </c>
      <c r="O1658" s="27">
        <v>45009.775000000001</v>
      </c>
      <c r="P1658" s="16">
        <v>4.8</v>
      </c>
      <c r="Q1658" s="16" t="b">
        <f>FALSE()</f>
        <v>0</v>
      </c>
      <c r="R1658" s="16" t="b">
        <f>FALSE()</f>
        <v>0</v>
      </c>
      <c r="S1658" s="17">
        <f t="shared" si="25"/>
        <v>23.7</v>
      </c>
      <c r="T1658">
        <f>COUNTIF('👤 Customers'!$A:$A, B1658)</f>
        <v>1</v>
      </c>
      <c r="U1658">
        <f>COUNTIF('🚴 Riders'!A1657:A1717, C1658)</f>
        <v>0</v>
      </c>
      <c r="V1658">
        <f>COUNTIF('🏭 Facilities'!A1657:A1665, D1658)</f>
        <v>0</v>
      </c>
    </row>
    <row r="1659" spans="1:22">
      <c r="A1659" s="18" t="s">
        <v>3979</v>
      </c>
      <c r="B1659" s="18" t="s">
        <v>3942</v>
      </c>
      <c r="C1659" s="18" t="s">
        <v>479</v>
      </c>
      <c r="D1659" s="18" t="s">
        <v>205</v>
      </c>
      <c r="E1659" s="26">
        <v>45445</v>
      </c>
      <c r="F1659" s="18" t="s">
        <v>3980</v>
      </c>
      <c r="G1659" s="18" t="s">
        <v>132</v>
      </c>
      <c r="H1659" s="18">
        <v>3.4</v>
      </c>
      <c r="I1659" s="18">
        <v>399</v>
      </c>
      <c r="J1659" s="18">
        <v>0</v>
      </c>
      <c r="K1659" s="18">
        <v>1356.6</v>
      </c>
      <c r="L1659" s="18" t="s">
        <v>207</v>
      </c>
      <c r="M1659" s="18" t="s">
        <v>140</v>
      </c>
      <c r="N1659" s="28">
        <v>45445.135416666664</v>
      </c>
      <c r="O1659" s="28">
        <v>45446.132638888892</v>
      </c>
      <c r="P1659" s="20"/>
      <c r="Q1659" s="18" t="b">
        <f>FALSE()</f>
        <v>0</v>
      </c>
      <c r="R1659" s="18" t="b">
        <f>FALSE()</f>
        <v>0</v>
      </c>
      <c r="S1659" s="19">
        <f t="shared" si="25"/>
        <v>23.9</v>
      </c>
      <c r="T1659">
        <f>COUNTIF('👤 Customers'!$A:$A, B1659)</f>
        <v>1</v>
      </c>
      <c r="U1659">
        <f>COUNTIF('🚴 Riders'!A1658:A1718, C1659)</f>
        <v>0</v>
      </c>
      <c r="V1659">
        <f>COUNTIF('🏭 Facilities'!A1658:A1666, D1659)</f>
        <v>0</v>
      </c>
    </row>
    <row r="1660" spans="1:22">
      <c r="A1660" s="16" t="s">
        <v>3981</v>
      </c>
      <c r="B1660" s="16" t="s">
        <v>1477</v>
      </c>
      <c r="C1660" s="16" t="s">
        <v>1092</v>
      </c>
      <c r="D1660" s="16" t="s">
        <v>158</v>
      </c>
      <c r="E1660" s="25">
        <v>45634</v>
      </c>
      <c r="F1660" s="16" t="s">
        <v>3982</v>
      </c>
      <c r="G1660" s="16" t="s">
        <v>145</v>
      </c>
      <c r="H1660" s="16">
        <v>4.5</v>
      </c>
      <c r="I1660" s="16">
        <v>299</v>
      </c>
      <c r="J1660" s="16">
        <v>0</v>
      </c>
      <c r="K1660" s="16">
        <v>1345.5</v>
      </c>
      <c r="L1660" s="16" t="s">
        <v>207</v>
      </c>
      <c r="M1660" s="16" t="s">
        <v>119</v>
      </c>
      <c r="N1660" s="27">
        <v>45634.461805555555</v>
      </c>
      <c r="O1660" s="27">
        <v>45635.122916666667</v>
      </c>
      <c r="P1660" s="16">
        <v>4.4000000000000004</v>
      </c>
      <c r="Q1660" s="16" t="b">
        <f>FALSE()</f>
        <v>0</v>
      </c>
      <c r="R1660" s="16" t="b">
        <f>FALSE()</f>
        <v>0</v>
      </c>
      <c r="S1660" s="17">
        <f t="shared" si="25"/>
        <v>15.9</v>
      </c>
      <c r="T1660">
        <f>COUNTIF('👤 Customers'!$A:$A, B1660)</f>
        <v>1</v>
      </c>
      <c r="U1660">
        <f>COUNTIF('🚴 Riders'!A1659:A1719, C1660)</f>
        <v>0</v>
      </c>
      <c r="V1660">
        <f>COUNTIF('🏭 Facilities'!A1659:A1667, D1660)</f>
        <v>0</v>
      </c>
    </row>
    <row r="1661" spans="1:22">
      <c r="A1661" s="18" t="s">
        <v>3983</v>
      </c>
      <c r="B1661" s="18" t="s">
        <v>990</v>
      </c>
      <c r="C1661" s="18" t="s">
        <v>308</v>
      </c>
      <c r="D1661" s="18" t="s">
        <v>158</v>
      </c>
      <c r="E1661" s="26">
        <v>45137</v>
      </c>
      <c r="F1661" s="18" t="s">
        <v>3984</v>
      </c>
      <c r="G1661" s="18" t="s">
        <v>132</v>
      </c>
      <c r="H1661" s="18">
        <v>7.6</v>
      </c>
      <c r="I1661" s="18">
        <v>399</v>
      </c>
      <c r="J1661" s="18">
        <v>0</v>
      </c>
      <c r="K1661" s="18">
        <v>3032.4</v>
      </c>
      <c r="L1661" s="18" t="s">
        <v>126</v>
      </c>
      <c r="M1661" s="18" t="s">
        <v>133</v>
      </c>
      <c r="N1661" s="20"/>
      <c r="O1661" s="20"/>
      <c r="P1661" s="20"/>
      <c r="Q1661" s="18" t="b">
        <f>FALSE()</f>
        <v>0</v>
      </c>
      <c r="R1661" s="18" t="b">
        <f>FALSE()</f>
        <v>0</v>
      </c>
      <c r="S1661" s="19" t="str">
        <f t="shared" si="25"/>
        <v>N/A</v>
      </c>
      <c r="T1661">
        <f>COUNTIF('👤 Customers'!$A:$A, B1661)</f>
        <v>1</v>
      </c>
      <c r="U1661">
        <f>COUNTIF('🚴 Riders'!A1660:A1720, C1661)</f>
        <v>0</v>
      </c>
      <c r="V1661">
        <f>COUNTIF('🏭 Facilities'!A1660:A1668, D1661)</f>
        <v>0</v>
      </c>
    </row>
    <row r="1662" spans="1:22">
      <c r="A1662" s="16" t="s">
        <v>3985</v>
      </c>
      <c r="B1662" s="16" t="s">
        <v>1245</v>
      </c>
      <c r="C1662" s="16" t="s">
        <v>183</v>
      </c>
      <c r="D1662" s="16" t="s">
        <v>158</v>
      </c>
      <c r="E1662" s="25">
        <v>45156</v>
      </c>
      <c r="F1662" s="16" t="s">
        <v>3986</v>
      </c>
      <c r="G1662" s="16" t="s">
        <v>176</v>
      </c>
      <c r="H1662" s="16">
        <v>4.3</v>
      </c>
      <c r="I1662" s="16">
        <v>599</v>
      </c>
      <c r="J1662" s="16">
        <v>10</v>
      </c>
      <c r="K1662" s="16">
        <v>2318.13</v>
      </c>
      <c r="L1662" s="16" t="s">
        <v>126</v>
      </c>
      <c r="M1662" s="16" t="s">
        <v>133</v>
      </c>
      <c r="N1662" s="20"/>
      <c r="O1662" s="20"/>
      <c r="P1662" s="20"/>
      <c r="Q1662" s="16" t="b">
        <f>FALSE()</f>
        <v>0</v>
      </c>
      <c r="R1662" s="16" t="b">
        <f>FALSE()</f>
        <v>0</v>
      </c>
      <c r="S1662" s="17" t="str">
        <f t="shared" si="25"/>
        <v>N/A</v>
      </c>
      <c r="T1662">
        <f>COUNTIF('👤 Customers'!$A:$A, B1662)</f>
        <v>1</v>
      </c>
      <c r="U1662">
        <f>COUNTIF('🚴 Riders'!A1661:A1721, C1662)</f>
        <v>0</v>
      </c>
      <c r="V1662">
        <f>COUNTIF('🏭 Facilities'!A1661:A1669, D1662)</f>
        <v>0</v>
      </c>
    </row>
    <row r="1663" spans="1:22">
      <c r="A1663" s="18" t="s">
        <v>3987</v>
      </c>
      <c r="B1663" s="18" t="s">
        <v>1130</v>
      </c>
      <c r="C1663" s="18" t="s">
        <v>308</v>
      </c>
      <c r="D1663" s="18" t="s">
        <v>115</v>
      </c>
      <c r="E1663" s="26">
        <v>45315</v>
      </c>
      <c r="F1663" s="18" t="s">
        <v>3988</v>
      </c>
      <c r="G1663" s="18" t="s">
        <v>125</v>
      </c>
      <c r="H1663" s="18">
        <v>1.7</v>
      </c>
      <c r="I1663" s="18">
        <v>199</v>
      </c>
      <c r="J1663" s="18">
        <v>20</v>
      </c>
      <c r="K1663" s="18">
        <v>270.64</v>
      </c>
      <c r="L1663" s="18" t="s">
        <v>207</v>
      </c>
      <c r="M1663" s="18" t="s">
        <v>133</v>
      </c>
      <c r="N1663" s="20"/>
      <c r="O1663" s="20"/>
      <c r="P1663" s="20"/>
      <c r="Q1663" s="18" t="b">
        <f>FALSE()</f>
        <v>0</v>
      </c>
      <c r="R1663" s="18" t="b">
        <f>FALSE()</f>
        <v>0</v>
      </c>
      <c r="S1663" s="19" t="str">
        <f t="shared" si="25"/>
        <v>N/A</v>
      </c>
      <c r="T1663">
        <f>COUNTIF('👤 Customers'!$A:$A, B1663)</f>
        <v>1</v>
      </c>
      <c r="U1663">
        <f>COUNTIF('🚴 Riders'!A1662:A1722, C1663)</f>
        <v>0</v>
      </c>
      <c r="V1663">
        <f>COUNTIF('🏭 Facilities'!A1662:A1670, D1663)</f>
        <v>0</v>
      </c>
    </row>
    <row r="1664" spans="1:22">
      <c r="A1664" s="16" t="s">
        <v>3989</v>
      </c>
      <c r="B1664" s="16" t="s">
        <v>1155</v>
      </c>
      <c r="C1664" s="16" t="s">
        <v>136</v>
      </c>
      <c r="D1664" s="16" t="s">
        <v>184</v>
      </c>
      <c r="E1664" s="25">
        <v>45293</v>
      </c>
      <c r="F1664" s="16" t="s">
        <v>3990</v>
      </c>
      <c r="G1664" s="16" t="s">
        <v>132</v>
      </c>
      <c r="H1664" s="16">
        <v>6.4</v>
      </c>
      <c r="I1664" s="16">
        <v>399</v>
      </c>
      <c r="J1664" s="16">
        <v>10</v>
      </c>
      <c r="K1664" s="16">
        <v>2298.2399999999998</v>
      </c>
      <c r="L1664" s="16" t="s">
        <v>146</v>
      </c>
      <c r="M1664" s="16" t="s">
        <v>119</v>
      </c>
      <c r="N1664" s="27">
        <v>45293.309027777781</v>
      </c>
      <c r="O1664" s="27">
        <v>45294.128472222219</v>
      </c>
      <c r="P1664" s="16">
        <v>4.7</v>
      </c>
      <c r="Q1664" s="16" t="b">
        <f>FALSE()</f>
        <v>0</v>
      </c>
      <c r="R1664" s="16" t="b">
        <f>FALSE()</f>
        <v>0</v>
      </c>
      <c r="S1664" s="17">
        <f t="shared" si="25"/>
        <v>19.7</v>
      </c>
      <c r="T1664">
        <f>COUNTIF('👤 Customers'!$A:$A, B1664)</f>
        <v>1</v>
      </c>
      <c r="U1664">
        <f>COUNTIF('🚴 Riders'!A1663:A1723, C1664)</f>
        <v>0</v>
      </c>
      <c r="V1664">
        <f>COUNTIF('🏭 Facilities'!A1663:A1671, D1664)</f>
        <v>0</v>
      </c>
    </row>
    <row r="1665" spans="1:22">
      <c r="A1665" s="18" t="s">
        <v>3991</v>
      </c>
      <c r="B1665" s="18" t="s">
        <v>290</v>
      </c>
      <c r="C1665" s="18" t="s">
        <v>204</v>
      </c>
      <c r="D1665" s="18" t="s">
        <v>115</v>
      </c>
      <c r="E1665" s="26">
        <v>45088</v>
      </c>
      <c r="F1665" s="18" t="s">
        <v>3992</v>
      </c>
      <c r="G1665" s="18" t="s">
        <v>125</v>
      </c>
      <c r="H1665" s="18">
        <v>1.9</v>
      </c>
      <c r="I1665" s="18">
        <v>199</v>
      </c>
      <c r="J1665" s="18">
        <v>0</v>
      </c>
      <c r="K1665" s="18">
        <v>378.1</v>
      </c>
      <c r="L1665" s="18" t="s">
        <v>139</v>
      </c>
      <c r="M1665" s="18" t="s">
        <v>119</v>
      </c>
      <c r="N1665" s="28">
        <v>45088.64166666667</v>
      </c>
      <c r="O1665" s="28">
        <v>45089.145138888889</v>
      </c>
      <c r="P1665" s="18">
        <v>3</v>
      </c>
      <c r="Q1665" s="18" t="b">
        <f>FALSE()</f>
        <v>0</v>
      </c>
      <c r="R1665" s="18" t="b">
        <f>FALSE()</f>
        <v>0</v>
      </c>
      <c r="S1665" s="19">
        <f t="shared" si="25"/>
        <v>12.1</v>
      </c>
      <c r="T1665">
        <f>COUNTIF('👤 Customers'!$A:$A, B1665)</f>
        <v>1</v>
      </c>
      <c r="U1665">
        <f>COUNTIF('🚴 Riders'!A1664:A1724, C1665)</f>
        <v>0</v>
      </c>
      <c r="V1665">
        <f>COUNTIF('🏭 Facilities'!A1664:A1672, D1665)</f>
        <v>0</v>
      </c>
    </row>
    <row r="1666" spans="1:22">
      <c r="A1666" s="16" t="s">
        <v>3993</v>
      </c>
      <c r="B1666" s="16" t="s">
        <v>1108</v>
      </c>
      <c r="C1666" s="16" t="s">
        <v>170</v>
      </c>
      <c r="D1666" s="16" t="s">
        <v>130</v>
      </c>
      <c r="E1666" s="25">
        <v>45508</v>
      </c>
      <c r="F1666" s="16" t="s">
        <v>3994</v>
      </c>
      <c r="G1666" s="16" t="s">
        <v>176</v>
      </c>
      <c r="H1666" s="16">
        <v>7.9</v>
      </c>
      <c r="I1666" s="16">
        <v>599</v>
      </c>
      <c r="J1666" s="16">
        <v>10</v>
      </c>
      <c r="K1666" s="16">
        <v>4258.8900000000003</v>
      </c>
      <c r="L1666" s="16" t="s">
        <v>146</v>
      </c>
      <c r="M1666" s="16" t="s">
        <v>119</v>
      </c>
      <c r="N1666" s="27">
        <v>45508.648611111108</v>
      </c>
      <c r="O1666" s="27">
        <v>45509.225694444445</v>
      </c>
      <c r="P1666" s="16">
        <v>2.8</v>
      </c>
      <c r="Q1666" s="16" t="b">
        <f>TRUE()</f>
        <v>1</v>
      </c>
      <c r="R1666" s="16" t="b">
        <f>FALSE()</f>
        <v>0</v>
      </c>
      <c r="S1666" s="17">
        <f t="shared" ref="S1666:S1729" si="26">IF(OR(N1666="",O1666=""),"N/A",ROUND(((O1666-N1666)*24),1))</f>
        <v>13.9</v>
      </c>
      <c r="T1666">
        <f>COUNTIF('👤 Customers'!$A:$A, B1666)</f>
        <v>1</v>
      </c>
      <c r="U1666">
        <f>COUNTIF('🚴 Riders'!A1665:A1725, C1666)</f>
        <v>0</v>
      </c>
      <c r="V1666">
        <f>COUNTIF('🏭 Facilities'!A1665:A1673, D1666)</f>
        <v>0</v>
      </c>
    </row>
    <row r="1667" spans="1:22">
      <c r="A1667" s="18" t="s">
        <v>3995</v>
      </c>
      <c r="B1667" s="18" t="s">
        <v>2614</v>
      </c>
      <c r="C1667" s="18" t="s">
        <v>300</v>
      </c>
      <c r="D1667" s="18" t="s">
        <v>197</v>
      </c>
      <c r="E1667" s="26">
        <v>45595</v>
      </c>
      <c r="F1667" s="18" t="s">
        <v>3996</v>
      </c>
      <c r="G1667" s="18" t="s">
        <v>176</v>
      </c>
      <c r="H1667" s="18">
        <v>5.4</v>
      </c>
      <c r="I1667" s="18">
        <v>599</v>
      </c>
      <c r="J1667" s="18">
        <v>0</v>
      </c>
      <c r="K1667" s="18">
        <v>3234.6</v>
      </c>
      <c r="L1667" s="18" t="s">
        <v>207</v>
      </c>
      <c r="M1667" s="18" t="s">
        <v>119</v>
      </c>
      <c r="N1667" s="28">
        <v>45595.506249999999</v>
      </c>
      <c r="O1667" s="28">
        <v>45596.269444444442</v>
      </c>
      <c r="P1667" s="18">
        <v>4.0999999999999996</v>
      </c>
      <c r="Q1667" s="18" t="b">
        <f>FALSE()</f>
        <v>0</v>
      </c>
      <c r="R1667" s="18" t="b">
        <f>FALSE()</f>
        <v>0</v>
      </c>
      <c r="S1667" s="19">
        <f t="shared" si="26"/>
        <v>18.3</v>
      </c>
      <c r="T1667">
        <f>COUNTIF('👤 Customers'!$A:$A, B1667)</f>
        <v>1</v>
      </c>
      <c r="U1667">
        <f>COUNTIF('🚴 Riders'!A1666:A1726, C1667)</f>
        <v>0</v>
      </c>
      <c r="V1667">
        <f>COUNTIF('🏭 Facilities'!A1666:A1674, D1667)</f>
        <v>0</v>
      </c>
    </row>
    <row r="1668" spans="1:22">
      <c r="A1668" s="16" t="s">
        <v>3997</v>
      </c>
      <c r="B1668" s="16" t="s">
        <v>169</v>
      </c>
      <c r="C1668" s="16" t="s">
        <v>192</v>
      </c>
      <c r="D1668" s="16" t="s">
        <v>130</v>
      </c>
      <c r="E1668" s="25">
        <v>45153</v>
      </c>
      <c r="F1668" s="16" t="s">
        <v>3998</v>
      </c>
      <c r="G1668" s="16" t="s">
        <v>176</v>
      </c>
      <c r="H1668" s="16">
        <v>4.2</v>
      </c>
      <c r="I1668" s="16">
        <v>599</v>
      </c>
      <c r="J1668" s="16">
        <v>10</v>
      </c>
      <c r="K1668" s="16">
        <v>2264.2199999999998</v>
      </c>
      <c r="L1668" s="16" t="s">
        <v>118</v>
      </c>
      <c r="M1668" s="16" t="s">
        <v>119</v>
      </c>
      <c r="N1668" s="27">
        <v>45154.070138888892</v>
      </c>
      <c r="O1668" s="27">
        <v>45154.4375</v>
      </c>
      <c r="P1668" s="16">
        <v>3.1</v>
      </c>
      <c r="Q1668" s="16" t="b">
        <f>TRUE()</f>
        <v>1</v>
      </c>
      <c r="R1668" s="16" t="b">
        <f>TRUE()</f>
        <v>1</v>
      </c>
      <c r="S1668" s="17">
        <f t="shared" si="26"/>
        <v>8.8000000000000007</v>
      </c>
      <c r="T1668">
        <f>COUNTIF('👤 Customers'!$A:$A, B1668)</f>
        <v>1</v>
      </c>
      <c r="U1668">
        <f>COUNTIF('🚴 Riders'!A1667:A1727, C1668)</f>
        <v>0</v>
      </c>
      <c r="V1668">
        <f>COUNTIF('🏭 Facilities'!A1667:A1675, D1668)</f>
        <v>0</v>
      </c>
    </row>
    <row r="1669" spans="1:22">
      <c r="A1669" s="18" t="s">
        <v>3999</v>
      </c>
      <c r="B1669" s="18" t="s">
        <v>814</v>
      </c>
      <c r="C1669" s="18" t="s">
        <v>287</v>
      </c>
      <c r="D1669" s="18" t="s">
        <v>123</v>
      </c>
      <c r="E1669" s="26">
        <v>45229</v>
      </c>
      <c r="F1669" s="18" t="s">
        <v>4000</v>
      </c>
      <c r="G1669" s="18" t="s">
        <v>125</v>
      </c>
      <c r="H1669" s="18">
        <v>2.2000000000000002</v>
      </c>
      <c r="I1669" s="18">
        <v>199</v>
      </c>
      <c r="J1669" s="18">
        <v>10</v>
      </c>
      <c r="K1669" s="18">
        <v>394.02</v>
      </c>
      <c r="L1669" s="18" t="s">
        <v>146</v>
      </c>
      <c r="M1669" s="18" t="s">
        <v>133</v>
      </c>
      <c r="N1669" s="20"/>
      <c r="O1669" s="20"/>
      <c r="P1669" s="20"/>
      <c r="Q1669" s="18" t="b">
        <f>TRUE()</f>
        <v>1</v>
      </c>
      <c r="R1669" s="18" t="b">
        <f>FALSE()</f>
        <v>0</v>
      </c>
      <c r="S1669" s="19" t="str">
        <f t="shared" si="26"/>
        <v>N/A</v>
      </c>
      <c r="T1669">
        <f>COUNTIF('👤 Customers'!$A:$A, B1669)</f>
        <v>1</v>
      </c>
      <c r="U1669">
        <f>COUNTIF('🚴 Riders'!A1668:A1728, C1669)</f>
        <v>0</v>
      </c>
      <c r="V1669">
        <f>COUNTIF('🏭 Facilities'!A1668:A1676, D1669)</f>
        <v>0</v>
      </c>
    </row>
    <row r="1670" spans="1:22">
      <c r="A1670" s="16" t="s">
        <v>4001</v>
      </c>
      <c r="B1670" s="16" t="s">
        <v>1245</v>
      </c>
      <c r="C1670" s="16" t="s">
        <v>326</v>
      </c>
      <c r="D1670" s="16" t="s">
        <v>130</v>
      </c>
      <c r="E1670" s="25">
        <v>45078</v>
      </c>
      <c r="F1670" s="16" t="s">
        <v>4002</v>
      </c>
      <c r="G1670" s="16" t="s">
        <v>132</v>
      </c>
      <c r="H1670" s="16">
        <v>2.6</v>
      </c>
      <c r="I1670" s="16">
        <v>399</v>
      </c>
      <c r="J1670" s="16">
        <v>30</v>
      </c>
      <c r="K1670" s="16">
        <v>726.18</v>
      </c>
      <c r="L1670" s="16" t="s">
        <v>118</v>
      </c>
      <c r="M1670" s="16" t="s">
        <v>119</v>
      </c>
      <c r="N1670" s="27">
        <v>45078.308333333334</v>
      </c>
      <c r="O1670" s="27">
        <v>45079.168749999997</v>
      </c>
      <c r="P1670" s="16">
        <v>3.8</v>
      </c>
      <c r="Q1670" s="16" t="b">
        <f>TRUE()</f>
        <v>1</v>
      </c>
      <c r="R1670" s="16" t="b">
        <f>TRUE()</f>
        <v>1</v>
      </c>
      <c r="S1670" s="17">
        <f t="shared" si="26"/>
        <v>20.6</v>
      </c>
      <c r="T1670">
        <f>COUNTIF('👤 Customers'!$A:$A, B1670)</f>
        <v>1</v>
      </c>
      <c r="U1670">
        <f>COUNTIF('🚴 Riders'!A1669:A1729, C1670)</f>
        <v>0</v>
      </c>
      <c r="V1670">
        <f>COUNTIF('🏭 Facilities'!A1669:A1677, D1670)</f>
        <v>0</v>
      </c>
    </row>
    <row r="1671" spans="1:22">
      <c r="A1671" s="18" t="s">
        <v>4003</v>
      </c>
      <c r="B1671" s="18" t="s">
        <v>1548</v>
      </c>
      <c r="C1671" s="18" t="s">
        <v>362</v>
      </c>
      <c r="D1671" s="18" t="s">
        <v>184</v>
      </c>
      <c r="E1671" s="26">
        <v>45364</v>
      </c>
      <c r="F1671" s="18" t="s">
        <v>4004</v>
      </c>
      <c r="G1671" s="18" t="s">
        <v>176</v>
      </c>
      <c r="H1671" s="18">
        <v>6.6</v>
      </c>
      <c r="I1671" s="18">
        <v>599</v>
      </c>
      <c r="J1671" s="18">
        <v>0</v>
      </c>
      <c r="K1671" s="18">
        <v>3953.4</v>
      </c>
      <c r="L1671" s="18" t="s">
        <v>126</v>
      </c>
      <c r="M1671" s="18" t="s">
        <v>140</v>
      </c>
      <c r="N1671" s="28">
        <v>45364.597916666666</v>
      </c>
      <c r="O1671" s="28">
        <v>45364.979166666664</v>
      </c>
      <c r="P1671" s="20"/>
      <c r="Q1671" s="18" t="b">
        <f>FALSE()</f>
        <v>0</v>
      </c>
      <c r="R1671" s="18" t="b">
        <f>FALSE()</f>
        <v>0</v>
      </c>
      <c r="S1671" s="19">
        <f t="shared" si="26"/>
        <v>9.1</v>
      </c>
      <c r="T1671">
        <f>COUNTIF('👤 Customers'!$A:$A, B1671)</f>
        <v>1</v>
      </c>
      <c r="U1671">
        <f>COUNTIF('🚴 Riders'!A1670:A1730, C1671)</f>
        <v>0</v>
      </c>
      <c r="V1671">
        <f>COUNTIF('🏭 Facilities'!A1670:A1678, D1671)</f>
        <v>0</v>
      </c>
    </row>
    <row r="1672" spans="1:22">
      <c r="A1672" s="16" t="s">
        <v>4005</v>
      </c>
      <c r="B1672" s="16" t="s">
        <v>2763</v>
      </c>
      <c r="C1672" s="16" t="s">
        <v>308</v>
      </c>
      <c r="D1672" s="16" t="s">
        <v>184</v>
      </c>
      <c r="E1672" s="25">
        <v>44997</v>
      </c>
      <c r="F1672" s="16" t="s">
        <v>4006</v>
      </c>
      <c r="G1672" s="16" t="s">
        <v>125</v>
      </c>
      <c r="H1672" s="16">
        <v>3.8</v>
      </c>
      <c r="I1672" s="16">
        <v>199</v>
      </c>
      <c r="J1672" s="16">
        <v>30</v>
      </c>
      <c r="K1672" s="16">
        <v>529.34</v>
      </c>
      <c r="L1672" s="16" t="s">
        <v>118</v>
      </c>
      <c r="M1672" s="16" t="s">
        <v>133</v>
      </c>
      <c r="N1672" s="20"/>
      <c r="O1672" s="20"/>
      <c r="P1672" s="20"/>
      <c r="Q1672" s="16" t="b">
        <f>FALSE()</f>
        <v>0</v>
      </c>
      <c r="R1672" s="16" t="b">
        <f>FALSE()</f>
        <v>0</v>
      </c>
      <c r="S1672" s="17" t="str">
        <f t="shared" si="26"/>
        <v>N/A</v>
      </c>
      <c r="T1672">
        <f>COUNTIF('👤 Customers'!$A:$A, B1672)</f>
        <v>1</v>
      </c>
      <c r="U1672">
        <f>COUNTIF('🚴 Riders'!A1671:A1731, C1672)</f>
        <v>0</v>
      </c>
      <c r="V1672">
        <f>COUNTIF('🏭 Facilities'!A1671:A1679, D1672)</f>
        <v>0</v>
      </c>
    </row>
    <row r="1673" spans="1:22">
      <c r="A1673" s="18" t="s">
        <v>4007</v>
      </c>
      <c r="B1673" s="18" t="s">
        <v>3164</v>
      </c>
      <c r="C1673" s="18" t="s">
        <v>122</v>
      </c>
      <c r="D1673" s="18" t="s">
        <v>197</v>
      </c>
      <c r="E1673" s="26">
        <v>45621</v>
      </c>
      <c r="F1673" s="18" t="s">
        <v>4008</v>
      </c>
      <c r="G1673" s="18" t="s">
        <v>125</v>
      </c>
      <c r="H1673" s="18">
        <v>2.1</v>
      </c>
      <c r="I1673" s="18">
        <v>199</v>
      </c>
      <c r="J1673" s="18">
        <v>0</v>
      </c>
      <c r="K1673" s="18">
        <v>417.9</v>
      </c>
      <c r="L1673" s="18" t="s">
        <v>146</v>
      </c>
      <c r="M1673" s="18" t="s">
        <v>119</v>
      </c>
      <c r="N1673" s="28">
        <v>45621.249305555553</v>
      </c>
      <c r="O1673" s="28">
        <v>45622.269444444442</v>
      </c>
      <c r="P1673" s="18">
        <v>4</v>
      </c>
      <c r="Q1673" s="18" t="b">
        <f>FALSE()</f>
        <v>0</v>
      </c>
      <c r="R1673" s="18" t="b">
        <f>TRUE()</f>
        <v>1</v>
      </c>
      <c r="S1673" s="19">
        <f t="shared" si="26"/>
        <v>24.5</v>
      </c>
      <c r="T1673">
        <f>COUNTIF('👤 Customers'!$A:$A, B1673)</f>
        <v>1</v>
      </c>
      <c r="U1673">
        <f>COUNTIF('🚴 Riders'!A1672:A1732, C1673)</f>
        <v>0</v>
      </c>
      <c r="V1673">
        <f>COUNTIF('🏭 Facilities'!A1672:A1680, D1673)</f>
        <v>0</v>
      </c>
    </row>
    <row r="1674" spans="1:22">
      <c r="A1674" s="16" t="s">
        <v>4009</v>
      </c>
      <c r="B1674" s="16" t="s">
        <v>1317</v>
      </c>
      <c r="C1674" s="16" t="s">
        <v>362</v>
      </c>
      <c r="D1674" s="16" t="s">
        <v>205</v>
      </c>
      <c r="E1674" s="25">
        <v>45583</v>
      </c>
      <c r="F1674" s="16" t="s">
        <v>4010</v>
      </c>
      <c r="G1674" s="16" t="s">
        <v>132</v>
      </c>
      <c r="H1674" s="16">
        <v>2.8</v>
      </c>
      <c r="I1674" s="16">
        <v>399</v>
      </c>
      <c r="J1674" s="16">
        <v>20</v>
      </c>
      <c r="K1674" s="16">
        <v>893.76</v>
      </c>
      <c r="L1674" s="16" t="s">
        <v>207</v>
      </c>
      <c r="M1674" s="16" t="s">
        <v>119</v>
      </c>
      <c r="N1674" s="27">
        <v>45583.886111111111</v>
      </c>
      <c r="O1674" s="27">
        <v>45584.386805555558</v>
      </c>
      <c r="P1674" s="16">
        <v>2.7</v>
      </c>
      <c r="Q1674" s="16" t="b">
        <f>TRUE()</f>
        <v>1</v>
      </c>
      <c r="R1674" s="16" t="b">
        <f>FALSE()</f>
        <v>0</v>
      </c>
      <c r="S1674" s="17">
        <f t="shared" si="26"/>
        <v>12</v>
      </c>
      <c r="T1674">
        <f>COUNTIF('👤 Customers'!$A:$A, B1674)</f>
        <v>1</v>
      </c>
      <c r="U1674">
        <f>COUNTIF('🚴 Riders'!A1673:A1733, C1674)</f>
        <v>0</v>
      </c>
      <c r="V1674">
        <f>COUNTIF('🏭 Facilities'!A1673:A1681, D1674)</f>
        <v>0</v>
      </c>
    </row>
    <row r="1675" spans="1:22">
      <c r="A1675" s="18" t="s">
        <v>4011</v>
      </c>
      <c r="B1675" s="18" t="s">
        <v>774</v>
      </c>
      <c r="C1675" s="18" t="s">
        <v>114</v>
      </c>
      <c r="D1675" s="18" t="s">
        <v>115</v>
      </c>
      <c r="E1675" s="26">
        <v>45448</v>
      </c>
      <c r="F1675" s="18" t="s">
        <v>4012</v>
      </c>
      <c r="G1675" s="18" t="s">
        <v>125</v>
      </c>
      <c r="H1675" s="18">
        <v>4.4000000000000004</v>
      </c>
      <c r="I1675" s="18">
        <v>199</v>
      </c>
      <c r="J1675" s="18">
        <v>20</v>
      </c>
      <c r="K1675" s="18">
        <v>700.48</v>
      </c>
      <c r="L1675" s="18" t="s">
        <v>126</v>
      </c>
      <c r="M1675" s="18" t="s">
        <v>133</v>
      </c>
      <c r="N1675" s="20"/>
      <c r="O1675" s="20"/>
      <c r="P1675" s="20"/>
      <c r="Q1675" s="18" t="b">
        <f>FALSE()</f>
        <v>0</v>
      </c>
      <c r="R1675" s="18" t="b">
        <f>FALSE()</f>
        <v>0</v>
      </c>
      <c r="S1675" s="19" t="str">
        <f t="shared" si="26"/>
        <v>N/A</v>
      </c>
      <c r="T1675">
        <f>COUNTIF('👤 Customers'!$A:$A, B1675)</f>
        <v>1</v>
      </c>
      <c r="U1675">
        <f>COUNTIF('🚴 Riders'!A1674:A1734, C1675)</f>
        <v>0</v>
      </c>
      <c r="V1675">
        <f>COUNTIF('🏭 Facilities'!A1674:A1682, D1675)</f>
        <v>0</v>
      </c>
    </row>
    <row r="1676" spans="1:22">
      <c r="A1676" s="16" t="s">
        <v>4013</v>
      </c>
      <c r="B1676" s="16" t="s">
        <v>646</v>
      </c>
      <c r="C1676" s="16" t="s">
        <v>308</v>
      </c>
      <c r="D1676" s="16" t="s">
        <v>137</v>
      </c>
      <c r="E1676" s="25">
        <v>45541</v>
      </c>
      <c r="F1676" s="16" t="s">
        <v>4014</v>
      </c>
      <c r="G1676" s="16" t="s">
        <v>145</v>
      </c>
      <c r="H1676" s="16">
        <v>1.8</v>
      </c>
      <c r="I1676" s="16">
        <v>299</v>
      </c>
      <c r="J1676" s="16">
        <v>20</v>
      </c>
      <c r="K1676" s="16">
        <v>430.56</v>
      </c>
      <c r="L1676" s="16" t="s">
        <v>118</v>
      </c>
      <c r="M1676" s="16" t="s">
        <v>140</v>
      </c>
      <c r="N1676" s="27">
        <v>45541.20208333333</v>
      </c>
      <c r="O1676" s="27">
        <v>45542.081944444442</v>
      </c>
      <c r="P1676" s="20"/>
      <c r="Q1676" s="16" t="b">
        <f>FALSE()</f>
        <v>0</v>
      </c>
      <c r="R1676" s="16" t="b">
        <f>FALSE()</f>
        <v>0</v>
      </c>
      <c r="S1676" s="17">
        <f t="shared" si="26"/>
        <v>21.1</v>
      </c>
      <c r="T1676">
        <f>COUNTIF('👤 Customers'!$A:$A, B1676)</f>
        <v>1</v>
      </c>
      <c r="U1676">
        <f>COUNTIF('🚴 Riders'!A1675:A1735, C1676)</f>
        <v>0</v>
      </c>
      <c r="V1676">
        <f>COUNTIF('🏭 Facilities'!A1675:A1683, D1676)</f>
        <v>0</v>
      </c>
    </row>
    <row r="1677" spans="1:22">
      <c r="A1677" s="18" t="s">
        <v>4015</v>
      </c>
      <c r="B1677" s="18" t="s">
        <v>782</v>
      </c>
      <c r="C1677" s="18" t="s">
        <v>251</v>
      </c>
      <c r="D1677" s="18" t="s">
        <v>123</v>
      </c>
      <c r="E1677" s="26">
        <v>44930</v>
      </c>
      <c r="F1677" s="18" t="s">
        <v>4016</v>
      </c>
      <c r="G1677" s="18" t="s">
        <v>132</v>
      </c>
      <c r="H1677" s="18">
        <v>7.8</v>
      </c>
      <c r="I1677" s="18">
        <v>399</v>
      </c>
      <c r="J1677" s="18">
        <v>0</v>
      </c>
      <c r="K1677" s="18">
        <v>3112.2</v>
      </c>
      <c r="L1677" s="18" t="s">
        <v>118</v>
      </c>
      <c r="M1677" s="18" t="s">
        <v>140</v>
      </c>
      <c r="N1677" s="28">
        <v>44930.379861111112</v>
      </c>
      <c r="O1677" s="28">
        <v>44930.751388888886</v>
      </c>
      <c r="P1677" s="20"/>
      <c r="Q1677" s="18" t="b">
        <f>TRUE()</f>
        <v>1</v>
      </c>
      <c r="R1677" s="18" t="b">
        <f>FALSE()</f>
        <v>0</v>
      </c>
      <c r="S1677" s="19">
        <f t="shared" si="26"/>
        <v>8.9</v>
      </c>
      <c r="T1677">
        <f>COUNTIF('👤 Customers'!$A:$A, B1677)</f>
        <v>1</v>
      </c>
      <c r="U1677">
        <f>COUNTIF('🚴 Riders'!A1676:A1736, C1677)</f>
        <v>0</v>
      </c>
      <c r="V1677">
        <f>COUNTIF('🏭 Facilities'!A1676:A1684, D1677)</f>
        <v>0</v>
      </c>
    </row>
    <row r="1678" spans="1:22">
      <c r="A1678" s="16" t="s">
        <v>4017</v>
      </c>
      <c r="B1678" s="16" t="s">
        <v>464</v>
      </c>
      <c r="C1678" s="16" t="s">
        <v>1092</v>
      </c>
      <c r="D1678" s="16" t="s">
        <v>158</v>
      </c>
      <c r="E1678" s="25">
        <v>45468</v>
      </c>
      <c r="F1678" s="16" t="s">
        <v>4018</v>
      </c>
      <c r="G1678" s="16" t="s">
        <v>125</v>
      </c>
      <c r="H1678" s="16">
        <v>6.4</v>
      </c>
      <c r="I1678" s="16">
        <v>199</v>
      </c>
      <c r="J1678" s="16">
        <v>10</v>
      </c>
      <c r="K1678" s="16">
        <v>1146.24</v>
      </c>
      <c r="L1678" s="16" t="s">
        <v>207</v>
      </c>
      <c r="M1678" s="16" t="s">
        <v>119</v>
      </c>
      <c r="N1678" s="27">
        <v>45468.621527777781</v>
      </c>
      <c r="O1678" s="27">
        <v>45469.336805555555</v>
      </c>
      <c r="P1678" s="16">
        <v>4</v>
      </c>
      <c r="Q1678" s="16" t="b">
        <f>FALSE()</f>
        <v>0</v>
      </c>
      <c r="R1678" s="16" t="b">
        <f>FALSE()</f>
        <v>0</v>
      </c>
      <c r="S1678" s="17">
        <f t="shared" si="26"/>
        <v>17.2</v>
      </c>
      <c r="T1678">
        <f>COUNTIF('👤 Customers'!$A:$A, B1678)</f>
        <v>1</v>
      </c>
      <c r="U1678">
        <f>COUNTIF('🚴 Riders'!A1677:A1737, C1678)</f>
        <v>0</v>
      </c>
      <c r="V1678">
        <f>COUNTIF('🏭 Facilities'!A1677:A1685, D1678)</f>
        <v>0</v>
      </c>
    </row>
    <row r="1679" spans="1:22">
      <c r="A1679" s="18" t="s">
        <v>4019</v>
      </c>
      <c r="B1679" s="18" t="s">
        <v>290</v>
      </c>
      <c r="C1679" s="18" t="s">
        <v>483</v>
      </c>
      <c r="D1679" s="18" t="s">
        <v>123</v>
      </c>
      <c r="E1679" s="26">
        <v>44988</v>
      </c>
      <c r="F1679" s="18" t="s">
        <v>4020</v>
      </c>
      <c r="G1679" s="18" t="s">
        <v>125</v>
      </c>
      <c r="H1679" s="18">
        <v>7.4</v>
      </c>
      <c r="I1679" s="18">
        <v>199</v>
      </c>
      <c r="J1679" s="18">
        <v>0</v>
      </c>
      <c r="K1679" s="18">
        <v>1472.6</v>
      </c>
      <c r="L1679" s="18" t="s">
        <v>207</v>
      </c>
      <c r="M1679" s="18" t="s">
        <v>133</v>
      </c>
      <c r="N1679" s="20"/>
      <c r="O1679" s="20"/>
      <c r="P1679" s="20"/>
      <c r="Q1679" s="18" t="b">
        <f>FALSE()</f>
        <v>0</v>
      </c>
      <c r="R1679" s="18" t="b">
        <f>TRUE()</f>
        <v>1</v>
      </c>
      <c r="S1679" s="19" t="str">
        <f t="shared" si="26"/>
        <v>N/A</v>
      </c>
      <c r="T1679">
        <f>COUNTIF('👤 Customers'!$A:$A, B1679)</f>
        <v>1</v>
      </c>
      <c r="U1679">
        <f>COUNTIF('🚴 Riders'!A1678:A1738, C1679)</f>
        <v>0</v>
      </c>
      <c r="V1679">
        <f>COUNTIF('🏭 Facilities'!A1678:A1686, D1679)</f>
        <v>0</v>
      </c>
    </row>
    <row r="1680" spans="1:22">
      <c r="A1680" s="16" t="s">
        <v>4021</v>
      </c>
      <c r="B1680" s="16" t="s">
        <v>2220</v>
      </c>
      <c r="C1680" s="16" t="s">
        <v>287</v>
      </c>
      <c r="D1680" s="16" t="s">
        <v>158</v>
      </c>
      <c r="E1680" s="25">
        <v>45197</v>
      </c>
      <c r="F1680" s="16" t="s">
        <v>4022</v>
      </c>
      <c r="G1680" s="16" t="s">
        <v>117</v>
      </c>
      <c r="H1680" s="16">
        <v>7.1</v>
      </c>
      <c r="I1680" s="16">
        <v>149</v>
      </c>
      <c r="J1680" s="16">
        <v>0</v>
      </c>
      <c r="K1680" s="16">
        <v>1057.9000000000001</v>
      </c>
      <c r="L1680" s="16" t="s">
        <v>207</v>
      </c>
      <c r="M1680" s="16" t="s">
        <v>119</v>
      </c>
      <c r="N1680" s="27">
        <v>45197.604861111111</v>
      </c>
      <c r="O1680" s="27">
        <v>45198.175694444442</v>
      </c>
      <c r="P1680" s="16">
        <v>3.5</v>
      </c>
      <c r="Q1680" s="16" t="b">
        <f>FALSE()</f>
        <v>0</v>
      </c>
      <c r="R1680" s="16" t="b">
        <f>FALSE()</f>
        <v>0</v>
      </c>
      <c r="S1680" s="17">
        <f t="shared" si="26"/>
        <v>13.7</v>
      </c>
      <c r="T1680">
        <f>COUNTIF('👤 Customers'!$A:$A, B1680)</f>
        <v>1</v>
      </c>
      <c r="U1680">
        <f>COUNTIF('🚴 Riders'!A1679:A1739, C1680)</f>
        <v>0</v>
      </c>
      <c r="V1680">
        <f>COUNTIF('🏭 Facilities'!A1679:A1687, D1680)</f>
        <v>0</v>
      </c>
    </row>
    <row r="1681" spans="1:22">
      <c r="A1681" s="18" t="s">
        <v>4023</v>
      </c>
      <c r="B1681" s="18" t="s">
        <v>1361</v>
      </c>
      <c r="C1681" s="18" t="s">
        <v>461</v>
      </c>
      <c r="D1681" s="18" t="s">
        <v>205</v>
      </c>
      <c r="E1681" s="26">
        <v>45194</v>
      </c>
      <c r="F1681" s="18" t="s">
        <v>4024</v>
      </c>
      <c r="G1681" s="18" t="s">
        <v>117</v>
      </c>
      <c r="H1681" s="18">
        <v>2.2000000000000002</v>
      </c>
      <c r="I1681" s="18">
        <v>149</v>
      </c>
      <c r="J1681" s="18">
        <v>0</v>
      </c>
      <c r="K1681" s="18">
        <v>327.8</v>
      </c>
      <c r="L1681" s="18" t="s">
        <v>118</v>
      </c>
      <c r="M1681" s="18" t="s">
        <v>140</v>
      </c>
      <c r="N1681" s="28">
        <v>45194.591666666667</v>
      </c>
      <c r="O1681" s="28">
        <v>45195.123611111114</v>
      </c>
      <c r="P1681" s="20"/>
      <c r="Q1681" s="18" t="b">
        <f>FALSE()</f>
        <v>0</v>
      </c>
      <c r="R1681" s="18" t="b">
        <f>FALSE()</f>
        <v>0</v>
      </c>
      <c r="S1681" s="19">
        <f t="shared" si="26"/>
        <v>12.8</v>
      </c>
      <c r="T1681">
        <f>COUNTIF('👤 Customers'!$A:$A, B1681)</f>
        <v>1</v>
      </c>
      <c r="U1681">
        <f>COUNTIF('🚴 Riders'!A1680:A1740, C1681)</f>
        <v>0</v>
      </c>
      <c r="V1681">
        <f>COUNTIF('🏭 Facilities'!A1680:A1688, D1681)</f>
        <v>0</v>
      </c>
    </row>
    <row r="1682" spans="1:22">
      <c r="A1682" s="16" t="s">
        <v>4025</v>
      </c>
      <c r="B1682" s="16" t="s">
        <v>209</v>
      </c>
      <c r="C1682" s="16" t="s">
        <v>188</v>
      </c>
      <c r="D1682" s="16" t="s">
        <v>123</v>
      </c>
      <c r="E1682" s="25">
        <v>45652</v>
      </c>
      <c r="F1682" s="16" t="s">
        <v>4026</v>
      </c>
      <c r="G1682" s="16" t="s">
        <v>145</v>
      </c>
      <c r="H1682" s="16">
        <v>5.0999999999999996</v>
      </c>
      <c r="I1682" s="16">
        <v>299</v>
      </c>
      <c r="J1682" s="16">
        <v>0</v>
      </c>
      <c r="K1682" s="16">
        <v>1524.9</v>
      </c>
      <c r="L1682" s="16" t="s">
        <v>146</v>
      </c>
      <c r="M1682" s="16" t="s">
        <v>133</v>
      </c>
      <c r="N1682" s="20"/>
      <c r="O1682" s="20"/>
      <c r="P1682" s="20"/>
      <c r="Q1682" s="16" t="b">
        <f>FALSE()</f>
        <v>0</v>
      </c>
      <c r="R1682" s="16" t="b">
        <f>FALSE()</f>
        <v>0</v>
      </c>
      <c r="S1682" s="17" t="str">
        <f t="shared" si="26"/>
        <v>N/A</v>
      </c>
      <c r="T1682">
        <f>COUNTIF('👤 Customers'!$A:$A, B1682)</f>
        <v>1</v>
      </c>
      <c r="U1682">
        <f>COUNTIF('🚴 Riders'!A1681:A1741, C1682)</f>
        <v>0</v>
      </c>
      <c r="V1682">
        <f>COUNTIF('🏭 Facilities'!A1681:A1689, D1682)</f>
        <v>0</v>
      </c>
    </row>
    <row r="1683" spans="1:22">
      <c r="A1683" s="18" t="s">
        <v>4027</v>
      </c>
      <c r="B1683" s="18" t="s">
        <v>1663</v>
      </c>
      <c r="C1683" s="18" t="s">
        <v>322</v>
      </c>
      <c r="D1683" s="18" t="s">
        <v>158</v>
      </c>
      <c r="E1683" s="26">
        <v>45098</v>
      </c>
      <c r="F1683" s="18" t="s">
        <v>4028</v>
      </c>
      <c r="G1683" s="18" t="s">
        <v>125</v>
      </c>
      <c r="H1683" s="18">
        <v>1.2</v>
      </c>
      <c r="I1683" s="18">
        <v>199</v>
      </c>
      <c r="J1683" s="18">
        <v>0</v>
      </c>
      <c r="K1683" s="18">
        <v>238.8</v>
      </c>
      <c r="L1683" s="18" t="s">
        <v>207</v>
      </c>
      <c r="M1683" s="18" t="s">
        <v>140</v>
      </c>
      <c r="N1683" s="28">
        <v>45098.705555555556</v>
      </c>
      <c r="O1683" s="28">
        <v>45099.290277777778</v>
      </c>
      <c r="P1683" s="20"/>
      <c r="Q1683" s="18" t="b">
        <f>FALSE()</f>
        <v>0</v>
      </c>
      <c r="R1683" s="18" t="b">
        <f>FALSE()</f>
        <v>0</v>
      </c>
      <c r="S1683" s="19">
        <f t="shared" si="26"/>
        <v>14</v>
      </c>
      <c r="T1683">
        <f>COUNTIF('👤 Customers'!$A:$A, B1683)</f>
        <v>1</v>
      </c>
      <c r="U1683">
        <f>COUNTIF('🚴 Riders'!A1682:A1742, C1683)</f>
        <v>0</v>
      </c>
      <c r="V1683">
        <f>COUNTIF('🏭 Facilities'!A1682:A1690, D1683)</f>
        <v>0</v>
      </c>
    </row>
    <row r="1684" spans="1:22">
      <c r="A1684" s="16" t="s">
        <v>4029</v>
      </c>
      <c r="B1684" s="16" t="s">
        <v>1423</v>
      </c>
      <c r="C1684" s="16" t="s">
        <v>196</v>
      </c>
      <c r="D1684" s="16" t="s">
        <v>205</v>
      </c>
      <c r="E1684" s="25">
        <v>45157</v>
      </c>
      <c r="F1684" s="16" t="s">
        <v>4030</v>
      </c>
      <c r="G1684" s="16" t="s">
        <v>132</v>
      </c>
      <c r="H1684" s="16">
        <v>7</v>
      </c>
      <c r="I1684" s="16">
        <v>399</v>
      </c>
      <c r="J1684" s="16">
        <v>0</v>
      </c>
      <c r="K1684" s="16">
        <v>2793</v>
      </c>
      <c r="L1684" s="16" t="s">
        <v>139</v>
      </c>
      <c r="M1684" s="16" t="s">
        <v>140</v>
      </c>
      <c r="N1684" s="27">
        <v>45157.225694444445</v>
      </c>
      <c r="O1684" s="27">
        <v>45157.890972222223</v>
      </c>
      <c r="P1684" s="20"/>
      <c r="Q1684" s="16" t="b">
        <f>FALSE()</f>
        <v>0</v>
      </c>
      <c r="R1684" s="16" t="b">
        <f>FALSE()</f>
        <v>0</v>
      </c>
      <c r="S1684" s="17">
        <f t="shared" si="26"/>
        <v>16</v>
      </c>
      <c r="T1684">
        <f>COUNTIF('👤 Customers'!$A:$A, B1684)</f>
        <v>1</v>
      </c>
      <c r="U1684">
        <f>COUNTIF('🚴 Riders'!A1683:A1743, C1684)</f>
        <v>0</v>
      </c>
      <c r="V1684">
        <f>COUNTIF('🏭 Facilities'!A1683:A1691, D1684)</f>
        <v>0</v>
      </c>
    </row>
    <row r="1685" spans="1:22">
      <c r="A1685" s="18" t="s">
        <v>4031</v>
      </c>
      <c r="B1685" s="18" t="s">
        <v>1832</v>
      </c>
      <c r="C1685" s="18" t="s">
        <v>563</v>
      </c>
      <c r="D1685" s="18" t="s">
        <v>130</v>
      </c>
      <c r="E1685" s="26">
        <v>45605</v>
      </c>
      <c r="F1685" s="18" t="s">
        <v>4032</v>
      </c>
      <c r="G1685" s="18" t="s">
        <v>125</v>
      </c>
      <c r="H1685" s="18">
        <v>4.3</v>
      </c>
      <c r="I1685" s="18">
        <v>199</v>
      </c>
      <c r="J1685" s="18">
        <v>10</v>
      </c>
      <c r="K1685" s="18">
        <v>770.13</v>
      </c>
      <c r="L1685" s="18" t="s">
        <v>126</v>
      </c>
      <c r="M1685" s="18" t="s">
        <v>119</v>
      </c>
      <c r="N1685" s="28">
        <v>45605.89166666667</v>
      </c>
      <c r="O1685" s="28">
        <v>45607.009722222225</v>
      </c>
      <c r="P1685" s="18">
        <v>5</v>
      </c>
      <c r="Q1685" s="18" t="b">
        <f>FALSE()</f>
        <v>0</v>
      </c>
      <c r="R1685" s="18" t="b">
        <f>FALSE()</f>
        <v>0</v>
      </c>
      <c r="S1685" s="19">
        <f t="shared" si="26"/>
        <v>26.8</v>
      </c>
      <c r="T1685">
        <f>COUNTIF('👤 Customers'!$A:$A, B1685)</f>
        <v>1</v>
      </c>
      <c r="U1685">
        <f>COUNTIF('🚴 Riders'!A1684:A1744, C1685)</f>
        <v>0</v>
      </c>
      <c r="V1685">
        <f>COUNTIF('🏭 Facilities'!A1684:A1692, D1685)</f>
        <v>0</v>
      </c>
    </row>
    <row r="1686" spans="1:22">
      <c r="A1686" s="16" t="s">
        <v>4033</v>
      </c>
      <c r="B1686" s="16" t="s">
        <v>1030</v>
      </c>
      <c r="C1686" s="16" t="s">
        <v>461</v>
      </c>
      <c r="D1686" s="16" t="s">
        <v>158</v>
      </c>
      <c r="E1686" s="25">
        <v>45253</v>
      </c>
      <c r="F1686" s="16" t="s">
        <v>4034</v>
      </c>
      <c r="G1686" s="16" t="s">
        <v>132</v>
      </c>
      <c r="H1686" s="16">
        <v>2.8</v>
      </c>
      <c r="I1686" s="16">
        <v>399</v>
      </c>
      <c r="J1686" s="16">
        <v>10</v>
      </c>
      <c r="K1686" s="16">
        <v>1005.48</v>
      </c>
      <c r="L1686" s="16" t="s">
        <v>139</v>
      </c>
      <c r="M1686" s="16" t="s">
        <v>133</v>
      </c>
      <c r="N1686" s="20"/>
      <c r="O1686" s="20"/>
      <c r="P1686" s="20"/>
      <c r="Q1686" s="16" t="b">
        <f>FALSE()</f>
        <v>0</v>
      </c>
      <c r="R1686" s="16" t="b">
        <f>TRUE()</f>
        <v>1</v>
      </c>
      <c r="S1686" s="17" t="str">
        <f t="shared" si="26"/>
        <v>N/A</v>
      </c>
      <c r="T1686">
        <f>COUNTIF('👤 Customers'!$A:$A, B1686)</f>
        <v>1</v>
      </c>
      <c r="U1686">
        <f>COUNTIF('🚴 Riders'!A1685:A1745, C1686)</f>
        <v>0</v>
      </c>
      <c r="V1686">
        <f>COUNTIF('🏭 Facilities'!A1685:A1693, D1686)</f>
        <v>0</v>
      </c>
    </row>
    <row r="1687" spans="1:22">
      <c r="A1687" s="18" t="s">
        <v>4035</v>
      </c>
      <c r="B1687" s="18" t="s">
        <v>1832</v>
      </c>
      <c r="C1687" s="18" t="s">
        <v>487</v>
      </c>
      <c r="D1687" s="18" t="s">
        <v>205</v>
      </c>
      <c r="E1687" s="26">
        <v>45138</v>
      </c>
      <c r="F1687" s="18" t="s">
        <v>4036</v>
      </c>
      <c r="G1687" s="18" t="s">
        <v>125</v>
      </c>
      <c r="H1687" s="18">
        <v>4.4000000000000004</v>
      </c>
      <c r="I1687" s="18">
        <v>199</v>
      </c>
      <c r="J1687" s="18">
        <v>0</v>
      </c>
      <c r="K1687" s="18">
        <v>875.6</v>
      </c>
      <c r="L1687" s="18" t="s">
        <v>207</v>
      </c>
      <c r="M1687" s="18" t="s">
        <v>119</v>
      </c>
      <c r="N1687" s="28">
        <v>45138.313888888886</v>
      </c>
      <c r="O1687" s="28">
        <v>45138.773611111108</v>
      </c>
      <c r="P1687" s="18">
        <v>2.9</v>
      </c>
      <c r="Q1687" s="18" t="b">
        <f>TRUE()</f>
        <v>1</v>
      </c>
      <c r="R1687" s="18" t="b">
        <f>TRUE()</f>
        <v>1</v>
      </c>
      <c r="S1687" s="19">
        <f t="shared" si="26"/>
        <v>11</v>
      </c>
      <c r="T1687">
        <f>COUNTIF('👤 Customers'!$A:$A, B1687)</f>
        <v>1</v>
      </c>
      <c r="U1687">
        <f>COUNTIF('🚴 Riders'!A1686:A1746, C1687)</f>
        <v>0</v>
      </c>
      <c r="V1687">
        <f>COUNTIF('🏭 Facilities'!A1686:A1694, D1687)</f>
        <v>0</v>
      </c>
    </row>
    <row r="1688" spans="1:22">
      <c r="A1688" s="16" t="s">
        <v>4037</v>
      </c>
      <c r="B1688" s="16" t="s">
        <v>332</v>
      </c>
      <c r="C1688" s="16" t="s">
        <v>287</v>
      </c>
      <c r="D1688" s="16" t="s">
        <v>123</v>
      </c>
      <c r="E1688" s="25">
        <v>45062</v>
      </c>
      <c r="F1688" s="16" t="s">
        <v>4038</v>
      </c>
      <c r="G1688" s="16" t="s">
        <v>176</v>
      </c>
      <c r="H1688" s="16">
        <v>2.1</v>
      </c>
      <c r="I1688" s="16">
        <v>599</v>
      </c>
      <c r="J1688" s="16">
        <v>0</v>
      </c>
      <c r="K1688" s="16">
        <v>1257.9000000000001</v>
      </c>
      <c r="L1688" s="16" t="s">
        <v>126</v>
      </c>
      <c r="M1688" s="16" t="s">
        <v>119</v>
      </c>
      <c r="N1688" s="27">
        <v>45063.007638888892</v>
      </c>
      <c r="O1688" s="27">
        <v>45063.992361111108</v>
      </c>
      <c r="P1688" s="16">
        <v>2.5</v>
      </c>
      <c r="Q1688" s="16" t="b">
        <f>TRUE()</f>
        <v>1</v>
      </c>
      <c r="R1688" s="16" t="b">
        <f>FALSE()</f>
        <v>0</v>
      </c>
      <c r="S1688" s="17">
        <f t="shared" si="26"/>
        <v>23.6</v>
      </c>
      <c r="T1688">
        <f>COUNTIF('👤 Customers'!$A:$A, B1688)</f>
        <v>1</v>
      </c>
      <c r="U1688">
        <f>COUNTIF('🚴 Riders'!A1687:A1747, C1688)</f>
        <v>0</v>
      </c>
      <c r="V1688">
        <f>COUNTIF('🏭 Facilities'!A1687:A1695, D1688)</f>
        <v>0</v>
      </c>
    </row>
    <row r="1689" spans="1:22">
      <c r="A1689" s="18" t="s">
        <v>4039</v>
      </c>
      <c r="B1689" s="18" t="s">
        <v>148</v>
      </c>
      <c r="C1689" s="18" t="s">
        <v>129</v>
      </c>
      <c r="D1689" s="18" t="s">
        <v>205</v>
      </c>
      <c r="E1689" s="26">
        <v>45357</v>
      </c>
      <c r="F1689" s="18" t="s">
        <v>4040</v>
      </c>
      <c r="G1689" s="18" t="s">
        <v>117</v>
      </c>
      <c r="H1689" s="18">
        <v>4.2</v>
      </c>
      <c r="I1689" s="18">
        <v>149</v>
      </c>
      <c r="J1689" s="18">
        <v>20</v>
      </c>
      <c r="K1689" s="18">
        <v>500.64</v>
      </c>
      <c r="L1689" s="18" t="s">
        <v>126</v>
      </c>
      <c r="M1689" s="18" t="s">
        <v>119</v>
      </c>
      <c r="N1689" s="28">
        <v>45357.569444444445</v>
      </c>
      <c r="O1689" s="28">
        <v>45358.506249999999</v>
      </c>
      <c r="P1689" s="18">
        <v>4.5999999999999996</v>
      </c>
      <c r="Q1689" s="18" t="b">
        <f>FALSE()</f>
        <v>0</v>
      </c>
      <c r="R1689" s="18" t="b">
        <f>FALSE()</f>
        <v>0</v>
      </c>
      <c r="S1689" s="19">
        <f t="shared" si="26"/>
        <v>22.5</v>
      </c>
      <c r="T1689">
        <f>COUNTIF('👤 Customers'!$A:$A, B1689)</f>
        <v>1</v>
      </c>
      <c r="U1689">
        <f>COUNTIF('🚴 Riders'!A1688:A1748, C1689)</f>
        <v>0</v>
      </c>
      <c r="V1689">
        <f>COUNTIF('🏭 Facilities'!A1688:A1696, D1689)</f>
        <v>0</v>
      </c>
    </row>
    <row r="1690" spans="1:22">
      <c r="A1690" s="16" t="s">
        <v>4041</v>
      </c>
      <c r="B1690" s="16" t="s">
        <v>460</v>
      </c>
      <c r="C1690" s="16" t="s">
        <v>611</v>
      </c>
      <c r="D1690" s="16" t="s">
        <v>158</v>
      </c>
      <c r="E1690" s="25">
        <v>45174</v>
      </c>
      <c r="F1690" s="16" t="s">
        <v>4042</v>
      </c>
      <c r="G1690" s="16" t="s">
        <v>145</v>
      </c>
      <c r="H1690" s="16">
        <v>7.5</v>
      </c>
      <c r="I1690" s="16">
        <v>299</v>
      </c>
      <c r="J1690" s="16">
        <v>0</v>
      </c>
      <c r="K1690" s="16">
        <v>2242.5</v>
      </c>
      <c r="L1690" s="16" t="s">
        <v>118</v>
      </c>
      <c r="M1690" s="16" t="s">
        <v>140</v>
      </c>
      <c r="N1690" s="27">
        <v>45174.627083333333</v>
      </c>
      <c r="O1690" s="27">
        <v>45175.086111111108</v>
      </c>
      <c r="P1690" s="20"/>
      <c r="Q1690" s="16" t="b">
        <f>TRUE()</f>
        <v>1</v>
      </c>
      <c r="R1690" s="16" t="b">
        <f>FALSE()</f>
        <v>0</v>
      </c>
      <c r="S1690" s="17">
        <f t="shared" si="26"/>
        <v>11</v>
      </c>
      <c r="T1690">
        <f>COUNTIF('👤 Customers'!$A:$A, B1690)</f>
        <v>1</v>
      </c>
      <c r="U1690">
        <f>COUNTIF('🚴 Riders'!A1689:A1749, C1690)</f>
        <v>0</v>
      </c>
      <c r="V1690">
        <f>COUNTIF('🏭 Facilities'!A1689:A1697, D1690)</f>
        <v>0</v>
      </c>
    </row>
    <row r="1691" spans="1:22">
      <c r="A1691" s="18" t="s">
        <v>4043</v>
      </c>
      <c r="B1691" s="18" t="s">
        <v>1970</v>
      </c>
      <c r="C1691" s="18" t="s">
        <v>611</v>
      </c>
      <c r="D1691" s="18" t="s">
        <v>184</v>
      </c>
      <c r="E1691" s="26">
        <v>45443</v>
      </c>
      <c r="F1691" s="18" t="s">
        <v>4044</v>
      </c>
      <c r="G1691" s="18" t="s">
        <v>117</v>
      </c>
      <c r="H1691" s="18">
        <v>7.7</v>
      </c>
      <c r="I1691" s="18">
        <v>149</v>
      </c>
      <c r="J1691" s="18">
        <v>0</v>
      </c>
      <c r="K1691" s="18">
        <v>1147.3</v>
      </c>
      <c r="L1691" s="18" t="s">
        <v>126</v>
      </c>
      <c r="M1691" s="18" t="s">
        <v>119</v>
      </c>
      <c r="N1691" s="28">
        <v>45443.554861111108</v>
      </c>
      <c r="O1691" s="28">
        <v>45444.214583333334</v>
      </c>
      <c r="P1691" s="18">
        <v>2.6</v>
      </c>
      <c r="Q1691" s="18" t="b">
        <f>FALSE()</f>
        <v>0</v>
      </c>
      <c r="R1691" s="18" t="b">
        <f>FALSE()</f>
        <v>0</v>
      </c>
      <c r="S1691" s="19">
        <f t="shared" si="26"/>
        <v>15.8</v>
      </c>
      <c r="T1691">
        <f>COUNTIF('👤 Customers'!$A:$A, B1691)</f>
        <v>1</v>
      </c>
      <c r="U1691">
        <f>COUNTIF('🚴 Riders'!A1690:A1750, C1691)</f>
        <v>0</v>
      </c>
      <c r="V1691">
        <f>COUNTIF('🏭 Facilities'!A1690:A1698, D1691)</f>
        <v>0</v>
      </c>
    </row>
    <row r="1692" spans="1:22">
      <c r="A1692" s="16" t="s">
        <v>4045</v>
      </c>
      <c r="B1692" s="16" t="s">
        <v>219</v>
      </c>
      <c r="C1692" s="16" t="s">
        <v>170</v>
      </c>
      <c r="D1692" s="16" t="s">
        <v>197</v>
      </c>
      <c r="E1692" s="25">
        <v>45633</v>
      </c>
      <c r="F1692" s="16" t="s">
        <v>4046</v>
      </c>
      <c r="G1692" s="16" t="s">
        <v>117</v>
      </c>
      <c r="H1692" s="16">
        <v>2.7</v>
      </c>
      <c r="I1692" s="16">
        <v>149</v>
      </c>
      <c r="J1692" s="16">
        <v>0</v>
      </c>
      <c r="K1692" s="16">
        <v>402.3</v>
      </c>
      <c r="L1692" s="16" t="s">
        <v>118</v>
      </c>
      <c r="M1692" s="16" t="s">
        <v>119</v>
      </c>
      <c r="N1692" s="27">
        <v>45633.991666666669</v>
      </c>
      <c r="O1692" s="27">
        <v>45634.441666666666</v>
      </c>
      <c r="P1692" s="16">
        <v>3.2</v>
      </c>
      <c r="Q1692" s="16" t="b">
        <f>FALSE()</f>
        <v>0</v>
      </c>
      <c r="R1692" s="16" t="b">
        <f>FALSE()</f>
        <v>0</v>
      </c>
      <c r="S1692" s="17">
        <f t="shared" si="26"/>
        <v>10.8</v>
      </c>
      <c r="T1692">
        <f>COUNTIF('👤 Customers'!$A:$A, B1692)</f>
        <v>1</v>
      </c>
      <c r="U1692">
        <f>COUNTIF('🚴 Riders'!A1691:A1751, C1692)</f>
        <v>0</v>
      </c>
      <c r="V1692">
        <f>COUNTIF('🏭 Facilities'!A1691:A1699, D1692)</f>
        <v>0</v>
      </c>
    </row>
    <row r="1693" spans="1:22">
      <c r="A1693" s="18" t="s">
        <v>4047</v>
      </c>
      <c r="B1693" s="18" t="s">
        <v>2621</v>
      </c>
      <c r="C1693" s="18" t="s">
        <v>188</v>
      </c>
      <c r="D1693" s="18" t="s">
        <v>130</v>
      </c>
      <c r="E1693" s="26">
        <v>45150</v>
      </c>
      <c r="F1693" s="18" t="s">
        <v>2958</v>
      </c>
      <c r="G1693" s="18" t="s">
        <v>132</v>
      </c>
      <c r="H1693" s="18">
        <v>4.9000000000000004</v>
      </c>
      <c r="I1693" s="18">
        <v>399</v>
      </c>
      <c r="J1693" s="18">
        <v>0</v>
      </c>
      <c r="K1693" s="18">
        <v>1955.1</v>
      </c>
      <c r="L1693" s="18" t="s">
        <v>118</v>
      </c>
      <c r="M1693" s="18" t="s">
        <v>140</v>
      </c>
      <c r="N1693" s="28">
        <v>45150.664583333331</v>
      </c>
      <c r="O1693" s="28">
        <v>45151.423611111109</v>
      </c>
      <c r="P1693" s="20"/>
      <c r="Q1693" s="18" t="b">
        <f>FALSE()</f>
        <v>0</v>
      </c>
      <c r="R1693" s="18" t="b">
        <f>FALSE()</f>
        <v>0</v>
      </c>
      <c r="S1693" s="19">
        <f t="shared" si="26"/>
        <v>18.2</v>
      </c>
      <c r="T1693">
        <f>COUNTIF('👤 Customers'!$A:$A, B1693)</f>
        <v>1</v>
      </c>
      <c r="U1693">
        <f>COUNTIF('🚴 Riders'!A1692:A1752, C1693)</f>
        <v>0</v>
      </c>
      <c r="V1693">
        <f>COUNTIF('🏭 Facilities'!A1692:A1700, D1693)</f>
        <v>0</v>
      </c>
    </row>
    <row r="1694" spans="1:22">
      <c r="A1694" s="16" t="s">
        <v>4048</v>
      </c>
      <c r="B1694" s="16" t="s">
        <v>598</v>
      </c>
      <c r="C1694" s="16" t="s">
        <v>240</v>
      </c>
      <c r="D1694" s="16" t="s">
        <v>115</v>
      </c>
      <c r="E1694" s="25">
        <v>45426</v>
      </c>
      <c r="F1694" s="16" t="s">
        <v>4049</v>
      </c>
      <c r="G1694" s="16" t="s">
        <v>125</v>
      </c>
      <c r="H1694" s="16">
        <v>5.7</v>
      </c>
      <c r="I1694" s="16">
        <v>199</v>
      </c>
      <c r="J1694" s="16">
        <v>0</v>
      </c>
      <c r="K1694" s="16">
        <v>1134.3</v>
      </c>
      <c r="L1694" s="16" t="s">
        <v>118</v>
      </c>
      <c r="M1694" s="16" t="s">
        <v>133</v>
      </c>
      <c r="N1694" s="20"/>
      <c r="O1694" s="20"/>
      <c r="P1694" s="20"/>
      <c r="Q1694" s="16" t="b">
        <f>FALSE()</f>
        <v>0</v>
      </c>
      <c r="R1694" s="16" t="b">
        <f>FALSE()</f>
        <v>0</v>
      </c>
      <c r="S1694" s="17" t="str">
        <f t="shared" si="26"/>
        <v>N/A</v>
      </c>
      <c r="T1694">
        <f>COUNTIF('👤 Customers'!$A:$A, B1694)</f>
        <v>1</v>
      </c>
      <c r="U1694">
        <f>COUNTIF('🚴 Riders'!A1693:A1753, C1694)</f>
        <v>0</v>
      </c>
      <c r="V1694">
        <f>COUNTIF('🏭 Facilities'!A1693:A1701, D1694)</f>
        <v>0</v>
      </c>
    </row>
    <row r="1695" spans="1:22">
      <c r="A1695" s="18" t="s">
        <v>4050</v>
      </c>
      <c r="B1695" s="18" t="s">
        <v>2799</v>
      </c>
      <c r="C1695" s="18" t="s">
        <v>358</v>
      </c>
      <c r="D1695" s="18" t="s">
        <v>123</v>
      </c>
      <c r="E1695" s="26">
        <v>45565</v>
      </c>
      <c r="F1695" s="18" t="s">
        <v>4051</v>
      </c>
      <c r="G1695" s="18" t="s">
        <v>145</v>
      </c>
      <c r="H1695" s="18">
        <v>5.2</v>
      </c>
      <c r="I1695" s="18">
        <v>299</v>
      </c>
      <c r="J1695" s="18">
        <v>0</v>
      </c>
      <c r="K1695" s="18">
        <v>1554.8</v>
      </c>
      <c r="L1695" s="18" t="s">
        <v>126</v>
      </c>
      <c r="M1695" s="18" t="s">
        <v>119</v>
      </c>
      <c r="N1695" s="28">
        <v>45565.582638888889</v>
      </c>
      <c r="O1695" s="28">
        <v>45566.668749999997</v>
      </c>
      <c r="P1695" s="18">
        <v>3.9</v>
      </c>
      <c r="Q1695" s="18" t="b">
        <f>FALSE()</f>
        <v>0</v>
      </c>
      <c r="R1695" s="18" t="b">
        <f>FALSE()</f>
        <v>0</v>
      </c>
      <c r="S1695" s="19">
        <f t="shared" si="26"/>
        <v>26.1</v>
      </c>
      <c r="T1695">
        <f>COUNTIF('👤 Customers'!$A:$A, B1695)</f>
        <v>1</v>
      </c>
      <c r="U1695">
        <f>COUNTIF('🚴 Riders'!A1694:A1754, C1695)</f>
        <v>0</v>
      </c>
      <c r="V1695">
        <f>COUNTIF('🏭 Facilities'!A1694:A1702, D1695)</f>
        <v>0</v>
      </c>
    </row>
    <row r="1696" spans="1:22">
      <c r="A1696" s="16" t="s">
        <v>4052</v>
      </c>
      <c r="B1696" s="16" t="s">
        <v>545</v>
      </c>
      <c r="C1696" s="16" t="s">
        <v>842</v>
      </c>
      <c r="D1696" s="16" t="s">
        <v>158</v>
      </c>
      <c r="E1696" s="25">
        <v>45499</v>
      </c>
      <c r="F1696" s="16" t="s">
        <v>4053</v>
      </c>
      <c r="G1696" s="16" t="s">
        <v>125</v>
      </c>
      <c r="H1696" s="16">
        <v>6.8</v>
      </c>
      <c r="I1696" s="16">
        <v>199</v>
      </c>
      <c r="J1696" s="16">
        <v>10</v>
      </c>
      <c r="K1696" s="16">
        <v>1217.8800000000001</v>
      </c>
      <c r="L1696" s="16" t="s">
        <v>126</v>
      </c>
      <c r="M1696" s="16" t="s">
        <v>119</v>
      </c>
      <c r="N1696" s="27">
        <v>45499.214583333334</v>
      </c>
      <c r="O1696" s="27">
        <v>45499.567361111112</v>
      </c>
      <c r="P1696" s="16">
        <v>3.4</v>
      </c>
      <c r="Q1696" s="16" t="b">
        <f>FALSE()</f>
        <v>0</v>
      </c>
      <c r="R1696" s="16" t="b">
        <f>FALSE()</f>
        <v>0</v>
      </c>
      <c r="S1696" s="17">
        <f t="shared" si="26"/>
        <v>8.5</v>
      </c>
      <c r="T1696">
        <f>COUNTIF('👤 Customers'!$A:$A, B1696)</f>
        <v>1</v>
      </c>
      <c r="U1696">
        <f>COUNTIF('🚴 Riders'!A1695:A1755, C1696)</f>
        <v>0</v>
      </c>
      <c r="V1696">
        <f>COUNTIF('🏭 Facilities'!A1695:A1703, D1696)</f>
        <v>0</v>
      </c>
    </row>
    <row r="1697" spans="1:22">
      <c r="A1697" s="18" t="s">
        <v>4054</v>
      </c>
      <c r="B1697" s="18" t="s">
        <v>1961</v>
      </c>
      <c r="C1697" s="18" t="s">
        <v>842</v>
      </c>
      <c r="D1697" s="18" t="s">
        <v>115</v>
      </c>
      <c r="E1697" s="26">
        <v>45253</v>
      </c>
      <c r="F1697" s="18" t="s">
        <v>4055</v>
      </c>
      <c r="G1697" s="18" t="s">
        <v>145</v>
      </c>
      <c r="H1697" s="18">
        <v>2.7</v>
      </c>
      <c r="I1697" s="18">
        <v>299</v>
      </c>
      <c r="J1697" s="18">
        <v>0</v>
      </c>
      <c r="K1697" s="18">
        <v>807.3</v>
      </c>
      <c r="L1697" s="18" t="s">
        <v>139</v>
      </c>
      <c r="M1697" s="18" t="s">
        <v>119</v>
      </c>
      <c r="N1697" s="28">
        <v>45253.592361111114</v>
      </c>
      <c r="O1697" s="28">
        <v>45254.561111111114</v>
      </c>
      <c r="P1697" s="18">
        <v>2.7</v>
      </c>
      <c r="Q1697" s="18" t="b">
        <f>FALSE()</f>
        <v>0</v>
      </c>
      <c r="R1697" s="18" t="b">
        <f>FALSE()</f>
        <v>0</v>
      </c>
      <c r="S1697" s="19">
        <f t="shared" si="26"/>
        <v>23.3</v>
      </c>
      <c r="T1697">
        <f>COUNTIF('👤 Customers'!$A:$A, B1697)</f>
        <v>1</v>
      </c>
      <c r="U1697">
        <f>COUNTIF('🚴 Riders'!A1696:A1756, C1697)</f>
        <v>0</v>
      </c>
      <c r="V1697">
        <f>COUNTIF('🏭 Facilities'!A1696:A1704, D1697)</f>
        <v>0</v>
      </c>
    </row>
    <row r="1698" spans="1:22">
      <c r="A1698" s="16" t="s">
        <v>4056</v>
      </c>
      <c r="B1698" s="16" t="s">
        <v>2549</v>
      </c>
      <c r="C1698" s="16" t="s">
        <v>213</v>
      </c>
      <c r="D1698" s="16" t="s">
        <v>158</v>
      </c>
      <c r="E1698" s="25">
        <v>44980</v>
      </c>
      <c r="F1698" s="16" t="s">
        <v>4057</v>
      </c>
      <c r="G1698" s="16" t="s">
        <v>117</v>
      </c>
      <c r="H1698" s="16">
        <v>5.0999999999999996</v>
      </c>
      <c r="I1698" s="16">
        <v>149</v>
      </c>
      <c r="J1698" s="16">
        <v>0</v>
      </c>
      <c r="K1698" s="16">
        <v>759.9</v>
      </c>
      <c r="L1698" s="16" t="s">
        <v>146</v>
      </c>
      <c r="M1698" s="16" t="s">
        <v>119</v>
      </c>
      <c r="N1698" s="27">
        <v>44980.753472222219</v>
      </c>
      <c r="O1698" s="27">
        <v>44981.563888888886</v>
      </c>
      <c r="P1698" s="16">
        <v>4</v>
      </c>
      <c r="Q1698" s="16" t="b">
        <f>FALSE()</f>
        <v>0</v>
      </c>
      <c r="R1698" s="16" t="b">
        <f>FALSE()</f>
        <v>0</v>
      </c>
      <c r="S1698" s="17">
        <f t="shared" si="26"/>
        <v>19.5</v>
      </c>
      <c r="T1698">
        <f>COUNTIF('👤 Customers'!$A:$A, B1698)</f>
        <v>1</v>
      </c>
      <c r="U1698">
        <f>COUNTIF('🚴 Riders'!A1697:A1757, C1698)</f>
        <v>0</v>
      </c>
      <c r="V1698">
        <f>COUNTIF('🏭 Facilities'!A1697:A1705, D1698)</f>
        <v>0</v>
      </c>
    </row>
    <row r="1699" spans="1:22">
      <c r="A1699" s="18" t="s">
        <v>4058</v>
      </c>
      <c r="B1699" s="18" t="s">
        <v>1682</v>
      </c>
      <c r="C1699" s="18" t="s">
        <v>304</v>
      </c>
      <c r="D1699" s="18" t="s">
        <v>123</v>
      </c>
      <c r="E1699" s="26">
        <v>45156</v>
      </c>
      <c r="F1699" s="18" t="s">
        <v>4059</v>
      </c>
      <c r="G1699" s="18" t="s">
        <v>117</v>
      </c>
      <c r="H1699" s="18">
        <v>3.1</v>
      </c>
      <c r="I1699" s="18">
        <v>149</v>
      </c>
      <c r="J1699" s="18">
        <v>10</v>
      </c>
      <c r="K1699" s="18">
        <v>415.71</v>
      </c>
      <c r="L1699" s="18" t="s">
        <v>207</v>
      </c>
      <c r="M1699" s="18" t="s">
        <v>119</v>
      </c>
      <c r="N1699" s="28">
        <v>45156.870138888888</v>
      </c>
      <c r="O1699" s="28">
        <v>45157.363888888889</v>
      </c>
      <c r="P1699" s="18">
        <v>3.1</v>
      </c>
      <c r="Q1699" s="18" t="b">
        <f>TRUE()</f>
        <v>1</v>
      </c>
      <c r="R1699" s="18" t="b">
        <f>FALSE()</f>
        <v>0</v>
      </c>
      <c r="S1699" s="19">
        <f t="shared" si="26"/>
        <v>11.9</v>
      </c>
      <c r="T1699">
        <f>COUNTIF('👤 Customers'!$A:$A, B1699)</f>
        <v>1</v>
      </c>
      <c r="U1699">
        <f>COUNTIF('🚴 Riders'!A1698:A1758, C1699)</f>
        <v>0</v>
      </c>
      <c r="V1699">
        <f>COUNTIF('🏭 Facilities'!A1698:A1706, D1699)</f>
        <v>0</v>
      </c>
    </row>
    <row r="1700" spans="1:22">
      <c r="A1700" s="16" t="s">
        <v>4060</v>
      </c>
      <c r="B1700" s="16" t="s">
        <v>1895</v>
      </c>
      <c r="C1700" s="16" t="s">
        <v>162</v>
      </c>
      <c r="D1700" s="16" t="s">
        <v>205</v>
      </c>
      <c r="E1700" s="25">
        <v>45092</v>
      </c>
      <c r="F1700" s="16" t="s">
        <v>4061</v>
      </c>
      <c r="G1700" s="16" t="s">
        <v>117</v>
      </c>
      <c r="H1700" s="16">
        <v>4.5999999999999996</v>
      </c>
      <c r="I1700" s="16">
        <v>149</v>
      </c>
      <c r="J1700" s="16">
        <v>10</v>
      </c>
      <c r="K1700" s="16">
        <v>616.86</v>
      </c>
      <c r="L1700" s="16" t="s">
        <v>207</v>
      </c>
      <c r="M1700" s="16" t="s">
        <v>119</v>
      </c>
      <c r="N1700" s="27">
        <v>45092.156944444447</v>
      </c>
      <c r="O1700" s="27">
        <v>45093.006249999999</v>
      </c>
      <c r="P1700" s="16">
        <v>4.9000000000000004</v>
      </c>
      <c r="Q1700" s="16" t="b">
        <f>FALSE()</f>
        <v>0</v>
      </c>
      <c r="R1700" s="16" t="b">
        <f>TRUE()</f>
        <v>1</v>
      </c>
      <c r="S1700" s="17">
        <f t="shared" si="26"/>
        <v>20.399999999999999</v>
      </c>
      <c r="T1700">
        <f>COUNTIF('👤 Customers'!$A:$A, B1700)</f>
        <v>1</v>
      </c>
      <c r="U1700">
        <f>COUNTIF('🚴 Riders'!A1699:A1759, C1700)</f>
        <v>0</v>
      </c>
      <c r="V1700">
        <f>COUNTIF('🏭 Facilities'!A1699:A1707, D1700)</f>
        <v>0</v>
      </c>
    </row>
    <row r="1701" spans="1:22">
      <c r="A1701" s="18" t="s">
        <v>4062</v>
      </c>
      <c r="B1701" s="18" t="s">
        <v>377</v>
      </c>
      <c r="C1701" s="18" t="s">
        <v>326</v>
      </c>
      <c r="D1701" s="18" t="s">
        <v>158</v>
      </c>
      <c r="E1701" s="26">
        <v>45342</v>
      </c>
      <c r="F1701" s="18" t="s">
        <v>4063</v>
      </c>
      <c r="G1701" s="18" t="s">
        <v>117</v>
      </c>
      <c r="H1701" s="18">
        <v>3.2</v>
      </c>
      <c r="I1701" s="18">
        <v>149</v>
      </c>
      <c r="J1701" s="18">
        <v>0</v>
      </c>
      <c r="K1701" s="18">
        <v>476.8</v>
      </c>
      <c r="L1701" s="18" t="s">
        <v>126</v>
      </c>
      <c r="M1701" s="18" t="s">
        <v>133</v>
      </c>
      <c r="N1701" s="20"/>
      <c r="O1701" s="20"/>
      <c r="P1701" s="20"/>
      <c r="Q1701" s="18" t="b">
        <f>FALSE()</f>
        <v>0</v>
      </c>
      <c r="R1701" s="18" t="b">
        <f>TRUE()</f>
        <v>1</v>
      </c>
      <c r="S1701" s="19" t="str">
        <f t="shared" si="26"/>
        <v>N/A</v>
      </c>
      <c r="T1701">
        <f>COUNTIF('👤 Customers'!$A:$A, B1701)</f>
        <v>1</v>
      </c>
      <c r="U1701">
        <f>COUNTIF('🚴 Riders'!A1700:A1760, C1701)</f>
        <v>0</v>
      </c>
      <c r="V1701">
        <f>COUNTIF('🏭 Facilities'!A1700:A1708, D1701)</f>
        <v>0</v>
      </c>
    </row>
    <row r="1702" spans="1:22">
      <c r="A1702" s="16" t="s">
        <v>4064</v>
      </c>
      <c r="B1702" s="16" t="s">
        <v>1548</v>
      </c>
      <c r="C1702" s="16" t="s">
        <v>413</v>
      </c>
      <c r="D1702" s="16" t="s">
        <v>205</v>
      </c>
      <c r="E1702" s="25">
        <v>45278</v>
      </c>
      <c r="F1702" s="16" t="s">
        <v>4065</v>
      </c>
      <c r="G1702" s="16" t="s">
        <v>125</v>
      </c>
      <c r="H1702" s="16">
        <v>2.7</v>
      </c>
      <c r="I1702" s="16">
        <v>199</v>
      </c>
      <c r="J1702" s="16">
        <v>10</v>
      </c>
      <c r="K1702" s="16">
        <v>483.57</v>
      </c>
      <c r="L1702" s="16" t="s">
        <v>207</v>
      </c>
      <c r="M1702" s="16" t="s">
        <v>119</v>
      </c>
      <c r="N1702" s="27">
        <v>45278.333333333336</v>
      </c>
      <c r="O1702" s="27">
        <v>45279.118750000001</v>
      </c>
      <c r="P1702" s="16">
        <v>4.8</v>
      </c>
      <c r="Q1702" s="16" t="b">
        <f>FALSE()</f>
        <v>0</v>
      </c>
      <c r="R1702" s="16" t="b">
        <f>FALSE()</f>
        <v>0</v>
      </c>
      <c r="S1702" s="17">
        <f t="shared" si="26"/>
        <v>18.8</v>
      </c>
      <c r="T1702">
        <f>COUNTIF('👤 Customers'!$A:$A, B1702)</f>
        <v>1</v>
      </c>
      <c r="U1702">
        <f>COUNTIF('🚴 Riders'!A1701:A1761, C1702)</f>
        <v>0</v>
      </c>
      <c r="V1702">
        <f>COUNTIF('🏭 Facilities'!A1701:A1709, D1702)</f>
        <v>0</v>
      </c>
    </row>
    <row r="1703" spans="1:22">
      <c r="A1703" s="18" t="s">
        <v>4066</v>
      </c>
      <c r="B1703" s="18" t="s">
        <v>3142</v>
      </c>
      <c r="C1703" s="18" t="s">
        <v>536</v>
      </c>
      <c r="D1703" s="18" t="s">
        <v>197</v>
      </c>
      <c r="E1703" s="26">
        <v>45344</v>
      </c>
      <c r="F1703" s="18" t="s">
        <v>4067</v>
      </c>
      <c r="G1703" s="18" t="s">
        <v>132</v>
      </c>
      <c r="H1703" s="18">
        <v>4.7</v>
      </c>
      <c r="I1703" s="18">
        <v>399</v>
      </c>
      <c r="J1703" s="18">
        <v>0</v>
      </c>
      <c r="K1703" s="18">
        <v>1875.3</v>
      </c>
      <c r="L1703" s="18" t="s">
        <v>139</v>
      </c>
      <c r="M1703" s="18" t="s">
        <v>119</v>
      </c>
      <c r="N1703" s="28">
        <v>45344.761111111111</v>
      </c>
      <c r="O1703" s="28">
        <v>45345.724305555559</v>
      </c>
      <c r="P1703" s="18">
        <v>2.9</v>
      </c>
      <c r="Q1703" s="18" t="b">
        <f>FALSE()</f>
        <v>0</v>
      </c>
      <c r="R1703" s="18" t="b">
        <f>FALSE()</f>
        <v>0</v>
      </c>
      <c r="S1703" s="19">
        <f t="shared" si="26"/>
        <v>23.1</v>
      </c>
      <c r="T1703">
        <f>COUNTIF('👤 Customers'!$A:$A, B1703)</f>
        <v>1</v>
      </c>
      <c r="U1703">
        <f>COUNTIF('🚴 Riders'!A1702:A1762, C1703)</f>
        <v>0</v>
      </c>
      <c r="V1703">
        <f>COUNTIF('🏭 Facilities'!A1702:A1710, D1703)</f>
        <v>0</v>
      </c>
    </row>
    <row r="1704" spans="1:22">
      <c r="A1704" s="16" t="s">
        <v>4068</v>
      </c>
      <c r="B1704" s="16" t="s">
        <v>279</v>
      </c>
      <c r="C1704" s="16" t="s">
        <v>487</v>
      </c>
      <c r="D1704" s="16" t="s">
        <v>205</v>
      </c>
      <c r="E1704" s="25">
        <v>45393</v>
      </c>
      <c r="F1704" s="16" t="s">
        <v>4069</v>
      </c>
      <c r="G1704" s="16" t="s">
        <v>132</v>
      </c>
      <c r="H1704" s="16">
        <v>6.8</v>
      </c>
      <c r="I1704" s="16">
        <v>399</v>
      </c>
      <c r="J1704" s="16">
        <v>0</v>
      </c>
      <c r="K1704" s="16">
        <v>2713.2</v>
      </c>
      <c r="L1704" s="16" t="s">
        <v>207</v>
      </c>
      <c r="M1704" s="16" t="s">
        <v>119</v>
      </c>
      <c r="N1704" s="27">
        <v>45393.299305555556</v>
      </c>
      <c r="O1704" s="27">
        <v>45394.061111111114</v>
      </c>
      <c r="P1704" s="16">
        <v>4</v>
      </c>
      <c r="Q1704" s="16" t="b">
        <f>FALSE()</f>
        <v>0</v>
      </c>
      <c r="R1704" s="16" t="b">
        <f>FALSE()</f>
        <v>0</v>
      </c>
      <c r="S1704" s="17">
        <f t="shared" si="26"/>
        <v>18.3</v>
      </c>
      <c r="T1704">
        <f>COUNTIF('👤 Customers'!$A:$A, B1704)</f>
        <v>1</v>
      </c>
      <c r="U1704">
        <f>COUNTIF('🚴 Riders'!A1703:A1763, C1704)</f>
        <v>0</v>
      </c>
      <c r="V1704">
        <f>COUNTIF('🏭 Facilities'!A1703:A1711, D1704)</f>
        <v>0</v>
      </c>
    </row>
    <row r="1705" spans="1:22">
      <c r="A1705" s="18" t="s">
        <v>4070</v>
      </c>
      <c r="B1705" s="18" t="s">
        <v>1003</v>
      </c>
      <c r="C1705" s="18" t="s">
        <v>362</v>
      </c>
      <c r="D1705" s="18" t="s">
        <v>197</v>
      </c>
      <c r="E1705" s="26">
        <v>45090</v>
      </c>
      <c r="F1705" s="18" t="s">
        <v>4071</v>
      </c>
      <c r="G1705" s="18" t="s">
        <v>145</v>
      </c>
      <c r="H1705" s="18">
        <v>7</v>
      </c>
      <c r="I1705" s="18">
        <v>299</v>
      </c>
      <c r="J1705" s="18">
        <v>20</v>
      </c>
      <c r="K1705" s="18">
        <v>1674.4</v>
      </c>
      <c r="L1705" s="18" t="s">
        <v>207</v>
      </c>
      <c r="M1705" s="18" t="s">
        <v>119</v>
      </c>
      <c r="N1705" s="28">
        <v>45090.099305555559</v>
      </c>
      <c r="O1705" s="28">
        <v>45090.515277777777</v>
      </c>
      <c r="P1705" s="18">
        <v>4</v>
      </c>
      <c r="Q1705" s="18" t="b">
        <f>FALSE()</f>
        <v>0</v>
      </c>
      <c r="R1705" s="18" t="b">
        <f>FALSE()</f>
        <v>0</v>
      </c>
      <c r="S1705" s="19">
        <f t="shared" si="26"/>
        <v>10</v>
      </c>
      <c r="T1705">
        <f>COUNTIF('👤 Customers'!$A:$A, B1705)</f>
        <v>1</v>
      </c>
      <c r="U1705">
        <f>COUNTIF('🚴 Riders'!A1704:A1764, C1705)</f>
        <v>0</v>
      </c>
      <c r="V1705">
        <f>COUNTIF('🏭 Facilities'!A1704:A1712, D1705)</f>
        <v>0</v>
      </c>
    </row>
    <row r="1706" spans="1:22">
      <c r="A1706" s="16" t="s">
        <v>4072</v>
      </c>
      <c r="B1706" s="16" t="s">
        <v>4073</v>
      </c>
      <c r="C1706" s="16" t="s">
        <v>143</v>
      </c>
      <c r="D1706" s="16" t="s">
        <v>130</v>
      </c>
      <c r="E1706" s="25">
        <v>45533</v>
      </c>
      <c r="F1706" s="16" t="s">
        <v>4074</v>
      </c>
      <c r="G1706" s="16" t="s">
        <v>117</v>
      </c>
      <c r="H1706" s="16">
        <v>1.1000000000000001</v>
      </c>
      <c r="I1706" s="16">
        <v>149</v>
      </c>
      <c r="J1706" s="16">
        <v>0</v>
      </c>
      <c r="K1706" s="16">
        <v>163.9</v>
      </c>
      <c r="L1706" s="16" t="s">
        <v>207</v>
      </c>
      <c r="M1706" s="16" t="s">
        <v>119</v>
      </c>
      <c r="N1706" s="27">
        <v>45533.061111111114</v>
      </c>
      <c r="O1706" s="27">
        <v>45533.8</v>
      </c>
      <c r="P1706" s="16">
        <v>3.4</v>
      </c>
      <c r="Q1706" s="16" t="b">
        <f>FALSE()</f>
        <v>0</v>
      </c>
      <c r="R1706" s="16" t="b">
        <f>FALSE()</f>
        <v>0</v>
      </c>
      <c r="S1706" s="17">
        <f t="shared" si="26"/>
        <v>17.7</v>
      </c>
      <c r="T1706">
        <f>COUNTIF('👤 Customers'!$A:$A, B1706)</f>
        <v>1</v>
      </c>
      <c r="U1706">
        <f>COUNTIF('🚴 Riders'!A1705:A1765, C1706)</f>
        <v>0</v>
      </c>
      <c r="V1706">
        <f>COUNTIF('🏭 Facilities'!A1705:A1713, D1706)</f>
        <v>0</v>
      </c>
    </row>
    <row r="1707" spans="1:22">
      <c r="A1707" s="18" t="s">
        <v>4075</v>
      </c>
      <c r="B1707" s="18" t="s">
        <v>1428</v>
      </c>
      <c r="C1707" s="18" t="s">
        <v>188</v>
      </c>
      <c r="D1707" s="18" t="s">
        <v>137</v>
      </c>
      <c r="E1707" s="26">
        <v>44992</v>
      </c>
      <c r="F1707" s="18" t="s">
        <v>4076</v>
      </c>
      <c r="G1707" s="18" t="s">
        <v>176</v>
      </c>
      <c r="H1707" s="18">
        <v>1.4</v>
      </c>
      <c r="I1707" s="18">
        <v>599</v>
      </c>
      <c r="J1707" s="18">
        <v>0</v>
      </c>
      <c r="K1707" s="18">
        <v>838.6</v>
      </c>
      <c r="L1707" s="18" t="s">
        <v>207</v>
      </c>
      <c r="M1707" s="18" t="s">
        <v>119</v>
      </c>
      <c r="N1707" s="28">
        <v>44992.876388888886</v>
      </c>
      <c r="O1707" s="28">
        <v>44993.633333333331</v>
      </c>
      <c r="P1707" s="18">
        <v>4.5999999999999996</v>
      </c>
      <c r="Q1707" s="18" t="b">
        <f>FALSE()</f>
        <v>0</v>
      </c>
      <c r="R1707" s="18" t="b">
        <f>FALSE()</f>
        <v>0</v>
      </c>
      <c r="S1707" s="19">
        <f t="shared" si="26"/>
        <v>18.2</v>
      </c>
      <c r="T1707">
        <f>COUNTIF('👤 Customers'!$A:$A, B1707)</f>
        <v>1</v>
      </c>
      <c r="U1707">
        <f>COUNTIF('🚴 Riders'!A1706:A1766, C1707)</f>
        <v>0</v>
      </c>
      <c r="V1707">
        <f>COUNTIF('🏭 Facilities'!A1706:A1714, D1707)</f>
        <v>0</v>
      </c>
    </row>
    <row r="1708" spans="1:22">
      <c r="A1708" s="16" t="s">
        <v>4077</v>
      </c>
      <c r="B1708" s="16" t="s">
        <v>1282</v>
      </c>
      <c r="C1708" s="16" t="s">
        <v>157</v>
      </c>
      <c r="D1708" s="16" t="s">
        <v>137</v>
      </c>
      <c r="E1708" s="25">
        <v>45145</v>
      </c>
      <c r="F1708" s="16" t="s">
        <v>4078</v>
      </c>
      <c r="G1708" s="16" t="s">
        <v>145</v>
      </c>
      <c r="H1708" s="16">
        <v>1.4</v>
      </c>
      <c r="I1708" s="16">
        <v>299</v>
      </c>
      <c r="J1708" s="16">
        <v>10</v>
      </c>
      <c r="K1708" s="16">
        <v>376.74</v>
      </c>
      <c r="L1708" s="16" t="s">
        <v>207</v>
      </c>
      <c r="M1708" s="16" t="s">
        <v>119</v>
      </c>
      <c r="N1708" s="27">
        <v>45145.244444444441</v>
      </c>
      <c r="O1708" s="27">
        <v>45145.828472222223</v>
      </c>
      <c r="P1708" s="16">
        <v>2.5</v>
      </c>
      <c r="Q1708" s="16" t="b">
        <f>FALSE()</f>
        <v>0</v>
      </c>
      <c r="R1708" s="16" t="b">
        <f>FALSE()</f>
        <v>0</v>
      </c>
      <c r="S1708" s="17">
        <f t="shared" si="26"/>
        <v>14</v>
      </c>
      <c r="T1708">
        <f>COUNTIF('👤 Customers'!$A:$A, B1708)</f>
        <v>1</v>
      </c>
      <c r="U1708">
        <f>COUNTIF('🚴 Riders'!A1707:A1767, C1708)</f>
        <v>0</v>
      </c>
      <c r="V1708">
        <f>COUNTIF('🏭 Facilities'!A1707:A1715, D1708)</f>
        <v>0</v>
      </c>
    </row>
    <row r="1709" spans="1:22">
      <c r="A1709" s="18" t="s">
        <v>4079</v>
      </c>
      <c r="B1709" s="18" t="s">
        <v>782</v>
      </c>
      <c r="C1709" s="18" t="s">
        <v>204</v>
      </c>
      <c r="D1709" s="18" t="s">
        <v>197</v>
      </c>
      <c r="E1709" s="26">
        <v>45551</v>
      </c>
      <c r="F1709" s="18" t="s">
        <v>4080</v>
      </c>
      <c r="G1709" s="18" t="s">
        <v>132</v>
      </c>
      <c r="H1709" s="18">
        <v>2</v>
      </c>
      <c r="I1709" s="18">
        <v>399</v>
      </c>
      <c r="J1709" s="18">
        <v>0</v>
      </c>
      <c r="K1709" s="18">
        <v>798</v>
      </c>
      <c r="L1709" s="18" t="s">
        <v>118</v>
      </c>
      <c r="M1709" s="18" t="s">
        <v>119</v>
      </c>
      <c r="N1709" s="28">
        <v>45551.446527777778</v>
      </c>
      <c r="O1709" s="28">
        <v>45552.165972222225</v>
      </c>
      <c r="P1709" s="18">
        <v>3.3</v>
      </c>
      <c r="Q1709" s="18" t="b">
        <f>FALSE()</f>
        <v>0</v>
      </c>
      <c r="R1709" s="18" t="b">
        <f>FALSE()</f>
        <v>0</v>
      </c>
      <c r="S1709" s="19">
        <f t="shared" si="26"/>
        <v>17.3</v>
      </c>
      <c r="T1709">
        <f>COUNTIF('👤 Customers'!$A:$A, B1709)</f>
        <v>1</v>
      </c>
      <c r="U1709">
        <f>COUNTIF('🚴 Riders'!A1708:A1768, C1709)</f>
        <v>0</v>
      </c>
      <c r="V1709">
        <f>COUNTIF('🏭 Facilities'!A1708:A1716, D1709)</f>
        <v>0</v>
      </c>
    </row>
    <row r="1710" spans="1:22">
      <c r="A1710" s="16" t="s">
        <v>4081</v>
      </c>
      <c r="B1710" s="16" t="s">
        <v>353</v>
      </c>
      <c r="C1710" s="16" t="s">
        <v>157</v>
      </c>
      <c r="D1710" s="16" t="s">
        <v>197</v>
      </c>
      <c r="E1710" s="25">
        <v>45577</v>
      </c>
      <c r="F1710" s="16" t="s">
        <v>4082</v>
      </c>
      <c r="G1710" s="16" t="s">
        <v>132</v>
      </c>
      <c r="H1710" s="16">
        <v>4.0999999999999996</v>
      </c>
      <c r="I1710" s="16">
        <v>399</v>
      </c>
      <c r="J1710" s="16">
        <v>10</v>
      </c>
      <c r="K1710" s="16">
        <v>1472.31</v>
      </c>
      <c r="L1710" s="16" t="s">
        <v>126</v>
      </c>
      <c r="M1710" s="16" t="s">
        <v>119</v>
      </c>
      <c r="N1710" s="27">
        <v>45577.900694444441</v>
      </c>
      <c r="O1710" s="27">
        <v>45578.930555555555</v>
      </c>
      <c r="P1710" s="16">
        <v>4.2</v>
      </c>
      <c r="Q1710" s="16" t="b">
        <f>FALSE()</f>
        <v>0</v>
      </c>
      <c r="R1710" s="16" t="b">
        <f>FALSE()</f>
        <v>0</v>
      </c>
      <c r="S1710" s="17">
        <f t="shared" si="26"/>
        <v>24.7</v>
      </c>
      <c r="T1710">
        <f>COUNTIF('👤 Customers'!$A:$A, B1710)</f>
        <v>1</v>
      </c>
      <c r="U1710">
        <f>COUNTIF('🚴 Riders'!A1709:A1769, C1710)</f>
        <v>0</v>
      </c>
      <c r="V1710">
        <f>COUNTIF('🏭 Facilities'!A1709:A1717, D1710)</f>
        <v>0</v>
      </c>
    </row>
    <row r="1711" spans="1:22">
      <c r="A1711" s="18" t="s">
        <v>4083</v>
      </c>
      <c r="B1711" s="18" t="s">
        <v>3098</v>
      </c>
      <c r="C1711" s="18" t="s">
        <v>308</v>
      </c>
      <c r="D1711" s="18" t="s">
        <v>137</v>
      </c>
      <c r="E1711" s="26">
        <v>45253</v>
      </c>
      <c r="F1711" s="18" t="s">
        <v>4084</v>
      </c>
      <c r="G1711" s="18" t="s">
        <v>145</v>
      </c>
      <c r="H1711" s="18">
        <v>3.4</v>
      </c>
      <c r="I1711" s="18">
        <v>299</v>
      </c>
      <c r="J1711" s="18">
        <v>0</v>
      </c>
      <c r="K1711" s="18">
        <v>1016.6</v>
      </c>
      <c r="L1711" s="18" t="s">
        <v>146</v>
      </c>
      <c r="M1711" s="18" t="s">
        <v>140</v>
      </c>
      <c r="N1711" s="28">
        <v>45253.87222222222</v>
      </c>
      <c r="O1711" s="28">
        <v>45254.870833333334</v>
      </c>
      <c r="P1711" s="20"/>
      <c r="Q1711" s="18" t="b">
        <f>TRUE()</f>
        <v>1</v>
      </c>
      <c r="R1711" s="18" t="b">
        <f>FALSE()</f>
        <v>0</v>
      </c>
      <c r="S1711" s="19">
        <f t="shared" si="26"/>
        <v>24</v>
      </c>
      <c r="T1711">
        <f>COUNTIF('👤 Customers'!$A:$A, B1711)</f>
        <v>1</v>
      </c>
      <c r="U1711">
        <f>COUNTIF('🚴 Riders'!A1710:A1770, C1711)</f>
        <v>0</v>
      </c>
      <c r="V1711">
        <f>COUNTIF('🏭 Facilities'!A1710:A1718, D1711)</f>
        <v>0</v>
      </c>
    </row>
    <row r="1712" spans="1:22">
      <c r="A1712" s="16" t="s">
        <v>4085</v>
      </c>
      <c r="B1712" s="16" t="s">
        <v>1130</v>
      </c>
      <c r="C1712" s="16" t="s">
        <v>183</v>
      </c>
      <c r="D1712" s="16" t="s">
        <v>197</v>
      </c>
      <c r="E1712" s="25">
        <v>45176</v>
      </c>
      <c r="F1712" s="16" t="s">
        <v>4086</v>
      </c>
      <c r="G1712" s="16" t="s">
        <v>145</v>
      </c>
      <c r="H1712" s="16">
        <v>4.8</v>
      </c>
      <c r="I1712" s="16">
        <v>299</v>
      </c>
      <c r="J1712" s="16">
        <v>0</v>
      </c>
      <c r="K1712" s="16">
        <v>1435.2</v>
      </c>
      <c r="L1712" s="16" t="s">
        <v>139</v>
      </c>
      <c r="M1712" s="16" t="s">
        <v>119</v>
      </c>
      <c r="N1712" s="27">
        <v>45176.583333333336</v>
      </c>
      <c r="O1712" s="27">
        <v>45177.356249999997</v>
      </c>
      <c r="P1712" s="16">
        <v>3.7</v>
      </c>
      <c r="Q1712" s="16" t="b">
        <f>FALSE()</f>
        <v>0</v>
      </c>
      <c r="R1712" s="16" t="b">
        <f>FALSE()</f>
        <v>0</v>
      </c>
      <c r="S1712" s="17">
        <f t="shared" si="26"/>
        <v>18.5</v>
      </c>
      <c r="T1712">
        <f>COUNTIF('👤 Customers'!$A:$A, B1712)</f>
        <v>1</v>
      </c>
      <c r="U1712">
        <f>COUNTIF('🚴 Riders'!A1711:A1771, C1712)</f>
        <v>0</v>
      </c>
      <c r="V1712">
        <f>COUNTIF('🏭 Facilities'!A1711:A1719, D1712)</f>
        <v>0</v>
      </c>
    </row>
    <row r="1713" spans="1:22">
      <c r="A1713" s="18" t="s">
        <v>4087</v>
      </c>
      <c r="B1713" s="18" t="s">
        <v>507</v>
      </c>
      <c r="C1713" s="18" t="s">
        <v>236</v>
      </c>
      <c r="D1713" s="18" t="s">
        <v>197</v>
      </c>
      <c r="E1713" s="26">
        <v>44945</v>
      </c>
      <c r="F1713" s="18" t="s">
        <v>4088</v>
      </c>
      <c r="G1713" s="18" t="s">
        <v>145</v>
      </c>
      <c r="H1713" s="18">
        <v>5.4</v>
      </c>
      <c r="I1713" s="18">
        <v>299</v>
      </c>
      <c r="J1713" s="18">
        <v>0</v>
      </c>
      <c r="K1713" s="18">
        <v>1614.6</v>
      </c>
      <c r="L1713" s="18" t="s">
        <v>146</v>
      </c>
      <c r="M1713" s="18" t="s">
        <v>119</v>
      </c>
      <c r="N1713" s="28">
        <v>44945.722916666666</v>
      </c>
      <c r="O1713" s="28">
        <v>44946.211805555555</v>
      </c>
      <c r="P1713" s="18">
        <v>3.4</v>
      </c>
      <c r="Q1713" s="18" t="b">
        <f>FALSE()</f>
        <v>0</v>
      </c>
      <c r="R1713" s="18" t="b">
        <f>FALSE()</f>
        <v>0</v>
      </c>
      <c r="S1713" s="19">
        <f t="shared" si="26"/>
        <v>11.7</v>
      </c>
      <c r="T1713">
        <f>COUNTIF('👤 Customers'!$A:$A, B1713)</f>
        <v>1</v>
      </c>
      <c r="U1713">
        <f>COUNTIF('🚴 Riders'!A1712:A1772, C1713)</f>
        <v>0</v>
      </c>
      <c r="V1713">
        <f>COUNTIF('🏭 Facilities'!A1712:A1720, D1713)</f>
        <v>0</v>
      </c>
    </row>
    <row r="1714" spans="1:22">
      <c r="A1714" s="16" t="s">
        <v>4089</v>
      </c>
      <c r="B1714" s="16" t="s">
        <v>723</v>
      </c>
      <c r="C1714" s="16" t="s">
        <v>350</v>
      </c>
      <c r="D1714" s="16" t="s">
        <v>137</v>
      </c>
      <c r="E1714" s="25">
        <v>45221</v>
      </c>
      <c r="F1714" s="16" t="s">
        <v>4090</v>
      </c>
      <c r="G1714" s="16" t="s">
        <v>176</v>
      </c>
      <c r="H1714" s="16">
        <v>6</v>
      </c>
      <c r="I1714" s="16">
        <v>599</v>
      </c>
      <c r="J1714" s="16">
        <v>10</v>
      </c>
      <c r="K1714" s="16">
        <v>3234.6</v>
      </c>
      <c r="L1714" s="16" t="s">
        <v>146</v>
      </c>
      <c r="M1714" s="16" t="s">
        <v>119</v>
      </c>
      <c r="N1714" s="27">
        <v>45221.109722222223</v>
      </c>
      <c r="O1714" s="27">
        <v>45222.092361111114</v>
      </c>
      <c r="P1714" s="16">
        <v>3.3</v>
      </c>
      <c r="Q1714" s="16" t="b">
        <f>TRUE()</f>
        <v>1</v>
      </c>
      <c r="R1714" s="16" t="b">
        <f>TRUE()</f>
        <v>1</v>
      </c>
      <c r="S1714" s="17">
        <f t="shared" si="26"/>
        <v>23.6</v>
      </c>
      <c r="T1714">
        <f>COUNTIF('👤 Customers'!$A:$A, B1714)</f>
        <v>1</v>
      </c>
      <c r="U1714">
        <f>COUNTIF('🚴 Riders'!A1713:A1773, C1714)</f>
        <v>0</v>
      </c>
      <c r="V1714">
        <f>COUNTIF('🏭 Facilities'!A1713:A1721, D1714)</f>
        <v>0</v>
      </c>
    </row>
    <row r="1715" spans="1:22">
      <c r="A1715" s="18" t="s">
        <v>4091</v>
      </c>
      <c r="B1715" s="18" t="s">
        <v>569</v>
      </c>
      <c r="C1715" s="18" t="s">
        <v>1092</v>
      </c>
      <c r="D1715" s="18" t="s">
        <v>130</v>
      </c>
      <c r="E1715" s="26">
        <v>45506</v>
      </c>
      <c r="F1715" s="18" t="s">
        <v>4092</v>
      </c>
      <c r="G1715" s="18" t="s">
        <v>132</v>
      </c>
      <c r="H1715" s="18">
        <v>4.2</v>
      </c>
      <c r="I1715" s="18">
        <v>399</v>
      </c>
      <c r="J1715" s="18">
        <v>0</v>
      </c>
      <c r="K1715" s="18">
        <v>1675.8</v>
      </c>
      <c r="L1715" s="18" t="s">
        <v>126</v>
      </c>
      <c r="M1715" s="18" t="s">
        <v>119</v>
      </c>
      <c r="N1715" s="28">
        <v>45506.894444444442</v>
      </c>
      <c r="O1715" s="28">
        <v>45507.665277777778</v>
      </c>
      <c r="P1715" s="18">
        <v>3</v>
      </c>
      <c r="Q1715" s="18" t="b">
        <f>FALSE()</f>
        <v>0</v>
      </c>
      <c r="R1715" s="18" t="b">
        <f>FALSE()</f>
        <v>0</v>
      </c>
      <c r="S1715" s="19">
        <f t="shared" si="26"/>
        <v>18.5</v>
      </c>
      <c r="T1715">
        <f>COUNTIF('👤 Customers'!$A:$A, B1715)</f>
        <v>1</v>
      </c>
      <c r="U1715">
        <f>COUNTIF('🚴 Riders'!A1714:A1774, C1715)</f>
        <v>0</v>
      </c>
      <c r="V1715">
        <f>COUNTIF('🏭 Facilities'!A1714:A1722, D1715)</f>
        <v>0</v>
      </c>
    </row>
    <row r="1716" spans="1:22">
      <c r="A1716" s="16" t="s">
        <v>4093</v>
      </c>
      <c r="B1716" s="16" t="s">
        <v>3475</v>
      </c>
      <c r="C1716" s="16" t="s">
        <v>343</v>
      </c>
      <c r="D1716" s="16" t="s">
        <v>197</v>
      </c>
      <c r="E1716" s="25">
        <v>45438</v>
      </c>
      <c r="F1716" s="16" t="s">
        <v>4094</v>
      </c>
      <c r="G1716" s="16" t="s">
        <v>176</v>
      </c>
      <c r="H1716" s="16">
        <v>7</v>
      </c>
      <c r="I1716" s="16">
        <v>599</v>
      </c>
      <c r="J1716" s="16">
        <v>0</v>
      </c>
      <c r="K1716" s="16">
        <v>4193</v>
      </c>
      <c r="L1716" s="16" t="s">
        <v>139</v>
      </c>
      <c r="M1716" s="16" t="s">
        <v>119</v>
      </c>
      <c r="N1716" s="27">
        <v>45438.67083333333</v>
      </c>
      <c r="O1716" s="27">
        <v>45439.402083333334</v>
      </c>
      <c r="P1716" s="16">
        <v>4.0999999999999996</v>
      </c>
      <c r="Q1716" s="16" t="b">
        <f>FALSE()</f>
        <v>0</v>
      </c>
      <c r="R1716" s="16" t="b">
        <f>FALSE()</f>
        <v>0</v>
      </c>
      <c r="S1716" s="17">
        <f t="shared" si="26"/>
        <v>17.600000000000001</v>
      </c>
      <c r="T1716">
        <f>COUNTIF('👤 Customers'!$A:$A, B1716)</f>
        <v>1</v>
      </c>
      <c r="U1716">
        <f>COUNTIF('🚴 Riders'!A1715:A1775, C1716)</f>
        <v>0</v>
      </c>
      <c r="V1716">
        <f>COUNTIF('🏭 Facilities'!A1715:A1723, D1716)</f>
        <v>0</v>
      </c>
    </row>
    <row r="1717" spans="1:22">
      <c r="A1717" s="18" t="s">
        <v>4095</v>
      </c>
      <c r="B1717" s="18" t="s">
        <v>371</v>
      </c>
      <c r="C1717" s="18" t="s">
        <v>228</v>
      </c>
      <c r="D1717" s="18" t="s">
        <v>123</v>
      </c>
      <c r="E1717" s="26">
        <v>45247</v>
      </c>
      <c r="F1717" s="18" t="s">
        <v>4096</v>
      </c>
      <c r="G1717" s="18" t="s">
        <v>117</v>
      </c>
      <c r="H1717" s="18">
        <v>5</v>
      </c>
      <c r="I1717" s="18">
        <v>149</v>
      </c>
      <c r="J1717" s="18">
        <v>20</v>
      </c>
      <c r="K1717" s="18">
        <v>596</v>
      </c>
      <c r="L1717" s="18" t="s">
        <v>126</v>
      </c>
      <c r="M1717" s="18" t="s">
        <v>119</v>
      </c>
      <c r="N1717" s="28">
        <v>45247.731249999997</v>
      </c>
      <c r="O1717" s="28">
        <v>45248.724305555559</v>
      </c>
      <c r="P1717" s="18">
        <v>4.5</v>
      </c>
      <c r="Q1717" s="18" t="b">
        <f>FALSE()</f>
        <v>0</v>
      </c>
      <c r="R1717" s="18" t="b">
        <f>TRUE()</f>
        <v>1</v>
      </c>
      <c r="S1717" s="19">
        <f t="shared" si="26"/>
        <v>23.8</v>
      </c>
      <c r="T1717">
        <f>COUNTIF('👤 Customers'!$A:$A, B1717)</f>
        <v>1</v>
      </c>
      <c r="U1717">
        <f>COUNTIF('🚴 Riders'!A1716:A1776, C1717)</f>
        <v>0</v>
      </c>
      <c r="V1717">
        <f>COUNTIF('🏭 Facilities'!A1716:A1724, D1717)</f>
        <v>0</v>
      </c>
    </row>
    <row r="1718" spans="1:22">
      <c r="A1718" s="16" t="s">
        <v>4097</v>
      </c>
      <c r="B1718" s="16" t="s">
        <v>1615</v>
      </c>
      <c r="C1718" s="16" t="s">
        <v>536</v>
      </c>
      <c r="D1718" s="16" t="s">
        <v>123</v>
      </c>
      <c r="E1718" s="25">
        <v>45259</v>
      </c>
      <c r="F1718" s="16" t="s">
        <v>4098</v>
      </c>
      <c r="G1718" s="16" t="s">
        <v>145</v>
      </c>
      <c r="H1718" s="16">
        <v>3</v>
      </c>
      <c r="I1718" s="16">
        <v>299</v>
      </c>
      <c r="J1718" s="16">
        <v>0</v>
      </c>
      <c r="K1718" s="16">
        <v>897</v>
      </c>
      <c r="L1718" s="16" t="s">
        <v>118</v>
      </c>
      <c r="M1718" s="16" t="s">
        <v>119</v>
      </c>
      <c r="N1718" s="27">
        <v>45259.561805555553</v>
      </c>
      <c r="O1718" s="27">
        <v>45260.197222222225</v>
      </c>
      <c r="P1718" s="16">
        <v>4.9000000000000004</v>
      </c>
      <c r="Q1718" s="16" t="b">
        <f>FALSE()</f>
        <v>0</v>
      </c>
      <c r="R1718" s="16" t="b">
        <f>FALSE()</f>
        <v>0</v>
      </c>
      <c r="S1718" s="17">
        <f t="shared" si="26"/>
        <v>15.3</v>
      </c>
      <c r="T1718">
        <f>COUNTIF('👤 Customers'!$A:$A, B1718)</f>
        <v>1</v>
      </c>
      <c r="U1718">
        <f>COUNTIF('🚴 Riders'!A1717:A1777, C1718)</f>
        <v>0</v>
      </c>
      <c r="V1718">
        <f>COUNTIF('🏭 Facilities'!A1717:A1725, D1718)</f>
        <v>0</v>
      </c>
    </row>
    <row r="1719" spans="1:22">
      <c r="A1719" s="18" t="s">
        <v>4099</v>
      </c>
      <c r="B1719" s="18" t="s">
        <v>2220</v>
      </c>
      <c r="C1719" s="18" t="s">
        <v>343</v>
      </c>
      <c r="D1719" s="18" t="s">
        <v>115</v>
      </c>
      <c r="E1719" s="26">
        <v>45120</v>
      </c>
      <c r="F1719" s="18" t="s">
        <v>4100</v>
      </c>
      <c r="G1719" s="18" t="s">
        <v>145</v>
      </c>
      <c r="H1719" s="18">
        <v>7.7</v>
      </c>
      <c r="I1719" s="18">
        <v>299</v>
      </c>
      <c r="J1719" s="18">
        <v>0</v>
      </c>
      <c r="K1719" s="18">
        <v>2302.3000000000002</v>
      </c>
      <c r="L1719" s="18" t="s">
        <v>146</v>
      </c>
      <c r="M1719" s="18" t="s">
        <v>119</v>
      </c>
      <c r="N1719" s="28">
        <v>45120.397916666669</v>
      </c>
      <c r="O1719" s="28">
        <v>45121.304166666669</v>
      </c>
      <c r="P1719" s="18">
        <v>3.2</v>
      </c>
      <c r="Q1719" s="18" t="b">
        <f>FALSE()</f>
        <v>0</v>
      </c>
      <c r="R1719" s="18" t="b">
        <f>TRUE()</f>
        <v>1</v>
      </c>
      <c r="S1719" s="19">
        <f t="shared" si="26"/>
        <v>21.8</v>
      </c>
      <c r="T1719">
        <f>COUNTIF('👤 Customers'!$A:$A, B1719)</f>
        <v>1</v>
      </c>
      <c r="U1719">
        <f>COUNTIF('🚴 Riders'!A1718:A1778, C1719)</f>
        <v>0</v>
      </c>
      <c r="V1719">
        <f>COUNTIF('🏭 Facilities'!A1718:A1726, D1719)</f>
        <v>0</v>
      </c>
    </row>
    <row r="1720" spans="1:22">
      <c r="A1720" s="16" t="s">
        <v>4101</v>
      </c>
      <c r="B1720" s="16" t="s">
        <v>731</v>
      </c>
      <c r="C1720" s="16" t="s">
        <v>276</v>
      </c>
      <c r="D1720" s="16" t="s">
        <v>137</v>
      </c>
      <c r="E1720" s="25">
        <v>45559</v>
      </c>
      <c r="F1720" s="16" t="s">
        <v>4102</v>
      </c>
      <c r="G1720" s="16" t="s">
        <v>176</v>
      </c>
      <c r="H1720" s="16">
        <v>3</v>
      </c>
      <c r="I1720" s="16">
        <v>599</v>
      </c>
      <c r="J1720" s="16">
        <v>0</v>
      </c>
      <c r="K1720" s="16">
        <v>1797</v>
      </c>
      <c r="L1720" s="16" t="s">
        <v>146</v>
      </c>
      <c r="M1720" s="16" t="s">
        <v>119</v>
      </c>
      <c r="N1720" s="27">
        <v>45559.38958333333</v>
      </c>
      <c r="O1720" s="27">
        <v>45559.997916666667</v>
      </c>
      <c r="P1720" s="16">
        <v>3.5</v>
      </c>
      <c r="Q1720" s="16" t="b">
        <f>FALSE()</f>
        <v>0</v>
      </c>
      <c r="R1720" s="16" t="b">
        <f>FALSE()</f>
        <v>0</v>
      </c>
      <c r="S1720" s="17">
        <f t="shared" si="26"/>
        <v>14.6</v>
      </c>
      <c r="T1720">
        <f>COUNTIF('👤 Customers'!$A:$A, B1720)</f>
        <v>1</v>
      </c>
      <c r="U1720">
        <f>COUNTIF('🚴 Riders'!A1719:A1779, C1720)</f>
        <v>0</v>
      </c>
      <c r="V1720">
        <f>COUNTIF('🏭 Facilities'!A1719:A1727, D1720)</f>
        <v>0</v>
      </c>
    </row>
    <row r="1721" spans="1:22">
      <c r="A1721" s="18" t="s">
        <v>4103</v>
      </c>
      <c r="B1721" s="18" t="s">
        <v>271</v>
      </c>
      <c r="C1721" s="18" t="s">
        <v>236</v>
      </c>
      <c r="D1721" s="18" t="s">
        <v>137</v>
      </c>
      <c r="E1721" s="26">
        <v>45594</v>
      </c>
      <c r="F1721" s="18" t="s">
        <v>4104</v>
      </c>
      <c r="G1721" s="18" t="s">
        <v>125</v>
      </c>
      <c r="H1721" s="18">
        <v>2</v>
      </c>
      <c r="I1721" s="18">
        <v>199</v>
      </c>
      <c r="J1721" s="18">
        <v>10</v>
      </c>
      <c r="K1721" s="18">
        <v>358.2</v>
      </c>
      <c r="L1721" s="18" t="s">
        <v>146</v>
      </c>
      <c r="M1721" s="18" t="s">
        <v>119</v>
      </c>
      <c r="N1721" s="28">
        <v>45594.14166666667</v>
      </c>
      <c r="O1721" s="28">
        <v>45595.069444444445</v>
      </c>
      <c r="P1721" s="18">
        <v>4.9000000000000004</v>
      </c>
      <c r="Q1721" s="18" t="b">
        <f>FALSE()</f>
        <v>0</v>
      </c>
      <c r="R1721" s="18" t="b">
        <f>FALSE()</f>
        <v>0</v>
      </c>
      <c r="S1721" s="19">
        <f t="shared" si="26"/>
        <v>22.3</v>
      </c>
      <c r="T1721">
        <f>COUNTIF('👤 Customers'!$A:$A, B1721)</f>
        <v>1</v>
      </c>
      <c r="U1721">
        <f>COUNTIF('🚴 Riders'!A1720:A1780, C1721)</f>
        <v>0</v>
      </c>
      <c r="V1721">
        <f>COUNTIF('🏭 Facilities'!A1720:A1728, D1721)</f>
        <v>0</v>
      </c>
    </row>
    <row r="1722" spans="1:22">
      <c r="A1722" s="16" t="s">
        <v>4105</v>
      </c>
      <c r="B1722" s="16" t="s">
        <v>734</v>
      </c>
      <c r="C1722" s="16" t="s">
        <v>487</v>
      </c>
      <c r="D1722" s="16" t="s">
        <v>123</v>
      </c>
      <c r="E1722" s="25">
        <v>45403</v>
      </c>
      <c r="F1722" s="16" t="s">
        <v>4106</v>
      </c>
      <c r="G1722" s="16" t="s">
        <v>145</v>
      </c>
      <c r="H1722" s="16">
        <v>5.0999999999999996</v>
      </c>
      <c r="I1722" s="16">
        <v>299</v>
      </c>
      <c r="J1722" s="16">
        <v>0</v>
      </c>
      <c r="K1722" s="16">
        <v>1524.9</v>
      </c>
      <c r="L1722" s="16" t="s">
        <v>139</v>
      </c>
      <c r="M1722" s="16" t="s">
        <v>140</v>
      </c>
      <c r="N1722" s="27">
        <v>45403.970138888886</v>
      </c>
      <c r="O1722" s="27">
        <v>45404.917361111111</v>
      </c>
      <c r="P1722" s="20"/>
      <c r="Q1722" s="16" t="b">
        <f>FALSE()</f>
        <v>0</v>
      </c>
      <c r="R1722" s="16" t="b">
        <f>FALSE()</f>
        <v>0</v>
      </c>
      <c r="S1722" s="17">
        <f t="shared" si="26"/>
        <v>22.7</v>
      </c>
      <c r="T1722">
        <f>COUNTIF('👤 Customers'!$A:$A, B1722)</f>
        <v>1</v>
      </c>
      <c r="U1722">
        <f>COUNTIF('🚴 Riders'!A1721:A1781, C1722)</f>
        <v>0</v>
      </c>
      <c r="V1722">
        <f>COUNTIF('🏭 Facilities'!A1721:A1729, D1722)</f>
        <v>0</v>
      </c>
    </row>
    <row r="1723" spans="1:22">
      <c r="A1723" s="18" t="s">
        <v>4107</v>
      </c>
      <c r="B1723" s="18" t="s">
        <v>1382</v>
      </c>
      <c r="C1723" s="18" t="s">
        <v>611</v>
      </c>
      <c r="D1723" s="18" t="s">
        <v>184</v>
      </c>
      <c r="E1723" s="26">
        <v>45626</v>
      </c>
      <c r="F1723" s="18" t="s">
        <v>4108</v>
      </c>
      <c r="G1723" s="18" t="s">
        <v>125</v>
      </c>
      <c r="H1723" s="18">
        <v>2.2999999999999998</v>
      </c>
      <c r="I1723" s="18">
        <v>199</v>
      </c>
      <c r="J1723" s="18">
        <v>10</v>
      </c>
      <c r="K1723" s="18">
        <v>411.93</v>
      </c>
      <c r="L1723" s="18" t="s">
        <v>118</v>
      </c>
      <c r="M1723" s="18" t="s">
        <v>119</v>
      </c>
      <c r="N1723" s="28">
        <v>45627.004861111112</v>
      </c>
      <c r="O1723" s="28">
        <v>45627.724305555559</v>
      </c>
      <c r="P1723" s="18">
        <v>4.8</v>
      </c>
      <c r="Q1723" s="18" t="b">
        <f>FALSE()</f>
        <v>0</v>
      </c>
      <c r="R1723" s="18" t="b">
        <f>FALSE()</f>
        <v>0</v>
      </c>
      <c r="S1723" s="19">
        <f t="shared" si="26"/>
        <v>17.3</v>
      </c>
      <c r="T1723">
        <f>COUNTIF('👤 Customers'!$A:$A, B1723)</f>
        <v>1</v>
      </c>
      <c r="U1723">
        <f>COUNTIF('🚴 Riders'!A1722:A1782, C1723)</f>
        <v>0</v>
      </c>
      <c r="V1723">
        <f>COUNTIF('🏭 Facilities'!A1722:A1730, D1723)</f>
        <v>0</v>
      </c>
    </row>
    <row r="1724" spans="1:22">
      <c r="A1724" s="16" t="s">
        <v>4109</v>
      </c>
      <c r="B1724" s="16" t="s">
        <v>716</v>
      </c>
      <c r="C1724" s="16" t="s">
        <v>143</v>
      </c>
      <c r="D1724" s="16" t="s">
        <v>137</v>
      </c>
      <c r="E1724" s="25">
        <v>45287</v>
      </c>
      <c r="F1724" s="16" t="s">
        <v>4110</v>
      </c>
      <c r="G1724" s="16" t="s">
        <v>132</v>
      </c>
      <c r="H1724" s="16">
        <v>3.6</v>
      </c>
      <c r="I1724" s="16">
        <v>399</v>
      </c>
      <c r="J1724" s="16">
        <v>20</v>
      </c>
      <c r="K1724" s="16">
        <v>1149.1199999999999</v>
      </c>
      <c r="L1724" s="16" t="s">
        <v>126</v>
      </c>
      <c r="M1724" s="16" t="s">
        <v>119</v>
      </c>
      <c r="N1724" s="27">
        <v>45287.243055555555</v>
      </c>
      <c r="O1724" s="27">
        <v>45287.575694444444</v>
      </c>
      <c r="P1724" s="16">
        <v>3.2</v>
      </c>
      <c r="Q1724" s="16" t="b">
        <f>FALSE()</f>
        <v>0</v>
      </c>
      <c r="R1724" s="16" t="b">
        <f>FALSE()</f>
        <v>0</v>
      </c>
      <c r="S1724" s="17">
        <f t="shared" si="26"/>
        <v>8</v>
      </c>
      <c r="T1724">
        <f>COUNTIF('👤 Customers'!$A:$A, B1724)</f>
        <v>1</v>
      </c>
      <c r="U1724">
        <f>COUNTIF('🚴 Riders'!A1723:A1783, C1724)</f>
        <v>0</v>
      </c>
      <c r="V1724">
        <f>COUNTIF('🏭 Facilities'!A1723:A1731, D1724)</f>
        <v>0</v>
      </c>
    </row>
    <row r="1725" spans="1:22">
      <c r="A1725" s="18" t="s">
        <v>4111</v>
      </c>
      <c r="B1725" s="18" t="s">
        <v>1589</v>
      </c>
      <c r="C1725" s="18" t="s">
        <v>114</v>
      </c>
      <c r="D1725" s="18" t="s">
        <v>197</v>
      </c>
      <c r="E1725" s="26">
        <v>45038</v>
      </c>
      <c r="F1725" s="18" t="s">
        <v>4112</v>
      </c>
      <c r="G1725" s="18" t="s">
        <v>132</v>
      </c>
      <c r="H1725" s="18">
        <v>2.4</v>
      </c>
      <c r="I1725" s="18">
        <v>399</v>
      </c>
      <c r="J1725" s="18">
        <v>10</v>
      </c>
      <c r="K1725" s="18">
        <v>861.84</v>
      </c>
      <c r="L1725" s="18" t="s">
        <v>139</v>
      </c>
      <c r="M1725" s="18" t="s">
        <v>119</v>
      </c>
      <c r="N1725" s="28">
        <v>45038.984027777777</v>
      </c>
      <c r="O1725" s="28">
        <v>45040.02847222222</v>
      </c>
      <c r="P1725" s="18">
        <v>3.7</v>
      </c>
      <c r="Q1725" s="18" t="b">
        <f>FALSE()</f>
        <v>0</v>
      </c>
      <c r="R1725" s="18" t="b">
        <f>FALSE()</f>
        <v>0</v>
      </c>
      <c r="S1725" s="19">
        <f t="shared" si="26"/>
        <v>25.1</v>
      </c>
      <c r="T1725">
        <f>COUNTIF('👤 Customers'!$A:$A, B1725)</f>
        <v>1</v>
      </c>
      <c r="U1725">
        <f>COUNTIF('🚴 Riders'!A1724:A1784, C1725)</f>
        <v>0</v>
      </c>
      <c r="V1725">
        <f>COUNTIF('🏭 Facilities'!A1724:A1732, D1725)</f>
        <v>0</v>
      </c>
    </row>
    <row r="1726" spans="1:22">
      <c r="A1726" s="16" t="s">
        <v>4113</v>
      </c>
      <c r="B1726" s="16" t="s">
        <v>209</v>
      </c>
      <c r="C1726" s="16" t="s">
        <v>232</v>
      </c>
      <c r="D1726" s="16" t="s">
        <v>184</v>
      </c>
      <c r="E1726" s="25">
        <v>45234</v>
      </c>
      <c r="F1726" s="16" t="s">
        <v>4114</v>
      </c>
      <c r="G1726" s="16" t="s">
        <v>132</v>
      </c>
      <c r="H1726" s="16">
        <v>3.8</v>
      </c>
      <c r="I1726" s="16">
        <v>399</v>
      </c>
      <c r="J1726" s="16">
        <v>0</v>
      </c>
      <c r="K1726" s="16">
        <v>1516.2</v>
      </c>
      <c r="L1726" s="16" t="s">
        <v>126</v>
      </c>
      <c r="M1726" s="16" t="s">
        <v>119</v>
      </c>
      <c r="N1726" s="27">
        <v>45234.279166666667</v>
      </c>
      <c r="O1726" s="27">
        <v>45235.226388888892</v>
      </c>
      <c r="P1726" s="16">
        <v>2.7</v>
      </c>
      <c r="Q1726" s="16" t="b">
        <f>TRUE()</f>
        <v>1</v>
      </c>
      <c r="R1726" s="16" t="b">
        <f>FALSE()</f>
        <v>0</v>
      </c>
      <c r="S1726" s="17">
        <f t="shared" si="26"/>
        <v>22.7</v>
      </c>
      <c r="T1726">
        <f>COUNTIF('👤 Customers'!$A:$A, B1726)</f>
        <v>1</v>
      </c>
      <c r="U1726">
        <f>COUNTIF('🚴 Riders'!A1725:A1785, C1726)</f>
        <v>0</v>
      </c>
      <c r="V1726">
        <f>COUNTIF('🏭 Facilities'!A1725:A1733, D1726)</f>
        <v>0</v>
      </c>
    </row>
    <row r="1727" spans="1:22">
      <c r="A1727" s="18" t="s">
        <v>4115</v>
      </c>
      <c r="B1727" s="18" t="s">
        <v>3098</v>
      </c>
      <c r="C1727" s="18" t="s">
        <v>188</v>
      </c>
      <c r="D1727" s="18" t="s">
        <v>123</v>
      </c>
      <c r="E1727" s="26">
        <v>45044</v>
      </c>
      <c r="F1727" s="18" t="s">
        <v>4116</v>
      </c>
      <c r="G1727" s="18" t="s">
        <v>125</v>
      </c>
      <c r="H1727" s="18">
        <v>6.8</v>
      </c>
      <c r="I1727" s="18">
        <v>199</v>
      </c>
      <c r="J1727" s="18">
        <v>20</v>
      </c>
      <c r="K1727" s="18">
        <v>1082.56</v>
      </c>
      <c r="L1727" s="18" t="s">
        <v>146</v>
      </c>
      <c r="M1727" s="18" t="s">
        <v>140</v>
      </c>
      <c r="N1727" s="28">
        <v>45044.830555555556</v>
      </c>
      <c r="O1727" s="28">
        <v>45045.417361111111</v>
      </c>
      <c r="P1727" s="20"/>
      <c r="Q1727" s="18" t="b">
        <f>FALSE()</f>
        <v>0</v>
      </c>
      <c r="R1727" s="18" t="b">
        <f>FALSE()</f>
        <v>0</v>
      </c>
      <c r="S1727" s="19">
        <f t="shared" si="26"/>
        <v>14.1</v>
      </c>
      <c r="T1727">
        <f>COUNTIF('👤 Customers'!$A:$A, B1727)</f>
        <v>1</v>
      </c>
      <c r="U1727">
        <f>COUNTIF('🚴 Riders'!A1726:A1786, C1727)</f>
        <v>0</v>
      </c>
      <c r="V1727">
        <f>COUNTIF('🏭 Facilities'!A1726:A1734, D1727)</f>
        <v>0</v>
      </c>
    </row>
    <row r="1728" spans="1:22">
      <c r="A1728" s="16" t="s">
        <v>4117</v>
      </c>
      <c r="B1728" s="16" t="s">
        <v>1382</v>
      </c>
      <c r="C1728" s="16" t="s">
        <v>339</v>
      </c>
      <c r="D1728" s="16" t="s">
        <v>158</v>
      </c>
      <c r="E1728" s="25">
        <v>45092</v>
      </c>
      <c r="F1728" s="16" t="s">
        <v>4118</v>
      </c>
      <c r="G1728" s="16" t="s">
        <v>145</v>
      </c>
      <c r="H1728" s="16">
        <v>6.9</v>
      </c>
      <c r="I1728" s="16">
        <v>299</v>
      </c>
      <c r="J1728" s="16">
        <v>10</v>
      </c>
      <c r="K1728" s="16">
        <v>1856.79</v>
      </c>
      <c r="L1728" s="16" t="s">
        <v>139</v>
      </c>
      <c r="M1728" s="16" t="s">
        <v>119</v>
      </c>
      <c r="N1728" s="27">
        <v>45092.090277777781</v>
      </c>
      <c r="O1728" s="27">
        <v>45092.988194444442</v>
      </c>
      <c r="P1728" s="16">
        <v>4.3</v>
      </c>
      <c r="Q1728" s="16" t="b">
        <f>FALSE()</f>
        <v>0</v>
      </c>
      <c r="R1728" s="16" t="b">
        <f>FALSE()</f>
        <v>0</v>
      </c>
      <c r="S1728" s="17">
        <f t="shared" si="26"/>
        <v>21.5</v>
      </c>
      <c r="T1728">
        <f>COUNTIF('👤 Customers'!$A:$A, B1728)</f>
        <v>1</v>
      </c>
      <c r="U1728">
        <f>COUNTIF('🚴 Riders'!A1727:A1787, C1728)</f>
        <v>0</v>
      </c>
      <c r="V1728">
        <f>COUNTIF('🏭 Facilities'!A1727:A1735, D1728)</f>
        <v>0</v>
      </c>
    </row>
    <row r="1729" spans="1:22">
      <c r="A1729" s="18" t="s">
        <v>4119</v>
      </c>
      <c r="B1729" s="18" t="s">
        <v>299</v>
      </c>
      <c r="C1729" s="18" t="s">
        <v>287</v>
      </c>
      <c r="D1729" s="18" t="s">
        <v>137</v>
      </c>
      <c r="E1729" s="26">
        <v>45223</v>
      </c>
      <c r="F1729" s="18" t="s">
        <v>4120</v>
      </c>
      <c r="G1729" s="18" t="s">
        <v>125</v>
      </c>
      <c r="H1729" s="18">
        <v>7</v>
      </c>
      <c r="I1729" s="18">
        <v>199</v>
      </c>
      <c r="J1729" s="18">
        <v>10</v>
      </c>
      <c r="K1729" s="18">
        <v>1253.7</v>
      </c>
      <c r="L1729" s="18" t="s">
        <v>126</v>
      </c>
      <c r="M1729" s="18" t="s">
        <v>119</v>
      </c>
      <c r="N1729" s="28">
        <v>45223.188194444447</v>
      </c>
      <c r="O1729" s="28">
        <v>45223.730555555558</v>
      </c>
      <c r="P1729" s="18">
        <v>3.9</v>
      </c>
      <c r="Q1729" s="18" t="b">
        <f>FALSE()</f>
        <v>0</v>
      </c>
      <c r="R1729" s="18" t="b">
        <f>FALSE()</f>
        <v>0</v>
      </c>
      <c r="S1729" s="19">
        <f t="shared" si="26"/>
        <v>13</v>
      </c>
      <c r="T1729">
        <f>COUNTIF('👤 Customers'!$A:$A, B1729)</f>
        <v>1</v>
      </c>
      <c r="U1729">
        <f>COUNTIF('🚴 Riders'!A1728:A1788, C1729)</f>
        <v>0</v>
      </c>
      <c r="V1729">
        <f>COUNTIF('🏭 Facilities'!A1728:A1736, D1729)</f>
        <v>0</v>
      </c>
    </row>
    <row r="1730" spans="1:22">
      <c r="A1730" s="16" t="s">
        <v>4121</v>
      </c>
      <c r="B1730" s="16" t="s">
        <v>377</v>
      </c>
      <c r="C1730" s="16" t="s">
        <v>611</v>
      </c>
      <c r="D1730" s="16" t="s">
        <v>130</v>
      </c>
      <c r="E1730" s="25">
        <v>45368</v>
      </c>
      <c r="F1730" s="16" t="s">
        <v>4122</v>
      </c>
      <c r="G1730" s="16" t="s">
        <v>125</v>
      </c>
      <c r="H1730" s="16">
        <v>1.8</v>
      </c>
      <c r="I1730" s="16">
        <v>199</v>
      </c>
      <c r="J1730" s="16">
        <v>0</v>
      </c>
      <c r="K1730" s="16">
        <v>358.2</v>
      </c>
      <c r="L1730" s="16" t="s">
        <v>118</v>
      </c>
      <c r="M1730" s="16" t="s">
        <v>119</v>
      </c>
      <c r="N1730" s="27">
        <v>45368.490972222222</v>
      </c>
      <c r="O1730" s="27">
        <v>45369.363194444442</v>
      </c>
      <c r="P1730" s="16">
        <v>2.6</v>
      </c>
      <c r="Q1730" s="16" t="b">
        <f>FALSE()</f>
        <v>0</v>
      </c>
      <c r="R1730" s="16" t="b">
        <f>FALSE()</f>
        <v>0</v>
      </c>
      <c r="S1730" s="17">
        <f t="shared" ref="S1730:S1793" si="27">IF(OR(N1730="",O1730=""),"N/A",ROUND(((O1730-N1730)*24),1))</f>
        <v>20.9</v>
      </c>
      <c r="T1730">
        <f>COUNTIF('👤 Customers'!$A:$A, B1730)</f>
        <v>1</v>
      </c>
      <c r="U1730">
        <f>COUNTIF('🚴 Riders'!A1729:A1789, C1730)</f>
        <v>0</v>
      </c>
      <c r="V1730">
        <f>COUNTIF('🏭 Facilities'!A1729:A1737, D1730)</f>
        <v>0</v>
      </c>
    </row>
    <row r="1731" spans="1:22">
      <c r="A1731" s="18" t="s">
        <v>4123</v>
      </c>
      <c r="B1731" s="18" t="s">
        <v>1302</v>
      </c>
      <c r="C1731" s="18" t="s">
        <v>224</v>
      </c>
      <c r="D1731" s="18" t="s">
        <v>184</v>
      </c>
      <c r="E1731" s="26">
        <v>44927</v>
      </c>
      <c r="F1731" s="18" t="s">
        <v>4124</v>
      </c>
      <c r="G1731" s="18" t="s">
        <v>125</v>
      </c>
      <c r="H1731" s="18">
        <v>1.8</v>
      </c>
      <c r="I1731" s="18">
        <v>199</v>
      </c>
      <c r="J1731" s="18">
        <v>0</v>
      </c>
      <c r="K1731" s="18">
        <v>358.2</v>
      </c>
      <c r="L1731" s="18" t="s">
        <v>146</v>
      </c>
      <c r="M1731" s="18" t="s">
        <v>119</v>
      </c>
      <c r="N1731" s="28">
        <v>44927.746527777781</v>
      </c>
      <c r="O1731" s="28">
        <v>44928.37222222222</v>
      </c>
      <c r="P1731" s="18">
        <v>4.7</v>
      </c>
      <c r="Q1731" s="18" t="b">
        <f>FALSE()</f>
        <v>0</v>
      </c>
      <c r="R1731" s="18" t="b">
        <f>FALSE()</f>
        <v>0</v>
      </c>
      <c r="S1731" s="19">
        <f t="shared" si="27"/>
        <v>15</v>
      </c>
      <c r="T1731">
        <f>COUNTIF('👤 Customers'!$A:$A, B1731)</f>
        <v>1</v>
      </c>
      <c r="U1731">
        <f>COUNTIF('🚴 Riders'!A1730:A1790, C1731)</f>
        <v>0</v>
      </c>
      <c r="V1731">
        <f>COUNTIF('🏭 Facilities'!A1730:A1738, D1731)</f>
        <v>0</v>
      </c>
    </row>
    <row r="1732" spans="1:22">
      <c r="A1732" s="16" t="s">
        <v>4125</v>
      </c>
      <c r="B1732" s="16" t="s">
        <v>1886</v>
      </c>
      <c r="C1732" s="16" t="s">
        <v>153</v>
      </c>
      <c r="D1732" s="16" t="s">
        <v>130</v>
      </c>
      <c r="E1732" s="25">
        <v>45322</v>
      </c>
      <c r="F1732" s="16" t="s">
        <v>4126</v>
      </c>
      <c r="G1732" s="16" t="s">
        <v>176</v>
      </c>
      <c r="H1732" s="16">
        <v>5.5</v>
      </c>
      <c r="I1732" s="16">
        <v>599</v>
      </c>
      <c r="J1732" s="16">
        <v>10</v>
      </c>
      <c r="K1732" s="16">
        <v>2965.05</v>
      </c>
      <c r="L1732" s="16" t="s">
        <v>126</v>
      </c>
      <c r="M1732" s="16" t="s">
        <v>119</v>
      </c>
      <c r="N1732" s="27">
        <v>45322.857638888891</v>
      </c>
      <c r="O1732" s="27">
        <v>45323.633333333331</v>
      </c>
      <c r="P1732" s="16">
        <v>3.4</v>
      </c>
      <c r="Q1732" s="16" t="b">
        <f>FALSE()</f>
        <v>0</v>
      </c>
      <c r="R1732" s="16" t="b">
        <f>FALSE()</f>
        <v>0</v>
      </c>
      <c r="S1732" s="17">
        <f t="shared" si="27"/>
        <v>18.600000000000001</v>
      </c>
      <c r="T1732">
        <f>COUNTIF('👤 Customers'!$A:$A, B1732)</f>
        <v>1</v>
      </c>
      <c r="U1732">
        <f>COUNTIF('🚴 Riders'!A1731:A1791, C1732)</f>
        <v>0</v>
      </c>
      <c r="V1732">
        <f>COUNTIF('🏭 Facilities'!A1731:A1739, D1732)</f>
        <v>0</v>
      </c>
    </row>
    <row r="1733" spans="1:22">
      <c r="A1733" s="18" t="s">
        <v>4127</v>
      </c>
      <c r="B1733" s="18" t="s">
        <v>2727</v>
      </c>
      <c r="C1733" s="18" t="s">
        <v>261</v>
      </c>
      <c r="D1733" s="18" t="s">
        <v>115</v>
      </c>
      <c r="E1733" s="26">
        <v>44985</v>
      </c>
      <c r="F1733" s="18" t="s">
        <v>4128</v>
      </c>
      <c r="G1733" s="18" t="s">
        <v>132</v>
      </c>
      <c r="H1733" s="18">
        <v>6.8</v>
      </c>
      <c r="I1733" s="18">
        <v>399</v>
      </c>
      <c r="J1733" s="18">
        <v>0</v>
      </c>
      <c r="K1733" s="18">
        <v>2713.2</v>
      </c>
      <c r="L1733" s="18" t="s">
        <v>118</v>
      </c>
      <c r="M1733" s="18" t="s">
        <v>140</v>
      </c>
      <c r="N1733" s="28">
        <v>44986.02847222222</v>
      </c>
      <c r="O1733" s="28">
        <v>44986.579861111109</v>
      </c>
      <c r="P1733" s="20"/>
      <c r="Q1733" s="18" t="b">
        <f>FALSE()</f>
        <v>0</v>
      </c>
      <c r="R1733" s="18" t="b">
        <f>TRUE()</f>
        <v>1</v>
      </c>
      <c r="S1733" s="19">
        <f t="shared" si="27"/>
        <v>13.2</v>
      </c>
      <c r="T1733">
        <f>COUNTIF('👤 Customers'!$A:$A, B1733)</f>
        <v>1</v>
      </c>
      <c r="U1733">
        <f>COUNTIF('🚴 Riders'!A1732:A1792, C1733)</f>
        <v>0</v>
      </c>
      <c r="V1733">
        <f>COUNTIF('🏭 Facilities'!A1732:A1740, D1733)</f>
        <v>0</v>
      </c>
    </row>
    <row r="1734" spans="1:22">
      <c r="A1734" s="16" t="s">
        <v>4129</v>
      </c>
      <c r="B1734" s="16" t="s">
        <v>1832</v>
      </c>
      <c r="C1734" s="16" t="s">
        <v>236</v>
      </c>
      <c r="D1734" s="16" t="s">
        <v>115</v>
      </c>
      <c r="E1734" s="25">
        <v>44959</v>
      </c>
      <c r="F1734" s="16" t="s">
        <v>4130</v>
      </c>
      <c r="G1734" s="16" t="s">
        <v>176</v>
      </c>
      <c r="H1734" s="16">
        <v>5.5</v>
      </c>
      <c r="I1734" s="16">
        <v>599</v>
      </c>
      <c r="J1734" s="16">
        <v>0</v>
      </c>
      <c r="K1734" s="16">
        <v>3294.5</v>
      </c>
      <c r="L1734" s="16" t="s">
        <v>146</v>
      </c>
      <c r="M1734" s="16" t="s">
        <v>119</v>
      </c>
      <c r="N1734" s="27">
        <v>44959.76666666667</v>
      </c>
      <c r="O1734" s="27">
        <v>44960.320138888892</v>
      </c>
      <c r="P1734" s="16">
        <v>3.2</v>
      </c>
      <c r="Q1734" s="16" t="b">
        <f>TRUE()</f>
        <v>1</v>
      </c>
      <c r="R1734" s="16" t="b">
        <f>FALSE()</f>
        <v>0</v>
      </c>
      <c r="S1734" s="17">
        <f t="shared" si="27"/>
        <v>13.3</v>
      </c>
      <c r="T1734">
        <f>COUNTIF('👤 Customers'!$A:$A, B1734)</f>
        <v>1</v>
      </c>
      <c r="U1734">
        <f>COUNTIF('🚴 Riders'!A1733:A1793, C1734)</f>
        <v>0</v>
      </c>
      <c r="V1734">
        <f>COUNTIF('🏭 Facilities'!A1733:A1741, D1734)</f>
        <v>0</v>
      </c>
    </row>
    <row r="1735" spans="1:22">
      <c r="A1735" s="18" t="s">
        <v>4131</v>
      </c>
      <c r="B1735" s="18" t="s">
        <v>2265</v>
      </c>
      <c r="C1735" s="18" t="s">
        <v>143</v>
      </c>
      <c r="D1735" s="18" t="s">
        <v>130</v>
      </c>
      <c r="E1735" s="26">
        <v>44955</v>
      </c>
      <c r="F1735" s="18" t="s">
        <v>4132</v>
      </c>
      <c r="G1735" s="18" t="s">
        <v>132</v>
      </c>
      <c r="H1735" s="18">
        <v>7.2</v>
      </c>
      <c r="I1735" s="18">
        <v>399</v>
      </c>
      <c r="J1735" s="18">
        <v>10</v>
      </c>
      <c r="K1735" s="18">
        <v>2585.52</v>
      </c>
      <c r="L1735" s="18" t="s">
        <v>139</v>
      </c>
      <c r="M1735" s="18" t="s">
        <v>140</v>
      </c>
      <c r="N1735" s="28">
        <v>44955.931250000001</v>
      </c>
      <c r="O1735" s="28">
        <v>44956.939583333333</v>
      </c>
      <c r="P1735" s="20"/>
      <c r="Q1735" s="18" t="b">
        <f>FALSE()</f>
        <v>0</v>
      </c>
      <c r="R1735" s="18" t="b">
        <f>FALSE()</f>
        <v>0</v>
      </c>
      <c r="S1735" s="19">
        <f t="shared" si="27"/>
        <v>24.2</v>
      </c>
      <c r="T1735">
        <f>COUNTIF('👤 Customers'!$A:$A, B1735)</f>
        <v>1</v>
      </c>
      <c r="U1735">
        <f>COUNTIF('🚴 Riders'!A1734:A1794, C1735)</f>
        <v>0</v>
      </c>
      <c r="V1735">
        <f>COUNTIF('🏭 Facilities'!A1734:A1742, D1735)</f>
        <v>0</v>
      </c>
    </row>
    <row r="1736" spans="1:22">
      <c r="A1736" s="16" t="s">
        <v>4133</v>
      </c>
      <c r="B1736" s="16" t="s">
        <v>1095</v>
      </c>
      <c r="C1736" s="16" t="s">
        <v>240</v>
      </c>
      <c r="D1736" s="16" t="s">
        <v>158</v>
      </c>
      <c r="E1736" s="25">
        <v>45009</v>
      </c>
      <c r="F1736" s="16" t="s">
        <v>4134</v>
      </c>
      <c r="G1736" s="16" t="s">
        <v>117</v>
      </c>
      <c r="H1736" s="16">
        <v>4.5999999999999996</v>
      </c>
      <c r="I1736" s="16">
        <v>149</v>
      </c>
      <c r="J1736" s="16">
        <v>0</v>
      </c>
      <c r="K1736" s="16">
        <v>685.4</v>
      </c>
      <c r="L1736" s="16" t="s">
        <v>139</v>
      </c>
      <c r="M1736" s="16" t="s">
        <v>133</v>
      </c>
      <c r="N1736" s="20"/>
      <c r="O1736" s="20"/>
      <c r="P1736" s="20"/>
      <c r="Q1736" s="16" t="b">
        <f>FALSE()</f>
        <v>0</v>
      </c>
      <c r="R1736" s="16" t="b">
        <f>FALSE()</f>
        <v>0</v>
      </c>
      <c r="S1736" s="17" t="str">
        <f t="shared" si="27"/>
        <v>N/A</v>
      </c>
      <c r="T1736">
        <f>COUNTIF('👤 Customers'!$A:$A, B1736)</f>
        <v>1</v>
      </c>
      <c r="U1736">
        <f>COUNTIF('🚴 Riders'!A1735:A1795, C1736)</f>
        <v>0</v>
      </c>
      <c r="V1736">
        <f>COUNTIF('🏭 Facilities'!A1735:A1743, D1736)</f>
        <v>0</v>
      </c>
    </row>
    <row r="1737" spans="1:22">
      <c r="A1737" s="18" t="s">
        <v>4135</v>
      </c>
      <c r="B1737" s="18" t="s">
        <v>1200</v>
      </c>
      <c r="C1737" s="18" t="s">
        <v>162</v>
      </c>
      <c r="D1737" s="18" t="s">
        <v>130</v>
      </c>
      <c r="E1737" s="26">
        <v>45331</v>
      </c>
      <c r="F1737" s="18" t="s">
        <v>4136</v>
      </c>
      <c r="G1737" s="18" t="s">
        <v>132</v>
      </c>
      <c r="H1737" s="18">
        <v>5.6</v>
      </c>
      <c r="I1737" s="18">
        <v>399</v>
      </c>
      <c r="J1737" s="18">
        <v>0</v>
      </c>
      <c r="K1737" s="18">
        <v>2234.4</v>
      </c>
      <c r="L1737" s="18" t="s">
        <v>118</v>
      </c>
      <c r="M1737" s="18" t="s">
        <v>119</v>
      </c>
      <c r="N1737" s="28">
        <v>45332.008333333331</v>
      </c>
      <c r="O1737" s="28">
        <v>45332.357638888891</v>
      </c>
      <c r="P1737" s="18">
        <v>3</v>
      </c>
      <c r="Q1737" s="18" t="b">
        <f>FALSE()</f>
        <v>0</v>
      </c>
      <c r="R1737" s="18" t="b">
        <f>FALSE()</f>
        <v>0</v>
      </c>
      <c r="S1737" s="19">
        <f t="shared" si="27"/>
        <v>8.4</v>
      </c>
      <c r="T1737">
        <f>COUNTIF('👤 Customers'!$A:$A, B1737)</f>
        <v>1</v>
      </c>
      <c r="U1737">
        <f>COUNTIF('🚴 Riders'!A1736:A1796, C1737)</f>
        <v>0</v>
      </c>
      <c r="V1737">
        <f>COUNTIF('🏭 Facilities'!A1736:A1744, D1737)</f>
        <v>0</v>
      </c>
    </row>
    <row r="1738" spans="1:22">
      <c r="A1738" s="16" t="s">
        <v>4137</v>
      </c>
      <c r="B1738" s="16" t="s">
        <v>282</v>
      </c>
      <c r="C1738" s="16" t="s">
        <v>220</v>
      </c>
      <c r="D1738" s="16" t="s">
        <v>137</v>
      </c>
      <c r="E1738" s="25">
        <v>45383</v>
      </c>
      <c r="F1738" s="16" t="s">
        <v>4138</v>
      </c>
      <c r="G1738" s="16" t="s">
        <v>117</v>
      </c>
      <c r="H1738" s="16">
        <v>4</v>
      </c>
      <c r="I1738" s="16">
        <v>149</v>
      </c>
      <c r="J1738" s="16">
        <v>0</v>
      </c>
      <c r="K1738" s="16">
        <v>596</v>
      </c>
      <c r="L1738" s="16" t="s">
        <v>118</v>
      </c>
      <c r="M1738" s="16" t="s">
        <v>119</v>
      </c>
      <c r="N1738" s="27">
        <v>45383.861805555556</v>
      </c>
      <c r="O1738" s="27">
        <v>45384.418055555558</v>
      </c>
      <c r="P1738" s="16">
        <v>2.9</v>
      </c>
      <c r="Q1738" s="16" t="b">
        <f>FALSE()</f>
        <v>0</v>
      </c>
      <c r="R1738" s="16" t="b">
        <f>TRUE()</f>
        <v>1</v>
      </c>
      <c r="S1738" s="17">
        <f t="shared" si="27"/>
        <v>13.4</v>
      </c>
      <c r="T1738">
        <f>COUNTIF('👤 Customers'!$A:$A, B1738)</f>
        <v>1</v>
      </c>
      <c r="U1738">
        <f>COUNTIF('🚴 Riders'!A1737:A1797, C1738)</f>
        <v>0</v>
      </c>
      <c r="V1738">
        <f>COUNTIF('🏭 Facilities'!A1737:A1745, D1738)</f>
        <v>0</v>
      </c>
    </row>
    <row r="1739" spans="1:22">
      <c r="A1739" s="18" t="s">
        <v>4139</v>
      </c>
      <c r="B1739" s="18" t="s">
        <v>1391</v>
      </c>
      <c r="C1739" s="18" t="s">
        <v>136</v>
      </c>
      <c r="D1739" s="18" t="s">
        <v>115</v>
      </c>
      <c r="E1739" s="26">
        <v>45290</v>
      </c>
      <c r="F1739" s="18" t="s">
        <v>4140</v>
      </c>
      <c r="G1739" s="18" t="s">
        <v>145</v>
      </c>
      <c r="H1739" s="18">
        <v>3.3</v>
      </c>
      <c r="I1739" s="18">
        <v>299</v>
      </c>
      <c r="J1739" s="18">
        <v>0</v>
      </c>
      <c r="K1739" s="18">
        <v>986.7</v>
      </c>
      <c r="L1739" s="18" t="s">
        <v>146</v>
      </c>
      <c r="M1739" s="18" t="s">
        <v>140</v>
      </c>
      <c r="N1739" s="28">
        <v>45290.671527777777</v>
      </c>
      <c r="O1739" s="28">
        <v>45291.651388888888</v>
      </c>
      <c r="P1739" s="20"/>
      <c r="Q1739" s="18" t="b">
        <f>FALSE()</f>
        <v>0</v>
      </c>
      <c r="R1739" s="18" t="b">
        <f>TRUE()</f>
        <v>1</v>
      </c>
      <c r="S1739" s="19">
        <f t="shared" si="27"/>
        <v>23.5</v>
      </c>
      <c r="T1739">
        <f>COUNTIF('👤 Customers'!$A:$A, B1739)</f>
        <v>1</v>
      </c>
      <c r="U1739">
        <f>COUNTIF('🚴 Riders'!A1738:A1798, C1739)</f>
        <v>0</v>
      </c>
      <c r="V1739">
        <f>COUNTIF('🏭 Facilities'!A1738:A1746, D1739)</f>
        <v>0</v>
      </c>
    </row>
    <row r="1740" spans="1:22">
      <c r="A1740" s="16" t="s">
        <v>4141</v>
      </c>
      <c r="B1740" s="16" t="s">
        <v>442</v>
      </c>
      <c r="C1740" s="16" t="s">
        <v>196</v>
      </c>
      <c r="D1740" s="16" t="s">
        <v>158</v>
      </c>
      <c r="E1740" s="25">
        <v>45606</v>
      </c>
      <c r="F1740" s="16" t="s">
        <v>4142</v>
      </c>
      <c r="G1740" s="16" t="s">
        <v>132</v>
      </c>
      <c r="H1740" s="16">
        <v>1</v>
      </c>
      <c r="I1740" s="16">
        <v>399</v>
      </c>
      <c r="J1740" s="16">
        <v>10</v>
      </c>
      <c r="K1740" s="16">
        <v>359.1</v>
      </c>
      <c r="L1740" s="16" t="s">
        <v>139</v>
      </c>
      <c r="M1740" s="16" t="s">
        <v>119</v>
      </c>
      <c r="N1740" s="27">
        <v>45606.661111111112</v>
      </c>
      <c r="O1740" s="27">
        <v>45607.667361111111</v>
      </c>
      <c r="P1740" s="16">
        <v>4</v>
      </c>
      <c r="Q1740" s="16" t="b">
        <f>FALSE()</f>
        <v>0</v>
      </c>
      <c r="R1740" s="16" t="b">
        <f>FALSE()</f>
        <v>0</v>
      </c>
      <c r="S1740" s="17">
        <f t="shared" si="27"/>
        <v>24.1</v>
      </c>
      <c r="T1740">
        <f>COUNTIF('👤 Customers'!$A:$A, B1740)</f>
        <v>1</v>
      </c>
      <c r="U1740">
        <f>COUNTIF('🚴 Riders'!A1739:A1799, C1740)</f>
        <v>0</v>
      </c>
      <c r="V1740">
        <f>COUNTIF('🏭 Facilities'!A1739:A1747, D1740)</f>
        <v>0</v>
      </c>
    </row>
    <row r="1741" spans="1:22">
      <c r="A1741" s="18" t="s">
        <v>4143</v>
      </c>
      <c r="B1741" s="18" t="s">
        <v>1410</v>
      </c>
      <c r="C1741" s="18" t="s">
        <v>261</v>
      </c>
      <c r="D1741" s="18" t="s">
        <v>158</v>
      </c>
      <c r="E1741" s="26">
        <v>45172</v>
      </c>
      <c r="F1741" s="18" t="s">
        <v>4144</v>
      </c>
      <c r="G1741" s="18" t="s">
        <v>125</v>
      </c>
      <c r="H1741" s="18">
        <v>5.5</v>
      </c>
      <c r="I1741" s="18">
        <v>199</v>
      </c>
      <c r="J1741" s="18">
        <v>20</v>
      </c>
      <c r="K1741" s="18">
        <v>875.6</v>
      </c>
      <c r="L1741" s="18" t="s">
        <v>126</v>
      </c>
      <c r="M1741" s="18" t="s">
        <v>140</v>
      </c>
      <c r="N1741" s="28">
        <v>45172.98333333333</v>
      </c>
      <c r="O1741" s="28">
        <v>45173.587500000001</v>
      </c>
      <c r="P1741" s="20"/>
      <c r="Q1741" s="18" t="b">
        <f>FALSE()</f>
        <v>0</v>
      </c>
      <c r="R1741" s="18" t="b">
        <f>TRUE()</f>
        <v>1</v>
      </c>
      <c r="S1741" s="19">
        <f t="shared" si="27"/>
        <v>14.5</v>
      </c>
      <c r="T1741">
        <f>COUNTIF('👤 Customers'!$A:$A, B1741)</f>
        <v>1</v>
      </c>
      <c r="U1741">
        <f>COUNTIF('🚴 Riders'!A1740:A1800, C1741)</f>
        <v>0</v>
      </c>
      <c r="V1741">
        <f>COUNTIF('🏭 Facilities'!A1740:A1748, D1741)</f>
        <v>0</v>
      </c>
    </row>
    <row r="1742" spans="1:22">
      <c r="A1742" s="16" t="s">
        <v>4145</v>
      </c>
      <c r="B1742" s="16" t="s">
        <v>2306</v>
      </c>
      <c r="C1742" s="16" t="s">
        <v>283</v>
      </c>
      <c r="D1742" s="16" t="s">
        <v>184</v>
      </c>
      <c r="E1742" s="25">
        <v>45349</v>
      </c>
      <c r="F1742" s="16" t="s">
        <v>4146</v>
      </c>
      <c r="G1742" s="16" t="s">
        <v>145</v>
      </c>
      <c r="H1742" s="16">
        <v>6.7</v>
      </c>
      <c r="I1742" s="16">
        <v>299</v>
      </c>
      <c r="J1742" s="16">
        <v>20</v>
      </c>
      <c r="K1742" s="16">
        <v>1602.64</v>
      </c>
      <c r="L1742" s="16" t="s">
        <v>139</v>
      </c>
      <c r="M1742" s="16" t="s">
        <v>119</v>
      </c>
      <c r="N1742" s="27">
        <v>45349.922222222223</v>
      </c>
      <c r="O1742" s="27">
        <v>45350.676388888889</v>
      </c>
      <c r="P1742" s="16">
        <v>4.4000000000000004</v>
      </c>
      <c r="Q1742" s="16" t="b">
        <f>FALSE()</f>
        <v>0</v>
      </c>
      <c r="R1742" s="16" t="b">
        <f>FALSE()</f>
        <v>0</v>
      </c>
      <c r="S1742" s="17">
        <f t="shared" si="27"/>
        <v>18.100000000000001</v>
      </c>
      <c r="T1742">
        <f>COUNTIF('👤 Customers'!$A:$A, B1742)</f>
        <v>1</v>
      </c>
      <c r="U1742">
        <f>COUNTIF('🚴 Riders'!A1741:A1801, C1742)</f>
        <v>0</v>
      </c>
      <c r="V1742">
        <f>COUNTIF('🏭 Facilities'!A1741:A1749, D1742)</f>
        <v>0</v>
      </c>
    </row>
    <row r="1743" spans="1:22">
      <c r="A1743" s="18" t="s">
        <v>4147</v>
      </c>
      <c r="B1743" s="18" t="s">
        <v>806</v>
      </c>
      <c r="C1743" s="18" t="s">
        <v>479</v>
      </c>
      <c r="D1743" s="18" t="s">
        <v>123</v>
      </c>
      <c r="E1743" s="26">
        <v>45583</v>
      </c>
      <c r="F1743" s="18" t="s">
        <v>4148</v>
      </c>
      <c r="G1743" s="18" t="s">
        <v>132</v>
      </c>
      <c r="H1743" s="18">
        <v>7.7</v>
      </c>
      <c r="I1743" s="18">
        <v>399</v>
      </c>
      <c r="J1743" s="18">
        <v>10</v>
      </c>
      <c r="K1743" s="18">
        <v>2765.07</v>
      </c>
      <c r="L1743" s="18" t="s">
        <v>207</v>
      </c>
      <c r="M1743" s="18" t="s">
        <v>119</v>
      </c>
      <c r="N1743" s="28">
        <v>45583.115972222222</v>
      </c>
      <c r="O1743" s="28">
        <v>45584.030555555553</v>
      </c>
      <c r="P1743" s="18">
        <v>3.3</v>
      </c>
      <c r="Q1743" s="18" t="b">
        <f>FALSE()</f>
        <v>0</v>
      </c>
      <c r="R1743" s="18" t="b">
        <f>FALSE()</f>
        <v>0</v>
      </c>
      <c r="S1743" s="19">
        <f t="shared" si="27"/>
        <v>21.9</v>
      </c>
      <c r="T1743">
        <f>COUNTIF('👤 Customers'!$A:$A, B1743)</f>
        <v>1</v>
      </c>
      <c r="U1743">
        <f>COUNTIF('🚴 Riders'!A1742:A1802, C1743)</f>
        <v>0</v>
      </c>
      <c r="V1743">
        <f>COUNTIF('🏭 Facilities'!A1742:A1750, D1743)</f>
        <v>0</v>
      </c>
    </row>
    <row r="1744" spans="1:22">
      <c r="A1744" s="16" t="s">
        <v>4149</v>
      </c>
      <c r="B1744" s="16" t="s">
        <v>200</v>
      </c>
      <c r="C1744" s="16" t="s">
        <v>240</v>
      </c>
      <c r="D1744" s="16" t="s">
        <v>137</v>
      </c>
      <c r="E1744" s="25">
        <v>45318</v>
      </c>
      <c r="F1744" s="16" t="s">
        <v>4150</v>
      </c>
      <c r="G1744" s="16" t="s">
        <v>145</v>
      </c>
      <c r="H1744" s="16">
        <v>2.4</v>
      </c>
      <c r="I1744" s="16">
        <v>299</v>
      </c>
      <c r="J1744" s="16">
        <v>10</v>
      </c>
      <c r="K1744" s="16">
        <v>645.84</v>
      </c>
      <c r="L1744" s="16" t="s">
        <v>118</v>
      </c>
      <c r="M1744" s="16" t="s">
        <v>119</v>
      </c>
      <c r="N1744" s="27">
        <v>45318.454861111109</v>
      </c>
      <c r="O1744" s="27">
        <v>45319.438888888886</v>
      </c>
      <c r="P1744" s="16">
        <v>2.9</v>
      </c>
      <c r="Q1744" s="16" t="b">
        <f>FALSE()</f>
        <v>0</v>
      </c>
      <c r="R1744" s="16" t="b">
        <f>FALSE()</f>
        <v>0</v>
      </c>
      <c r="S1744" s="17">
        <f t="shared" si="27"/>
        <v>23.6</v>
      </c>
      <c r="T1744">
        <f>COUNTIF('👤 Customers'!$A:$A, B1744)</f>
        <v>1</v>
      </c>
      <c r="U1744">
        <f>COUNTIF('🚴 Riders'!A1743:A1803, C1744)</f>
        <v>0</v>
      </c>
      <c r="V1744">
        <f>COUNTIF('🏭 Facilities'!A1743:A1751, D1744)</f>
        <v>0</v>
      </c>
    </row>
    <row r="1745" spans="1:22">
      <c r="A1745" s="18" t="s">
        <v>4151</v>
      </c>
      <c r="B1745" s="18" t="s">
        <v>1088</v>
      </c>
      <c r="C1745" s="18" t="s">
        <v>563</v>
      </c>
      <c r="D1745" s="18" t="s">
        <v>158</v>
      </c>
      <c r="E1745" s="26">
        <v>45095</v>
      </c>
      <c r="F1745" s="18" t="s">
        <v>4152</v>
      </c>
      <c r="G1745" s="18" t="s">
        <v>125</v>
      </c>
      <c r="H1745" s="18">
        <v>3.4</v>
      </c>
      <c r="I1745" s="18">
        <v>199</v>
      </c>
      <c r="J1745" s="18">
        <v>10</v>
      </c>
      <c r="K1745" s="18">
        <v>608.94000000000005</v>
      </c>
      <c r="L1745" s="18" t="s">
        <v>126</v>
      </c>
      <c r="M1745" s="18" t="s">
        <v>140</v>
      </c>
      <c r="N1745" s="28">
        <v>45095.36041666667</v>
      </c>
      <c r="O1745" s="28">
        <v>45096.398611111108</v>
      </c>
      <c r="P1745" s="20"/>
      <c r="Q1745" s="18" t="b">
        <f>FALSE()</f>
        <v>0</v>
      </c>
      <c r="R1745" s="18" t="b">
        <f>FALSE()</f>
        <v>0</v>
      </c>
      <c r="S1745" s="19">
        <f t="shared" si="27"/>
        <v>24.9</v>
      </c>
      <c r="T1745">
        <f>COUNTIF('👤 Customers'!$A:$A, B1745)</f>
        <v>1</v>
      </c>
      <c r="U1745">
        <f>COUNTIF('🚴 Riders'!A1744:A1804, C1745)</f>
        <v>0</v>
      </c>
      <c r="V1745">
        <f>COUNTIF('🏭 Facilities'!A1744:A1752, D1745)</f>
        <v>0</v>
      </c>
    </row>
    <row r="1746" spans="1:22">
      <c r="A1746" s="16" t="s">
        <v>4153</v>
      </c>
      <c r="B1746" s="16" t="s">
        <v>649</v>
      </c>
      <c r="C1746" s="16" t="s">
        <v>413</v>
      </c>
      <c r="D1746" s="16" t="s">
        <v>184</v>
      </c>
      <c r="E1746" s="25">
        <v>45295</v>
      </c>
      <c r="F1746" s="16" t="s">
        <v>4154</v>
      </c>
      <c r="G1746" s="16" t="s">
        <v>125</v>
      </c>
      <c r="H1746" s="16">
        <v>3.6</v>
      </c>
      <c r="I1746" s="16">
        <v>199</v>
      </c>
      <c r="J1746" s="16">
        <v>10</v>
      </c>
      <c r="K1746" s="16">
        <v>644.76</v>
      </c>
      <c r="L1746" s="16" t="s">
        <v>146</v>
      </c>
      <c r="M1746" s="16" t="s">
        <v>119</v>
      </c>
      <c r="N1746" s="27">
        <v>45295.810416666667</v>
      </c>
      <c r="O1746" s="27">
        <v>45296.465277777781</v>
      </c>
      <c r="P1746" s="16">
        <v>4</v>
      </c>
      <c r="Q1746" s="16" t="b">
        <f>FALSE()</f>
        <v>0</v>
      </c>
      <c r="R1746" s="16" t="b">
        <f>FALSE()</f>
        <v>0</v>
      </c>
      <c r="S1746" s="17">
        <f t="shared" si="27"/>
        <v>15.7</v>
      </c>
      <c r="T1746">
        <f>COUNTIF('👤 Customers'!$A:$A, B1746)</f>
        <v>1</v>
      </c>
      <c r="U1746">
        <f>COUNTIF('🚴 Riders'!A1745:A1805, C1746)</f>
        <v>0</v>
      </c>
      <c r="V1746">
        <f>COUNTIF('🏭 Facilities'!A1745:A1753, D1746)</f>
        <v>0</v>
      </c>
    </row>
    <row r="1747" spans="1:22">
      <c r="A1747" s="18" t="s">
        <v>4155</v>
      </c>
      <c r="B1747" s="18" t="s">
        <v>498</v>
      </c>
      <c r="C1747" s="18" t="s">
        <v>563</v>
      </c>
      <c r="D1747" s="18" t="s">
        <v>123</v>
      </c>
      <c r="E1747" s="26">
        <v>45109</v>
      </c>
      <c r="F1747" s="18" t="s">
        <v>4156</v>
      </c>
      <c r="G1747" s="18" t="s">
        <v>132</v>
      </c>
      <c r="H1747" s="18">
        <v>3</v>
      </c>
      <c r="I1747" s="18">
        <v>399</v>
      </c>
      <c r="J1747" s="18">
        <v>0</v>
      </c>
      <c r="K1747" s="18">
        <v>1197</v>
      </c>
      <c r="L1747" s="18" t="s">
        <v>207</v>
      </c>
      <c r="M1747" s="18" t="s">
        <v>119</v>
      </c>
      <c r="N1747" s="28">
        <v>45109.274305555555</v>
      </c>
      <c r="O1747" s="28">
        <v>45109.854166666664</v>
      </c>
      <c r="P1747" s="18">
        <v>5</v>
      </c>
      <c r="Q1747" s="18" t="b">
        <f>FALSE()</f>
        <v>0</v>
      </c>
      <c r="R1747" s="18" t="b">
        <f>FALSE()</f>
        <v>0</v>
      </c>
      <c r="S1747" s="19">
        <f t="shared" si="27"/>
        <v>13.9</v>
      </c>
      <c r="T1747">
        <f>COUNTIF('👤 Customers'!$A:$A, B1747)</f>
        <v>1</v>
      </c>
      <c r="U1747">
        <f>COUNTIF('🚴 Riders'!A1746:A1806, C1747)</f>
        <v>0</v>
      </c>
      <c r="V1747">
        <f>COUNTIF('🏭 Facilities'!A1746:A1754, D1747)</f>
        <v>0</v>
      </c>
    </row>
    <row r="1748" spans="1:22">
      <c r="A1748" s="16" t="s">
        <v>4157</v>
      </c>
      <c r="B1748" s="16" t="s">
        <v>737</v>
      </c>
      <c r="C1748" s="16" t="s">
        <v>129</v>
      </c>
      <c r="D1748" s="16" t="s">
        <v>184</v>
      </c>
      <c r="E1748" s="25">
        <v>45079</v>
      </c>
      <c r="F1748" s="16" t="s">
        <v>4158</v>
      </c>
      <c r="G1748" s="16" t="s">
        <v>145</v>
      </c>
      <c r="H1748" s="16">
        <v>5.4</v>
      </c>
      <c r="I1748" s="16">
        <v>299</v>
      </c>
      <c r="J1748" s="16">
        <v>30</v>
      </c>
      <c r="K1748" s="16">
        <v>1130.22</v>
      </c>
      <c r="L1748" s="16" t="s">
        <v>139</v>
      </c>
      <c r="M1748" s="16" t="s">
        <v>119</v>
      </c>
      <c r="N1748" s="27">
        <v>45079.491666666669</v>
      </c>
      <c r="O1748" s="27">
        <v>45079.855555555558</v>
      </c>
      <c r="P1748" s="16">
        <v>2.6</v>
      </c>
      <c r="Q1748" s="16" t="b">
        <f>FALSE()</f>
        <v>0</v>
      </c>
      <c r="R1748" s="16" t="b">
        <f>FALSE()</f>
        <v>0</v>
      </c>
      <c r="S1748" s="17">
        <f t="shared" si="27"/>
        <v>8.6999999999999993</v>
      </c>
      <c r="T1748">
        <f>COUNTIF('👤 Customers'!$A:$A, B1748)</f>
        <v>1</v>
      </c>
      <c r="U1748">
        <f>COUNTIF('🚴 Riders'!A1747:A1807, C1748)</f>
        <v>0</v>
      </c>
      <c r="V1748">
        <f>COUNTIF('🏭 Facilities'!A1747:A1755, D1748)</f>
        <v>0</v>
      </c>
    </row>
    <row r="1749" spans="1:22">
      <c r="A1749" s="18" t="s">
        <v>4159</v>
      </c>
      <c r="B1749" s="18" t="s">
        <v>1679</v>
      </c>
      <c r="C1749" s="18" t="s">
        <v>162</v>
      </c>
      <c r="D1749" s="18" t="s">
        <v>184</v>
      </c>
      <c r="E1749" s="26">
        <v>45115</v>
      </c>
      <c r="F1749" s="18" t="s">
        <v>4160</v>
      </c>
      <c r="G1749" s="18" t="s">
        <v>145</v>
      </c>
      <c r="H1749" s="18">
        <v>1.4</v>
      </c>
      <c r="I1749" s="18">
        <v>299</v>
      </c>
      <c r="J1749" s="18">
        <v>0</v>
      </c>
      <c r="K1749" s="18">
        <v>418.6</v>
      </c>
      <c r="L1749" s="18" t="s">
        <v>126</v>
      </c>
      <c r="M1749" s="18" t="s">
        <v>119</v>
      </c>
      <c r="N1749" s="28">
        <v>45116.070833333331</v>
      </c>
      <c r="O1749" s="28">
        <v>45116.809027777781</v>
      </c>
      <c r="P1749" s="18">
        <v>2.6</v>
      </c>
      <c r="Q1749" s="18" t="b">
        <f>FALSE()</f>
        <v>0</v>
      </c>
      <c r="R1749" s="18" t="b">
        <f>FALSE()</f>
        <v>0</v>
      </c>
      <c r="S1749" s="19">
        <f t="shared" si="27"/>
        <v>17.7</v>
      </c>
      <c r="T1749">
        <f>COUNTIF('👤 Customers'!$A:$A, B1749)</f>
        <v>1</v>
      </c>
      <c r="U1749">
        <f>COUNTIF('🚴 Riders'!A1748:A1808, C1749)</f>
        <v>0</v>
      </c>
      <c r="V1749">
        <f>COUNTIF('🏭 Facilities'!A1748:A1756, D1749)</f>
        <v>0</v>
      </c>
    </row>
    <row r="1750" spans="1:22">
      <c r="A1750" s="16" t="s">
        <v>4161</v>
      </c>
      <c r="B1750" s="16" t="s">
        <v>2577</v>
      </c>
      <c r="C1750" s="16" t="s">
        <v>343</v>
      </c>
      <c r="D1750" s="16" t="s">
        <v>115</v>
      </c>
      <c r="E1750" s="25">
        <v>45044</v>
      </c>
      <c r="F1750" s="16" t="s">
        <v>4162</v>
      </c>
      <c r="G1750" s="16" t="s">
        <v>145</v>
      </c>
      <c r="H1750" s="16">
        <v>1.1000000000000001</v>
      </c>
      <c r="I1750" s="16">
        <v>299</v>
      </c>
      <c r="J1750" s="16">
        <v>0</v>
      </c>
      <c r="K1750" s="16">
        <v>328.9</v>
      </c>
      <c r="L1750" s="16" t="s">
        <v>118</v>
      </c>
      <c r="M1750" s="16" t="s">
        <v>119</v>
      </c>
      <c r="N1750" s="27">
        <v>45044.668749999997</v>
      </c>
      <c r="O1750" s="27">
        <v>45045.44027777778</v>
      </c>
      <c r="P1750" s="16">
        <v>4</v>
      </c>
      <c r="Q1750" s="16" t="b">
        <f>FALSE()</f>
        <v>0</v>
      </c>
      <c r="R1750" s="16" t="b">
        <f>FALSE()</f>
        <v>0</v>
      </c>
      <c r="S1750" s="17">
        <f t="shared" si="27"/>
        <v>18.5</v>
      </c>
      <c r="T1750">
        <f>COUNTIF('👤 Customers'!$A:$A, B1750)</f>
        <v>1</v>
      </c>
      <c r="U1750">
        <f>COUNTIF('🚴 Riders'!A1749:A1809, C1750)</f>
        <v>0</v>
      </c>
      <c r="V1750">
        <f>COUNTIF('🏭 Facilities'!A1749:A1757, D1750)</f>
        <v>0</v>
      </c>
    </row>
    <row r="1751" spans="1:22">
      <c r="A1751" s="18" t="s">
        <v>4163</v>
      </c>
      <c r="B1751" s="18" t="s">
        <v>2580</v>
      </c>
      <c r="C1751" s="18" t="s">
        <v>228</v>
      </c>
      <c r="D1751" s="18" t="s">
        <v>123</v>
      </c>
      <c r="E1751" s="26">
        <v>45084</v>
      </c>
      <c r="F1751" s="18" t="s">
        <v>4164</v>
      </c>
      <c r="G1751" s="18" t="s">
        <v>132</v>
      </c>
      <c r="H1751" s="18">
        <v>3.2</v>
      </c>
      <c r="I1751" s="18">
        <v>399</v>
      </c>
      <c r="J1751" s="18">
        <v>0</v>
      </c>
      <c r="K1751" s="18">
        <v>1276.8</v>
      </c>
      <c r="L1751" s="18" t="s">
        <v>146</v>
      </c>
      <c r="M1751" s="18" t="s">
        <v>140</v>
      </c>
      <c r="N1751" s="28">
        <v>45084.964583333334</v>
      </c>
      <c r="O1751" s="28">
        <v>45085.632638888892</v>
      </c>
      <c r="P1751" s="20"/>
      <c r="Q1751" s="18" t="b">
        <f>FALSE()</f>
        <v>0</v>
      </c>
      <c r="R1751" s="18" t="b">
        <f>FALSE()</f>
        <v>0</v>
      </c>
      <c r="S1751" s="19">
        <f t="shared" si="27"/>
        <v>16</v>
      </c>
      <c r="T1751">
        <f>COUNTIF('👤 Customers'!$A:$A, B1751)</f>
        <v>1</v>
      </c>
      <c r="U1751">
        <f>COUNTIF('🚴 Riders'!A1750:A1810, C1751)</f>
        <v>0</v>
      </c>
      <c r="V1751">
        <f>COUNTIF('🏭 Facilities'!A1750:A1758, D1751)</f>
        <v>0</v>
      </c>
    </row>
    <row r="1752" spans="1:22">
      <c r="A1752" s="16" t="s">
        <v>4165</v>
      </c>
      <c r="B1752" s="16" t="s">
        <v>1033</v>
      </c>
      <c r="C1752" s="16" t="s">
        <v>413</v>
      </c>
      <c r="D1752" s="16" t="s">
        <v>130</v>
      </c>
      <c r="E1752" s="25">
        <v>45562</v>
      </c>
      <c r="F1752" s="16" t="s">
        <v>4166</v>
      </c>
      <c r="G1752" s="16" t="s">
        <v>117</v>
      </c>
      <c r="H1752" s="16">
        <v>3.7</v>
      </c>
      <c r="I1752" s="16">
        <v>149</v>
      </c>
      <c r="J1752" s="16">
        <v>30</v>
      </c>
      <c r="K1752" s="16">
        <v>385.91</v>
      </c>
      <c r="L1752" s="16" t="s">
        <v>207</v>
      </c>
      <c r="M1752" s="16" t="s">
        <v>140</v>
      </c>
      <c r="N1752" s="27">
        <v>45562.61041666667</v>
      </c>
      <c r="O1752" s="27">
        <v>45563.26458333333</v>
      </c>
      <c r="P1752" s="20"/>
      <c r="Q1752" s="16" t="b">
        <f>TRUE()</f>
        <v>1</v>
      </c>
      <c r="R1752" s="16" t="b">
        <f>FALSE()</f>
        <v>0</v>
      </c>
      <c r="S1752" s="17">
        <f t="shared" si="27"/>
        <v>15.7</v>
      </c>
      <c r="T1752">
        <f>COUNTIF('👤 Customers'!$A:$A, B1752)</f>
        <v>1</v>
      </c>
      <c r="U1752">
        <f>COUNTIF('🚴 Riders'!A1751:A1811, C1752)</f>
        <v>0</v>
      </c>
      <c r="V1752">
        <f>COUNTIF('🏭 Facilities'!A1751:A1759, D1752)</f>
        <v>0</v>
      </c>
    </row>
    <row r="1753" spans="1:22">
      <c r="A1753" s="18" t="s">
        <v>4167</v>
      </c>
      <c r="B1753" s="18" t="s">
        <v>212</v>
      </c>
      <c r="C1753" s="18" t="s">
        <v>162</v>
      </c>
      <c r="D1753" s="18" t="s">
        <v>123</v>
      </c>
      <c r="E1753" s="26">
        <v>45311</v>
      </c>
      <c r="F1753" s="18" t="s">
        <v>4168</v>
      </c>
      <c r="G1753" s="18" t="s">
        <v>132</v>
      </c>
      <c r="H1753" s="18">
        <v>6.7</v>
      </c>
      <c r="I1753" s="18">
        <v>399</v>
      </c>
      <c r="J1753" s="18">
        <v>0</v>
      </c>
      <c r="K1753" s="18">
        <v>2673.3</v>
      </c>
      <c r="L1753" s="18" t="s">
        <v>146</v>
      </c>
      <c r="M1753" s="18" t="s">
        <v>119</v>
      </c>
      <c r="N1753" s="28">
        <v>45311.406944444447</v>
      </c>
      <c r="O1753" s="28">
        <v>45312.113888888889</v>
      </c>
      <c r="P1753" s="18">
        <v>4.8</v>
      </c>
      <c r="Q1753" s="18" t="b">
        <f>FALSE()</f>
        <v>0</v>
      </c>
      <c r="R1753" s="18" t="b">
        <f>FALSE()</f>
        <v>0</v>
      </c>
      <c r="S1753" s="19">
        <f t="shared" si="27"/>
        <v>17</v>
      </c>
      <c r="T1753">
        <f>COUNTIF('👤 Customers'!$A:$A, B1753)</f>
        <v>1</v>
      </c>
      <c r="U1753">
        <f>COUNTIF('🚴 Riders'!A1752:A1812, C1753)</f>
        <v>0</v>
      </c>
      <c r="V1753">
        <f>COUNTIF('🏭 Facilities'!A1752:A1760, D1753)</f>
        <v>0</v>
      </c>
    </row>
    <row r="1754" spans="1:22">
      <c r="A1754" s="16" t="s">
        <v>4169</v>
      </c>
      <c r="B1754" s="16" t="s">
        <v>472</v>
      </c>
      <c r="C1754" s="16" t="s">
        <v>354</v>
      </c>
      <c r="D1754" s="16" t="s">
        <v>184</v>
      </c>
      <c r="E1754" s="25">
        <v>45026</v>
      </c>
      <c r="F1754" s="16" t="s">
        <v>4170</v>
      </c>
      <c r="G1754" s="16" t="s">
        <v>117</v>
      </c>
      <c r="H1754" s="16">
        <v>1</v>
      </c>
      <c r="I1754" s="16">
        <v>149</v>
      </c>
      <c r="J1754" s="16">
        <v>20</v>
      </c>
      <c r="K1754" s="16">
        <v>119.2</v>
      </c>
      <c r="L1754" s="16" t="s">
        <v>126</v>
      </c>
      <c r="M1754" s="16" t="s">
        <v>140</v>
      </c>
      <c r="N1754" s="27">
        <v>45026.98541666667</v>
      </c>
      <c r="O1754" s="27">
        <v>45027.795138888891</v>
      </c>
      <c r="P1754" s="20"/>
      <c r="Q1754" s="16" t="b">
        <f>FALSE()</f>
        <v>0</v>
      </c>
      <c r="R1754" s="16" t="b">
        <f>FALSE()</f>
        <v>0</v>
      </c>
      <c r="S1754" s="17">
        <f t="shared" si="27"/>
        <v>19.399999999999999</v>
      </c>
      <c r="T1754">
        <f>COUNTIF('👤 Customers'!$A:$A, B1754)</f>
        <v>1</v>
      </c>
      <c r="U1754">
        <f>COUNTIF('🚴 Riders'!A1753:A1813, C1754)</f>
        <v>0</v>
      </c>
      <c r="V1754">
        <f>COUNTIF('🏭 Facilities'!A1753:A1761, D1754)</f>
        <v>0</v>
      </c>
    </row>
    <row r="1755" spans="1:22">
      <c r="A1755" s="18" t="s">
        <v>4171</v>
      </c>
      <c r="B1755" s="18" t="s">
        <v>1920</v>
      </c>
      <c r="C1755" s="18" t="s">
        <v>479</v>
      </c>
      <c r="D1755" s="18" t="s">
        <v>197</v>
      </c>
      <c r="E1755" s="26">
        <v>45540</v>
      </c>
      <c r="F1755" s="18" t="s">
        <v>4172</v>
      </c>
      <c r="G1755" s="18" t="s">
        <v>125</v>
      </c>
      <c r="H1755" s="18">
        <v>3.2</v>
      </c>
      <c r="I1755" s="18">
        <v>199</v>
      </c>
      <c r="J1755" s="18">
        <v>0</v>
      </c>
      <c r="K1755" s="18">
        <v>636.79999999999995</v>
      </c>
      <c r="L1755" s="18" t="s">
        <v>139</v>
      </c>
      <c r="M1755" s="18" t="s">
        <v>133</v>
      </c>
      <c r="N1755" s="20"/>
      <c r="O1755" s="20"/>
      <c r="P1755" s="20"/>
      <c r="Q1755" s="18" t="b">
        <f>FALSE()</f>
        <v>0</v>
      </c>
      <c r="R1755" s="18" t="b">
        <f>FALSE()</f>
        <v>0</v>
      </c>
      <c r="S1755" s="19" t="str">
        <f t="shared" si="27"/>
        <v>N/A</v>
      </c>
      <c r="T1755">
        <f>COUNTIF('👤 Customers'!$A:$A, B1755)</f>
        <v>1</v>
      </c>
      <c r="U1755">
        <f>COUNTIF('🚴 Riders'!A1754:A1814, C1755)</f>
        <v>0</v>
      </c>
      <c r="V1755">
        <f>COUNTIF('🏭 Facilities'!A1754:A1762, D1755)</f>
        <v>0</v>
      </c>
    </row>
    <row r="1756" spans="1:22">
      <c r="A1756" s="16" t="s">
        <v>4173</v>
      </c>
      <c r="B1756" s="16" t="s">
        <v>271</v>
      </c>
      <c r="C1756" s="16" t="s">
        <v>196</v>
      </c>
      <c r="D1756" s="16" t="s">
        <v>130</v>
      </c>
      <c r="E1756" s="25">
        <v>44971</v>
      </c>
      <c r="F1756" s="16" t="s">
        <v>4174</v>
      </c>
      <c r="G1756" s="16" t="s">
        <v>132</v>
      </c>
      <c r="H1756" s="16">
        <v>7.9</v>
      </c>
      <c r="I1756" s="16">
        <v>399</v>
      </c>
      <c r="J1756" s="16">
        <v>0</v>
      </c>
      <c r="K1756" s="16">
        <v>3152.1</v>
      </c>
      <c r="L1756" s="16" t="s">
        <v>126</v>
      </c>
      <c r="M1756" s="16" t="s">
        <v>119</v>
      </c>
      <c r="N1756" s="27">
        <v>44971.432638888888</v>
      </c>
      <c r="O1756" s="27">
        <v>44972.438194444447</v>
      </c>
      <c r="P1756" s="16">
        <v>2.7</v>
      </c>
      <c r="Q1756" s="16" t="b">
        <f>TRUE()</f>
        <v>1</v>
      </c>
      <c r="R1756" s="16" t="b">
        <f>FALSE()</f>
        <v>0</v>
      </c>
      <c r="S1756" s="17">
        <f t="shared" si="27"/>
        <v>24.1</v>
      </c>
      <c r="T1756">
        <f>COUNTIF('👤 Customers'!$A:$A, B1756)</f>
        <v>1</v>
      </c>
      <c r="U1756">
        <f>COUNTIF('🚴 Riders'!A1755:A1815, C1756)</f>
        <v>0</v>
      </c>
      <c r="V1756">
        <f>COUNTIF('🏭 Facilities'!A1755:A1763, D1756)</f>
        <v>0</v>
      </c>
    </row>
    <row r="1757" spans="1:22">
      <c r="A1757" s="18" t="s">
        <v>4175</v>
      </c>
      <c r="B1757" s="18" t="s">
        <v>1030</v>
      </c>
      <c r="C1757" s="18" t="s">
        <v>326</v>
      </c>
      <c r="D1757" s="18" t="s">
        <v>123</v>
      </c>
      <c r="E1757" s="26">
        <v>45384</v>
      </c>
      <c r="F1757" s="18" t="s">
        <v>4176</v>
      </c>
      <c r="G1757" s="18" t="s">
        <v>125</v>
      </c>
      <c r="H1757" s="18">
        <v>4.7</v>
      </c>
      <c r="I1757" s="18">
        <v>199</v>
      </c>
      <c r="J1757" s="18">
        <v>0</v>
      </c>
      <c r="K1757" s="18">
        <v>935.3</v>
      </c>
      <c r="L1757" s="18" t="s">
        <v>146</v>
      </c>
      <c r="M1757" s="18" t="s">
        <v>119</v>
      </c>
      <c r="N1757" s="28">
        <v>45384.77847222222</v>
      </c>
      <c r="O1757" s="28">
        <v>45385.412499999999</v>
      </c>
      <c r="P1757" s="18">
        <v>4.9000000000000004</v>
      </c>
      <c r="Q1757" s="18" t="b">
        <f>FALSE()</f>
        <v>0</v>
      </c>
      <c r="R1757" s="18" t="b">
        <f>FALSE()</f>
        <v>0</v>
      </c>
      <c r="S1757" s="19">
        <f t="shared" si="27"/>
        <v>15.2</v>
      </c>
      <c r="T1757">
        <f>COUNTIF('👤 Customers'!$A:$A, B1757)</f>
        <v>1</v>
      </c>
      <c r="U1757">
        <f>COUNTIF('🚴 Riders'!A1756:A1816, C1757)</f>
        <v>0</v>
      </c>
      <c r="V1757">
        <f>COUNTIF('🏭 Facilities'!A1756:A1764, D1757)</f>
        <v>0</v>
      </c>
    </row>
    <row r="1758" spans="1:22">
      <c r="A1758" s="16" t="s">
        <v>4177</v>
      </c>
      <c r="B1758" s="16" t="s">
        <v>3825</v>
      </c>
      <c r="C1758" s="16" t="s">
        <v>257</v>
      </c>
      <c r="D1758" s="16" t="s">
        <v>184</v>
      </c>
      <c r="E1758" s="25">
        <v>45106</v>
      </c>
      <c r="F1758" s="16" t="s">
        <v>4178</v>
      </c>
      <c r="G1758" s="16" t="s">
        <v>117</v>
      </c>
      <c r="H1758" s="16">
        <v>5.9</v>
      </c>
      <c r="I1758" s="16">
        <v>149</v>
      </c>
      <c r="J1758" s="16">
        <v>0</v>
      </c>
      <c r="K1758" s="16">
        <v>879.1</v>
      </c>
      <c r="L1758" s="16" t="s">
        <v>146</v>
      </c>
      <c r="M1758" s="16" t="s">
        <v>119</v>
      </c>
      <c r="N1758" s="27">
        <v>45106.243750000001</v>
      </c>
      <c r="O1758" s="27">
        <v>45107.306250000001</v>
      </c>
      <c r="P1758" s="16">
        <v>4.3</v>
      </c>
      <c r="Q1758" s="16" t="b">
        <f>TRUE()</f>
        <v>1</v>
      </c>
      <c r="R1758" s="16" t="b">
        <f>FALSE()</f>
        <v>0</v>
      </c>
      <c r="S1758" s="17">
        <f t="shared" si="27"/>
        <v>25.5</v>
      </c>
      <c r="T1758">
        <f>COUNTIF('👤 Customers'!$A:$A, B1758)</f>
        <v>1</v>
      </c>
      <c r="U1758">
        <f>COUNTIF('🚴 Riders'!A1757:A1817, C1758)</f>
        <v>0</v>
      </c>
      <c r="V1758">
        <f>COUNTIF('🏭 Facilities'!A1757:A1765, D1758)</f>
        <v>0</v>
      </c>
    </row>
    <row r="1759" spans="1:22">
      <c r="A1759" s="18" t="s">
        <v>4179</v>
      </c>
      <c r="B1759" s="18" t="s">
        <v>275</v>
      </c>
      <c r="C1759" s="18" t="s">
        <v>272</v>
      </c>
      <c r="D1759" s="18" t="s">
        <v>197</v>
      </c>
      <c r="E1759" s="26">
        <v>45098</v>
      </c>
      <c r="F1759" s="18" t="s">
        <v>4180</v>
      </c>
      <c r="G1759" s="18" t="s">
        <v>145</v>
      </c>
      <c r="H1759" s="18">
        <v>3.9</v>
      </c>
      <c r="I1759" s="18">
        <v>299</v>
      </c>
      <c r="J1759" s="18">
        <v>0</v>
      </c>
      <c r="K1759" s="18">
        <v>1166.0999999999999</v>
      </c>
      <c r="L1759" s="18" t="s">
        <v>207</v>
      </c>
      <c r="M1759" s="18" t="s">
        <v>119</v>
      </c>
      <c r="N1759" s="28">
        <v>45098.442361111112</v>
      </c>
      <c r="O1759" s="28">
        <v>45099.188194444447</v>
      </c>
      <c r="P1759" s="18">
        <v>5</v>
      </c>
      <c r="Q1759" s="18" t="b">
        <f>FALSE()</f>
        <v>0</v>
      </c>
      <c r="R1759" s="18" t="b">
        <f>FALSE()</f>
        <v>0</v>
      </c>
      <c r="S1759" s="19">
        <f t="shared" si="27"/>
        <v>17.899999999999999</v>
      </c>
      <c r="T1759">
        <f>COUNTIF('👤 Customers'!$A:$A, B1759)</f>
        <v>1</v>
      </c>
      <c r="U1759">
        <f>COUNTIF('🚴 Riders'!A1758:A1818, C1759)</f>
        <v>0</v>
      </c>
      <c r="V1759">
        <f>COUNTIF('🏭 Facilities'!A1758:A1766, D1759)</f>
        <v>0</v>
      </c>
    </row>
    <row r="1760" spans="1:22">
      <c r="A1760" s="16" t="s">
        <v>4181</v>
      </c>
      <c r="B1760" s="16" t="s">
        <v>640</v>
      </c>
      <c r="C1760" s="16" t="s">
        <v>204</v>
      </c>
      <c r="D1760" s="16" t="s">
        <v>115</v>
      </c>
      <c r="E1760" s="25">
        <v>44978</v>
      </c>
      <c r="F1760" s="16" t="s">
        <v>4182</v>
      </c>
      <c r="G1760" s="16" t="s">
        <v>117</v>
      </c>
      <c r="H1760" s="16">
        <v>7</v>
      </c>
      <c r="I1760" s="16">
        <v>149</v>
      </c>
      <c r="J1760" s="16">
        <v>20</v>
      </c>
      <c r="K1760" s="16">
        <v>834.4</v>
      </c>
      <c r="L1760" s="16" t="s">
        <v>126</v>
      </c>
      <c r="M1760" s="16" t="s">
        <v>133</v>
      </c>
      <c r="N1760" s="20"/>
      <c r="O1760" s="20"/>
      <c r="P1760" s="20"/>
      <c r="Q1760" s="16" t="b">
        <f>FALSE()</f>
        <v>0</v>
      </c>
      <c r="R1760" s="16" t="b">
        <f>FALSE()</f>
        <v>0</v>
      </c>
      <c r="S1760" s="17" t="str">
        <f t="shared" si="27"/>
        <v>N/A</v>
      </c>
      <c r="T1760">
        <f>COUNTIF('👤 Customers'!$A:$A, B1760)</f>
        <v>1</v>
      </c>
      <c r="U1760">
        <f>COUNTIF('🚴 Riders'!A1759:A1819, C1760)</f>
        <v>0</v>
      </c>
      <c r="V1760">
        <f>COUNTIF('🏭 Facilities'!A1759:A1767, D1760)</f>
        <v>0</v>
      </c>
    </row>
    <row r="1761" spans="1:22">
      <c r="A1761" s="18" t="s">
        <v>4183</v>
      </c>
      <c r="B1761" s="18" t="s">
        <v>1724</v>
      </c>
      <c r="C1761" s="18" t="s">
        <v>257</v>
      </c>
      <c r="D1761" s="18" t="s">
        <v>130</v>
      </c>
      <c r="E1761" s="26">
        <v>45098</v>
      </c>
      <c r="F1761" s="18" t="s">
        <v>4184</v>
      </c>
      <c r="G1761" s="18" t="s">
        <v>125</v>
      </c>
      <c r="H1761" s="18">
        <v>8</v>
      </c>
      <c r="I1761" s="18">
        <v>199</v>
      </c>
      <c r="J1761" s="18">
        <v>20</v>
      </c>
      <c r="K1761" s="18">
        <v>1273.5999999999999</v>
      </c>
      <c r="L1761" s="18" t="s">
        <v>126</v>
      </c>
      <c r="M1761" s="18" t="s">
        <v>119</v>
      </c>
      <c r="N1761" s="28">
        <v>45098.128472222219</v>
      </c>
      <c r="O1761" s="28">
        <v>45098.727777777778</v>
      </c>
      <c r="P1761" s="18">
        <v>4.7</v>
      </c>
      <c r="Q1761" s="18" t="b">
        <f>FALSE()</f>
        <v>0</v>
      </c>
      <c r="R1761" s="18" t="b">
        <f>FALSE()</f>
        <v>0</v>
      </c>
      <c r="S1761" s="19">
        <f t="shared" si="27"/>
        <v>14.4</v>
      </c>
      <c r="T1761">
        <f>COUNTIF('👤 Customers'!$A:$A, B1761)</f>
        <v>1</v>
      </c>
      <c r="U1761">
        <f>COUNTIF('🚴 Riders'!A1760:A1820, C1761)</f>
        <v>0</v>
      </c>
      <c r="V1761">
        <f>COUNTIF('🏭 Facilities'!A1760:A1768, D1761)</f>
        <v>0</v>
      </c>
    </row>
    <row r="1762" spans="1:22">
      <c r="A1762" s="16" t="s">
        <v>4185</v>
      </c>
      <c r="B1762" s="16" t="s">
        <v>427</v>
      </c>
      <c r="C1762" s="16" t="s">
        <v>179</v>
      </c>
      <c r="D1762" s="16" t="s">
        <v>158</v>
      </c>
      <c r="E1762" s="25">
        <v>45396</v>
      </c>
      <c r="F1762" s="16" t="s">
        <v>4186</v>
      </c>
      <c r="G1762" s="16" t="s">
        <v>145</v>
      </c>
      <c r="H1762" s="16">
        <v>5.3</v>
      </c>
      <c r="I1762" s="16">
        <v>299</v>
      </c>
      <c r="J1762" s="16">
        <v>0</v>
      </c>
      <c r="K1762" s="16">
        <v>1584.7</v>
      </c>
      <c r="L1762" s="16" t="s">
        <v>146</v>
      </c>
      <c r="M1762" s="16" t="s">
        <v>119</v>
      </c>
      <c r="N1762" s="27">
        <v>45396.6875</v>
      </c>
      <c r="O1762" s="27">
        <v>45397.428472222222</v>
      </c>
      <c r="P1762" s="16">
        <v>3.1</v>
      </c>
      <c r="Q1762" s="16" t="b">
        <f>FALSE()</f>
        <v>0</v>
      </c>
      <c r="R1762" s="16" t="b">
        <f>FALSE()</f>
        <v>0</v>
      </c>
      <c r="S1762" s="17">
        <f t="shared" si="27"/>
        <v>17.8</v>
      </c>
      <c r="T1762">
        <f>COUNTIF('👤 Customers'!$A:$A, B1762)</f>
        <v>1</v>
      </c>
      <c r="U1762">
        <f>COUNTIF('🚴 Riders'!A1761:A1821, C1762)</f>
        <v>0</v>
      </c>
      <c r="V1762">
        <f>COUNTIF('🏭 Facilities'!A1761:A1769, D1762)</f>
        <v>0</v>
      </c>
    </row>
    <row r="1763" spans="1:22">
      <c r="A1763" s="18" t="s">
        <v>4187</v>
      </c>
      <c r="B1763" s="18" t="s">
        <v>1920</v>
      </c>
      <c r="C1763" s="18" t="s">
        <v>213</v>
      </c>
      <c r="D1763" s="18" t="s">
        <v>158</v>
      </c>
      <c r="E1763" s="26">
        <v>45203</v>
      </c>
      <c r="F1763" s="18" t="s">
        <v>4188</v>
      </c>
      <c r="G1763" s="18" t="s">
        <v>125</v>
      </c>
      <c r="H1763" s="18">
        <v>6.3</v>
      </c>
      <c r="I1763" s="18">
        <v>199</v>
      </c>
      <c r="J1763" s="18">
        <v>0</v>
      </c>
      <c r="K1763" s="18">
        <v>1253.7</v>
      </c>
      <c r="L1763" s="18" t="s">
        <v>207</v>
      </c>
      <c r="M1763" s="18" t="s">
        <v>119</v>
      </c>
      <c r="N1763" s="28">
        <v>45203.57916666667</v>
      </c>
      <c r="O1763" s="28">
        <v>45204.396527777775</v>
      </c>
      <c r="P1763" s="18">
        <v>4.0999999999999996</v>
      </c>
      <c r="Q1763" s="18" t="b">
        <f>FALSE()</f>
        <v>0</v>
      </c>
      <c r="R1763" s="18" t="b">
        <f>FALSE()</f>
        <v>0</v>
      </c>
      <c r="S1763" s="19">
        <f t="shared" si="27"/>
        <v>19.600000000000001</v>
      </c>
      <c r="T1763">
        <f>COUNTIF('👤 Customers'!$A:$A, B1763)</f>
        <v>1</v>
      </c>
      <c r="U1763">
        <f>COUNTIF('🚴 Riders'!A1762:A1822, C1763)</f>
        <v>0</v>
      </c>
      <c r="V1763">
        <f>COUNTIF('🏭 Facilities'!A1762:A1770, D1763)</f>
        <v>0</v>
      </c>
    </row>
    <row r="1764" spans="1:22">
      <c r="A1764" s="16" t="s">
        <v>4189</v>
      </c>
      <c r="B1764" s="16" t="s">
        <v>361</v>
      </c>
      <c r="C1764" s="16" t="s">
        <v>479</v>
      </c>
      <c r="D1764" s="16" t="s">
        <v>137</v>
      </c>
      <c r="E1764" s="25">
        <v>45244</v>
      </c>
      <c r="F1764" s="16" t="s">
        <v>4190</v>
      </c>
      <c r="G1764" s="16" t="s">
        <v>132</v>
      </c>
      <c r="H1764" s="16">
        <v>4</v>
      </c>
      <c r="I1764" s="16">
        <v>399</v>
      </c>
      <c r="J1764" s="16">
        <v>0</v>
      </c>
      <c r="K1764" s="16">
        <v>1596</v>
      </c>
      <c r="L1764" s="16" t="s">
        <v>139</v>
      </c>
      <c r="M1764" s="16" t="s">
        <v>140</v>
      </c>
      <c r="N1764" s="27">
        <v>45244.927083333336</v>
      </c>
      <c r="O1764" s="27">
        <v>45245.29791666667</v>
      </c>
      <c r="P1764" s="20"/>
      <c r="Q1764" s="16" t="b">
        <f>FALSE()</f>
        <v>0</v>
      </c>
      <c r="R1764" s="16" t="b">
        <f>TRUE()</f>
        <v>1</v>
      </c>
      <c r="S1764" s="17">
        <f t="shared" si="27"/>
        <v>8.9</v>
      </c>
      <c r="T1764">
        <f>COUNTIF('👤 Customers'!$A:$A, B1764)</f>
        <v>1</v>
      </c>
      <c r="U1764">
        <f>COUNTIF('🚴 Riders'!A1763:A1823, C1764)</f>
        <v>0</v>
      </c>
      <c r="V1764">
        <f>COUNTIF('🏭 Facilities'!A1763:A1771, D1764)</f>
        <v>0</v>
      </c>
    </row>
    <row r="1765" spans="1:22">
      <c r="A1765" s="18" t="s">
        <v>4191</v>
      </c>
      <c r="B1765" s="18" t="s">
        <v>753</v>
      </c>
      <c r="C1765" s="18" t="s">
        <v>232</v>
      </c>
      <c r="D1765" s="18" t="s">
        <v>115</v>
      </c>
      <c r="E1765" s="26">
        <v>45050</v>
      </c>
      <c r="F1765" s="18" t="s">
        <v>4192</v>
      </c>
      <c r="G1765" s="18" t="s">
        <v>132</v>
      </c>
      <c r="H1765" s="18">
        <v>4</v>
      </c>
      <c r="I1765" s="18">
        <v>399</v>
      </c>
      <c r="J1765" s="18">
        <v>0</v>
      </c>
      <c r="K1765" s="18">
        <v>1596</v>
      </c>
      <c r="L1765" s="18" t="s">
        <v>139</v>
      </c>
      <c r="M1765" s="18" t="s">
        <v>133</v>
      </c>
      <c r="N1765" s="20"/>
      <c r="O1765" s="20"/>
      <c r="P1765" s="20"/>
      <c r="Q1765" s="18" t="b">
        <f>TRUE()</f>
        <v>1</v>
      </c>
      <c r="R1765" s="18" t="b">
        <f>FALSE()</f>
        <v>0</v>
      </c>
      <c r="S1765" s="19" t="str">
        <f t="shared" si="27"/>
        <v>N/A</v>
      </c>
      <c r="T1765">
        <f>COUNTIF('👤 Customers'!$A:$A, B1765)</f>
        <v>1</v>
      </c>
      <c r="U1765">
        <f>COUNTIF('🚴 Riders'!A1764:A1824, C1765)</f>
        <v>0</v>
      </c>
      <c r="V1765">
        <f>COUNTIF('🏭 Facilities'!A1764:A1772, D1765)</f>
        <v>0</v>
      </c>
    </row>
    <row r="1766" spans="1:22">
      <c r="A1766" s="16" t="s">
        <v>4193</v>
      </c>
      <c r="B1766" s="16" t="s">
        <v>913</v>
      </c>
      <c r="C1766" s="16" t="s">
        <v>304</v>
      </c>
      <c r="D1766" s="16" t="s">
        <v>115</v>
      </c>
      <c r="E1766" s="25">
        <v>45561</v>
      </c>
      <c r="F1766" s="16" t="s">
        <v>4194</v>
      </c>
      <c r="G1766" s="16" t="s">
        <v>117</v>
      </c>
      <c r="H1766" s="16">
        <v>2.2000000000000002</v>
      </c>
      <c r="I1766" s="16">
        <v>149</v>
      </c>
      <c r="J1766" s="16">
        <v>0</v>
      </c>
      <c r="K1766" s="16">
        <v>327.8</v>
      </c>
      <c r="L1766" s="16" t="s">
        <v>118</v>
      </c>
      <c r="M1766" s="16" t="s">
        <v>140</v>
      </c>
      <c r="N1766" s="27">
        <v>45561.709027777775</v>
      </c>
      <c r="O1766" s="27">
        <v>45562.713888888888</v>
      </c>
      <c r="P1766" s="20"/>
      <c r="Q1766" s="16" t="b">
        <f>FALSE()</f>
        <v>0</v>
      </c>
      <c r="R1766" s="16" t="b">
        <f>FALSE()</f>
        <v>0</v>
      </c>
      <c r="S1766" s="17">
        <f t="shared" si="27"/>
        <v>24.1</v>
      </c>
      <c r="T1766">
        <f>COUNTIF('👤 Customers'!$A:$A, B1766)</f>
        <v>1</v>
      </c>
      <c r="U1766">
        <f>COUNTIF('🚴 Riders'!A1765:A1825, C1766)</f>
        <v>0</v>
      </c>
      <c r="V1766">
        <f>COUNTIF('🏭 Facilities'!A1765:A1773, D1766)</f>
        <v>0</v>
      </c>
    </row>
    <row r="1767" spans="1:22">
      <c r="A1767" s="18" t="s">
        <v>4195</v>
      </c>
      <c r="B1767" s="18" t="s">
        <v>3332</v>
      </c>
      <c r="C1767" s="18" t="s">
        <v>287</v>
      </c>
      <c r="D1767" s="18" t="s">
        <v>115</v>
      </c>
      <c r="E1767" s="26">
        <v>45173</v>
      </c>
      <c r="F1767" s="18" t="s">
        <v>4196</v>
      </c>
      <c r="G1767" s="18" t="s">
        <v>176</v>
      </c>
      <c r="H1767" s="18">
        <v>4.7</v>
      </c>
      <c r="I1767" s="18">
        <v>599</v>
      </c>
      <c r="J1767" s="18">
        <v>0</v>
      </c>
      <c r="K1767" s="18">
        <v>2815.3</v>
      </c>
      <c r="L1767" s="18" t="s">
        <v>139</v>
      </c>
      <c r="M1767" s="18" t="s">
        <v>119</v>
      </c>
      <c r="N1767" s="28">
        <v>45174.102083333331</v>
      </c>
      <c r="O1767" s="28">
        <v>45174.76666666667</v>
      </c>
      <c r="P1767" s="18">
        <v>3.2</v>
      </c>
      <c r="Q1767" s="18" t="b">
        <f>FALSE()</f>
        <v>0</v>
      </c>
      <c r="R1767" s="18" t="b">
        <f>TRUE()</f>
        <v>1</v>
      </c>
      <c r="S1767" s="19">
        <f t="shared" si="27"/>
        <v>16</v>
      </c>
      <c r="T1767">
        <f>COUNTIF('👤 Customers'!$A:$A, B1767)</f>
        <v>1</v>
      </c>
      <c r="U1767">
        <f>COUNTIF('🚴 Riders'!A1766:A1826, C1767)</f>
        <v>0</v>
      </c>
      <c r="V1767">
        <f>COUNTIF('🏭 Facilities'!A1766:A1774, D1767)</f>
        <v>0</v>
      </c>
    </row>
    <row r="1768" spans="1:22">
      <c r="A1768" s="16" t="s">
        <v>4197</v>
      </c>
      <c r="B1768" s="16" t="s">
        <v>243</v>
      </c>
      <c r="C1768" s="16" t="s">
        <v>413</v>
      </c>
      <c r="D1768" s="16" t="s">
        <v>197</v>
      </c>
      <c r="E1768" s="25">
        <v>45359</v>
      </c>
      <c r="F1768" s="16" t="s">
        <v>3583</v>
      </c>
      <c r="G1768" s="16" t="s">
        <v>117</v>
      </c>
      <c r="H1768" s="16">
        <v>7.7</v>
      </c>
      <c r="I1768" s="16">
        <v>149</v>
      </c>
      <c r="J1768" s="16">
        <v>0</v>
      </c>
      <c r="K1768" s="16">
        <v>1147.3</v>
      </c>
      <c r="L1768" s="16" t="s">
        <v>139</v>
      </c>
      <c r="M1768" s="16" t="s">
        <v>119</v>
      </c>
      <c r="N1768" s="27">
        <v>45359.693055555559</v>
      </c>
      <c r="O1768" s="27">
        <v>45360.098611111112</v>
      </c>
      <c r="P1768" s="16">
        <v>2.8</v>
      </c>
      <c r="Q1768" s="16" t="b">
        <f>FALSE()</f>
        <v>0</v>
      </c>
      <c r="R1768" s="16" t="b">
        <f>FALSE()</f>
        <v>0</v>
      </c>
      <c r="S1768" s="17">
        <f t="shared" si="27"/>
        <v>9.6999999999999993</v>
      </c>
      <c r="T1768">
        <f>COUNTIF('👤 Customers'!$A:$A, B1768)</f>
        <v>1</v>
      </c>
      <c r="U1768">
        <f>COUNTIF('🚴 Riders'!A1767:A1827, C1768)</f>
        <v>0</v>
      </c>
      <c r="V1768">
        <f>COUNTIF('🏭 Facilities'!A1767:A1775, D1768)</f>
        <v>0</v>
      </c>
    </row>
    <row r="1769" spans="1:22">
      <c r="A1769" s="18" t="s">
        <v>4198</v>
      </c>
      <c r="B1769" s="18" t="s">
        <v>430</v>
      </c>
      <c r="C1769" s="18" t="s">
        <v>265</v>
      </c>
      <c r="D1769" s="18" t="s">
        <v>197</v>
      </c>
      <c r="E1769" s="26">
        <v>45302</v>
      </c>
      <c r="F1769" s="18" t="s">
        <v>4199</v>
      </c>
      <c r="G1769" s="18" t="s">
        <v>176</v>
      </c>
      <c r="H1769" s="18">
        <v>5.0999999999999996</v>
      </c>
      <c r="I1769" s="18">
        <v>599</v>
      </c>
      <c r="J1769" s="18">
        <v>0</v>
      </c>
      <c r="K1769" s="18">
        <v>3054.9</v>
      </c>
      <c r="L1769" s="18" t="s">
        <v>146</v>
      </c>
      <c r="M1769" s="18" t="s">
        <v>119</v>
      </c>
      <c r="N1769" s="28">
        <v>45302.143750000003</v>
      </c>
      <c r="O1769" s="28">
        <v>45303.177083333336</v>
      </c>
      <c r="P1769" s="18">
        <v>3.8</v>
      </c>
      <c r="Q1769" s="18" t="b">
        <f>TRUE()</f>
        <v>1</v>
      </c>
      <c r="R1769" s="18" t="b">
        <f>TRUE()</f>
        <v>1</v>
      </c>
      <c r="S1769" s="19">
        <f t="shared" si="27"/>
        <v>24.8</v>
      </c>
      <c r="T1769">
        <f>COUNTIF('👤 Customers'!$A:$A, B1769)</f>
        <v>1</v>
      </c>
      <c r="U1769">
        <f>COUNTIF('🚴 Riders'!A1768:A1828, C1769)</f>
        <v>0</v>
      </c>
      <c r="V1769">
        <f>COUNTIF('🏭 Facilities'!A1768:A1776, D1769)</f>
        <v>0</v>
      </c>
    </row>
    <row r="1770" spans="1:22">
      <c r="A1770" s="16" t="s">
        <v>4200</v>
      </c>
      <c r="B1770" s="16" t="s">
        <v>1697</v>
      </c>
      <c r="C1770" s="16" t="s">
        <v>343</v>
      </c>
      <c r="D1770" s="16" t="s">
        <v>123</v>
      </c>
      <c r="E1770" s="25">
        <v>45166</v>
      </c>
      <c r="F1770" s="16" t="s">
        <v>4201</v>
      </c>
      <c r="G1770" s="16" t="s">
        <v>176</v>
      </c>
      <c r="H1770" s="16">
        <v>4</v>
      </c>
      <c r="I1770" s="16">
        <v>599</v>
      </c>
      <c r="J1770" s="16">
        <v>0</v>
      </c>
      <c r="K1770" s="16">
        <v>2396</v>
      </c>
      <c r="L1770" s="16" t="s">
        <v>146</v>
      </c>
      <c r="M1770" s="16" t="s">
        <v>140</v>
      </c>
      <c r="N1770" s="27">
        <v>45166.59097222222</v>
      </c>
      <c r="O1770" s="27">
        <v>45166.974999999999</v>
      </c>
      <c r="P1770" s="20"/>
      <c r="Q1770" s="16" t="b">
        <f>FALSE()</f>
        <v>0</v>
      </c>
      <c r="R1770" s="16" t="b">
        <f>TRUE()</f>
        <v>1</v>
      </c>
      <c r="S1770" s="17">
        <f t="shared" si="27"/>
        <v>9.1999999999999993</v>
      </c>
      <c r="T1770">
        <f>COUNTIF('👤 Customers'!$A:$A, B1770)</f>
        <v>1</v>
      </c>
      <c r="U1770">
        <f>COUNTIF('🚴 Riders'!A1769:A1829, C1770)</f>
        <v>0</v>
      </c>
      <c r="V1770">
        <f>COUNTIF('🏭 Facilities'!A1769:A1777, D1770)</f>
        <v>0</v>
      </c>
    </row>
    <row r="1771" spans="1:22">
      <c r="A1771" s="18" t="s">
        <v>4202</v>
      </c>
      <c r="B1771" s="18" t="s">
        <v>2028</v>
      </c>
      <c r="C1771" s="18" t="s">
        <v>204</v>
      </c>
      <c r="D1771" s="18" t="s">
        <v>137</v>
      </c>
      <c r="E1771" s="26">
        <v>45274</v>
      </c>
      <c r="F1771" s="18" t="s">
        <v>4203</v>
      </c>
      <c r="G1771" s="18" t="s">
        <v>176</v>
      </c>
      <c r="H1771" s="18">
        <v>6.8</v>
      </c>
      <c r="I1771" s="18">
        <v>599</v>
      </c>
      <c r="J1771" s="18">
        <v>0</v>
      </c>
      <c r="K1771" s="18">
        <v>4073.2</v>
      </c>
      <c r="L1771" s="18" t="s">
        <v>146</v>
      </c>
      <c r="M1771" s="18" t="s">
        <v>140</v>
      </c>
      <c r="N1771" s="28">
        <v>45274.443055555559</v>
      </c>
      <c r="O1771" s="28">
        <v>45274.791666666664</v>
      </c>
      <c r="P1771" s="20"/>
      <c r="Q1771" s="18" t="b">
        <f>FALSE()</f>
        <v>0</v>
      </c>
      <c r="R1771" s="18" t="b">
        <f>TRUE()</f>
        <v>1</v>
      </c>
      <c r="S1771" s="19">
        <f t="shared" si="27"/>
        <v>8.4</v>
      </c>
      <c r="T1771">
        <f>COUNTIF('👤 Customers'!$A:$A, B1771)</f>
        <v>1</v>
      </c>
      <c r="U1771">
        <f>COUNTIF('🚴 Riders'!A1770:A1830, C1771)</f>
        <v>0</v>
      </c>
      <c r="V1771">
        <f>COUNTIF('🏭 Facilities'!A1770:A1778, D1771)</f>
        <v>0</v>
      </c>
    </row>
    <row r="1772" spans="1:22">
      <c r="A1772" s="16" t="s">
        <v>4204</v>
      </c>
      <c r="B1772" s="16" t="s">
        <v>2033</v>
      </c>
      <c r="C1772" s="16" t="s">
        <v>315</v>
      </c>
      <c r="D1772" s="16" t="s">
        <v>184</v>
      </c>
      <c r="E1772" s="25">
        <v>45494</v>
      </c>
      <c r="F1772" s="16" t="s">
        <v>4205</v>
      </c>
      <c r="G1772" s="16" t="s">
        <v>132</v>
      </c>
      <c r="H1772" s="16">
        <v>3.4</v>
      </c>
      <c r="I1772" s="16">
        <v>399</v>
      </c>
      <c r="J1772" s="16">
        <v>0</v>
      </c>
      <c r="K1772" s="16">
        <v>1356.6</v>
      </c>
      <c r="L1772" s="16" t="s">
        <v>139</v>
      </c>
      <c r="M1772" s="16" t="s">
        <v>140</v>
      </c>
      <c r="N1772" s="27">
        <v>45494.945833333331</v>
      </c>
      <c r="O1772" s="27">
        <v>45495.867361111108</v>
      </c>
      <c r="P1772" s="20"/>
      <c r="Q1772" s="16" t="b">
        <f>FALSE()</f>
        <v>0</v>
      </c>
      <c r="R1772" s="16" t="b">
        <f>FALSE()</f>
        <v>0</v>
      </c>
      <c r="S1772" s="17">
        <f t="shared" si="27"/>
        <v>22.1</v>
      </c>
      <c r="T1772">
        <f>COUNTIF('👤 Customers'!$A:$A, B1772)</f>
        <v>1</v>
      </c>
      <c r="U1772">
        <f>COUNTIF('🚴 Riders'!A1771:A1831, C1772)</f>
        <v>0</v>
      </c>
      <c r="V1772">
        <f>COUNTIF('🏭 Facilities'!A1771:A1779, D1772)</f>
        <v>0</v>
      </c>
    </row>
    <row r="1773" spans="1:22">
      <c r="A1773" s="18" t="s">
        <v>4206</v>
      </c>
      <c r="B1773" s="18" t="s">
        <v>2028</v>
      </c>
      <c r="C1773" s="18" t="s">
        <v>188</v>
      </c>
      <c r="D1773" s="18" t="s">
        <v>137</v>
      </c>
      <c r="E1773" s="26">
        <v>45042</v>
      </c>
      <c r="F1773" s="18" t="s">
        <v>4207</v>
      </c>
      <c r="G1773" s="18" t="s">
        <v>132</v>
      </c>
      <c r="H1773" s="18">
        <v>2.1</v>
      </c>
      <c r="I1773" s="18">
        <v>399</v>
      </c>
      <c r="J1773" s="18">
        <v>20</v>
      </c>
      <c r="K1773" s="18">
        <v>670.32</v>
      </c>
      <c r="L1773" s="18" t="s">
        <v>126</v>
      </c>
      <c r="M1773" s="18" t="s">
        <v>119</v>
      </c>
      <c r="N1773" s="28">
        <v>45043.022916666669</v>
      </c>
      <c r="O1773" s="28">
        <v>45043.982638888891</v>
      </c>
      <c r="P1773" s="18">
        <v>2.5</v>
      </c>
      <c r="Q1773" s="18" t="b">
        <f>FALSE()</f>
        <v>0</v>
      </c>
      <c r="R1773" s="18" t="b">
        <f>FALSE()</f>
        <v>0</v>
      </c>
      <c r="S1773" s="19">
        <f t="shared" si="27"/>
        <v>23</v>
      </c>
      <c r="T1773">
        <f>COUNTIF('👤 Customers'!$A:$A, B1773)</f>
        <v>1</v>
      </c>
      <c r="U1773">
        <f>COUNTIF('🚴 Riders'!A1772:A1832, C1773)</f>
        <v>0</v>
      </c>
      <c r="V1773">
        <f>COUNTIF('🏭 Facilities'!A1772:A1780, D1773)</f>
        <v>0</v>
      </c>
    </row>
    <row r="1774" spans="1:22">
      <c r="A1774" s="16" t="s">
        <v>4208</v>
      </c>
      <c r="B1774" s="16" t="s">
        <v>3512</v>
      </c>
      <c r="C1774" s="16" t="s">
        <v>483</v>
      </c>
      <c r="D1774" s="16" t="s">
        <v>115</v>
      </c>
      <c r="E1774" s="25">
        <v>44942</v>
      </c>
      <c r="F1774" s="16" t="s">
        <v>4209</v>
      </c>
      <c r="G1774" s="16" t="s">
        <v>132</v>
      </c>
      <c r="H1774" s="16">
        <v>6.7</v>
      </c>
      <c r="I1774" s="16">
        <v>399</v>
      </c>
      <c r="J1774" s="16">
        <v>10</v>
      </c>
      <c r="K1774" s="16">
        <v>2405.9699999999998</v>
      </c>
      <c r="L1774" s="16" t="s">
        <v>118</v>
      </c>
      <c r="M1774" s="16" t="s">
        <v>119</v>
      </c>
      <c r="N1774" s="27">
        <v>44942.504861111112</v>
      </c>
      <c r="O1774" s="27">
        <v>44943.135416666664</v>
      </c>
      <c r="P1774" s="16">
        <v>3.1</v>
      </c>
      <c r="Q1774" s="16" t="b">
        <f>FALSE()</f>
        <v>0</v>
      </c>
      <c r="R1774" s="16" t="b">
        <f>FALSE()</f>
        <v>0</v>
      </c>
      <c r="S1774" s="17">
        <f t="shared" si="27"/>
        <v>15.1</v>
      </c>
      <c r="T1774">
        <f>COUNTIF('👤 Customers'!$A:$A, B1774)</f>
        <v>1</v>
      </c>
      <c r="U1774">
        <f>COUNTIF('🚴 Riders'!A1773:A1833, C1774)</f>
        <v>0</v>
      </c>
      <c r="V1774">
        <f>COUNTIF('🏭 Facilities'!A1773:A1781, D1774)</f>
        <v>0</v>
      </c>
    </row>
    <row r="1775" spans="1:22">
      <c r="A1775" s="18" t="s">
        <v>4210</v>
      </c>
      <c r="B1775" s="18" t="s">
        <v>3142</v>
      </c>
      <c r="C1775" s="18" t="s">
        <v>322</v>
      </c>
      <c r="D1775" s="18" t="s">
        <v>205</v>
      </c>
      <c r="E1775" s="26">
        <v>45150</v>
      </c>
      <c r="F1775" s="18" t="s">
        <v>4211</v>
      </c>
      <c r="G1775" s="18" t="s">
        <v>125</v>
      </c>
      <c r="H1775" s="18">
        <v>5.9</v>
      </c>
      <c r="I1775" s="18">
        <v>199</v>
      </c>
      <c r="J1775" s="18">
        <v>0</v>
      </c>
      <c r="K1775" s="18">
        <v>1174.0999999999999</v>
      </c>
      <c r="L1775" s="18" t="s">
        <v>139</v>
      </c>
      <c r="M1775" s="18" t="s">
        <v>140</v>
      </c>
      <c r="N1775" s="28">
        <v>45150.947916666664</v>
      </c>
      <c r="O1775" s="28">
        <v>45151.744444444441</v>
      </c>
      <c r="P1775" s="20"/>
      <c r="Q1775" s="18" t="b">
        <f>FALSE()</f>
        <v>0</v>
      </c>
      <c r="R1775" s="18" t="b">
        <f>FALSE()</f>
        <v>0</v>
      </c>
      <c r="S1775" s="19">
        <f t="shared" si="27"/>
        <v>19.100000000000001</v>
      </c>
      <c r="T1775">
        <f>COUNTIF('👤 Customers'!$A:$A, B1775)</f>
        <v>1</v>
      </c>
      <c r="U1775">
        <f>COUNTIF('🚴 Riders'!A1774:A1834, C1775)</f>
        <v>0</v>
      </c>
      <c r="V1775">
        <f>COUNTIF('🏭 Facilities'!A1774:A1782, D1775)</f>
        <v>0</v>
      </c>
    </row>
    <row r="1776" spans="1:22">
      <c r="A1776" s="16" t="s">
        <v>4212</v>
      </c>
      <c r="B1776" s="16" t="s">
        <v>2736</v>
      </c>
      <c r="C1776" s="16" t="s">
        <v>358</v>
      </c>
      <c r="D1776" s="16" t="s">
        <v>130</v>
      </c>
      <c r="E1776" s="25">
        <v>45125</v>
      </c>
      <c r="F1776" s="16" t="s">
        <v>4213</v>
      </c>
      <c r="G1776" s="16" t="s">
        <v>125</v>
      </c>
      <c r="H1776" s="16">
        <v>6</v>
      </c>
      <c r="I1776" s="16">
        <v>199</v>
      </c>
      <c r="J1776" s="16">
        <v>0</v>
      </c>
      <c r="K1776" s="16">
        <v>1194</v>
      </c>
      <c r="L1776" s="16" t="s">
        <v>118</v>
      </c>
      <c r="M1776" s="16" t="s">
        <v>119</v>
      </c>
      <c r="N1776" s="27">
        <v>45125.75277777778</v>
      </c>
      <c r="O1776" s="27">
        <v>45126.341666666667</v>
      </c>
      <c r="P1776" s="16">
        <v>3.3</v>
      </c>
      <c r="Q1776" s="16" t="b">
        <f>TRUE()</f>
        <v>1</v>
      </c>
      <c r="R1776" s="16" t="b">
        <f>FALSE()</f>
        <v>0</v>
      </c>
      <c r="S1776" s="17">
        <f t="shared" si="27"/>
        <v>14.1</v>
      </c>
      <c r="T1776">
        <f>COUNTIF('👤 Customers'!$A:$A, B1776)</f>
        <v>1</v>
      </c>
      <c r="U1776">
        <f>COUNTIF('🚴 Riders'!A1775:A1835, C1776)</f>
        <v>0</v>
      </c>
      <c r="V1776">
        <f>COUNTIF('🏭 Facilities'!A1775:A1783, D1776)</f>
        <v>0</v>
      </c>
    </row>
    <row r="1777" spans="1:22">
      <c r="A1777" s="18" t="s">
        <v>4214</v>
      </c>
      <c r="B1777" s="18" t="s">
        <v>4215</v>
      </c>
      <c r="C1777" s="18" t="s">
        <v>1092</v>
      </c>
      <c r="D1777" s="18" t="s">
        <v>123</v>
      </c>
      <c r="E1777" s="26">
        <v>45260</v>
      </c>
      <c r="F1777" s="18" t="s">
        <v>4216</v>
      </c>
      <c r="G1777" s="18" t="s">
        <v>176</v>
      </c>
      <c r="H1777" s="18">
        <v>7.8</v>
      </c>
      <c r="I1777" s="18">
        <v>599</v>
      </c>
      <c r="J1777" s="18">
        <v>10</v>
      </c>
      <c r="K1777" s="18">
        <v>4204.9799999999996</v>
      </c>
      <c r="L1777" s="18" t="s">
        <v>146</v>
      </c>
      <c r="M1777" s="18" t="s">
        <v>119</v>
      </c>
      <c r="N1777" s="28">
        <v>45260.393055555556</v>
      </c>
      <c r="O1777" s="28">
        <v>45261.356944444444</v>
      </c>
      <c r="P1777" s="18">
        <v>3</v>
      </c>
      <c r="Q1777" s="18" t="b">
        <f>FALSE()</f>
        <v>0</v>
      </c>
      <c r="R1777" s="18" t="b">
        <f>FALSE()</f>
        <v>0</v>
      </c>
      <c r="S1777" s="19">
        <f t="shared" si="27"/>
        <v>23.1</v>
      </c>
      <c r="T1777">
        <f>COUNTIF('👤 Customers'!$A:$A, B1777)</f>
        <v>1</v>
      </c>
      <c r="U1777">
        <f>COUNTIF('🚴 Riders'!A1776:A1836, C1777)</f>
        <v>0</v>
      </c>
      <c r="V1777">
        <f>COUNTIF('🏭 Facilities'!A1776:A1784, D1777)</f>
        <v>0</v>
      </c>
    </row>
    <row r="1778" spans="1:22">
      <c r="A1778" s="16" t="s">
        <v>4217</v>
      </c>
      <c r="B1778" s="16" t="s">
        <v>2043</v>
      </c>
      <c r="C1778" s="16" t="s">
        <v>354</v>
      </c>
      <c r="D1778" s="16" t="s">
        <v>123</v>
      </c>
      <c r="E1778" s="25">
        <v>45104</v>
      </c>
      <c r="F1778" s="16" t="s">
        <v>4218</v>
      </c>
      <c r="G1778" s="16" t="s">
        <v>117</v>
      </c>
      <c r="H1778" s="16">
        <v>5.6</v>
      </c>
      <c r="I1778" s="16">
        <v>149</v>
      </c>
      <c r="J1778" s="16">
        <v>20</v>
      </c>
      <c r="K1778" s="16">
        <v>667.52</v>
      </c>
      <c r="L1778" s="16" t="s">
        <v>146</v>
      </c>
      <c r="M1778" s="16" t="s">
        <v>140</v>
      </c>
      <c r="N1778" s="27">
        <v>45104.634722222225</v>
      </c>
      <c r="O1778" s="27">
        <v>45105.279861111114</v>
      </c>
      <c r="P1778" s="20"/>
      <c r="Q1778" s="16" t="b">
        <f>FALSE()</f>
        <v>0</v>
      </c>
      <c r="R1778" s="16" t="b">
        <f>TRUE()</f>
        <v>1</v>
      </c>
      <c r="S1778" s="17">
        <f t="shared" si="27"/>
        <v>15.5</v>
      </c>
      <c r="T1778">
        <f>COUNTIF('👤 Customers'!$A:$A, B1778)</f>
        <v>1</v>
      </c>
      <c r="U1778">
        <f>COUNTIF('🚴 Riders'!A1777:A1837, C1778)</f>
        <v>0</v>
      </c>
      <c r="V1778">
        <f>COUNTIF('🏭 Facilities'!A1777:A1785, D1778)</f>
        <v>0</v>
      </c>
    </row>
    <row r="1779" spans="1:22">
      <c r="A1779" s="18" t="s">
        <v>4219</v>
      </c>
      <c r="B1779" s="18" t="s">
        <v>678</v>
      </c>
      <c r="C1779" s="18" t="s">
        <v>204</v>
      </c>
      <c r="D1779" s="18" t="s">
        <v>158</v>
      </c>
      <c r="E1779" s="26">
        <v>45595</v>
      </c>
      <c r="F1779" s="18" t="s">
        <v>4220</v>
      </c>
      <c r="G1779" s="18" t="s">
        <v>145</v>
      </c>
      <c r="H1779" s="18">
        <v>4.3</v>
      </c>
      <c r="I1779" s="18">
        <v>299</v>
      </c>
      <c r="J1779" s="18">
        <v>0</v>
      </c>
      <c r="K1779" s="18">
        <v>1285.7</v>
      </c>
      <c r="L1779" s="18" t="s">
        <v>146</v>
      </c>
      <c r="M1779" s="18" t="s">
        <v>119</v>
      </c>
      <c r="N1779" s="28">
        <v>45595.662499999999</v>
      </c>
      <c r="O1779" s="28">
        <v>45596.654166666667</v>
      </c>
      <c r="P1779" s="18">
        <v>3.9</v>
      </c>
      <c r="Q1779" s="18" t="b">
        <f>FALSE()</f>
        <v>0</v>
      </c>
      <c r="R1779" s="18" t="b">
        <f>FALSE()</f>
        <v>0</v>
      </c>
      <c r="S1779" s="19">
        <f t="shared" si="27"/>
        <v>23.8</v>
      </c>
      <c r="T1779">
        <f>COUNTIF('👤 Customers'!$A:$A, B1779)</f>
        <v>1</v>
      </c>
      <c r="U1779">
        <f>COUNTIF('🚴 Riders'!A1778:A1838, C1779)</f>
        <v>0</v>
      </c>
      <c r="V1779">
        <f>COUNTIF('🏭 Facilities'!A1778:A1786, D1779)</f>
        <v>0</v>
      </c>
    </row>
    <row r="1780" spans="1:22">
      <c r="A1780" s="16" t="s">
        <v>4221</v>
      </c>
      <c r="B1780" s="16" t="s">
        <v>930</v>
      </c>
      <c r="C1780" s="16" t="s">
        <v>196</v>
      </c>
      <c r="D1780" s="16" t="s">
        <v>123</v>
      </c>
      <c r="E1780" s="25">
        <v>45160</v>
      </c>
      <c r="F1780" s="16" t="s">
        <v>4222</v>
      </c>
      <c r="G1780" s="16" t="s">
        <v>132</v>
      </c>
      <c r="H1780" s="16">
        <v>7.1</v>
      </c>
      <c r="I1780" s="16">
        <v>399</v>
      </c>
      <c r="J1780" s="16">
        <v>10</v>
      </c>
      <c r="K1780" s="16">
        <v>2549.61</v>
      </c>
      <c r="L1780" s="16" t="s">
        <v>118</v>
      </c>
      <c r="M1780" s="16" t="s">
        <v>133</v>
      </c>
      <c r="N1780" s="20"/>
      <c r="O1780" s="20"/>
      <c r="P1780" s="20"/>
      <c r="Q1780" s="16" t="b">
        <f>FALSE()</f>
        <v>0</v>
      </c>
      <c r="R1780" s="16" t="b">
        <f>FALSE()</f>
        <v>0</v>
      </c>
      <c r="S1780" s="17" t="str">
        <f t="shared" si="27"/>
        <v>N/A</v>
      </c>
      <c r="T1780">
        <f>COUNTIF('👤 Customers'!$A:$A, B1780)</f>
        <v>1</v>
      </c>
      <c r="U1780">
        <f>COUNTIF('🚴 Riders'!A1779:A1839, C1780)</f>
        <v>0</v>
      </c>
      <c r="V1780">
        <f>COUNTIF('🏭 Facilities'!A1779:A1787, D1780)</f>
        <v>0</v>
      </c>
    </row>
    <row r="1781" spans="1:22">
      <c r="A1781" s="18" t="s">
        <v>4223</v>
      </c>
      <c r="B1781" s="18" t="s">
        <v>1477</v>
      </c>
      <c r="C1781" s="18" t="s">
        <v>232</v>
      </c>
      <c r="D1781" s="18" t="s">
        <v>123</v>
      </c>
      <c r="E1781" s="26">
        <v>45486</v>
      </c>
      <c r="F1781" s="18" t="s">
        <v>4224</v>
      </c>
      <c r="G1781" s="18" t="s">
        <v>125</v>
      </c>
      <c r="H1781" s="18">
        <v>5.2</v>
      </c>
      <c r="I1781" s="18">
        <v>199</v>
      </c>
      <c r="J1781" s="18">
        <v>0</v>
      </c>
      <c r="K1781" s="18">
        <v>1034.8</v>
      </c>
      <c r="L1781" s="18" t="s">
        <v>207</v>
      </c>
      <c r="M1781" s="18" t="s">
        <v>119</v>
      </c>
      <c r="N1781" s="28">
        <v>45486.896527777775</v>
      </c>
      <c r="O1781" s="28">
        <v>45487.738194444442</v>
      </c>
      <c r="P1781" s="18">
        <v>4.8</v>
      </c>
      <c r="Q1781" s="18" t="b">
        <f>FALSE()</f>
        <v>0</v>
      </c>
      <c r="R1781" s="18" t="b">
        <f>FALSE()</f>
        <v>0</v>
      </c>
      <c r="S1781" s="19">
        <f t="shared" si="27"/>
        <v>20.2</v>
      </c>
      <c r="T1781">
        <f>COUNTIF('👤 Customers'!$A:$A, B1781)</f>
        <v>1</v>
      </c>
      <c r="U1781">
        <f>COUNTIF('🚴 Riders'!A1780:A1840, C1781)</f>
        <v>0</v>
      </c>
      <c r="V1781">
        <f>COUNTIF('🏭 Facilities'!A1780:A1788, D1781)</f>
        <v>0</v>
      </c>
    </row>
    <row r="1782" spans="1:22">
      <c r="A1782" s="16" t="s">
        <v>4225</v>
      </c>
      <c r="B1782" s="16" t="s">
        <v>3834</v>
      </c>
      <c r="C1782" s="16" t="s">
        <v>153</v>
      </c>
      <c r="D1782" s="16" t="s">
        <v>205</v>
      </c>
      <c r="E1782" s="25">
        <v>45367</v>
      </c>
      <c r="F1782" s="16" t="s">
        <v>4226</v>
      </c>
      <c r="G1782" s="16" t="s">
        <v>125</v>
      </c>
      <c r="H1782" s="16">
        <v>5.9</v>
      </c>
      <c r="I1782" s="16">
        <v>199</v>
      </c>
      <c r="J1782" s="16">
        <v>0</v>
      </c>
      <c r="K1782" s="16">
        <v>1174.0999999999999</v>
      </c>
      <c r="L1782" s="16" t="s">
        <v>126</v>
      </c>
      <c r="M1782" s="16" t="s">
        <v>140</v>
      </c>
      <c r="N1782" s="27">
        <v>45367.606249999997</v>
      </c>
      <c r="O1782" s="27">
        <v>45368.085416666669</v>
      </c>
      <c r="P1782" s="20"/>
      <c r="Q1782" s="16" t="b">
        <f>FALSE()</f>
        <v>0</v>
      </c>
      <c r="R1782" s="16" t="b">
        <f>FALSE()</f>
        <v>0</v>
      </c>
      <c r="S1782" s="17">
        <f t="shared" si="27"/>
        <v>11.5</v>
      </c>
      <c r="T1782">
        <f>COUNTIF('👤 Customers'!$A:$A, B1782)</f>
        <v>1</v>
      </c>
      <c r="U1782">
        <f>COUNTIF('🚴 Riders'!A1781:A1841, C1782)</f>
        <v>0</v>
      </c>
      <c r="V1782">
        <f>COUNTIF('🏭 Facilities'!A1781:A1789, D1782)</f>
        <v>0</v>
      </c>
    </row>
    <row r="1783" spans="1:22">
      <c r="A1783" s="18" t="s">
        <v>4227</v>
      </c>
      <c r="B1783" s="18" t="s">
        <v>577</v>
      </c>
      <c r="C1783" s="18" t="s">
        <v>461</v>
      </c>
      <c r="D1783" s="18" t="s">
        <v>184</v>
      </c>
      <c r="E1783" s="26">
        <v>44976</v>
      </c>
      <c r="F1783" s="18" t="s">
        <v>4228</v>
      </c>
      <c r="G1783" s="18" t="s">
        <v>145</v>
      </c>
      <c r="H1783" s="18">
        <v>2</v>
      </c>
      <c r="I1783" s="18">
        <v>299</v>
      </c>
      <c r="J1783" s="18">
        <v>0</v>
      </c>
      <c r="K1783" s="18">
        <v>598</v>
      </c>
      <c r="L1783" s="18" t="s">
        <v>118</v>
      </c>
      <c r="M1783" s="18" t="s">
        <v>119</v>
      </c>
      <c r="N1783" s="28">
        <v>44976.308333333334</v>
      </c>
      <c r="O1783" s="28">
        <v>44976.640277777777</v>
      </c>
      <c r="P1783" s="18">
        <v>5</v>
      </c>
      <c r="Q1783" s="18" t="b">
        <f>TRUE()</f>
        <v>1</v>
      </c>
      <c r="R1783" s="18" t="b">
        <f>TRUE()</f>
        <v>1</v>
      </c>
      <c r="S1783" s="19">
        <f t="shared" si="27"/>
        <v>8</v>
      </c>
      <c r="T1783">
        <f>COUNTIF('👤 Customers'!$A:$A, B1783)</f>
        <v>1</v>
      </c>
      <c r="U1783">
        <f>COUNTIF('🚴 Riders'!A1782:A1842, C1783)</f>
        <v>0</v>
      </c>
      <c r="V1783">
        <f>COUNTIF('🏭 Facilities'!A1782:A1790, D1783)</f>
        <v>0</v>
      </c>
    </row>
    <row r="1784" spans="1:22">
      <c r="A1784" s="16" t="s">
        <v>4229</v>
      </c>
      <c r="B1784" s="16" t="s">
        <v>507</v>
      </c>
      <c r="C1784" s="16" t="s">
        <v>257</v>
      </c>
      <c r="D1784" s="16" t="s">
        <v>130</v>
      </c>
      <c r="E1784" s="25">
        <v>45363</v>
      </c>
      <c r="F1784" s="16" t="s">
        <v>4230</v>
      </c>
      <c r="G1784" s="16" t="s">
        <v>125</v>
      </c>
      <c r="H1784" s="16">
        <v>3.2</v>
      </c>
      <c r="I1784" s="16">
        <v>199</v>
      </c>
      <c r="J1784" s="16">
        <v>0</v>
      </c>
      <c r="K1784" s="16">
        <v>636.79999999999995</v>
      </c>
      <c r="L1784" s="16" t="s">
        <v>207</v>
      </c>
      <c r="M1784" s="16" t="s">
        <v>119</v>
      </c>
      <c r="N1784" s="27">
        <v>45363.813194444447</v>
      </c>
      <c r="O1784" s="27">
        <v>45364.474999999999</v>
      </c>
      <c r="P1784" s="16">
        <v>4.4000000000000004</v>
      </c>
      <c r="Q1784" s="16" t="b">
        <f>FALSE()</f>
        <v>0</v>
      </c>
      <c r="R1784" s="16" t="b">
        <f>FALSE()</f>
        <v>0</v>
      </c>
      <c r="S1784" s="17">
        <f t="shared" si="27"/>
        <v>15.9</v>
      </c>
      <c r="T1784">
        <f>COUNTIF('👤 Customers'!$A:$A, B1784)</f>
        <v>1</v>
      </c>
      <c r="U1784">
        <f>COUNTIF('🚴 Riders'!A1783:A1843, C1784)</f>
        <v>0</v>
      </c>
      <c r="V1784">
        <f>COUNTIF('🏭 Facilities'!A1783:A1791, D1784)</f>
        <v>0</v>
      </c>
    </row>
    <row r="1785" spans="1:22">
      <c r="A1785" s="18" t="s">
        <v>4231</v>
      </c>
      <c r="B1785" s="18" t="s">
        <v>1200</v>
      </c>
      <c r="C1785" s="18" t="s">
        <v>153</v>
      </c>
      <c r="D1785" s="18" t="s">
        <v>137</v>
      </c>
      <c r="E1785" s="26">
        <v>45183</v>
      </c>
      <c r="F1785" s="18" t="s">
        <v>4232</v>
      </c>
      <c r="G1785" s="18" t="s">
        <v>132</v>
      </c>
      <c r="H1785" s="18">
        <v>1.6</v>
      </c>
      <c r="I1785" s="18">
        <v>399</v>
      </c>
      <c r="J1785" s="18">
        <v>10</v>
      </c>
      <c r="K1785" s="18">
        <v>574.55999999999995</v>
      </c>
      <c r="L1785" s="18" t="s">
        <v>139</v>
      </c>
      <c r="M1785" s="18" t="s">
        <v>119</v>
      </c>
      <c r="N1785" s="28">
        <v>45183.830555555556</v>
      </c>
      <c r="O1785" s="28">
        <v>45184.330555555556</v>
      </c>
      <c r="P1785" s="18">
        <v>3.4</v>
      </c>
      <c r="Q1785" s="18" t="b">
        <f>FALSE()</f>
        <v>0</v>
      </c>
      <c r="R1785" s="18" t="b">
        <f>FALSE()</f>
        <v>0</v>
      </c>
      <c r="S1785" s="19">
        <f t="shared" si="27"/>
        <v>12</v>
      </c>
      <c r="T1785">
        <f>COUNTIF('👤 Customers'!$A:$A, B1785)</f>
        <v>1</v>
      </c>
      <c r="U1785">
        <f>COUNTIF('🚴 Riders'!A1784:A1844, C1785)</f>
        <v>0</v>
      </c>
      <c r="V1785">
        <f>COUNTIF('🏭 Facilities'!A1784:A1792, D1785)</f>
        <v>0</v>
      </c>
    </row>
    <row r="1786" spans="1:22">
      <c r="A1786" s="16" t="s">
        <v>4233</v>
      </c>
      <c r="B1786" s="16" t="s">
        <v>1515</v>
      </c>
      <c r="C1786" s="16" t="s">
        <v>358</v>
      </c>
      <c r="D1786" s="16" t="s">
        <v>115</v>
      </c>
      <c r="E1786" s="25">
        <v>45042</v>
      </c>
      <c r="F1786" s="16" t="s">
        <v>4234</v>
      </c>
      <c r="G1786" s="16" t="s">
        <v>176</v>
      </c>
      <c r="H1786" s="16">
        <v>4</v>
      </c>
      <c r="I1786" s="16">
        <v>599</v>
      </c>
      <c r="J1786" s="16">
        <v>10</v>
      </c>
      <c r="K1786" s="16">
        <v>2156.4</v>
      </c>
      <c r="L1786" s="16" t="s">
        <v>207</v>
      </c>
      <c r="M1786" s="16" t="s">
        <v>119</v>
      </c>
      <c r="N1786" s="27">
        <v>45042.859722222223</v>
      </c>
      <c r="O1786" s="27">
        <v>45043.467361111114</v>
      </c>
      <c r="P1786" s="16">
        <v>3.8</v>
      </c>
      <c r="Q1786" s="16" t="b">
        <f>FALSE()</f>
        <v>0</v>
      </c>
      <c r="R1786" s="16" t="b">
        <f>FALSE()</f>
        <v>0</v>
      </c>
      <c r="S1786" s="17">
        <f t="shared" si="27"/>
        <v>14.6</v>
      </c>
      <c r="T1786">
        <f>COUNTIF('👤 Customers'!$A:$A, B1786)</f>
        <v>1</v>
      </c>
      <c r="U1786">
        <f>COUNTIF('🚴 Riders'!A1785:A1845, C1786)</f>
        <v>0</v>
      </c>
      <c r="V1786">
        <f>COUNTIF('🏭 Facilities'!A1785:A1793, D1786)</f>
        <v>0</v>
      </c>
    </row>
    <row r="1787" spans="1:22">
      <c r="A1787" s="18" t="s">
        <v>4235</v>
      </c>
      <c r="B1787" s="18" t="s">
        <v>498</v>
      </c>
      <c r="C1787" s="18" t="s">
        <v>170</v>
      </c>
      <c r="D1787" s="18" t="s">
        <v>197</v>
      </c>
      <c r="E1787" s="26">
        <v>45197</v>
      </c>
      <c r="F1787" s="18" t="s">
        <v>4236</v>
      </c>
      <c r="G1787" s="18" t="s">
        <v>117</v>
      </c>
      <c r="H1787" s="18">
        <v>3.4</v>
      </c>
      <c r="I1787" s="18">
        <v>149</v>
      </c>
      <c r="J1787" s="18">
        <v>0</v>
      </c>
      <c r="K1787" s="18">
        <v>506.6</v>
      </c>
      <c r="L1787" s="18" t="s">
        <v>146</v>
      </c>
      <c r="M1787" s="18" t="s">
        <v>140</v>
      </c>
      <c r="N1787" s="28">
        <v>45197.866666666669</v>
      </c>
      <c r="O1787" s="28">
        <v>45198.957638888889</v>
      </c>
      <c r="P1787" s="20"/>
      <c r="Q1787" s="18" t="b">
        <f>FALSE()</f>
        <v>0</v>
      </c>
      <c r="R1787" s="18" t="b">
        <f>TRUE()</f>
        <v>1</v>
      </c>
      <c r="S1787" s="19">
        <f t="shared" si="27"/>
        <v>26.2</v>
      </c>
      <c r="T1787">
        <f>COUNTIF('👤 Customers'!$A:$A, B1787)</f>
        <v>1</v>
      </c>
      <c r="U1787">
        <f>COUNTIF('🚴 Riders'!A1786:A1846, C1787)</f>
        <v>0</v>
      </c>
      <c r="V1787">
        <f>COUNTIF('🏭 Facilities'!A1786:A1794, D1787)</f>
        <v>0</v>
      </c>
    </row>
    <row r="1788" spans="1:22">
      <c r="A1788" s="16" t="s">
        <v>4237</v>
      </c>
      <c r="B1788" s="16" t="s">
        <v>1165</v>
      </c>
      <c r="C1788" s="16" t="s">
        <v>276</v>
      </c>
      <c r="D1788" s="16" t="s">
        <v>137</v>
      </c>
      <c r="E1788" s="25">
        <v>45297</v>
      </c>
      <c r="F1788" s="16" t="s">
        <v>4238</v>
      </c>
      <c r="G1788" s="16" t="s">
        <v>117</v>
      </c>
      <c r="H1788" s="16">
        <v>3.4</v>
      </c>
      <c r="I1788" s="16">
        <v>149</v>
      </c>
      <c r="J1788" s="16">
        <v>0</v>
      </c>
      <c r="K1788" s="16">
        <v>506.6</v>
      </c>
      <c r="L1788" s="16" t="s">
        <v>139</v>
      </c>
      <c r="M1788" s="16" t="s">
        <v>140</v>
      </c>
      <c r="N1788" s="27">
        <v>45297.267361111109</v>
      </c>
      <c r="O1788" s="27">
        <v>45297.901388888888</v>
      </c>
      <c r="P1788" s="20"/>
      <c r="Q1788" s="16" t="b">
        <f>FALSE()</f>
        <v>0</v>
      </c>
      <c r="R1788" s="16" t="b">
        <f>FALSE()</f>
        <v>0</v>
      </c>
      <c r="S1788" s="17">
        <f t="shared" si="27"/>
        <v>15.2</v>
      </c>
      <c r="T1788">
        <f>COUNTIF('👤 Customers'!$A:$A, B1788)</f>
        <v>1</v>
      </c>
      <c r="U1788">
        <f>COUNTIF('🚴 Riders'!A1787:A1847, C1788)</f>
        <v>0</v>
      </c>
      <c r="V1788">
        <f>COUNTIF('🏭 Facilities'!A1787:A1795, D1788)</f>
        <v>0</v>
      </c>
    </row>
    <row r="1789" spans="1:22">
      <c r="A1789" s="18" t="s">
        <v>4239</v>
      </c>
      <c r="B1789" s="18" t="s">
        <v>1041</v>
      </c>
      <c r="C1789" s="18" t="s">
        <v>114</v>
      </c>
      <c r="D1789" s="18" t="s">
        <v>115</v>
      </c>
      <c r="E1789" s="26">
        <v>45249</v>
      </c>
      <c r="F1789" s="18" t="s">
        <v>4240</v>
      </c>
      <c r="G1789" s="18" t="s">
        <v>145</v>
      </c>
      <c r="H1789" s="18">
        <v>2.4</v>
      </c>
      <c r="I1789" s="18">
        <v>299</v>
      </c>
      <c r="J1789" s="18">
        <v>0</v>
      </c>
      <c r="K1789" s="18">
        <v>717.6</v>
      </c>
      <c r="L1789" s="18" t="s">
        <v>118</v>
      </c>
      <c r="M1789" s="18" t="s">
        <v>119</v>
      </c>
      <c r="N1789" s="28">
        <v>45249.943749999999</v>
      </c>
      <c r="O1789" s="28">
        <v>45250.938888888886</v>
      </c>
      <c r="P1789" s="18">
        <v>4.9000000000000004</v>
      </c>
      <c r="Q1789" s="18" t="b">
        <f>FALSE()</f>
        <v>0</v>
      </c>
      <c r="R1789" s="18" t="b">
        <f>FALSE()</f>
        <v>0</v>
      </c>
      <c r="S1789" s="19">
        <f t="shared" si="27"/>
        <v>23.9</v>
      </c>
      <c r="T1789">
        <f>COUNTIF('👤 Customers'!$A:$A, B1789)</f>
        <v>1</v>
      </c>
      <c r="U1789">
        <f>COUNTIF('🚴 Riders'!A1788:A1848, C1789)</f>
        <v>0</v>
      </c>
      <c r="V1789">
        <f>COUNTIF('🏭 Facilities'!A1788:A1796, D1789)</f>
        <v>0</v>
      </c>
    </row>
    <row r="1790" spans="1:22">
      <c r="A1790" s="16" t="s">
        <v>4241</v>
      </c>
      <c r="B1790" s="16" t="s">
        <v>455</v>
      </c>
      <c r="C1790" s="16" t="s">
        <v>487</v>
      </c>
      <c r="D1790" s="16" t="s">
        <v>115</v>
      </c>
      <c r="E1790" s="25">
        <v>45507</v>
      </c>
      <c r="F1790" s="16" t="s">
        <v>4242</v>
      </c>
      <c r="G1790" s="16" t="s">
        <v>132</v>
      </c>
      <c r="H1790" s="16">
        <v>6.3</v>
      </c>
      <c r="I1790" s="16">
        <v>399</v>
      </c>
      <c r="J1790" s="16">
        <v>0</v>
      </c>
      <c r="K1790" s="16">
        <v>2513.6999999999998</v>
      </c>
      <c r="L1790" s="16" t="s">
        <v>139</v>
      </c>
      <c r="M1790" s="16" t="s">
        <v>119</v>
      </c>
      <c r="N1790" s="27">
        <v>45507.384722222225</v>
      </c>
      <c r="O1790" s="27">
        <v>45508.037499999999</v>
      </c>
      <c r="P1790" s="16">
        <v>2.9</v>
      </c>
      <c r="Q1790" s="16" t="b">
        <f>FALSE()</f>
        <v>0</v>
      </c>
      <c r="R1790" s="16" t="b">
        <f>FALSE()</f>
        <v>0</v>
      </c>
      <c r="S1790" s="17">
        <f t="shared" si="27"/>
        <v>15.7</v>
      </c>
      <c r="T1790">
        <f>COUNTIF('👤 Customers'!$A:$A, B1790)</f>
        <v>1</v>
      </c>
      <c r="U1790">
        <f>COUNTIF('🚴 Riders'!A1789:A1849, C1790)</f>
        <v>0</v>
      </c>
      <c r="V1790">
        <f>COUNTIF('🏭 Facilities'!A1789:A1797, D1790)</f>
        <v>0</v>
      </c>
    </row>
    <row r="1791" spans="1:22">
      <c r="A1791" s="18" t="s">
        <v>4243</v>
      </c>
      <c r="B1791" s="18" t="s">
        <v>1088</v>
      </c>
      <c r="C1791" s="18" t="s">
        <v>287</v>
      </c>
      <c r="D1791" s="18" t="s">
        <v>205</v>
      </c>
      <c r="E1791" s="26">
        <v>45256</v>
      </c>
      <c r="F1791" s="18" t="s">
        <v>4244</v>
      </c>
      <c r="G1791" s="18" t="s">
        <v>176</v>
      </c>
      <c r="H1791" s="18">
        <v>2.6</v>
      </c>
      <c r="I1791" s="18">
        <v>599</v>
      </c>
      <c r="J1791" s="18">
        <v>10</v>
      </c>
      <c r="K1791" s="18">
        <v>1401.66</v>
      </c>
      <c r="L1791" s="18" t="s">
        <v>126</v>
      </c>
      <c r="M1791" s="18" t="s">
        <v>119</v>
      </c>
      <c r="N1791" s="28">
        <v>45256.305555555555</v>
      </c>
      <c r="O1791" s="28">
        <v>45257.209722222222</v>
      </c>
      <c r="P1791" s="18">
        <v>3.6</v>
      </c>
      <c r="Q1791" s="18" t="b">
        <f>FALSE()</f>
        <v>0</v>
      </c>
      <c r="R1791" s="18" t="b">
        <f>TRUE()</f>
        <v>1</v>
      </c>
      <c r="S1791" s="19">
        <f t="shared" si="27"/>
        <v>21.7</v>
      </c>
      <c r="T1791">
        <f>COUNTIF('👤 Customers'!$A:$A, B1791)</f>
        <v>1</v>
      </c>
      <c r="U1791">
        <f>COUNTIF('🚴 Riders'!A1790:A1850, C1791)</f>
        <v>0</v>
      </c>
      <c r="V1791">
        <f>COUNTIF('🏭 Facilities'!A1790:A1798, D1791)</f>
        <v>0</v>
      </c>
    </row>
    <row r="1792" spans="1:22">
      <c r="A1792" s="16" t="s">
        <v>4245</v>
      </c>
      <c r="B1792" s="16" t="s">
        <v>353</v>
      </c>
      <c r="C1792" s="16" t="s">
        <v>166</v>
      </c>
      <c r="D1792" s="16" t="s">
        <v>158</v>
      </c>
      <c r="E1792" s="25">
        <v>45187</v>
      </c>
      <c r="F1792" s="16" t="s">
        <v>4246</v>
      </c>
      <c r="G1792" s="16" t="s">
        <v>125</v>
      </c>
      <c r="H1792" s="16">
        <v>6</v>
      </c>
      <c r="I1792" s="16">
        <v>199</v>
      </c>
      <c r="J1792" s="16">
        <v>10</v>
      </c>
      <c r="K1792" s="16">
        <v>1074.5999999999999</v>
      </c>
      <c r="L1792" s="16" t="s">
        <v>139</v>
      </c>
      <c r="M1792" s="16" t="s">
        <v>133</v>
      </c>
      <c r="N1792" s="20"/>
      <c r="O1792" s="20"/>
      <c r="P1792" s="20"/>
      <c r="Q1792" s="16" t="b">
        <f>FALSE()</f>
        <v>0</v>
      </c>
      <c r="R1792" s="16" t="b">
        <f>FALSE()</f>
        <v>0</v>
      </c>
      <c r="S1792" s="17" t="str">
        <f t="shared" si="27"/>
        <v>N/A</v>
      </c>
      <c r="T1792">
        <f>COUNTIF('👤 Customers'!$A:$A, B1792)</f>
        <v>1</v>
      </c>
      <c r="U1792">
        <f>COUNTIF('🚴 Riders'!A1791:A1851, C1792)</f>
        <v>0</v>
      </c>
      <c r="V1792">
        <f>COUNTIF('🏭 Facilities'!A1791:A1799, D1792)</f>
        <v>0</v>
      </c>
    </row>
    <row r="1793" spans="1:22">
      <c r="A1793" s="18" t="s">
        <v>4247</v>
      </c>
      <c r="B1793" s="18" t="s">
        <v>409</v>
      </c>
      <c r="C1793" s="18" t="s">
        <v>265</v>
      </c>
      <c r="D1793" s="18" t="s">
        <v>197</v>
      </c>
      <c r="E1793" s="26">
        <v>45061</v>
      </c>
      <c r="F1793" s="18" t="s">
        <v>4248</v>
      </c>
      <c r="G1793" s="18" t="s">
        <v>132</v>
      </c>
      <c r="H1793" s="18">
        <v>3</v>
      </c>
      <c r="I1793" s="18">
        <v>399</v>
      </c>
      <c r="J1793" s="18">
        <v>0</v>
      </c>
      <c r="K1793" s="18">
        <v>1197</v>
      </c>
      <c r="L1793" s="18" t="s">
        <v>118</v>
      </c>
      <c r="M1793" s="18" t="s">
        <v>133</v>
      </c>
      <c r="N1793" s="20"/>
      <c r="O1793" s="20"/>
      <c r="P1793" s="20"/>
      <c r="Q1793" s="18" t="b">
        <f>FALSE()</f>
        <v>0</v>
      </c>
      <c r="R1793" s="18" t="b">
        <f>TRUE()</f>
        <v>1</v>
      </c>
      <c r="S1793" s="19" t="str">
        <f t="shared" si="27"/>
        <v>N/A</v>
      </c>
      <c r="T1793">
        <f>COUNTIF('👤 Customers'!$A:$A, B1793)</f>
        <v>1</v>
      </c>
      <c r="U1793">
        <f>COUNTIF('🚴 Riders'!A1792:A1852, C1793)</f>
        <v>0</v>
      </c>
      <c r="V1793">
        <f>COUNTIF('🏭 Facilities'!A1792:A1800, D1793)</f>
        <v>0</v>
      </c>
    </row>
    <row r="1794" spans="1:22">
      <c r="A1794" s="16" t="s">
        <v>4249</v>
      </c>
      <c r="B1794" s="16" t="s">
        <v>667</v>
      </c>
      <c r="C1794" s="16" t="s">
        <v>283</v>
      </c>
      <c r="D1794" s="16" t="s">
        <v>130</v>
      </c>
      <c r="E1794" s="25">
        <v>45213</v>
      </c>
      <c r="F1794" s="16" t="s">
        <v>4250</v>
      </c>
      <c r="G1794" s="16" t="s">
        <v>176</v>
      </c>
      <c r="H1794" s="16">
        <v>6.7</v>
      </c>
      <c r="I1794" s="16">
        <v>599</v>
      </c>
      <c r="J1794" s="16">
        <v>0</v>
      </c>
      <c r="K1794" s="16">
        <v>4013.3</v>
      </c>
      <c r="L1794" s="16" t="s">
        <v>126</v>
      </c>
      <c r="M1794" s="16" t="s">
        <v>119</v>
      </c>
      <c r="N1794" s="27">
        <v>45213.868750000001</v>
      </c>
      <c r="O1794" s="27">
        <v>45214.716666666667</v>
      </c>
      <c r="P1794" s="16">
        <v>3.1</v>
      </c>
      <c r="Q1794" s="16" t="b">
        <f>TRUE()</f>
        <v>1</v>
      </c>
      <c r="R1794" s="16" t="b">
        <f>FALSE()</f>
        <v>0</v>
      </c>
      <c r="S1794" s="17">
        <f t="shared" ref="S1794:S1857" si="28">IF(OR(N1794="",O1794=""),"N/A",ROUND(((O1794-N1794)*24),1))</f>
        <v>20.3</v>
      </c>
      <c r="T1794">
        <f>COUNTIF('👤 Customers'!$A:$A, B1794)</f>
        <v>1</v>
      </c>
      <c r="U1794">
        <f>COUNTIF('🚴 Riders'!A1793:A1853, C1794)</f>
        <v>0</v>
      </c>
      <c r="V1794">
        <f>COUNTIF('🏭 Facilities'!A1793:A1801, D1794)</f>
        <v>0</v>
      </c>
    </row>
    <row r="1795" spans="1:22">
      <c r="A1795" s="18" t="s">
        <v>4251</v>
      </c>
      <c r="B1795" s="18" t="s">
        <v>930</v>
      </c>
      <c r="C1795" s="18" t="s">
        <v>149</v>
      </c>
      <c r="D1795" s="18" t="s">
        <v>123</v>
      </c>
      <c r="E1795" s="26">
        <v>45215</v>
      </c>
      <c r="F1795" s="18" t="s">
        <v>4252</v>
      </c>
      <c r="G1795" s="18" t="s">
        <v>145</v>
      </c>
      <c r="H1795" s="18">
        <v>3.7</v>
      </c>
      <c r="I1795" s="18">
        <v>299</v>
      </c>
      <c r="J1795" s="18">
        <v>0</v>
      </c>
      <c r="K1795" s="18">
        <v>1106.3</v>
      </c>
      <c r="L1795" s="18" t="s">
        <v>118</v>
      </c>
      <c r="M1795" s="18" t="s">
        <v>133</v>
      </c>
      <c r="N1795" s="20"/>
      <c r="O1795" s="20"/>
      <c r="P1795" s="20"/>
      <c r="Q1795" s="18" t="b">
        <f>FALSE()</f>
        <v>0</v>
      </c>
      <c r="R1795" s="18" t="b">
        <f>TRUE()</f>
        <v>1</v>
      </c>
      <c r="S1795" s="19" t="str">
        <f t="shared" si="28"/>
        <v>N/A</v>
      </c>
      <c r="T1795">
        <f>COUNTIF('👤 Customers'!$A:$A, B1795)</f>
        <v>1</v>
      </c>
      <c r="U1795">
        <f>COUNTIF('🚴 Riders'!A1794:A1854, C1795)</f>
        <v>0</v>
      </c>
      <c r="V1795">
        <f>COUNTIF('🏭 Facilities'!A1794:A1802, D1795)</f>
        <v>0</v>
      </c>
    </row>
    <row r="1796" spans="1:22">
      <c r="A1796" s="16" t="s">
        <v>4253</v>
      </c>
      <c r="B1796" s="16" t="s">
        <v>4254</v>
      </c>
      <c r="C1796" s="16" t="s">
        <v>257</v>
      </c>
      <c r="D1796" s="16" t="s">
        <v>137</v>
      </c>
      <c r="E1796" s="25">
        <v>45587</v>
      </c>
      <c r="F1796" s="16" t="s">
        <v>4255</v>
      </c>
      <c r="G1796" s="16" t="s">
        <v>132</v>
      </c>
      <c r="H1796" s="16">
        <v>5.5</v>
      </c>
      <c r="I1796" s="16">
        <v>399</v>
      </c>
      <c r="J1796" s="16">
        <v>0</v>
      </c>
      <c r="K1796" s="16">
        <v>2194.5</v>
      </c>
      <c r="L1796" s="16" t="s">
        <v>146</v>
      </c>
      <c r="M1796" s="16" t="s">
        <v>133</v>
      </c>
      <c r="N1796" s="20"/>
      <c r="O1796" s="20"/>
      <c r="P1796" s="20"/>
      <c r="Q1796" s="16" t="b">
        <f>FALSE()</f>
        <v>0</v>
      </c>
      <c r="R1796" s="16" t="b">
        <f>TRUE()</f>
        <v>1</v>
      </c>
      <c r="S1796" s="17" t="str">
        <f t="shared" si="28"/>
        <v>N/A</v>
      </c>
      <c r="T1796">
        <f>COUNTIF('👤 Customers'!$A:$A, B1796)</f>
        <v>1</v>
      </c>
      <c r="U1796">
        <f>COUNTIF('🚴 Riders'!A1795:A1855, C1796)</f>
        <v>0</v>
      </c>
      <c r="V1796">
        <f>COUNTIF('🏭 Facilities'!A1795:A1803, D1796)</f>
        <v>0</v>
      </c>
    </row>
    <row r="1797" spans="1:22">
      <c r="A1797" s="18" t="s">
        <v>4256</v>
      </c>
      <c r="B1797" s="18" t="s">
        <v>2585</v>
      </c>
      <c r="C1797" s="18" t="s">
        <v>179</v>
      </c>
      <c r="D1797" s="18" t="s">
        <v>158</v>
      </c>
      <c r="E1797" s="26">
        <v>45426</v>
      </c>
      <c r="F1797" s="18" t="s">
        <v>4257</v>
      </c>
      <c r="G1797" s="18" t="s">
        <v>125</v>
      </c>
      <c r="H1797" s="18">
        <v>3.2</v>
      </c>
      <c r="I1797" s="18">
        <v>199</v>
      </c>
      <c r="J1797" s="18">
        <v>0</v>
      </c>
      <c r="K1797" s="18">
        <v>636.79999999999995</v>
      </c>
      <c r="L1797" s="18" t="s">
        <v>118</v>
      </c>
      <c r="M1797" s="18" t="s">
        <v>140</v>
      </c>
      <c r="N1797" s="28">
        <v>45426.163194444445</v>
      </c>
      <c r="O1797" s="28">
        <v>45427.244444444441</v>
      </c>
      <c r="P1797" s="20"/>
      <c r="Q1797" s="18" t="b">
        <f>FALSE()</f>
        <v>0</v>
      </c>
      <c r="R1797" s="18" t="b">
        <f>FALSE()</f>
        <v>0</v>
      </c>
      <c r="S1797" s="19">
        <f t="shared" si="28"/>
        <v>25.9</v>
      </c>
      <c r="T1797">
        <f>COUNTIF('👤 Customers'!$A:$A, B1797)</f>
        <v>1</v>
      </c>
      <c r="U1797">
        <f>COUNTIF('🚴 Riders'!A1796:A1856, C1797)</f>
        <v>0</v>
      </c>
      <c r="V1797">
        <f>COUNTIF('🏭 Facilities'!A1796:A1804, D1797)</f>
        <v>0</v>
      </c>
    </row>
    <row r="1798" spans="1:22">
      <c r="A1798" s="16" t="s">
        <v>4258</v>
      </c>
      <c r="B1798" s="16" t="s">
        <v>409</v>
      </c>
      <c r="C1798" s="16" t="s">
        <v>236</v>
      </c>
      <c r="D1798" s="16" t="s">
        <v>130</v>
      </c>
      <c r="E1798" s="25">
        <v>45092</v>
      </c>
      <c r="F1798" s="16" t="s">
        <v>4259</v>
      </c>
      <c r="G1798" s="16" t="s">
        <v>132</v>
      </c>
      <c r="H1798" s="16">
        <v>4.5999999999999996</v>
      </c>
      <c r="I1798" s="16">
        <v>399</v>
      </c>
      <c r="J1798" s="16">
        <v>20</v>
      </c>
      <c r="K1798" s="16">
        <v>1468.32</v>
      </c>
      <c r="L1798" s="16" t="s">
        <v>146</v>
      </c>
      <c r="M1798" s="16" t="s">
        <v>119</v>
      </c>
      <c r="N1798" s="27">
        <v>45093.051388888889</v>
      </c>
      <c r="O1798" s="27">
        <v>45093.409722222219</v>
      </c>
      <c r="P1798" s="16">
        <v>2.9</v>
      </c>
      <c r="Q1798" s="16" t="b">
        <f>TRUE()</f>
        <v>1</v>
      </c>
      <c r="R1798" s="16" t="b">
        <f>FALSE()</f>
        <v>0</v>
      </c>
      <c r="S1798" s="17">
        <f t="shared" si="28"/>
        <v>8.6</v>
      </c>
      <c r="T1798">
        <f>COUNTIF('👤 Customers'!$A:$A, B1798)</f>
        <v>1</v>
      </c>
      <c r="U1798">
        <f>COUNTIF('🚴 Riders'!A1797:A1857, C1798)</f>
        <v>0</v>
      </c>
      <c r="V1798">
        <f>COUNTIF('🏭 Facilities'!A1797:A1805, D1798)</f>
        <v>0</v>
      </c>
    </row>
    <row r="1799" spans="1:22">
      <c r="A1799" s="18" t="s">
        <v>4260</v>
      </c>
      <c r="B1799" s="18" t="s">
        <v>1405</v>
      </c>
      <c r="C1799" s="18" t="s">
        <v>204</v>
      </c>
      <c r="D1799" s="18" t="s">
        <v>184</v>
      </c>
      <c r="E1799" s="26">
        <v>45235</v>
      </c>
      <c r="F1799" s="18" t="s">
        <v>4261</v>
      </c>
      <c r="G1799" s="18" t="s">
        <v>176</v>
      </c>
      <c r="H1799" s="18">
        <v>7.3</v>
      </c>
      <c r="I1799" s="18">
        <v>599</v>
      </c>
      <c r="J1799" s="18">
        <v>10</v>
      </c>
      <c r="K1799" s="18">
        <v>3935.43</v>
      </c>
      <c r="L1799" s="18" t="s">
        <v>118</v>
      </c>
      <c r="M1799" s="18" t="s">
        <v>119</v>
      </c>
      <c r="N1799" s="28">
        <v>45235.46597222222</v>
      </c>
      <c r="O1799" s="28">
        <v>45236.167361111111</v>
      </c>
      <c r="P1799" s="18">
        <v>2.8</v>
      </c>
      <c r="Q1799" s="18" t="b">
        <f>FALSE()</f>
        <v>0</v>
      </c>
      <c r="R1799" s="18" t="b">
        <f>FALSE()</f>
        <v>0</v>
      </c>
      <c r="S1799" s="19">
        <f t="shared" si="28"/>
        <v>16.8</v>
      </c>
      <c r="T1799">
        <f>COUNTIF('👤 Customers'!$A:$A, B1799)</f>
        <v>1</v>
      </c>
      <c r="U1799">
        <f>COUNTIF('🚴 Riders'!A1798:A1858, C1799)</f>
        <v>0</v>
      </c>
      <c r="V1799">
        <f>COUNTIF('🏭 Facilities'!A1798:A1806, D1799)</f>
        <v>0</v>
      </c>
    </row>
    <row r="1800" spans="1:22">
      <c r="A1800" s="16" t="s">
        <v>4262</v>
      </c>
      <c r="B1800" s="16" t="s">
        <v>3055</v>
      </c>
      <c r="C1800" s="16" t="s">
        <v>232</v>
      </c>
      <c r="D1800" s="16" t="s">
        <v>184</v>
      </c>
      <c r="E1800" s="25">
        <v>44927</v>
      </c>
      <c r="F1800" s="16" t="s">
        <v>4263</v>
      </c>
      <c r="G1800" s="16" t="s">
        <v>145</v>
      </c>
      <c r="H1800" s="16">
        <v>5.5</v>
      </c>
      <c r="I1800" s="16">
        <v>299</v>
      </c>
      <c r="J1800" s="16">
        <v>0</v>
      </c>
      <c r="K1800" s="16">
        <v>1644.5</v>
      </c>
      <c r="L1800" s="16" t="s">
        <v>118</v>
      </c>
      <c r="M1800" s="16" t="s">
        <v>133</v>
      </c>
      <c r="N1800" s="20"/>
      <c r="O1800" s="20"/>
      <c r="P1800" s="20"/>
      <c r="Q1800" s="16" t="b">
        <f>FALSE()</f>
        <v>0</v>
      </c>
      <c r="R1800" s="16" t="b">
        <f>TRUE()</f>
        <v>1</v>
      </c>
      <c r="S1800" s="17" t="str">
        <f t="shared" si="28"/>
        <v>N/A</v>
      </c>
      <c r="T1800">
        <f>COUNTIF('👤 Customers'!$A:$A, B1800)</f>
        <v>1</v>
      </c>
      <c r="U1800">
        <f>COUNTIF('🚴 Riders'!A1799:A1859, C1800)</f>
        <v>0</v>
      </c>
      <c r="V1800">
        <f>COUNTIF('🏭 Facilities'!A1799:A1807, D1800)</f>
        <v>0</v>
      </c>
    </row>
    <row r="1801" spans="1:22">
      <c r="A1801" s="18" t="s">
        <v>4264</v>
      </c>
      <c r="B1801" s="18" t="s">
        <v>2384</v>
      </c>
      <c r="C1801" s="18" t="s">
        <v>157</v>
      </c>
      <c r="D1801" s="18" t="s">
        <v>184</v>
      </c>
      <c r="E1801" s="26">
        <v>45555</v>
      </c>
      <c r="F1801" s="18" t="s">
        <v>4265</v>
      </c>
      <c r="G1801" s="18" t="s">
        <v>132</v>
      </c>
      <c r="H1801" s="18">
        <v>1</v>
      </c>
      <c r="I1801" s="18">
        <v>399</v>
      </c>
      <c r="J1801" s="18">
        <v>10</v>
      </c>
      <c r="K1801" s="18">
        <v>359.1</v>
      </c>
      <c r="L1801" s="18" t="s">
        <v>207</v>
      </c>
      <c r="M1801" s="18" t="s">
        <v>119</v>
      </c>
      <c r="N1801" s="28">
        <v>45555.392361111109</v>
      </c>
      <c r="O1801" s="28">
        <v>45556.121527777781</v>
      </c>
      <c r="P1801" s="18">
        <v>4.4000000000000004</v>
      </c>
      <c r="Q1801" s="18" t="b">
        <f>FALSE()</f>
        <v>0</v>
      </c>
      <c r="R1801" s="18" t="b">
        <f>FALSE()</f>
        <v>0</v>
      </c>
      <c r="S1801" s="19">
        <f t="shared" si="28"/>
        <v>17.5</v>
      </c>
      <c r="T1801">
        <f>COUNTIF('👤 Customers'!$A:$A, B1801)</f>
        <v>1</v>
      </c>
      <c r="U1801">
        <f>COUNTIF('🚴 Riders'!A1800:A1860, C1801)</f>
        <v>0</v>
      </c>
      <c r="V1801">
        <f>COUNTIF('🏭 Facilities'!A1800:A1808, D1801)</f>
        <v>0</v>
      </c>
    </row>
    <row r="1802" spans="1:22">
      <c r="A1802" s="16" t="s">
        <v>4266</v>
      </c>
      <c r="B1802" s="16" t="s">
        <v>200</v>
      </c>
      <c r="C1802" s="16" t="s">
        <v>153</v>
      </c>
      <c r="D1802" s="16" t="s">
        <v>184</v>
      </c>
      <c r="E1802" s="25">
        <v>44969</v>
      </c>
      <c r="F1802" s="16" t="s">
        <v>4267</v>
      </c>
      <c r="G1802" s="16" t="s">
        <v>132</v>
      </c>
      <c r="H1802" s="16">
        <v>5.2</v>
      </c>
      <c r="I1802" s="16">
        <v>399</v>
      </c>
      <c r="J1802" s="16">
        <v>0</v>
      </c>
      <c r="K1802" s="16">
        <v>2074.8000000000002</v>
      </c>
      <c r="L1802" s="16" t="s">
        <v>146</v>
      </c>
      <c r="M1802" s="16" t="s">
        <v>119</v>
      </c>
      <c r="N1802" s="27">
        <v>44970.076388888891</v>
      </c>
      <c r="O1802" s="27">
        <v>44970.457638888889</v>
      </c>
      <c r="P1802" s="16">
        <v>4.5</v>
      </c>
      <c r="Q1802" s="16" t="b">
        <f>FALSE()</f>
        <v>0</v>
      </c>
      <c r="R1802" s="16" t="b">
        <f>FALSE()</f>
        <v>0</v>
      </c>
      <c r="S1802" s="17">
        <f t="shared" si="28"/>
        <v>9.1</v>
      </c>
      <c r="T1802">
        <f>COUNTIF('👤 Customers'!$A:$A, B1802)</f>
        <v>1</v>
      </c>
      <c r="U1802">
        <f>COUNTIF('🚴 Riders'!A1801:A1861, C1802)</f>
        <v>0</v>
      </c>
      <c r="V1802">
        <f>COUNTIF('🏭 Facilities'!A1801:A1809, D1802)</f>
        <v>0</v>
      </c>
    </row>
    <row r="1803" spans="1:22">
      <c r="A1803" s="18" t="s">
        <v>4268</v>
      </c>
      <c r="B1803" s="18" t="s">
        <v>1144</v>
      </c>
      <c r="C1803" s="18" t="s">
        <v>339</v>
      </c>
      <c r="D1803" s="18" t="s">
        <v>197</v>
      </c>
      <c r="E1803" s="26">
        <v>45458</v>
      </c>
      <c r="F1803" s="18" t="s">
        <v>4269</v>
      </c>
      <c r="G1803" s="18" t="s">
        <v>145</v>
      </c>
      <c r="H1803" s="18">
        <v>5.8</v>
      </c>
      <c r="I1803" s="18">
        <v>299</v>
      </c>
      <c r="J1803" s="18">
        <v>0</v>
      </c>
      <c r="K1803" s="18">
        <v>1734.2</v>
      </c>
      <c r="L1803" s="18" t="s">
        <v>126</v>
      </c>
      <c r="M1803" s="18" t="s">
        <v>119</v>
      </c>
      <c r="N1803" s="28">
        <v>45459.032638888886</v>
      </c>
      <c r="O1803" s="28">
        <v>45459.887499999997</v>
      </c>
      <c r="P1803" s="18">
        <v>2.7</v>
      </c>
      <c r="Q1803" s="18" t="b">
        <f>FALSE()</f>
        <v>0</v>
      </c>
      <c r="R1803" s="18" t="b">
        <f>FALSE()</f>
        <v>0</v>
      </c>
      <c r="S1803" s="19">
        <f t="shared" si="28"/>
        <v>20.5</v>
      </c>
      <c r="T1803">
        <f>COUNTIF('👤 Customers'!$A:$A, B1803)</f>
        <v>1</v>
      </c>
      <c r="U1803">
        <f>COUNTIF('🚴 Riders'!A1802:A1862, C1803)</f>
        <v>0</v>
      </c>
      <c r="V1803">
        <f>COUNTIF('🏭 Facilities'!A1802:A1810, D1803)</f>
        <v>0</v>
      </c>
    </row>
    <row r="1804" spans="1:22">
      <c r="A1804" s="16" t="s">
        <v>4270</v>
      </c>
      <c r="B1804" s="16" t="s">
        <v>1634</v>
      </c>
      <c r="C1804" s="16" t="s">
        <v>339</v>
      </c>
      <c r="D1804" s="16" t="s">
        <v>123</v>
      </c>
      <c r="E1804" s="25">
        <v>45029</v>
      </c>
      <c r="F1804" s="16" t="s">
        <v>4271</v>
      </c>
      <c r="G1804" s="16" t="s">
        <v>145</v>
      </c>
      <c r="H1804" s="16">
        <v>2.2000000000000002</v>
      </c>
      <c r="I1804" s="16">
        <v>299</v>
      </c>
      <c r="J1804" s="16">
        <v>0</v>
      </c>
      <c r="K1804" s="16">
        <v>657.8</v>
      </c>
      <c r="L1804" s="16" t="s">
        <v>207</v>
      </c>
      <c r="M1804" s="16" t="s">
        <v>119</v>
      </c>
      <c r="N1804" s="27">
        <v>45029.688888888886</v>
      </c>
      <c r="O1804" s="27">
        <v>45030.195138888892</v>
      </c>
      <c r="P1804" s="16">
        <v>2.9</v>
      </c>
      <c r="Q1804" s="16" t="b">
        <f>TRUE()</f>
        <v>1</v>
      </c>
      <c r="R1804" s="16" t="b">
        <f>FALSE()</f>
        <v>0</v>
      </c>
      <c r="S1804" s="17">
        <f t="shared" si="28"/>
        <v>12.2</v>
      </c>
      <c r="T1804">
        <f>COUNTIF('👤 Customers'!$A:$A, B1804)</f>
        <v>1</v>
      </c>
      <c r="U1804">
        <f>COUNTIF('🚴 Riders'!A1803:A1863, C1804)</f>
        <v>0</v>
      </c>
      <c r="V1804">
        <f>COUNTIF('🏭 Facilities'!A1803:A1811, D1804)</f>
        <v>0</v>
      </c>
    </row>
    <row r="1805" spans="1:22">
      <c r="A1805" s="18" t="s">
        <v>4272</v>
      </c>
      <c r="B1805" s="18" t="s">
        <v>260</v>
      </c>
      <c r="C1805" s="18" t="s">
        <v>479</v>
      </c>
      <c r="D1805" s="18" t="s">
        <v>158</v>
      </c>
      <c r="E1805" s="26">
        <v>45351</v>
      </c>
      <c r="F1805" s="18" t="s">
        <v>4273</v>
      </c>
      <c r="G1805" s="18" t="s">
        <v>132</v>
      </c>
      <c r="H1805" s="18">
        <v>3.5</v>
      </c>
      <c r="I1805" s="18">
        <v>399</v>
      </c>
      <c r="J1805" s="18">
        <v>0</v>
      </c>
      <c r="K1805" s="18">
        <v>1396.5</v>
      </c>
      <c r="L1805" s="18" t="s">
        <v>146</v>
      </c>
      <c r="M1805" s="18" t="s">
        <v>119</v>
      </c>
      <c r="N1805" s="28">
        <v>45351.926388888889</v>
      </c>
      <c r="O1805" s="28">
        <v>45352.830555555556</v>
      </c>
      <c r="P1805" s="18">
        <v>2.8</v>
      </c>
      <c r="Q1805" s="18" t="b">
        <f>FALSE()</f>
        <v>0</v>
      </c>
      <c r="R1805" s="18" t="b">
        <f>FALSE()</f>
        <v>0</v>
      </c>
      <c r="S1805" s="19">
        <f t="shared" si="28"/>
        <v>21.7</v>
      </c>
      <c r="T1805">
        <f>COUNTIF('👤 Customers'!$A:$A, B1805)</f>
        <v>1</v>
      </c>
      <c r="U1805">
        <f>COUNTIF('🚴 Riders'!A1804:A1864, C1805)</f>
        <v>0</v>
      </c>
      <c r="V1805">
        <f>COUNTIF('🏭 Facilities'!A1804:A1812, D1805)</f>
        <v>0</v>
      </c>
    </row>
    <row r="1806" spans="1:22">
      <c r="A1806" s="16" t="s">
        <v>4274</v>
      </c>
      <c r="B1806" s="16" t="s">
        <v>1130</v>
      </c>
      <c r="C1806" s="16" t="s">
        <v>149</v>
      </c>
      <c r="D1806" s="16" t="s">
        <v>158</v>
      </c>
      <c r="E1806" s="25">
        <v>45249</v>
      </c>
      <c r="F1806" s="16" t="s">
        <v>4275</v>
      </c>
      <c r="G1806" s="16" t="s">
        <v>125</v>
      </c>
      <c r="H1806" s="16">
        <v>2.7</v>
      </c>
      <c r="I1806" s="16">
        <v>199</v>
      </c>
      <c r="J1806" s="16">
        <v>0</v>
      </c>
      <c r="K1806" s="16">
        <v>537.29999999999995</v>
      </c>
      <c r="L1806" s="16" t="s">
        <v>146</v>
      </c>
      <c r="M1806" s="16" t="s">
        <v>140</v>
      </c>
      <c r="N1806" s="27">
        <v>45249.720833333333</v>
      </c>
      <c r="O1806" s="27">
        <v>45250.556944444441</v>
      </c>
      <c r="P1806" s="20"/>
      <c r="Q1806" s="16" t="b">
        <f>TRUE()</f>
        <v>1</v>
      </c>
      <c r="R1806" s="16" t="b">
        <f>FALSE()</f>
        <v>0</v>
      </c>
      <c r="S1806" s="17">
        <f t="shared" si="28"/>
        <v>20.100000000000001</v>
      </c>
      <c r="T1806">
        <f>COUNTIF('👤 Customers'!$A:$A, B1806)</f>
        <v>1</v>
      </c>
      <c r="U1806">
        <f>COUNTIF('🚴 Riders'!A1805:A1865, C1806)</f>
        <v>0</v>
      </c>
      <c r="V1806">
        <f>COUNTIF('🏭 Facilities'!A1805:A1813, D1806)</f>
        <v>0</v>
      </c>
    </row>
    <row r="1807" spans="1:22">
      <c r="A1807" s="18" t="s">
        <v>4276</v>
      </c>
      <c r="B1807" s="18" t="s">
        <v>640</v>
      </c>
      <c r="C1807" s="18" t="s">
        <v>224</v>
      </c>
      <c r="D1807" s="18" t="s">
        <v>197</v>
      </c>
      <c r="E1807" s="26">
        <v>45387</v>
      </c>
      <c r="F1807" s="18" t="s">
        <v>4277</v>
      </c>
      <c r="G1807" s="18" t="s">
        <v>117</v>
      </c>
      <c r="H1807" s="18">
        <v>5.5</v>
      </c>
      <c r="I1807" s="18">
        <v>149</v>
      </c>
      <c r="J1807" s="18">
        <v>0</v>
      </c>
      <c r="K1807" s="18">
        <v>819.5</v>
      </c>
      <c r="L1807" s="18" t="s">
        <v>126</v>
      </c>
      <c r="M1807" s="18" t="s">
        <v>119</v>
      </c>
      <c r="N1807" s="28">
        <v>45387.243750000001</v>
      </c>
      <c r="O1807" s="28">
        <v>45387.563888888886</v>
      </c>
      <c r="P1807" s="18">
        <v>4.9000000000000004</v>
      </c>
      <c r="Q1807" s="18" t="b">
        <f>FALSE()</f>
        <v>0</v>
      </c>
      <c r="R1807" s="18" t="b">
        <f>FALSE()</f>
        <v>0</v>
      </c>
      <c r="S1807" s="19">
        <f t="shared" si="28"/>
        <v>7.7</v>
      </c>
      <c r="T1807">
        <f>COUNTIF('👤 Customers'!$A:$A, B1807)</f>
        <v>1</v>
      </c>
      <c r="U1807">
        <f>COUNTIF('🚴 Riders'!A1806:A1866, C1807)</f>
        <v>0</v>
      </c>
      <c r="V1807">
        <f>COUNTIF('🏭 Facilities'!A1806:A1814, D1807)</f>
        <v>0</v>
      </c>
    </row>
    <row r="1808" spans="1:22">
      <c r="A1808" s="16" t="s">
        <v>4278</v>
      </c>
      <c r="B1808" s="16" t="s">
        <v>2289</v>
      </c>
      <c r="C1808" s="16" t="s">
        <v>228</v>
      </c>
      <c r="D1808" s="16" t="s">
        <v>137</v>
      </c>
      <c r="E1808" s="25">
        <v>45263</v>
      </c>
      <c r="F1808" s="16" t="s">
        <v>4279</v>
      </c>
      <c r="G1808" s="16" t="s">
        <v>132</v>
      </c>
      <c r="H1808" s="16">
        <v>2.9</v>
      </c>
      <c r="I1808" s="16">
        <v>399</v>
      </c>
      <c r="J1808" s="16">
        <v>0</v>
      </c>
      <c r="K1808" s="16">
        <v>1157.0999999999999</v>
      </c>
      <c r="L1808" s="16" t="s">
        <v>207</v>
      </c>
      <c r="M1808" s="16" t="s">
        <v>119</v>
      </c>
      <c r="N1808" s="27">
        <v>45264.002083333333</v>
      </c>
      <c r="O1808" s="27">
        <v>45264.867361111108</v>
      </c>
      <c r="P1808" s="16">
        <v>3.6</v>
      </c>
      <c r="Q1808" s="16" t="b">
        <f>FALSE()</f>
        <v>0</v>
      </c>
      <c r="R1808" s="16" t="b">
        <f>TRUE()</f>
        <v>1</v>
      </c>
      <c r="S1808" s="17">
        <f t="shared" si="28"/>
        <v>20.8</v>
      </c>
      <c r="T1808">
        <f>COUNTIF('👤 Customers'!$A:$A, B1808)</f>
        <v>1</v>
      </c>
      <c r="U1808">
        <f>COUNTIF('🚴 Riders'!A1807:A1867, C1808)</f>
        <v>0</v>
      </c>
      <c r="V1808">
        <f>COUNTIF('🏭 Facilities'!A1807:A1815, D1808)</f>
        <v>0</v>
      </c>
    </row>
    <row r="1809" spans="1:22">
      <c r="A1809" s="18" t="s">
        <v>4280</v>
      </c>
      <c r="B1809" s="18" t="s">
        <v>478</v>
      </c>
      <c r="C1809" s="18" t="s">
        <v>213</v>
      </c>
      <c r="D1809" s="18" t="s">
        <v>137</v>
      </c>
      <c r="E1809" s="26">
        <v>45012</v>
      </c>
      <c r="F1809" s="18" t="s">
        <v>4281</v>
      </c>
      <c r="G1809" s="18" t="s">
        <v>176</v>
      </c>
      <c r="H1809" s="18">
        <v>6.3</v>
      </c>
      <c r="I1809" s="18">
        <v>599</v>
      </c>
      <c r="J1809" s="18">
        <v>10</v>
      </c>
      <c r="K1809" s="18">
        <v>3396.33</v>
      </c>
      <c r="L1809" s="18" t="s">
        <v>146</v>
      </c>
      <c r="M1809" s="18" t="s">
        <v>140</v>
      </c>
      <c r="N1809" s="28">
        <v>45012.604861111111</v>
      </c>
      <c r="O1809" s="28">
        <v>45013.121527777781</v>
      </c>
      <c r="P1809" s="20"/>
      <c r="Q1809" s="18" t="b">
        <f>FALSE()</f>
        <v>0</v>
      </c>
      <c r="R1809" s="18" t="b">
        <f>FALSE()</f>
        <v>0</v>
      </c>
      <c r="S1809" s="19">
        <f t="shared" si="28"/>
        <v>12.4</v>
      </c>
      <c r="T1809">
        <f>COUNTIF('👤 Customers'!$A:$A, B1809)</f>
        <v>1</v>
      </c>
      <c r="U1809">
        <f>COUNTIF('🚴 Riders'!A1808:A1868, C1809)</f>
        <v>0</v>
      </c>
      <c r="V1809">
        <f>COUNTIF('🏭 Facilities'!A1808:A1816, D1809)</f>
        <v>0</v>
      </c>
    </row>
    <row r="1810" spans="1:22">
      <c r="A1810" s="16" t="s">
        <v>4282</v>
      </c>
      <c r="B1810" s="16" t="s">
        <v>1682</v>
      </c>
      <c r="C1810" s="16" t="s">
        <v>487</v>
      </c>
      <c r="D1810" s="16" t="s">
        <v>158</v>
      </c>
      <c r="E1810" s="25">
        <v>45566</v>
      </c>
      <c r="F1810" s="16" t="s">
        <v>2012</v>
      </c>
      <c r="G1810" s="16" t="s">
        <v>125</v>
      </c>
      <c r="H1810" s="16">
        <v>5.2</v>
      </c>
      <c r="I1810" s="16">
        <v>199</v>
      </c>
      <c r="J1810" s="16">
        <v>0</v>
      </c>
      <c r="K1810" s="16">
        <v>1034.8</v>
      </c>
      <c r="L1810" s="16" t="s">
        <v>207</v>
      </c>
      <c r="M1810" s="16" t="s">
        <v>119</v>
      </c>
      <c r="N1810" s="27">
        <v>45566.043749999997</v>
      </c>
      <c r="O1810" s="27">
        <v>45566.726388888892</v>
      </c>
      <c r="P1810" s="16">
        <v>4.5999999999999996</v>
      </c>
      <c r="Q1810" s="16" t="b">
        <f>FALSE()</f>
        <v>0</v>
      </c>
      <c r="R1810" s="16" t="b">
        <f>FALSE()</f>
        <v>0</v>
      </c>
      <c r="S1810" s="17">
        <f t="shared" si="28"/>
        <v>16.399999999999999</v>
      </c>
      <c r="T1810">
        <f>COUNTIF('👤 Customers'!$A:$A, B1810)</f>
        <v>1</v>
      </c>
      <c r="U1810">
        <f>COUNTIF('🚴 Riders'!A1809:A1869, C1810)</f>
        <v>0</v>
      </c>
      <c r="V1810">
        <f>COUNTIF('🏭 Facilities'!A1809:A1817, D1810)</f>
        <v>0</v>
      </c>
    </row>
    <row r="1811" spans="1:22">
      <c r="A1811" s="18" t="s">
        <v>4283</v>
      </c>
      <c r="B1811" s="18" t="s">
        <v>930</v>
      </c>
      <c r="C1811" s="18" t="s">
        <v>358</v>
      </c>
      <c r="D1811" s="18" t="s">
        <v>205</v>
      </c>
      <c r="E1811" s="26">
        <v>45009</v>
      </c>
      <c r="F1811" s="18" t="s">
        <v>4284</v>
      </c>
      <c r="G1811" s="18" t="s">
        <v>132</v>
      </c>
      <c r="H1811" s="18">
        <v>6.2</v>
      </c>
      <c r="I1811" s="18">
        <v>399</v>
      </c>
      <c r="J1811" s="18">
        <v>10</v>
      </c>
      <c r="K1811" s="18">
        <v>2226.42</v>
      </c>
      <c r="L1811" s="18" t="s">
        <v>139</v>
      </c>
      <c r="M1811" s="18" t="s">
        <v>119</v>
      </c>
      <c r="N1811" s="28">
        <v>45009.916666666664</v>
      </c>
      <c r="O1811" s="28">
        <v>45010.556944444441</v>
      </c>
      <c r="P1811" s="18">
        <v>3</v>
      </c>
      <c r="Q1811" s="18" t="b">
        <f>TRUE()</f>
        <v>1</v>
      </c>
      <c r="R1811" s="18" t="b">
        <f>FALSE()</f>
        <v>0</v>
      </c>
      <c r="S1811" s="19">
        <f t="shared" si="28"/>
        <v>15.4</v>
      </c>
      <c r="T1811">
        <f>COUNTIF('👤 Customers'!$A:$A, B1811)</f>
        <v>1</v>
      </c>
      <c r="U1811">
        <f>COUNTIF('🚴 Riders'!A1810:A1870, C1811)</f>
        <v>0</v>
      </c>
      <c r="V1811">
        <f>COUNTIF('🏭 Facilities'!A1810:A1818, D1811)</f>
        <v>0</v>
      </c>
    </row>
    <row r="1812" spans="1:22">
      <c r="A1812" s="16" t="s">
        <v>4285</v>
      </c>
      <c r="B1812" s="16" t="s">
        <v>863</v>
      </c>
      <c r="C1812" s="16" t="s">
        <v>166</v>
      </c>
      <c r="D1812" s="16" t="s">
        <v>123</v>
      </c>
      <c r="E1812" s="25">
        <v>45588</v>
      </c>
      <c r="F1812" s="16" t="s">
        <v>4286</v>
      </c>
      <c r="G1812" s="16" t="s">
        <v>176</v>
      </c>
      <c r="H1812" s="16">
        <v>4.3</v>
      </c>
      <c r="I1812" s="16">
        <v>599</v>
      </c>
      <c r="J1812" s="16">
        <v>0</v>
      </c>
      <c r="K1812" s="16">
        <v>2575.6999999999998</v>
      </c>
      <c r="L1812" s="16" t="s">
        <v>139</v>
      </c>
      <c r="M1812" s="16" t="s">
        <v>119</v>
      </c>
      <c r="N1812" s="27">
        <v>45588.868750000001</v>
      </c>
      <c r="O1812" s="27">
        <v>45589.322916666664</v>
      </c>
      <c r="P1812" s="16">
        <v>4.9000000000000004</v>
      </c>
      <c r="Q1812" s="16" t="b">
        <f>FALSE()</f>
        <v>0</v>
      </c>
      <c r="R1812" s="16" t="b">
        <f>FALSE()</f>
        <v>0</v>
      </c>
      <c r="S1812" s="17">
        <f t="shared" si="28"/>
        <v>10.9</v>
      </c>
      <c r="T1812">
        <f>COUNTIF('👤 Customers'!$A:$A, B1812)</f>
        <v>1</v>
      </c>
      <c r="U1812">
        <f>COUNTIF('🚴 Riders'!A1811:A1871, C1812)</f>
        <v>0</v>
      </c>
      <c r="V1812">
        <f>COUNTIF('🏭 Facilities'!A1811:A1819, D1812)</f>
        <v>0</v>
      </c>
    </row>
    <row r="1813" spans="1:22">
      <c r="A1813" s="18" t="s">
        <v>4287</v>
      </c>
      <c r="B1813" s="18" t="s">
        <v>374</v>
      </c>
      <c r="C1813" s="18" t="s">
        <v>326</v>
      </c>
      <c r="D1813" s="18" t="s">
        <v>115</v>
      </c>
      <c r="E1813" s="26">
        <v>45614</v>
      </c>
      <c r="F1813" s="18" t="s">
        <v>4288</v>
      </c>
      <c r="G1813" s="18" t="s">
        <v>145</v>
      </c>
      <c r="H1813" s="18">
        <v>2.2000000000000002</v>
      </c>
      <c r="I1813" s="18">
        <v>299</v>
      </c>
      <c r="J1813" s="18">
        <v>0</v>
      </c>
      <c r="K1813" s="18">
        <v>657.8</v>
      </c>
      <c r="L1813" s="18" t="s">
        <v>139</v>
      </c>
      <c r="M1813" s="18" t="s">
        <v>140</v>
      </c>
      <c r="N1813" s="28">
        <v>45615.031944444447</v>
      </c>
      <c r="O1813" s="28">
        <v>45615.602777777778</v>
      </c>
      <c r="P1813" s="20"/>
      <c r="Q1813" s="18" t="b">
        <f>FALSE()</f>
        <v>0</v>
      </c>
      <c r="R1813" s="18" t="b">
        <f>FALSE()</f>
        <v>0</v>
      </c>
      <c r="S1813" s="19">
        <f t="shared" si="28"/>
        <v>13.7</v>
      </c>
      <c r="T1813">
        <f>COUNTIF('👤 Customers'!$A:$A, B1813)</f>
        <v>1</v>
      </c>
      <c r="U1813">
        <f>COUNTIF('🚴 Riders'!A1812:A1872, C1813)</f>
        <v>0</v>
      </c>
      <c r="V1813">
        <f>COUNTIF('🏭 Facilities'!A1812:A1820, D1813)</f>
        <v>0</v>
      </c>
    </row>
    <row r="1814" spans="1:22">
      <c r="A1814" s="16" t="s">
        <v>4289</v>
      </c>
      <c r="B1814" s="16" t="s">
        <v>1737</v>
      </c>
      <c r="C1814" s="16" t="s">
        <v>362</v>
      </c>
      <c r="D1814" s="16" t="s">
        <v>158</v>
      </c>
      <c r="E1814" s="25">
        <v>45062</v>
      </c>
      <c r="F1814" s="16" t="s">
        <v>4290</v>
      </c>
      <c r="G1814" s="16" t="s">
        <v>125</v>
      </c>
      <c r="H1814" s="16">
        <v>3.6</v>
      </c>
      <c r="I1814" s="16">
        <v>199</v>
      </c>
      <c r="J1814" s="16">
        <v>0</v>
      </c>
      <c r="K1814" s="16">
        <v>716.4</v>
      </c>
      <c r="L1814" s="16" t="s">
        <v>118</v>
      </c>
      <c r="M1814" s="16" t="s">
        <v>119</v>
      </c>
      <c r="N1814" s="27">
        <v>45062.276388888888</v>
      </c>
      <c r="O1814" s="27">
        <v>45062.910416666666</v>
      </c>
      <c r="P1814" s="16">
        <v>3.7</v>
      </c>
      <c r="Q1814" s="16" t="b">
        <f>FALSE()</f>
        <v>0</v>
      </c>
      <c r="R1814" s="16" t="b">
        <f>FALSE()</f>
        <v>0</v>
      </c>
      <c r="S1814" s="17">
        <f t="shared" si="28"/>
        <v>15.2</v>
      </c>
      <c r="T1814">
        <f>COUNTIF('👤 Customers'!$A:$A, B1814)</f>
        <v>1</v>
      </c>
      <c r="U1814">
        <f>COUNTIF('🚴 Riders'!A1813:A1873, C1814)</f>
        <v>0</v>
      </c>
      <c r="V1814">
        <f>COUNTIF('🏭 Facilities'!A1813:A1821, D1814)</f>
        <v>0</v>
      </c>
    </row>
    <row r="1815" spans="1:22">
      <c r="A1815" s="18" t="s">
        <v>4291</v>
      </c>
      <c r="B1815" s="18" t="s">
        <v>314</v>
      </c>
      <c r="C1815" s="18" t="s">
        <v>136</v>
      </c>
      <c r="D1815" s="18" t="s">
        <v>130</v>
      </c>
      <c r="E1815" s="26">
        <v>45219</v>
      </c>
      <c r="F1815" s="18" t="s">
        <v>4292</v>
      </c>
      <c r="G1815" s="18" t="s">
        <v>176</v>
      </c>
      <c r="H1815" s="18">
        <v>7.8</v>
      </c>
      <c r="I1815" s="18">
        <v>599</v>
      </c>
      <c r="J1815" s="18">
        <v>0</v>
      </c>
      <c r="K1815" s="18">
        <v>4672.2</v>
      </c>
      <c r="L1815" s="18" t="s">
        <v>126</v>
      </c>
      <c r="M1815" s="18" t="s">
        <v>133</v>
      </c>
      <c r="N1815" s="20"/>
      <c r="O1815" s="20"/>
      <c r="P1815" s="20"/>
      <c r="Q1815" s="18" t="b">
        <f>TRUE()</f>
        <v>1</v>
      </c>
      <c r="R1815" s="18" t="b">
        <f>FALSE()</f>
        <v>0</v>
      </c>
      <c r="S1815" s="19" t="str">
        <f t="shared" si="28"/>
        <v>N/A</v>
      </c>
      <c r="T1815">
        <f>COUNTIF('👤 Customers'!$A:$A, B1815)</f>
        <v>1</v>
      </c>
      <c r="U1815">
        <f>COUNTIF('🚴 Riders'!A1814:A1874, C1815)</f>
        <v>0</v>
      </c>
      <c r="V1815">
        <f>COUNTIF('🏭 Facilities'!A1814:A1822, D1815)</f>
        <v>0</v>
      </c>
    </row>
    <row r="1816" spans="1:22">
      <c r="A1816" s="16" t="s">
        <v>4293</v>
      </c>
      <c r="B1816" s="16" t="s">
        <v>990</v>
      </c>
      <c r="C1816" s="16" t="s">
        <v>536</v>
      </c>
      <c r="D1816" s="16" t="s">
        <v>137</v>
      </c>
      <c r="E1816" s="25">
        <v>45304</v>
      </c>
      <c r="F1816" s="16" t="s">
        <v>4294</v>
      </c>
      <c r="G1816" s="16" t="s">
        <v>176</v>
      </c>
      <c r="H1816" s="16">
        <v>7.4</v>
      </c>
      <c r="I1816" s="16">
        <v>599</v>
      </c>
      <c r="J1816" s="16">
        <v>0</v>
      </c>
      <c r="K1816" s="16">
        <v>4432.6000000000004</v>
      </c>
      <c r="L1816" s="16" t="s">
        <v>146</v>
      </c>
      <c r="M1816" s="16" t="s">
        <v>140</v>
      </c>
      <c r="N1816" s="27">
        <v>45304.868055555555</v>
      </c>
      <c r="O1816" s="27">
        <v>45305.855555555558</v>
      </c>
      <c r="P1816" s="20"/>
      <c r="Q1816" s="16" t="b">
        <f>TRUE()</f>
        <v>1</v>
      </c>
      <c r="R1816" s="16" t="b">
        <f>FALSE()</f>
        <v>0</v>
      </c>
      <c r="S1816" s="17">
        <f t="shared" si="28"/>
        <v>23.7</v>
      </c>
      <c r="T1816">
        <f>COUNTIF('👤 Customers'!$A:$A, B1816)</f>
        <v>1</v>
      </c>
      <c r="U1816">
        <f>COUNTIF('🚴 Riders'!A1815:A1875, C1816)</f>
        <v>0</v>
      </c>
      <c r="V1816">
        <f>COUNTIF('🏭 Facilities'!A1815:A1823, D1816)</f>
        <v>0</v>
      </c>
    </row>
    <row r="1817" spans="1:22">
      <c r="A1817" s="18" t="s">
        <v>4295</v>
      </c>
      <c r="B1817" s="18" t="s">
        <v>1540</v>
      </c>
      <c r="C1817" s="18" t="s">
        <v>611</v>
      </c>
      <c r="D1817" s="18" t="s">
        <v>137</v>
      </c>
      <c r="E1817" s="26">
        <v>45301</v>
      </c>
      <c r="F1817" s="18" t="s">
        <v>4296</v>
      </c>
      <c r="G1817" s="18" t="s">
        <v>125</v>
      </c>
      <c r="H1817" s="18">
        <v>3.7</v>
      </c>
      <c r="I1817" s="18">
        <v>199</v>
      </c>
      <c r="J1817" s="18">
        <v>0</v>
      </c>
      <c r="K1817" s="18">
        <v>736.3</v>
      </c>
      <c r="L1817" s="18" t="s">
        <v>146</v>
      </c>
      <c r="M1817" s="18" t="s">
        <v>119</v>
      </c>
      <c r="N1817" s="28">
        <v>45301.84097222222</v>
      </c>
      <c r="O1817" s="28">
        <v>45302.817361111112</v>
      </c>
      <c r="P1817" s="18">
        <v>2.7</v>
      </c>
      <c r="Q1817" s="18" t="b">
        <f>FALSE()</f>
        <v>0</v>
      </c>
      <c r="R1817" s="18" t="b">
        <f>TRUE()</f>
        <v>1</v>
      </c>
      <c r="S1817" s="19">
        <f t="shared" si="28"/>
        <v>23.4</v>
      </c>
      <c r="T1817">
        <f>COUNTIF('👤 Customers'!$A:$A, B1817)</f>
        <v>1</v>
      </c>
      <c r="U1817">
        <f>COUNTIF('🚴 Riders'!A1816:A1876, C1817)</f>
        <v>0</v>
      </c>
      <c r="V1817">
        <f>COUNTIF('🏭 Facilities'!A1816:A1824, D1817)</f>
        <v>0</v>
      </c>
    </row>
    <row r="1818" spans="1:22">
      <c r="A1818" s="16" t="s">
        <v>4297</v>
      </c>
      <c r="B1818" s="16" t="s">
        <v>2497</v>
      </c>
      <c r="C1818" s="16" t="s">
        <v>204</v>
      </c>
      <c r="D1818" s="16" t="s">
        <v>158</v>
      </c>
      <c r="E1818" s="25">
        <v>45325</v>
      </c>
      <c r="F1818" s="16" t="s">
        <v>4298</v>
      </c>
      <c r="G1818" s="16" t="s">
        <v>132</v>
      </c>
      <c r="H1818" s="16">
        <v>3</v>
      </c>
      <c r="I1818" s="16">
        <v>399</v>
      </c>
      <c r="J1818" s="16">
        <v>0</v>
      </c>
      <c r="K1818" s="16">
        <v>1197</v>
      </c>
      <c r="L1818" s="16" t="s">
        <v>126</v>
      </c>
      <c r="M1818" s="16" t="s">
        <v>119</v>
      </c>
      <c r="N1818" s="27">
        <v>45325.919444444444</v>
      </c>
      <c r="O1818" s="27">
        <v>45326.650694444441</v>
      </c>
      <c r="P1818" s="16">
        <v>4.5999999999999996</v>
      </c>
      <c r="Q1818" s="16" t="b">
        <f>FALSE()</f>
        <v>0</v>
      </c>
      <c r="R1818" s="16" t="b">
        <f>FALSE()</f>
        <v>0</v>
      </c>
      <c r="S1818" s="17">
        <f t="shared" si="28"/>
        <v>17.5</v>
      </c>
      <c r="T1818">
        <f>COUNTIF('👤 Customers'!$A:$A, B1818)</f>
        <v>1</v>
      </c>
      <c r="U1818">
        <f>COUNTIF('🚴 Riders'!A1817:A1877, C1818)</f>
        <v>0</v>
      </c>
      <c r="V1818">
        <f>COUNTIF('🏭 Facilities'!A1817:A1825, D1818)</f>
        <v>0</v>
      </c>
    </row>
    <row r="1819" spans="1:22">
      <c r="A1819" s="18" t="s">
        <v>4299</v>
      </c>
      <c r="B1819" s="18" t="s">
        <v>1988</v>
      </c>
      <c r="C1819" s="18" t="s">
        <v>220</v>
      </c>
      <c r="D1819" s="18" t="s">
        <v>115</v>
      </c>
      <c r="E1819" s="26">
        <v>45335</v>
      </c>
      <c r="F1819" s="18" t="s">
        <v>4300</v>
      </c>
      <c r="G1819" s="18" t="s">
        <v>176</v>
      </c>
      <c r="H1819" s="18">
        <v>6.1</v>
      </c>
      <c r="I1819" s="18">
        <v>599</v>
      </c>
      <c r="J1819" s="18">
        <v>20</v>
      </c>
      <c r="K1819" s="18">
        <v>2923.12</v>
      </c>
      <c r="L1819" s="18" t="s">
        <v>146</v>
      </c>
      <c r="M1819" s="18" t="s">
        <v>133</v>
      </c>
      <c r="N1819" s="20"/>
      <c r="O1819" s="20"/>
      <c r="P1819" s="20"/>
      <c r="Q1819" s="18" t="b">
        <f>FALSE()</f>
        <v>0</v>
      </c>
      <c r="R1819" s="18" t="b">
        <f>FALSE()</f>
        <v>0</v>
      </c>
      <c r="S1819" s="19" t="str">
        <f t="shared" si="28"/>
        <v>N/A</v>
      </c>
      <c r="T1819">
        <f>COUNTIF('👤 Customers'!$A:$A, B1819)</f>
        <v>1</v>
      </c>
      <c r="U1819">
        <f>COUNTIF('🚴 Riders'!A1818:A1878, C1819)</f>
        <v>0</v>
      </c>
      <c r="V1819">
        <f>COUNTIF('🏭 Facilities'!A1818:A1826, D1819)</f>
        <v>0</v>
      </c>
    </row>
    <row r="1820" spans="1:22">
      <c r="A1820" s="16" t="s">
        <v>4301</v>
      </c>
      <c r="B1820" s="16" t="s">
        <v>4302</v>
      </c>
      <c r="C1820" s="16" t="s">
        <v>265</v>
      </c>
      <c r="D1820" s="16" t="s">
        <v>197</v>
      </c>
      <c r="E1820" s="25">
        <v>45649</v>
      </c>
      <c r="F1820" s="16" t="s">
        <v>4303</v>
      </c>
      <c r="G1820" s="16" t="s">
        <v>132</v>
      </c>
      <c r="H1820" s="16">
        <v>1.7</v>
      </c>
      <c r="I1820" s="16">
        <v>399</v>
      </c>
      <c r="J1820" s="16">
        <v>0</v>
      </c>
      <c r="K1820" s="16">
        <v>678.3</v>
      </c>
      <c r="L1820" s="16" t="s">
        <v>146</v>
      </c>
      <c r="M1820" s="16" t="s">
        <v>119</v>
      </c>
      <c r="N1820" s="27">
        <v>45649.342361111114</v>
      </c>
      <c r="O1820" s="27">
        <v>45649.969444444447</v>
      </c>
      <c r="P1820" s="16">
        <v>4</v>
      </c>
      <c r="Q1820" s="16" t="b">
        <f>FALSE()</f>
        <v>0</v>
      </c>
      <c r="R1820" s="16" t="b">
        <f>FALSE()</f>
        <v>0</v>
      </c>
      <c r="S1820" s="17">
        <f t="shared" si="28"/>
        <v>15</v>
      </c>
      <c r="T1820">
        <f>COUNTIF('👤 Customers'!$A:$A, B1820)</f>
        <v>1</v>
      </c>
      <c r="U1820">
        <f>COUNTIF('🚴 Riders'!A1819:A1879, C1820)</f>
        <v>0</v>
      </c>
      <c r="V1820">
        <f>COUNTIF('🏭 Facilities'!A1819:A1827, D1820)</f>
        <v>0</v>
      </c>
    </row>
    <row r="1821" spans="1:22">
      <c r="A1821" s="18" t="s">
        <v>4304</v>
      </c>
      <c r="B1821" s="18" t="s">
        <v>623</v>
      </c>
      <c r="C1821" s="18" t="s">
        <v>276</v>
      </c>
      <c r="D1821" s="18" t="s">
        <v>130</v>
      </c>
      <c r="E1821" s="26">
        <v>45619</v>
      </c>
      <c r="F1821" s="18" t="s">
        <v>4305</v>
      </c>
      <c r="G1821" s="18" t="s">
        <v>125</v>
      </c>
      <c r="H1821" s="18">
        <v>4</v>
      </c>
      <c r="I1821" s="18">
        <v>199</v>
      </c>
      <c r="J1821" s="18">
        <v>0</v>
      </c>
      <c r="K1821" s="18">
        <v>796</v>
      </c>
      <c r="L1821" s="18" t="s">
        <v>126</v>
      </c>
      <c r="M1821" s="18" t="s">
        <v>140</v>
      </c>
      <c r="N1821" s="28">
        <v>45619.49722222222</v>
      </c>
      <c r="O1821" s="28">
        <v>45620.501388888886</v>
      </c>
      <c r="P1821" s="20"/>
      <c r="Q1821" s="18" t="b">
        <f>FALSE()</f>
        <v>0</v>
      </c>
      <c r="R1821" s="18" t="b">
        <f>FALSE()</f>
        <v>0</v>
      </c>
      <c r="S1821" s="19">
        <f t="shared" si="28"/>
        <v>24.1</v>
      </c>
      <c r="T1821">
        <f>COUNTIF('👤 Customers'!$A:$A, B1821)</f>
        <v>1</v>
      </c>
      <c r="U1821">
        <f>COUNTIF('🚴 Riders'!A1820:A1880, C1821)</f>
        <v>0</v>
      </c>
      <c r="V1821">
        <f>COUNTIF('🏭 Facilities'!A1820:A1828, D1821)</f>
        <v>0</v>
      </c>
    </row>
    <row r="1822" spans="1:22">
      <c r="A1822" s="16" t="s">
        <v>4306</v>
      </c>
      <c r="B1822" s="16" t="s">
        <v>4307</v>
      </c>
      <c r="C1822" s="16" t="s">
        <v>196</v>
      </c>
      <c r="D1822" s="16" t="s">
        <v>158</v>
      </c>
      <c r="E1822" s="25">
        <v>45000</v>
      </c>
      <c r="F1822" s="16" t="s">
        <v>4308</v>
      </c>
      <c r="G1822" s="16" t="s">
        <v>132</v>
      </c>
      <c r="H1822" s="16">
        <v>5.2</v>
      </c>
      <c r="I1822" s="16">
        <v>399</v>
      </c>
      <c r="J1822" s="16">
        <v>30</v>
      </c>
      <c r="K1822" s="16">
        <v>1452.36</v>
      </c>
      <c r="L1822" s="16" t="s">
        <v>126</v>
      </c>
      <c r="M1822" s="16" t="s">
        <v>119</v>
      </c>
      <c r="N1822" s="27">
        <v>45000.245833333334</v>
      </c>
      <c r="O1822" s="27">
        <v>45000.888888888891</v>
      </c>
      <c r="P1822" s="16">
        <v>3.5</v>
      </c>
      <c r="Q1822" s="16" t="b">
        <f>FALSE()</f>
        <v>0</v>
      </c>
      <c r="R1822" s="16" t="b">
        <f>FALSE()</f>
        <v>0</v>
      </c>
      <c r="S1822" s="17">
        <f t="shared" si="28"/>
        <v>15.4</v>
      </c>
      <c r="T1822">
        <f>COUNTIF('👤 Customers'!$A:$A, B1822)</f>
        <v>1</v>
      </c>
      <c r="U1822">
        <f>COUNTIF('🚴 Riders'!A1821:A1881, C1822)</f>
        <v>0</v>
      </c>
      <c r="V1822">
        <f>COUNTIF('🏭 Facilities'!A1821:A1829, D1822)</f>
        <v>0</v>
      </c>
    </row>
    <row r="1823" spans="1:22">
      <c r="A1823" s="18" t="s">
        <v>4309</v>
      </c>
      <c r="B1823" s="18" t="s">
        <v>1091</v>
      </c>
      <c r="C1823" s="18" t="s">
        <v>479</v>
      </c>
      <c r="D1823" s="18" t="s">
        <v>184</v>
      </c>
      <c r="E1823" s="26">
        <v>45306</v>
      </c>
      <c r="F1823" s="18" t="s">
        <v>4310</v>
      </c>
      <c r="G1823" s="18" t="s">
        <v>176</v>
      </c>
      <c r="H1823" s="18">
        <v>4.5</v>
      </c>
      <c r="I1823" s="18">
        <v>599</v>
      </c>
      <c r="J1823" s="18">
        <v>0</v>
      </c>
      <c r="K1823" s="18">
        <v>2695.5</v>
      </c>
      <c r="L1823" s="18" t="s">
        <v>139</v>
      </c>
      <c r="M1823" s="18" t="s">
        <v>119</v>
      </c>
      <c r="N1823" s="28">
        <v>45306.140972222223</v>
      </c>
      <c r="O1823" s="28">
        <v>45306.998611111114</v>
      </c>
      <c r="P1823" s="18">
        <v>3.8</v>
      </c>
      <c r="Q1823" s="18" t="b">
        <f>FALSE()</f>
        <v>0</v>
      </c>
      <c r="R1823" s="18" t="b">
        <f>FALSE()</f>
        <v>0</v>
      </c>
      <c r="S1823" s="19">
        <f t="shared" si="28"/>
        <v>20.6</v>
      </c>
      <c r="T1823">
        <f>COUNTIF('👤 Customers'!$A:$A, B1823)</f>
        <v>1</v>
      </c>
      <c r="U1823">
        <f>COUNTIF('🚴 Riders'!A1822:A1882, C1823)</f>
        <v>0</v>
      </c>
      <c r="V1823">
        <f>COUNTIF('🏭 Facilities'!A1822:A1830, D1823)</f>
        <v>0</v>
      </c>
    </row>
    <row r="1824" spans="1:22">
      <c r="A1824" s="16" t="s">
        <v>4311</v>
      </c>
      <c r="B1824" s="16" t="s">
        <v>439</v>
      </c>
      <c r="C1824" s="16" t="s">
        <v>224</v>
      </c>
      <c r="D1824" s="16" t="s">
        <v>137</v>
      </c>
      <c r="E1824" s="25">
        <v>45015</v>
      </c>
      <c r="F1824" s="16" t="s">
        <v>4312</v>
      </c>
      <c r="G1824" s="16" t="s">
        <v>132</v>
      </c>
      <c r="H1824" s="16">
        <v>5.5</v>
      </c>
      <c r="I1824" s="16">
        <v>399</v>
      </c>
      <c r="J1824" s="16">
        <v>0</v>
      </c>
      <c r="K1824" s="16">
        <v>2194.5</v>
      </c>
      <c r="L1824" s="16" t="s">
        <v>126</v>
      </c>
      <c r="M1824" s="16" t="s">
        <v>119</v>
      </c>
      <c r="N1824" s="27">
        <v>45015.495833333334</v>
      </c>
      <c r="O1824" s="27">
        <v>45016.173611111109</v>
      </c>
      <c r="P1824" s="16">
        <v>3.5</v>
      </c>
      <c r="Q1824" s="16" t="b">
        <f>FALSE()</f>
        <v>0</v>
      </c>
      <c r="R1824" s="16" t="b">
        <f>FALSE()</f>
        <v>0</v>
      </c>
      <c r="S1824" s="17">
        <f t="shared" si="28"/>
        <v>16.3</v>
      </c>
      <c r="T1824">
        <f>COUNTIF('👤 Customers'!$A:$A, B1824)</f>
        <v>1</v>
      </c>
      <c r="U1824">
        <f>COUNTIF('🚴 Riders'!A1823:A1883, C1824)</f>
        <v>0</v>
      </c>
      <c r="V1824">
        <f>COUNTIF('🏭 Facilities'!A1823:A1831, D1824)</f>
        <v>0</v>
      </c>
    </row>
    <row r="1825" spans="1:22">
      <c r="A1825" s="18" t="s">
        <v>4313</v>
      </c>
      <c r="B1825" s="18" t="s">
        <v>4314</v>
      </c>
      <c r="C1825" s="18" t="s">
        <v>196</v>
      </c>
      <c r="D1825" s="18" t="s">
        <v>184</v>
      </c>
      <c r="E1825" s="26">
        <v>45254</v>
      </c>
      <c r="F1825" s="18" t="s">
        <v>4315</v>
      </c>
      <c r="G1825" s="18" t="s">
        <v>125</v>
      </c>
      <c r="H1825" s="18">
        <v>6.6</v>
      </c>
      <c r="I1825" s="18">
        <v>199</v>
      </c>
      <c r="J1825" s="18">
        <v>0</v>
      </c>
      <c r="K1825" s="18">
        <v>1313.4</v>
      </c>
      <c r="L1825" s="18" t="s">
        <v>118</v>
      </c>
      <c r="M1825" s="18" t="s">
        <v>119</v>
      </c>
      <c r="N1825" s="28">
        <v>45254.570138888892</v>
      </c>
      <c r="O1825" s="28">
        <v>45255.279166666667</v>
      </c>
      <c r="P1825" s="18">
        <v>4.2</v>
      </c>
      <c r="Q1825" s="18" t="b">
        <f>FALSE()</f>
        <v>0</v>
      </c>
      <c r="R1825" s="18" t="b">
        <f>FALSE()</f>
        <v>0</v>
      </c>
      <c r="S1825" s="19">
        <f t="shared" si="28"/>
        <v>17</v>
      </c>
      <c r="T1825">
        <f>COUNTIF('👤 Customers'!$A:$A, B1825)</f>
        <v>1</v>
      </c>
      <c r="U1825">
        <f>COUNTIF('🚴 Riders'!A1824:A1884, C1825)</f>
        <v>0</v>
      </c>
      <c r="V1825">
        <f>COUNTIF('🏭 Facilities'!A1824:A1832, D1825)</f>
        <v>0</v>
      </c>
    </row>
    <row r="1826" spans="1:22">
      <c r="A1826" s="16" t="s">
        <v>4316</v>
      </c>
      <c r="B1826" s="16" t="s">
        <v>2050</v>
      </c>
      <c r="C1826" s="16" t="s">
        <v>276</v>
      </c>
      <c r="D1826" s="16" t="s">
        <v>130</v>
      </c>
      <c r="E1826" s="25">
        <v>45449</v>
      </c>
      <c r="F1826" s="16" t="s">
        <v>4317</v>
      </c>
      <c r="G1826" s="16" t="s">
        <v>132</v>
      </c>
      <c r="H1826" s="16">
        <v>5.2</v>
      </c>
      <c r="I1826" s="16">
        <v>399</v>
      </c>
      <c r="J1826" s="16">
        <v>10</v>
      </c>
      <c r="K1826" s="16">
        <v>1867.32</v>
      </c>
      <c r="L1826" s="16" t="s">
        <v>146</v>
      </c>
      <c r="M1826" s="16" t="s">
        <v>119</v>
      </c>
      <c r="N1826" s="27">
        <v>45449.484722222223</v>
      </c>
      <c r="O1826" s="27">
        <v>45450.045138888891</v>
      </c>
      <c r="P1826" s="16">
        <v>4.8</v>
      </c>
      <c r="Q1826" s="16" t="b">
        <f>FALSE()</f>
        <v>0</v>
      </c>
      <c r="R1826" s="16" t="b">
        <f>FALSE()</f>
        <v>0</v>
      </c>
      <c r="S1826" s="17">
        <f t="shared" si="28"/>
        <v>13.5</v>
      </c>
      <c r="T1826">
        <f>COUNTIF('👤 Customers'!$A:$A, B1826)</f>
        <v>1</v>
      </c>
      <c r="U1826">
        <f>COUNTIF('🚴 Riders'!A1825:A1885, C1826)</f>
        <v>0</v>
      </c>
      <c r="V1826">
        <f>COUNTIF('🏭 Facilities'!A1825:A1833, D1826)</f>
        <v>0</v>
      </c>
    </row>
    <row r="1827" spans="1:22">
      <c r="A1827" s="18" t="s">
        <v>4318</v>
      </c>
      <c r="B1827" s="18" t="s">
        <v>799</v>
      </c>
      <c r="C1827" s="18" t="s">
        <v>580</v>
      </c>
      <c r="D1827" s="18" t="s">
        <v>205</v>
      </c>
      <c r="E1827" s="26">
        <v>45045</v>
      </c>
      <c r="F1827" s="18" t="s">
        <v>4319</v>
      </c>
      <c r="G1827" s="18" t="s">
        <v>145</v>
      </c>
      <c r="H1827" s="18">
        <v>7</v>
      </c>
      <c r="I1827" s="18">
        <v>299</v>
      </c>
      <c r="J1827" s="18">
        <v>30</v>
      </c>
      <c r="K1827" s="18">
        <v>1465.1</v>
      </c>
      <c r="L1827" s="18" t="s">
        <v>126</v>
      </c>
      <c r="M1827" s="18" t="s">
        <v>119</v>
      </c>
      <c r="N1827" s="28">
        <v>45046.0625</v>
      </c>
      <c r="O1827" s="28">
        <v>45046.54583333333</v>
      </c>
      <c r="P1827" s="18">
        <v>3.6</v>
      </c>
      <c r="Q1827" s="18" t="b">
        <f>FALSE()</f>
        <v>0</v>
      </c>
      <c r="R1827" s="18" t="b">
        <f>FALSE()</f>
        <v>0</v>
      </c>
      <c r="S1827" s="19">
        <f t="shared" si="28"/>
        <v>11.6</v>
      </c>
      <c r="T1827">
        <f>COUNTIF('👤 Customers'!$A:$A, B1827)</f>
        <v>1</v>
      </c>
      <c r="U1827">
        <f>COUNTIF('🚴 Riders'!A1826:A1886, C1827)</f>
        <v>0</v>
      </c>
      <c r="V1827">
        <f>COUNTIF('🏭 Facilities'!A1826:A1834, D1827)</f>
        <v>0</v>
      </c>
    </row>
    <row r="1828" spans="1:22">
      <c r="A1828" s="16" t="s">
        <v>4320</v>
      </c>
      <c r="B1828" s="16" t="s">
        <v>3267</v>
      </c>
      <c r="C1828" s="16" t="s">
        <v>343</v>
      </c>
      <c r="D1828" s="16" t="s">
        <v>115</v>
      </c>
      <c r="E1828" s="25">
        <v>45471</v>
      </c>
      <c r="F1828" s="16" t="s">
        <v>4321</v>
      </c>
      <c r="G1828" s="16" t="s">
        <v>132</v>
      </c>
      <c r="H1828" s="16">
        <v>3.3</v>
      </c>
      <c r="I1828" s="16">
        <v>399</v>
      </c>
      <c r="J1828" s="16">
        <v>20</v>
      </c>
      <c r="K1828" s="16">
        <v>1053.3599999999999</v>
      </c>
      <c r="L1828" s="16" t="s">
        <v>139</v>
      </c>
      <c r="M1828" s="16" t="s">
        <v>119</v>
      </c>
      <c r="N1828" s="27">
        <v>45471.256249999999</v>
      </c>
      <c r="O1828" s="27">
        <v>45472.255555555559</v>
      </c>
      <c r="P1828" s="16">
        <v>4.7</v>
      </c>
      <c r="Q1828" s="16" t="b">
        <f>FALSE()</f>
        <v>0</v>
      </c>
      <c r="R1828" s="16" t="b">
        <f>TRUE()</f>
        <v>1</v>
      </c>
      <c r="S1828" s="17">
        <f t="shared" si="28"/>
        <v>24</v>
      </c>
      <c r="T1828">
        <f>COUNTIF('👤 Customers'!$A:$A, B1828)</f>
        <v>1</v>
      </c>
      <c r="U1828">
        <f>COUNTIF('🚴 Riders'!A1827:A1887, C1828)</f>
        <v>0</v>
      </c>
      <c r="V1828">
        <f>COUNTIF('🏭 Facilities'!A1827:A1835, D1828)</f>
        <v>0</v>
      </c>
    </row>
    <row r="1829" spans="1:22">
      <c r="A1829" s="18" t="s">
        <v>4322</v>
      </c>
      <c r="B1829" s="18" t="s">
        <v>203</v>
      </c>
      <c r="C1829" s="18" t="s">
        <v>343</v>
      </c>
      <c r="D1829" s="18" t="s">
        <v>205</v>
      </c>
      <c r="E1829" s="26">
        <v>45473</v>
      </c>
      <c r="F1829" s="18" t="s">
        <v>4323</v>
      </c>
      <c r="G1829" s="18" t="s">
        <v>132</v>
      </c>
      <c r="H1829" s="18">
        <v>5.9</v>
      </c>
      <c r="I1829" s="18">
        <v>399</v>
      </c>
      <c r="J1829" s="18">
        <v>0</v>
      </c>
      <c r="K1829" s="18">
        <v>2354.1</v>
      </c>
      <c r="L1829" s="18" t="s">
        <v>118</v>
      </c>
      <c r="M1829" s="18" t="s">
        <v>119</v>
      </c>
      <c r="N1829" s="28">
        <v>45473.241666666669</v>
      </c>
      <c r="O1829" s="28">
        <v>45473.959027777775</v>
      </c>
      <c r="P1829" s="18">
        <v>2.7</v>
      </c>
      <c r="Q1829" s="18" t="b">
        <f>FALSE()</f>
        <v>0</v>
      </c>
      <c r="R1829" s="18" t="b">
        <f>FALSE()</f>
        <v>0</v>
      </c>
      <c r="S1829" s="19">
        <f t="shared" si="28"/>
        <v>17.2</v>
      </c>
      <c r="T1829">
        <f>COUNTIF('👤 Customers'!$A:$A, B1829)</f>
        <v>1</v>
      </c>
      <c r="U1829">
        <f>COUNTIF('🚴 Riders'!A1828:A1888, C1829)</f>
        <v>0</v>
      </c>
      <c r="V1829">
        <f>COUNTIF('🏭 Facilities'!A1828:A1836, D1829)</f>
        <v>0</v>
      </c>
    </row>
    <row r="1830" spans="1:22">
      <c r="A1830" s="16" t="s">
        <v>4324</v>
      </c>
      <c r="B1830" s="16" t="s">
        <v>2763</v>
      </c>
      <c r="C1830" s="16" t="s">
        <v>326</v>
      </c>
      <c r="D1830" s="16" t="s">
        <v>115</v>
      </c>
      <c r="E1830" s="25">
        <v>45122</v>
      </c>
      <c r="F1830" s="16" t="s">
        <v>4325</v>
      </c>
      <c r="G1830" s="16" t="s">
        <v>117</v>
      </c>
      <c r="H1830" s="16">
        <v>2.6</v>
      </c>
      <c r="I1830" s="16">
        <v>149</v>
      </c>
      <c r="J1830" s="16">
        <v>0</v>
      </c>
      <c r="K1830" s="16">
        <v>387.4</v>
      </c>
      <c r="L1830" s="16" t="s">
        <v>146</v>
      </c>
      <c r="M1830" s="16" t="s">
        <v>119</v>
      </c>
      <c r="N1830" s="27">
        <v>45122.626388888886</v>
      </c>
      <c r="O1830" s="27">
        <v>45123.370833333334</v>
      </c>
      <c r="P1830" s="16">
        <v>3.5</v>
      </c>
      <c r="Q1830" s="16" t="b">
        <f>FALSE()</f>
        <v>0</v>
      </c>
      <c r="R1830" s="16" t="b">
        <f>FALSE()</f>
        <v>0</v>
      </c>
      <c r="S1830" s="17">
        <f t="shared" si="28"/>
        <v>17.899999999999999</v>
      </c>
      <c r="T1830">
        <f>COUNTIF('👤 Customers'!$A:$A, B1830)</f>
        <v>1</v>
      </c>
      <c r="U1830">
        <f>COUNTIF('🚴 Riders'!A1829:A1889, C1830)</f>
        <v>0</v>
      </c>
      <c r="V1830">
        <f>COUNTIF('🏭 Facilities'!A1829:A1837, D1830)</f>
        <v>0</v>
      </c>
    </row>
    <row r="1831" spans="1:22">
      <c r="A1831" s="18" t="s">
        <v>4326</v>
      </c>
      <c r="B1831" s="18" t="s">
        <v>903</v>
      </c>
      <c r="C1831" s="18" t="s">
        <v>179</v>
      </c>
      <c r="D1831" s="18" t="s">
        <v>123</v>
      </c>
      <c r="E1831" s="26">
        <v>45409</v>
      </c>
      <c r="F1831" s="18" t="s">
        <v>4327</v>
      </c>
      <c r="G1831" s="18" t="s">
        <v>125</v>
      </c>
      <c r="H1831" s="18">
        <v>5.6</v>
      </c>
      <c r="I1831" s="18">
        <v>199</v>
      </c>
      <c r="J1831" s="18">
        <v>0</v>
      </c>
      <c r="K1831" s="18">
        <v>1114.4000000000001</v>
      </c>
      <c r="L1831" s="18" t="s">
        <v>126</v>
      </c>
      <c r="M1831" s="18" t="s">
        <v>140</v>
      </c>
      <c r="N1831" s="28">
        <v>45410.002083333333</v>
      </c>
      <c r="O1831" s="28">
        <v>45411.003472222219</v>
      </c>
      <c r="P1831" s="20"/>
      <c r="Q1831" s="18" t="b">
        <f>FALSE()</f>
        <v>0</v>
      </c>
      <c r="R1831" s="18" t="b">
        <f>FALSE()</f>
        <v>0</v>
      </c>
      <c r="S1831" s="19">
        <f t="shared" si="28"/>
        <v>24</v>
      </c>
      <c r="T1831">
        <f>COUNTIF('👤 Customers'!$A:$A, B1831)</f>
        <v>1</v>
      </c>
      <c r="U1831">
        <f>COUNTIF('🚴 Riders'!A1830:A1890, C1831)</f>
        <v>0</v>
      </c>
      <c r="V1831">
        <f>COUNTIF('🏭 Facilities'!A1830:A1838, D1831)</f>
        <v>0</v>
      </c>
    </row>
    <row r="1832" spans="1:22">
      <c r="A1832" s="16" t="s">
        <v>4328</v>
      </c>
      <c r="B1832" s="16" t="s">
        <v>219</v>
      </c>
      <c r="C1832" s="16" t="s">
        <v>611</v>
      </c>
      <c r="D1832" s="16" t="s">
        <v>197</v>
      </c>
      <c r="E1832" s="25">
        <v>45397</v>
      </c>
      <c r="F1832" s="16" t="s">
        <v>4329</v>
      </c>
      <c r="G1832" s="16" t="s">
        <v>132</v>
      </c>
      <c r="H1832" s="16">
        <v>5.9</v>
      </c>
      <c r="I1832" s="16">
        <v>399</v>
      </c>
      <c r="J1832" s="16">
        <v>0</v>
      </c>
      <c r="K1832" s="16">
        <v>2354.1</v>
      </c>
      <c r="L1832" s="16" t="s">
        <v>139</v>
      </c>
      <c r="M1832" s="16" t="s">
        <v>140</v>
      </c>
      <c r="N1832" s="27">
        <v>45397.324305555558</v>
      </c>
      <c r="O1832" s="27">
        <v>45397.811111111114</v>
      </c>
      <c r="P1832" s="20"/>
      <c r="Q1832" s="16" t="b">
        <f>FALSE()</f>
        <v>0</v>
      </c>
      <c r="R1832" s="16" t="b">
        <f>TRUE()</f>
        <v>1</v>
      </c>
      <c r="S1832" s="17">
        <f t="shared" si="28"/>
        <v>11.7</v>
      </c>
      <c r="T1832">
        <f>COUNTIF('👤 Customers'!$A:$A, B1832)</f>
        <v>1</v>
      </c>
      <c r="U1832">
        <f>COUNTIF('🚴 Riders'!A1831:A1891, C1832)</f>
        <v>0</v>
      </c>
      <c r="V1832">
        <f>COUNTIF('🏭 Facilities'!A1831:A1839, D1832)</f>
        <v>0</v>
      </c>
    </row>
    <row r="1833" spans="1:22">
      <c r="A1833" s="18" t="s">
        <v>4330</v>
      </c>
      <c r="B1833" s="18" t="s">
        <v>785</v>
      </c>
      <c r="C1833" s="18" t="s">
        <v>487</v>
      </c>
      <c r="D1833" s="18" t="s">
        <v>115</v>
      </c>
      <c r="E1833" s="26">
        <v>45608</v>
      </c>
      <c r="F1833" s="18" t="s">
        <v>4331</v>
      </c>
      <c r="G1833" s="18" t="s">
        <v>132</v>
      </c>
      <c r="H1833" s="18">
        <v>2.5</v>
      </c>
      <c r="I1833" s="18">
        <v>399</v>
      </c>
      <c r="J1833" s="18">
        <v>10</v>
      </c>
      <c r="K1833" s="18">
        <v>897.75</v>
      </c>
      <c r="L1833" s="18" t="s">
        <v>207</v>
      </c>
      <c r="M1833" s="18" t="s">
        <v>119</v>
      </c>
      <c r="N1833" s="28">
        <v>45608.61041666667</v>
      </c>
      <c r="O1833" s="28">
        <v>45609.281944444447</v>
      </c>
      <c r="P1833" s="18">
        <v>4.3</v>
      </c>
      <c r="Q1833" s="18" t="b">
        <f>FALSE()</f>
        <v>0</v>
      </c>
      <c r="R1833" s="18" t="b">
        <f>FALSE()</f>
        <v>0</v>
      </c>
      <c r="S1833" s="19">
        <f t="shared" si="28"/>
        <v>16.100000000000001</v>
      </c>
      <c r="T1833">
        <f>COUNTIF('👤 Customers'!$A:$A, B1833)</f>
        <v>1</v>
      </c>
      <c r="U1833">
        <f>COUNTIF('🚴 Riders'!A1832:A1892, C1833)</f>
        <v>0</v>
      </c>
      <c r="V1833">
        <f>COUNTIF('🏭 Facilities'!A1832:A1840, D1833)</f>
        <v>0</v>
      </c>
    </row>
    <row r="1834" spans="1:22">
      <c r="A1834" s="16" t="s">
        <v>4332</v>
      </c>
      <c r="B1834" s="16" t="s">
        <v>827</v>
      </c>
      <c r="C1834" s="16" t="s">
        <v>750</v>
      </c>
      <c r="D1834" s="16" t="s">
        <v>130</v>
      </c>
      <c r="E1834" s="25">
        <v>45067</v>
      </c>
      <c r="F1834" s="16" t="s">
        <v>4333</v>
      </c>
      <c r="G1834" s="16" t="s">
        <v>117</v>
      </c>
      <c r="H1834" s="16">
        <v>1.9</v>
      </c>
      <c r="I1834" s="16">
        <v>149</v>
      </c>
      <c r="J1834" s="16">
        <v>0</v>
      </c>
      <c r="K1834" s="16">
        <v>283.10000000000002</v>
      </c>
      <c r="L1834" s="16" t="s">
        <v>126</v>
      </c>
      <c r="M1834" s="16" t="s">
        <v>119</v>
      </c>
      <c r="N1834" s="27">
        <v>45067.13958333333</v>
      </c>
      <c r="O1834" s="27">
        <v>45068.147916666669</v>
      </c>
      <c r="P1834" s="16">
        <v>3.5</v>
      </c>
      <c r="Q1834" s="16" t="b">
        <f>FALSE()</f>
        <v>0</v>
      </c>
      <c r="R1834" s="16" t="b">
        <f>TRUE()</f>
        <v>1</v>
      </c>
      <c r="S1834" s="17">
        <f t="shared" si="28"/>
        <v>24.2</v>
      </c>
      <c r="T1834">
        <f>COUNTIF('👤 Customers'!$A:$A, B1834)</f>
        <v>1</v>
      </c>
      <c r="U1834">
        <f>COUNTIF('🚴 Riders'!A1833:A1893, C1834)</f>
        <v>0</v>
      </c>
      <c r="V1834">
        <f>COUNTIF('🏭 Facilities'!A1833:A1841, D1834)</f>
        <v>0</v>
      </c>
    </row>
    <row r="1835" spans="1:22">
      <c r="A1835" s="18" t="s">
        <v>4334</v>
      </c>
      <c r="B1835" s="18" t="s">
        <v>121</v>
      </c>
      <c r="C1835" s="18" t="s">
        <v>153</v>
      </c>
      <c r="D1835" s="18" t="s">
        <v>137</v>
      </c>
      <c r="E1835" s="26">
        <v>45109</v>
      </c>
      <c r="F1835" s="18" t="s">
        <v>4335</v>
      </c>
      <c r="G1835" s="18" t="s">
        <v>145</v>
      </c>
      <c r="H1835" s="18">
        <v>3.2</v>
      </c>
      <c r="I1835" s="18">
        <v>299</v>
      </c>
      <c r="J1835" s="18">
        <v>20</v>
      </c>
      <c r="K1835" s="18">
        <v>765.44</v>
      </c>
      <c r="L1835" s="18" t="s">
        <v>118</v>
      </c>
      <c r="M1835" s="18" t="s">
        <v>119</v>
      </c>
      <c r="N1835" s="28">
        <v>45109.438194444447</v>
      </c>
      <c r="O1835" s="28">
        <v>45109.870833333334</v>
      </c>
      <c r="P1835" s="18">
        <v>4.4000000000000004</v>
      </c>
      <c r="Q1835" s="18" t="b">
        <f>FALSE()</f>
        <v>0</v>
      </c>
      <c r="R1835" s="18" t="b">
        <f>FALSE()</f>
        <v>0</v>
      </c>
      <c r="S1835" s="19">
        <f t="shared" si="28"/>
        <v>10.4</v>
      </c>
      <c r="T1835">
        <f>COUNTIF('👤 Customers'!$A:$A, B1835)</f>
        <v>1</v>
      </c>
      <c r="U1835">
        <f>COUNTIF('🚴 Riders'!A1834:A1894, C1835)</f>
        <v>0</v>
      </c>
      <c r="V1835">
        <f>COUNTIF('🏭 Facilities'!A1834:A1842, D1835)</f>
        <v>0</v>
      </c>
    </row>
    <row r="1836" spans="1:22">
      <c r="A1836" s="16" t="s">
        <v>4336</v>
      </c>
      <c r="B1836" s="16" t="s">
        <v>1120</v>
      </c>
      <c r="C1836" s="16" t="s">
        <v>224</v>
      </c>
      <c r="D1836" s="16" t="s">
        <v>197</v>
      </c>
      <c r="E1836" s="25">
        <v>45047</v>
      </c>
      <c r="F1836" s="16" t="s">
        <v>4337</v>
      </c>
      <c r="G1836" s="16" t="s">
        <v>125</v>
      </c>
      <c r="H1836" s="16">
        <v>2.1</v>
      </c>
      <c r="I1836" s="16">
        <v>199</v>
      </c>
      <c r="J1836" s="16">
        <v>0</v>
      </c>
      <c r="K1836" s="16">
        <v>417.9</v>
      </c>
      <c r="L1836" s="16" t="s">
        <v>126</v>
      </c>
      <c r="M1836" s="16" t="s">
        <v>119</v>
      </c>
      <c r="N1836" s="27">
        <v>45047.647916666669</v>
      </c>
      <c r="O1836" s="27">
        <v>45048.426388888889</v>
      </c>
      <c r="P1836" s="16">
        <v>4.2</v>
      </c>
      <c r="Q1836" s="16" t="b">
        <f>FALSE()</f>
        <v>0</v>
      </c>
      <c r="R1836" s="16" t="b">
        <f>FALSE()</f>
        <v>0</v>
      </c>
      <c r="S1836" s="17">
        <f t="shared" si="28"/>
        <v>18.7</v>
      </c>
      <c r="T1836">
        <f>COUNTIF('👤 Customers'!$A:$A, B1836)</f>
        <v>1</v>
      </c>
      <c r="U1836">
        <f>COUNTIF('🚴 Riders'!A1835:A1895, C1836)</f>
        <v>0</v>
      </c>
      <c r="V1836">
        <f>COUNTIF('🏭 Facilities'!A1835:A1843, D1836)</f>
        <v>0</v>
      </c>
    </row>
    <row r="1837" spans="1:22">
      <c r="A1837" s="18" t="s">
        <v>4338</v>
      </c>
      <c r="B1837" s="18" t="s">
        <v>542</v>
      </c>
      <c r="C1837" s="18" t="s">
        <v>339</v>
      </c>
      <c r="D1837" s="18" t="s">
        <v>197</v>
      </c>
      <c r="E1837" s="26">
        <v>45188</v>
      </c>
      <c r="F1837" s="18" t="s">
        <v>4339</v>
      </c>
      <c r="G1837" s="18" t="s">
        <v>145</v>
      </c>
      <c r="H1837" s="18">
        <v>7.9</v>
      </c>
      <c r="I1837" s="18">
        <v>299</v>
      </c>
      <c r="J1837" s="18">
        <v>0</v>
      </c>
      <c r="K1837" s="18">
        <v>2362.1</v>
      </c>
      <c r="L1837" s="18" t="s">
        <v>207</v>
      </c>
      <c r="M1837" s="18" t="s">
        <v>133</v>
      </c>
      <c r="N1837" s="20"/>
      <c r="O1837" s="20"/>
      <c r="P1837" s="20"/>
      <c r="Q1837" s="18" t="b">
        <f>FALSE()</f>
        <v>0</v>
      </c>
      <c r="R1837" s="18" t="b">
        <f>FALSE()</f>
        <v>0</v>
      </c>
      <c r="S1837" s="19" t="str">
        <f t="shared" si="28"/>
        <v>N/A</v>
      </c>
      <c r="T1837">
        <f>COUNTIF('👤 Customers'!$A:$A, B1837)</f>
        <v>1</v>
      </c>
      <c r="U1837">
        <f>COUNTIF('🚴 Riders'!A1836:A1896, C1837)</f>
        <v>0</v>
      </c>
      <c r="V1837">
        <f>COUNTIF('🏭 Facilities'!A1836:A1844, D1837)</f>
        <v>0</v>
      </c>
    </row>
    <row r="1838" spans="1:22">
      <c r="A1838" s="16" t="s">
        <v>4340</v>
      </c>
      <c r="B1838" s="16" t="s">
        <v>2101</v>
      </c>
      <c r="C1838" s="16" t="s">
        <v>536</v>
      </c>
      <c r="D1838" s="16" t="s">
        <v>158</v>
      </c>
      <c r="E1838" s="25">
        <v>45572</v>
      </c>
      <c r="F1838" s="16" t="s">
        <v>4341</v>
      </c>
      <c r="G1838" s="16" t="s">
        <v>132</v>
      </c>
      <c r="H1838" s="16">
        <v>3.1</v>
      </c>
      <c r="I1838" s="16">
        <v>399</v>
      </c>
      <c r="J1838" s="16">
        <v>0</v>
      </c>
      <c r="K1838" s="16">
        <v>1236.9000000000001</v>
      </c>
      <c r="L1838" s="16" t="s">
        <v>126</v>
      </c>
      <c r="M1838" s="16" t="s">
        <v>119</v>
      </c>
      <c r="N1838" s="27">
        <v>45572.435416666667</v>
      </c>
      <c r="O1838" s="27">
        <v>45573.237500000003</v>
      </c>
      <c r="P1838" s="16">
        <v>4.2</v>
      </c>
      <c r="Q1838" s="16" t="b">
        <f>FALSE()</f>
        <v>0</v>
      </c>
      <c r="R1838" s="16" t="b">
        <f>TRUE()</f>
        <v>1</v>
      </c>
      <c r="S1838" s="17">
        <f t="shared" si="28"/>
        <v>19.3</v>
      </c>
      <c r="T1838">
        <f>COUNTIF('👤 Customers'!$A:$A, B1838)</f>
        <v>1</v>
      </c>
      <c r="U1838">
        <f>COUNTIF('🚴 Riders'!A1837:A1897, C1838)</f>
        <v>0</v>
      </c>
      <c r="V1838">
        <f>COUNTIF('🏭 Facilities'!A1837:A1845, D1838)</f>
        <v>0</v>
      </c>
    </row>
    <row r="1839" spans="1:22">
      <c r="A1839" s="18" t="s">
        <v>4342</v>
      </c>
      <c r="B1839" s="18" t="s">
        <v>4314</v>
      </c>
      <c r="C1839" s="18" t="s">
        <v>461</v>
      </c>
      <c r="D1839" s="18" t="s">
        <v>137</v>
      </c>
      <c r="E1839" s="26">
        <v>45426</v>
      </c>
      <c r="F1839" s="18" t="s">
        <v>4343</v>
      </c>
      <c r="G1839" s="18" t="s">
        <v>132</v>
      </c>
      <c r="H1839" s="18">
        <v>3.2</v>
      </c>
      <c r="I1839" s="18">
        <v>399</v>
      </c>
      <c r="J1839" s="18">
        <v>0</v>
      </c>
      <c r="K1839" s="18">
        <v>1276.8</v>
      </c>
      <c r="L1839" s="18" t="s">
        <v>207</v>
      </c>
      <c r="M1839" s="18" t="s">
        <v>119</v>
      </c>
      <c r="N1839" s="28">
        <v>45426.48333333333</v>
      </c>
      <c r="O1839" s="28">
        <v>45427.290972222225</v>
      </c>
      <c r="P1839" s="18">
        <v>3.7</v>
      </c>
      <c r="Q1839" s="18" t="b">
        <f>FALSE()</f>
        <v>0</v>
      </c>
      <c r="R1839" s="18" t="b">
        <f>FALSE()</f>
        <v>0</v>
      </c>
      <c r="S1839" s="19">
        <f t="shared" si="28"/>
        <v>19.399999999999999</v>
      </c>
      <c r="T1839">
        <f>COUNTIF('👤 Customers'!$A:$A, B1839)</f>
        <v>1</v>
      </c>
      <c r="U1839">
        <f>COUNTIF('🚴 Riders'!A1838:A1898, C1839)</f>
        <v>0</v>
      </c>
      <c r="V1839">
        <f>COUNTIF('🏭 Facilities'!A1838:A1846, D1839)</f>
        <v>0</v>
      </c>
    </row>
    <row r="1840" spans="1:22">
      <c r="A1840" s="16" t="s">
        <v>4344</v>
      </c>
      <c r="B1840" s="16" t="s">
        <v>1480</v>
      </c>
      <c r="C1840" s="16" t="s">
        <v>343</v>
      </c>
      <c r="D1840" s="16" t="s">
        <v>197</v>
      </c>
      <c r="E1840" s="25">
        <v>45442</v>
      </c>
      <c r="F1840" s="16" t="s">
        <v>4345</v>
      </c>
      <c r="G1840" s="16" t="s">
        <v>145</v>
      </c>
      <c r="H1840" s="16">
        <v>5.2</v>
      </c>
      <c r="I1840" s="16">
        <v>299</v>
      </c>
      <c r="J1840" s="16">
        <v>10</v>
      </c>
      <c r="K1840" s="16">
        <v>1399.32</v>
      </c>
      <c r="L1840" s="16" t="s">
        <v>126</v>
      </c>
      <c r="M1840" s="16" t="s">
        <v>133</v>
      </c>
      <c r="N1840" s="20"/>
      <c r="O1840" s="20"/>
      <c r="P1840" s="20"/>
      <c r="Q1840" s="16" t="b">
        <f>FALSE()</f>
        <v>0</v>
      </c>
      <c r="R1840" s="16" t="b">
        <f>FALSE()</f>
        <v>0</v>
      </c>
      <c r="S1840" s="17" t="str">
        <f t="shared" si="28"/>
        <v>N/A</v>
      </c>
      <c r="T1840">
        <f>COUNTIF('👤 Customers'!$A:$A, B1840)</f>
        <v>1</v>
      </c>
      <c r="U1840">
        <f>COUNTIF('🚴 Riders'!A1839:A1899, C1840)</f>
        <v>0</v>
      </c>
      <c r="V1840">
        <f>COUNTIF('🏭 Facilities'!A1839:A1847, D1840)</f>
        <v>0</v>
      </c>
    </row>
    <row r="1841" spans="1:22">
      <c r="A1841" s="18" t="s">
        <v>4346</v>
      </c>
      <c r="B1841" s="18" t="s">
        <v>1070</v>
      </c>
      <c r="C1841" s="18" t="s">
        <v>143</v>
      </c>
      <c r="D1841" s="18" t="s">
        <v>137</v>
      </c>
      <c r="E1841" s="26">
        <v>45513</v>
      </c>
      <c r="F1841" s="18" t="s">
        <v>4347</v>
      </c>
      <c r="G1841" s="18" t="s">
        <v>132</v>
      </c>
      <c r="H1841" s="18">
        <v>5.3</v>
      </c>
      <c r="I1841" s="18">
        <v>399</v>
      </c>
      <c r="J1841" s="18">
        <v>0</v>
      </c>
      <c r="K1841" s="18">
        <v>2114.6999999999998</v>
      </c>
      <c r="L1841" s="18" t="s">
        <v>118</v>
      </c>
      <c r="M1841" s="18" t="s">
        <v>133</v>
      </c>
      <c r="N1841" s="20"/>
      <c r="O1841" s="20"/>
      <c r="P1841" s="20"/>
      <c r="Q1841" s="18" t="b">
        <f>TRUE()</f>
        <v>1</v>
      </c>
      <c r="R1841" s="18" t="b">
        <f>FALSE()</f>
        <v>0</v>
      </c>
      <c r="S1841" s="19" t="str">
        <f t="shared" si="28"/>
        <v>N/A</v>
      </c>
      <c r="T1841">
        <f>COUNTIF('👤 Customers'!$A:$A, B1841)</f>
        <v>1</v>
      </c>
      <c r="U1841">
        <f>COUNTIF('🚴 Riders'!A1840:A1900, C1841)</f>
        <v>0</v>
      </c>
      <c r="V1841">
        <f>COUNTIF('🏭 Facilities'!A1840:A1848, D1841)</f>
        <v>0</v>
      </c>
    </row>
    <row r="1842" spans="1:22">
      <c r="A1842" s="16" t="s">
        <v>4348</v>
      </c>
      <c r="B1842" s="16" t="s">
        <v>2585</v>
      </c>
      <c r="C1842" s="16" t="s">
        <v>192</v>
      </c>
      <c r="D1842" s="16" t="s">
        <v>130</v>
      </c>
      <c r="E1842" s="25">
        <v>45065</v>
      </c>
      <c r="F1842" s="16" t="s">
        <v>2016</v>
      </c>
      <c r="G1842" s="16" t="s">
        <v>176</v>
      </c>
      <c r="H1842" s="16">
        <v>6.2</v>
      </c>
      <c r="I1842" s="16">
        <v>599</v>
      </c>
      <c r="J1842" s="16">
        <v>0</v>
      </c>
      <c r="K1842" s="16">
        <v>3713.8</v>
      </c>
      <c r="L1842" s="16" t="s">
        <v>118</v>
      </c>
      <c r="M1842" s="16" t="s">
        <v>119</v>
      </c>
      <c r="N1842" s="27">
        <v>45065.054166666669</v>
      </c>
      <c r="O1842" s="27">
        <v>45065.613888888889</v>
      </c>
      <c r="P1842" s="16">
        <v>3</v>
      </c>
      <c r="Q1842" s="16" t="b">
        <f>FALSE()</f>
        <v>0</v>
      </c>
      <c r="R1842" s="16" t="b">
        <f>FALSE()</f>
        <v>0</v>
      </c>
      <c r="S1842" s="17">
        <f t="shared" si="28"/>
        <v>13.4</v>
      </c>
      <c r="T1842">
        <f>COUNTIF('👤 Customers'!$A:$A, B1842)</f>
        <v>1</v>
      </c>
      <c r="U1842">
        <f>COUNTIF('🚴 Riders'!A1841:A1901, C1842)</f>
        <v>0</v>
      </c>
      <c r="V1842">
        <f>COUNTIF('🏭 Facilities'!A1841:A1849, D1842)</f>
        <v>0</v>
      </c>
    </row>
    <row r="1843" spans="1:22">
      <c r="A1843" s="18" t="s">
        <v>4349</v>
      </c>
      <c r="B1843" s="18" t="s">
        <v>1137</v>
      </c>
      <c r="C1843" s="18" t="s">
        <v>326</v>
      </c>
      <c r="D1843" s="18" t="s">
        <v>123</v>
      </c>
      <c r="E1843" s="26">
        <v>45499</v>
      </c>
      <c r="F1843" s="18" t="s">
        <v>4350</v>
      </c>
      <c r="G1843" s="18" t="s">
        <v>176</v>
      </c>
      <c r="H1843" s="18">
        <v>3.7</v>
      </c>
      <c r="I1843" s="18">
        <v>599</v>
      </c>
      <c r="J1843" s="18">
        <v>20</v>
      </c>
      <c r="K1843" s="18">
        <v>1773.04</v>
      </c>
      <c r="L1843" s="18" t="s">
        <v>207</v>
      </c>
      <c r="M1843" s="18" t="s">
        <v>119</v>
      </c>
      <c r="N1843" s="28">
        <v>45500.020833333336</v>
      </c>
      <c r="O1843" s="28">
        <v>45500.757638888892</v>
      </c>
      <c r="P1843" s="18">
        <v>3.2</v>
      </c>
      <c r="Q1843" s="18" t="b">
        <f>FALSE()</f>
        <v>0</v>
      </c>
      <c r="R1843" s="18" t="b">
        <f>TRUE()</f>
        <v>1</v>
      </c>
      <c r="S1843" s="19">
        <f t="shared" si="28"/>
        <v>17.7</v>
      </c>
      <c r="T1843">
        <f>COUNTIF('👤 Customers'!$A:$A, B1843)</f>
        <v>1</v>
      </c>
      <c r="U1843">
        <f>COUNTIF('🚴 Riders'!A1842:A1902, C1843)</f>
        <v>0</v>
      </c>
      <c r="V1843">
        <f>COUNTIF('🏭 Facilities'!A1842:A1850, D1843)</f>
        <v>0</v>
      </c>
    </row>
    <row r="1844" spans="1:22">
      <c r="A1844" s="16" t="s">
        <v>4351</v>
      </c>
      <c r="B1844" s="16" t="s">
        <v>990</v>
      </c>
      <c r="C1844" s="16" t="s">
        <v>1092</v>
      </c>
      <c r="D1844" s="16" t="s">
        <v>205</v>
      </c>
      <c r="E1844" s="25">
        <v>45408</v>
      </c>
      <c r="F1844" s="16" t="s">
        <v>4352</v>
      </c>
      <c r="G1844" s="16" t="s">
        <v>132</v>
      </c>
      <c r="H1844" s="16">
        <v>4.9000000000000004</v>
      </c>
      <c r="I1844" s="16">
        <v>399</v>
      </c>
      <c r="J1844" s="16">
        <v>0</v>
      </c>
      <c r="K1844" s="16">
        <v>1955.1</v>
      </c>
      <c r="L1844" s="16" t="s">
        <v>207</v>
      </c>
      <c r="M1844" s="16" t="s">
        <v>119</v>
      </c>
      <c r="N1844" s="27">
        <v>45408.800694444442</v>
      </c>
      <c r="O1844" s="27">
        <v>45409.416666666664</v>
      </c>
      <c r="P1844" s="16">
        <v>4.9000000000000004</v>
      </c>
      <c r="Q1844" s="16" t="b">
        <f>FALSE()</f>
        <v>0</v>
      </c>
      <c r="R1844" s="16" t="b">
        <f>FALSE()</f>
        <v>0</v>
      </c>
      <c r="S1844" s="17">
        <f t="shared" si="28"/>
        <v>14.8</v>
      </c>
      <c r="T1844">
        <f>COUNTIF('👤 Customers'!$A:$A, B1844)</f>
        <v>1</v>
      </c>
      <c r="U1844">
        <f>COUNTIF('🚴 Riders'!A1843:A1903, C1844)</f>
        <v>0</v>
      </c>
      <c r="V1844">
        <f>COUNTIF('🏭 Facilities'!A1843:A1851, D1844)</f>
        <v>0</v>
      </c>
    </row>
    <row r="1845" spans="1:22">
      <c r="A1845" s="18" t="s">
        <v>4353</v>
      </c>
      <c r="B1845" s="18" t="s">
        <v>850</v>
      </c>
      <c r="C1845" s="18" t="s">
        <v>1092</v>
      </c>
      <c r="D1845" s="18" t="s">
        <v>184</v>
      </c>
      <c r="E1845" s="26">
        <v>45653</v>
      </c>
      <c r="F1845" s="18" t="s">
        <v>4354</v>
      </c>
      <c r="G1845" s="18" t="s">
        <v>176</v>
      </c>
      <c r="H1845" s="18">
        <v>6.6</v>
      </c>
      <c r="I1845" s="18">
        <v>599</v>
      </c>
      <c r="J1845" s="18">
        <v>30</v>
      </c>
      <c r="K1845" s="18">
        <v>2767.38</v>
      </c>
      <c r="L1845" s="18" t="s">
        <v>207</v>
      </c>
      <c r="M1845" s="18" t="s">
        <v>133</v>
      </c>
      <c r="N1845" s="20"/>
      <c r="O1845" s="20"/>
      <c r="P1845" s="20"/>
      <c r="Q1845" s="18" t="b">
        <f>FALSE()</f>
        <v>0</v>
      </c>
      <c r="R1845" s="18" t="b">
        <f>FALSE()</f>
        <v>0</v>
      </c>
      <c r="S1845" s="19" t="str">
        <f t="shared" si="28"/>
        <v>N/A</v>
      </c>
      <c r="T1845">
        <f>COUNTIF('👤 Customers'!$A:$A, B1845)</f>
        <v>1</v>
      </c>
      <c r="U1845">
        <f>COUNTIF('🚴 Riders'!A1844:A1904, C1845)</f>
        <v>0</v>
      </c>
      <c r="V1845">
        <f>COUNTIF('🏭 Facilities'!A1844:A1852, D1845)</f>
        <v>0</v>
      </c>
    </row>
    <row r="1846" spans="1:22">
      <c r="A1846" s="16" t="s">
        <v>4355</v>
      </c>
      <c r="B1846" s="16" t="s">
        <v>4356</v>
      </c>
      <c r="C1846" s="16" t="s">
        <v>343</v>
      </c>
      <c r="D1846" s="16" t="s">
        <v>115</v>
      </c>
      <c r="E1846" s="25">
        <v>45396</v>
      </c>
      <c r="F1846" s="16" t="s">
        <v>4357</v>
      </c>
      <c r="G1846" s="16" t="s">
        <v>145</v>
      </c>
      <c r="H1846" s="16">
        <v>3</v>
      </c>
      <c r="I1846" s="16">
        <v>299</v>
      </c>
      <c r="J1846" s="16">
        <v>0</v>
      </c>
      <c r="K1846" s="16">
        <v>897</v>
      </c>
      <c r="L1846" s="16" t="s">
        <v>126</v>
      </c>
      <c r="M1846" s="16" t="s">
        <v>133</v>
      </c>
      <c r="N1846" s="20"/>
      <c r="O1846" s="20"/>
      <c r="P1846" s="20"/>
      <c r="Q1846" s="16" t="b">
        <f>FALSE()</f>
        <v>0</v>
      </c>
      <c r="R1846" s="16" t="b">
        <f>FALSE()</f>
        <v>0</v>
      </c>
      <c r="S1846" s="17" t="str">
        <f t="shared" si="28"/>
        <v>N/A</v>
      </c>
      <c r="T1846">
        <f>COUNTIF('👤 Customers'!$A:$A, B1846)</f>
        <v>1</v>
      </c>
      <c r="U1846">
        <f>COUNTIF('🚴 Riders'!A1845:A1905, C1846)</f>
        <v>0</v>
      </c>
      <c r="V1846">
        <f>COUNTIF('🏭 Facilities'!A1845:A1853, D1846)</f>
        <v>0</v>
      </c>
    </row>
    <row r="1847" spans="1:22">
      <c r="A1847" s="18" t="s">
        <v>4358</v>
      </c>
      <c r="B1847" s="18" t="s">
        <v>1724</v>
      </c>
      <c r="C1847" s="18" t="s">
        <v>611</v>
      </c>
      <c r="D1847" s="18" t="s">
        <v>123</v>
      </c>
      <c r="E1847" s="26">
        <v>44930</v>
      </c>
      <c r="F1847" s="18" t="s">
        <v>4359</v>
      </c>
      <c r="G1847" s="18" t="s">
        <v>125</v>
      </c>
      <c r="H1847" s="18">
        <v>6.3</v>
      </c>
      <c r="I1847" s="18">
        <v>199</v>
      </c>
      <c r="J1847" s="18">
        <v>10</v>
      </c>
      <c r="K1847" s="18">
        <v>1128.33</v>
      </c>
      <c r="L1847" s="18" t="s">
        <v>118</v>
      </c>
      <c r="M1847" s="18" t="s">
        <v>119</v>
      </c>
      <c r="N1847" s="28">
        <v>44930.57916666667</v>
      </c>
      <c r="O1847" s="28">
        <v>44931.362500000003</v>
      </c>
      <c r="P1847" s="18">
        <v>4.3</v>
      </c>
      <c r="Q1847" s="18" t="b">
        <f>FALSE()</f>
        <v>0</v>
      </c>
      <c r="R1847" s="18" t="b">
        <f>FALSE()</f>
        <v>0</v>
      </c>
      <c r="S1847" s="19">
        <f t="shared" si="28"/>
        <v>18.8</v>
      </c>
      <c r="T1847">
        <f>COUNTIF('👤 Customers'!$A:$A, B1847)</f>
        <v>1</v>
      </c>
      <c r="U1847">
        <f>COUNTIF('🚴 Riders'!A1846:A1906, C1847)</f>
        <v>0</v>
      </c>
      <c r="V1847">
        <f>COUNTIF('🏭 Facilities'!A1846:A1854, D1847)</f>
        <v>0</v>
      </c>
    </row>
    <row r="1848" spans="1:22">
      <c r="A1848" s="16" t="s">
        <v>4360</v>
      </c>
      <c r="B1848" s="16" t="s">
        <v>566</v>
      </c>
      <c r="C1848" s="16" t="s">
        <v>224</v>
      </c>
      <c r="D1848" s="16" t="s">
        <v>197</v>
      </c>
      <c r="E1848" s="25">
        <v>45220</v>
      </c>
      <c r="F1848" s="16" t="s">
        <v>4361</v>
      </c>
      <c r="G1848" s="16" t="s">
        <v>176</v>
      </c>
      <c r="H1848" s="16">
        <v>7.7</v>
      </c>
      <c r="I1848" s="16">
        <v>599</v>
      </c>
      <c r="J1848" s="16">
        <v>0</v>
      </c>
      <c r="K1848" s="16">
        <v>4612.3</v>
      </c>
      <c r="L1848" s="16" t="s">
        <v>139</v>
      </c>
      <c r="M1848" s="16" t="s">
        <v>133</v>
      </c>
      <c r="N1848" s="20"/>
      <c r="O1848" s="20"/>
      <c r="P1848" s="20"/>
      <c r="Q1848" s="16" t="b">
        <f>FALSE()</f>
        <v>0</v>
      </c>
      <c r="R1848" s="16" t="b">
        <f>FALSE()</f>
        <v>0</v>
      </c>
      <c r="S1848" s="17" t="str">
        <f t="shared" si="28"/>
        <v>N/A</v>
      </c>
      <c r="T1848">
        <f>COUNTIF('👤 Customers'!$A:$A, B1848)</f>
        <v>1</v>
      </c>
      <c r="U1848">
        <f>COUNTIF('🚴 Riders'!A1847:A1907, C1848)</f>
        <v>0</v>
      </c>
      <c r="V1848">
        <f>COUNTIF('🏭 Facilities'!A1847:A1855, D1848)</f>
        <v>0</v>
      </c>
    </row>
    <row r="1849" spans="1:22">
      <c r="A1849" s="18" t="s">
        <v>4362</v>
      </c>
      <c r="B1849" s="18" t="s">
        <v>135</v>
      </c>
      <c r="C1849" s="18" t="s">
        <v>196</v>
      </c>
      <c r="D1849" s="18" t="s">
        <v>130</v>
      </c>
      <c r="E1849" s="26">
        <v>44944</v>
      </c>
      <c r="F1849" s="18" t="s">
        <v>4363</v>
      </c>
      <c r="G1849" s="18" t="s">
        <v>145</v>
      </c>
      <c r="H1849" s="18">
        <v>5.0999999999999996</v>
      </c>
      <c r="I1849" s="18">
        <v>299</v>
      </c>
      <c r="J1849" s="18">
        <v>0</v>
      </c>
      <c r="K1849" s="18">
        <v>1524.9</v>
      </c>
      <c r="L1849" s="18" t="s">
        <v>146</v>
      </c>
      <c r="M1849" s="18" t="s">
        <v>119</v>
      </c>
      <c r="N1849" s="28">
        <v>44944.392361111109</v>
      </c>
      <c r="O1849" s="28">
        <v>44945.37222222222</v>
      </c>
      <c r="P1849" s="18">
        <v>3.2</v>
      </c>
      <c r="Q1849" s="18" t="b">
        <f>FALSE()</f>
        <v>0</v>
      </c>
      <c r="R1849" s="18" t="b">
        <f>FALSE()</f>
        <v>0</v>
      </c>
      <c r="S1849" s="19">
        <f t="shared" si="28"/>
        <v>23.5</v>
      </c>
      <c r="T1849">
        <f>COUNTIF('👤 Customers'!$A:$A, B1849)</f>
        <v>1</v>
      </c>
      <c r="U1849">
        <f>COUNTIF('🚴 Riders'!A1848:A1908, C1849)</f>
        <v>0</v>
      </c>
      <c r="V1849">
        <f>COUNTIF('🏭 Facilities'!A1848:A1856, D1849)</f>
        <v>0</v>
      </c>
    </row>
    <row r="1850" spans="1:22">
      <c r="A1850" s="16" t="s">
        <v>4364</v>
      </c>
      <c r="B1850" s="16" t="s">
        <v>941</v>
      </c>
      <c r="C1850" s="16" t="s">
        <v>183</v>
      </c>
      <c r="D1850" s="16" t="s">
        <v>158</v>
      </c>
      <c r="E1850" s="25">
        <v>45274</v>
      </c>
      <c r="F1850" s="16" t="s">
        <v>4365</v>
      </c>
      <c r="G1850" s="16" t="s">
        <v>125</v>
      </c>
      <c r="H1850" s="16">
        <v>3.4</v>
      </c>
      <c r="I1850" s="16">
        <v>199</v>
      </c>
      <c r="J1850" s="16">
        <v>0</v>
      </c>
      <c r="K1850" s="16">
        <v>676.6</v>
      </c>
      <c r="L1850" s="16" t="s">
        <v>126</v>
      </c>
      <c r="M1850" s="16" t="s">
        <v>119</v>
      </c>
      <c r="N1850" s="27">
        <v>45275.077777777777</v>
      </c>
      <c r="O1850" s="27">
        <v>45275.915277777778</v>
      </c>
      <c r="P1850" s="16">
        <v>4.2</v>
      </c>
      <c r="Q1850" s="16" t="b">
        <f>FALSE()</f>
        <v>0</v>
      </c>
      <c r="R1850" s="16" t="b">
        <f>FALSE()</f>
        <v>0</v>
      </c>
      <c r="S1850" s="17">
        <f t="shared" si="28"/>
        <v>20.100000000000001</v>
      </c>
      <c r="T1850">
        <f>COUNTIF('👤 Customers'!$A:$A, B1850)</f>
        <v>1</v>
      </c>
      <c r="U1850">
        <f>COUNTIF('🚴 Riders'!A1849:A1909, C1850)</f>
        <v>0</v>
      </c>
      <c r="V1850">
        <f>COUNTIF('🏭 Facilities'!A1849:A1857, D1850)</f>
        <v>0</v>
      </c>
    </row>
    <row r="1851" spans="1:22">
      <c r="A1851" s="18" t="s">
        <v>4366</v>
      </c>
      <c r="B1851" s="18" t="s">
        <v>2106</v>
      </c>
      <c r="C1851" s="18" t="s">
        <v>479</v>
      </c>
      <c r="D1851" s="18" t="s">
        <v>158</v>
      </c>
      <c r="E1851" s="26">
        <v>45129</v>
      </c>
      <c r="F1851" s="18" t="s">
        <v>4367</v>
      </c>
      <c r="G1851" s="18" t="s">
        <v>176</v>
      </c>
      <c r="H1851" s="18">
        <v>7.2</v>
      </c>
      <c r="I1851" s="18">
        <v>599</v>
      </c>
      <c r="J1851" s="18">
        <v>10</v>
      </c>
      <c r="K1851" s="18">
        <v>3881.52</v>
      </c>
      <c r="L1851" s="18" t="s">
        <v>146</v>
      </c>
      <c r="M1851" s="18" t="s">
        <v>119</v>
      </c>
      <c r="N1851" s="28">
        <v>45129.599999999999</v>
      </c>
      <c r="O1851" s="28">
        <v>45130.12777777778</v>
      </c>
      <c r="P1851" s="18">
        <v>3.8</v>
      </c>
      <c r="Q1851" s="18" t="b">
        <f>TRUE()</f>
        <v>1</v>
      </c>
      <c r="R1851" s="18" t="b">
        <f>FALSE()</f>
        <v>0</v>
      </c>
      <c r="S1851" s="19">
        <f t="shared" si="28"/>
        <v>12.7</v>
      </c>
      <c r="T1851">
        <f>COUNTIF('👤 Customers'!$A:$A, B1851)</f>
        <v>1</v>
      </c>
      <c r="U1851">
        <f>COUNTIF('🚴 Riders'!A1850:A1910, C1851)</f>
        <v>0</v>
      </c>
      <c r="V1851">
        <f>COUNTIF('🏭 Facilities'!A1850:A1858, D1851)</f>
        <v>0</v>
      </c>
    </row>
    <row r="1852" spans="1:22">
      <c r="A1852" s="16" t="s">
        <v>4368</v>
      </c>
      <c r="B1852" s="16" t="s">
        <v>990</v>
      </c>
      <c r="C1852" s="16" t="s">
        <v>272</v>
      </c>
      <c r="D1852" s="16" t="s">
        <v>130</v>
      </c>
      <c r="E1852" s="25">
        <v>45646</v>
      </c>
      <c r="F1852" s="16" t="s">
        <v>4369</v>
      </c>
      <c r="G1852" s="16" t="s">
        <v>117</v>
      </c>
      <c r="H1852" s="16">
        <v>3.3</v>
      </c>
      <c r="I1852" s="16">
        <v>149</v>
      </c>
      <c r="J1852" s="16">
        <v>20</v>
      </c>
      <c r="K1852" s="16">
        <v>393.36</v>
      </c>
      <c r="L1852" s="16" t="s">
        <v>139</v>
      </c>
      <c r="M1852" s="16" t="s">
        <v>140</v>
      </c>
      <c r="N1852" s="27">
        <v>45646.588194444441</v>
      </c>
      <c r="O1852" s="27">
        <v>45647.257638888892</v>
      </c>
      <c r="P1852" s="20"/>
      <c r="Q1852" s="16" t="b">
        <f>FALSE()</f>
        <v>0</v>
      </c>
      <c r="R1852" s="16" t="b">
        <f>TRUE()</f>
        <v>1</v>
      </c>
      <c r="S1852" s="17">
        <f t="shared" si="28"/>
        <v>16.100000000000001</v>
      </c>
      <c r="T1852">
        <f>COUNTIF('👤 Customers'!$A:$A, B1852)</f>
        <v>1</v>
      </c>
      <c r="U1852">
        <f>COUNTIF('🚴 Riders'!A1851:A1911, C1852)</f>
        <v>0</v>
      </c>
      <c r="V1852">
        <f>COUNTIF('🏭 Facilities'!A1851:A1859, D1852)</f>
        <v>0</v>
      </c>
    </row>
    <row r="1853" spans="1:22">
      <c r="A1853" s="18" t="s">
        <v>4370</v>
      </c>
      <c r="B1853" s="18" t="s">
        <v>643</v>
      </c>
      <c r="C1853" s="18" t="s">
        <v>580</v>
      </c>
      <c r="D1853" s="18" t="s">
        <v>205</v>
      </c>
      <c r="E1853" s="26">
        <v>45567</v>
      </c>
      <c r="F1853" s="18" t="s">
        <v>4371</v>
      </c>
      <c r="G1853" s="18" t="s">
        <v>117</v>
      </c>
      <c r="H1853" s="18">
        <v>7.3</v>
      </c>
      <c r="I1853" s="18">
        <v>149</v>
      </c>
      <c r="J1853" s="18">
        <v>10</v>
      </c>
      <c r="K1853" s="18">
        <v>978.93</v>
      </c>
      <c r="L1853" s="18" t="s">
        <v>139</v>
      </c>
      <c r="M1853" s="18" t="s">
        <v>119</v>
      </c>
      <c r="N1853" s="28">
        <v>45567.690972222219</v>
      </c>
      <c r="O1853" s="28">
        <v>45568.650694444441</v>
      </c>
      <c r="P1853" s="18">
        <v>2.8</v>
      </c>
      <c r="Q1853" s="18" t="b">
        <f>FALSE()</f>
        <v>0</v>
      </c>
      <c r="R1853" s="18" t="b">
        <f>FALSE()</f>
        <v>0</v>
      </c>
      <c r="S1853" s="19">
        <f t="shared" si="28"/>
        <v>23</v>
      </c>
      <c r="T1853">
        <f>COUNTIF('👤 Customers'!$A:$A, B1853)</f>
        <v>1</v>
      </c>
      <c r="U1853">
        <f>COUNTIF('🚴 Riders'!A1852:A1912, C1853)</f>
        <v>0</v>
      </c>
      <c r="V1853">
        <f>COUNTIF('🏭 Facilities'!A1852:A1860, D1853)</f>
        <v>0</v>
      </c>
    </row>
    <row r="1854" spans="1:22">
      <c r="A1854" s="16" t="s">
        <v>4372</v>
      </c>
      <c r="B1854" s="16" t="s">
        <v>1391</v>
      </c>
      <c r="C1854" s="16" t="s">
        <v>149</v>
      </c>
      <c r="D1854" s="16" t="s">
        <v>137</v>
      </c>
      <c r="E1854" s="25">
        <v>45183</v>
      </c>
      <c r="F1854" s="16" t="s">
        <v>4373</v>
      </c>
      <c r="G1854" s="16" t="s">
        <v>125</v>
      </c>
      <c r="H1854" s="16">
        <v>7.9</v>
      </c>
      <c r="I1854" s="16">
        <v>199</v>
      </c>
      <c r="J1854" s="16">
        <v>10</v>
      </c>
      <c r="K1854" s="16">
        <v>1414.89</v>
      </c>
      <c r="L1854" s="16" t="s">
        <v>139</v>
      </c>
      <c r="M1854" s="16" t="s">
        <v>119</v>
      </c>
      <c r="N1854" s="27">
        <v>45183.758333333331</v>
      </c>
      <c r="O1854" s="27">
        <v>45184.786805555559</v>
      </c>
      <c r="P1854" s="16">
        <v>4.7</v>
      </c>
      <c r="Q1854" s="16" t="b">
        <f>FALSE()</f>
        <v>0</v>
      </c>
      <c r="R1854" s="16" t="b">
        <f>FALSE()</f>
        <v>0</v>
      </c>
      <c r="S1854" s="17">
        <f t="shared" si="28"/>
        <v>24.7</v>
      </c>
      <c r="T1854">
        <f>COUNTIF('👤 Customers'!$A:$A, B1854)</f>
        <v>1</v>
      </c>
      <c r="U1854">
        <f>COUNTIF('🚴 Riders'!A1853:A1913, C1854)</f>
        <v>0</v>
      </c>
      <c r="V1854">
        <f>COUNTIF('🏭 Facilities'!A1853:A1861, D1854)</f>
        <v>0</v>
      </c>
    </row>
    <row r="1855" spans="1:22">
      <c r="A1855" s="18" t="s">
        <v>4374</v>
      </c>
      <c r="B1855" s="18" t="s">
        <v>4375</v>
      </c>
      <c r="C1855" s="18" t="s">
        <v>136</v>
      </c>
      <c r="D1855" s="18" t="s">
        <v>184</v>
      </c>
      <c r="E1855" s="26">
        <v>44982</v>
      </c>
      <c r="F1855" s="18" t="s">
        <v>4376</v>
      </c>
      <c r="G1855" s="18" t="s">
        <v>145</v>
      </c>
      <c r="H1855" s="18">
        <v>6.3</v>
      </c>
      <c r="I1855" s="18">
        <v>299</v>
      </c>
      <c r="J1855" s="18">
        <v>0</v>
      </c>
      <c r="K1855" s="18">
        <v>1883.7</v>
      </c>
      <c r="L1855" s="18" t="s">
        <v>139</v>
      </c>
      <c r="M1855" s="18" t="s">
        <v>140</v>
      </c>
      <c r="N1855" s="28">
        <v>44982.477777777778</v>
      </c>
      <c r="O1855" s="28">
        <v>44983.015277777777</v>
      </c>
      <c r="P1855" s="20"/>
      <c r="Q1855" s="18" t="b">
        <f>FALSE()</f>
        <v>0</v>
      </c>
      <c r="R1855" s="18" t="b">
        <f>FALSE()</f>
        <v>0</v>
      </c>
      <c r="S1855" s="19">
        <f t="shared" si="28"/>
        <v>12.9</v>
      </c>
      <c r="T1855">
        <f>COUNTIF('👤 Customers'!$A:$A, B1855)</f>
        <v>1</v>
      </c>
      <c r="U1855">
        <f>COUNTIF('🚴 Riders'!A1854:A1914, C1855)</f>
        <v>0</v>
      </c>
      <c r="V1855">
        <f>COUNTIF('🏭 Facilities'!A1854:A1862, D1855)</f>
        <v>0</v>
      </c>
    </row>
    <row r="1856" spans="1:22">
      <c r="A1856" s="16" t="s">
        <v>4377</v>
      </c>
      <c r="B1856" s="16" t="s">
        <v>1226</v>
      </c>
      <c r="C1856" s="16" t="s">
        <v>287</v>
      </c>
      <c r="D1856" s="16" t="s">
        <v>205</v>
      </c>
      <c r="E1856" s="25">
        <v>45098</v>
      </c>
      <c r="F1856" s="16" t="s">
        <v>4378</v>
      </c>
      <c r="G1856" s="16" t="s">
        <v>125</v>
      </c>
      <c r="H1856" s="16">
        <v>6</v>
      </c>
      <c r="I1856" s="16">
        <v>199</v>
      </c>
      <c r="J1856" s="16">
        <v>0</v>
      </c>
      <c r="K1856" s="16">
        <v>1194</v>
      </c>
      <c r="L1856" s="16" t="s">
        <v>126</v>
      </c>
      <c r="M1856" s="16" t="s">
        <v>119</v>
      </c>
      <c r="N1856" s="27">
        <v>45098.594444444447</v>
      </c>
      <c r="O1856" s="27">
        <v>45099.037499999999</v>
      </c>
      <c r="P1856" s="16">
        <v>4.9000000000000004</v>
      </c>
      <c r="Q1856" s="16" t="b">
        <f>FALSE()</f>
        <v>0</v>
      </c>
      <c r="R1856" s="16" t="b">
        <f>FALSE()</f>
        <v>0</v>
      </c>
      <c r="S1856" s="17">
        <f t="shared" si="28"/>
        <v>10.6</v>
      </c>
      <c r="T1856">
        <f>COUNTIF('👤 Customers'!$A:$A, B1856)</f>
        <v>1</v>
      </c>
      <c r="U1856">
        <f>COUNTIF('🚴 Riders'!A1855:A1915, C1856)</f>
        <v>0</v>
      </c>
      <c r="V1856">
        <f>COUNTIF('🏭 Facilities'!A1855:A1863, D1856)</f>
        <v>0</v>
      </c>
    </row>
    <row r="1857" spans="1:22">
      <c r="A1857" s="18" t="s">
        <v>4379</v>
      </c>
      <c r="B1857" s="18" t="s">
        <v>2238</v>
      </c>
      <c r="C1857" s="18" t="s">
        <v>265</v>
      </c>
      <c r="D1857" s="18" t="s">
        <v>158</v>
      </c>
      <c r="E1857" s="26">
        <v>45516</v>
      </c>
      <c r="F1857" s="18" t="s">
        <v>4380</v>
      </c>
      <c r="G1857" s="18" t="s">
        <v>117</v>
      </c>
      <c r="H1857" s="18">
        <v>5.5</v>
      </c>
      <c r="I1857" s="18">
        <v>149</v>
      </c>
      <c r="J1857" s="18">
        <v>0</v>
      </c>
      <c r="K1857" s="18">
        <v>819.5</v>
      </c>
      <c r="L1857" s="18" t="s">
        <v>139</v>
      </c>
      <c r="M1857" s="18" t="s">
        <v>119</v>
      </c>
      <c r="N1857" s="28">
        <v>45516.646527777775</v>
      </c>
      <c r="O1857" s="28">
        <v>45517.647916666669</v>
      </c>
      <c r="P1857" s="18">
        <v>2.6</v>
      </c>
      <c r="Q1857" s="18" t="b">
        <f>FALSE()</f>
        <v>0</v>
      </c>
      <c r="R1857" s="18" t="b">
        <f>FALSE()</f>
        <v>0</v>
      </c>
      <c r="S1857" s="19">
        <f t="shared" si="28"/>
        <v>24</v>
      </c>
      <c r="T1857">
        <f>COUNTIF('👤 Customers'!$A:$A, B1857)</f>
        <v>1</v>
      </c>
      <c r="U1857">
        <f>COUNTIF('🚴 Riders'!A1856:A1916, C1857)</f>
        <v>0</v>
      </c>
      <c r="V1857">
        <f>COUNTIF('🏭 Facilities'!A1856:A1864, D1857)</f>
        <v>0</v>
      </c>
    </row>
    <row r="1858" spans="1:22">
      <c r="A1858" s="16" t="s">
        <v>4381</v>
      </c>
      <c r="B1858" s="16" t="s">
        <v>386</v>
      </c>
      <c r="C1858" s="16" t="s">
        <v>343</v>
      </c>
      <c r="D1858" s="16" t="s">
        <v>158</v>
      </c>
      <c r="E1858" s="25">
        <v>45040</v>
      </c>
      <c r="F1858" s="16" t="s">
        <v>4382</v>
      </c>
      <c r="G1858" s="16" t="s">
        <v>125</v>
      </c>
      <c r="H1858" s="16">
        <v>7.6</v>
      </c>
      <c r="I1858" s="16">
        <v>199</v>
      </c>
      <c r="J1858" s="16">
        <v>10</v>
      </c>
      <c r="K1858" s="16">
        <v>1361.16</v>
      </c>
      <c r="L1858" s="16" t="s">
        <v>146</v>
      </c>
      <c r="M1858" s="16" t="s">
        <v>119</v>
      </c>
      <c r="N1858" s="27">
        <v>45040.988194444442</v>
      </c>
      <c r="O1858" s="27">
        <v>45041.806944444441</v>
      </c>
      <c r="P1858" s="16">
        <v>4.5</v>
      </c>
      <c r="Q1858" s="16" t="b">
        <f>FALSE()</f>
        <v>0</v>
      </c>
      <c r="R1858" s="16" t="b">
        <f>FALSE()</f>
        <v>0</v>
      </c>
      <c r="S1858" s="17">
        <f t="shared" ref="S1858:S1921" si="29">IF(OR(N1858="",O1858=""),"N/A",ROUND(((O1858-N1858)*24),1))</f>
        <v>19.600000000000001</v>
      </c>
      <c r="T1858">
        <f>COUNTIF('👤 Customers'!$A:$A, B1858)</f>
        <v>1</v>
      </c>
      <c r="U1858">
        <f>COUNTIF('🚴 Riders'!A1857:A1917, C1858)</f>
        <v>0</v>
      </c>
      <c r="V1858">
        <f>COUNTIF('🏭 Facilities'!A1857:A1865, D1858)</f>
        <v>0</v>
      </c>
    </row>
    <row r="1859" spans="1:22">
      <c r="A1859" s="18" t="s">
        <v>4383</v>
      </c>
      <c r="B1859" s="18" t="s">
        <v>142</v>
      </c>
      <c r="C1859" s="18" t="s">
        <v>213</v>
      </c>
      <c r="D1859" s="18" t="s">
        <v>184</v>
      </c>
      <c r="E1859" s="26">
        <v>45116</v>
      </c>
      <c r="F1859" s="18" t="s">
        <v>4384</v>
      </c>
      <c r="G1859" s="18" t="s">
        <v>132</v>
      </c>
      <c r="H1859" s="18">
        <v>1.7</v>
      </c>
      <c r="I1859" s="18">
        <v>399</v>
      </c>
      <c r="J1859" s="18">
        <v>0</v>
      </c>
      <c r="K1859" s="18">
        <v>678.3</v>
      </c>
      <c r="L1859" s="18" t="s">
        <v>139</v>
      </c>
      <c r="M1859" s="18" t="s">
        <v>119</v>
      </c>
      <c r="N1859" s="28">
        <v>45117.039583333331</v>
      </c>
      <c r="O1859" s="28">
        <v>45117.665972222225</v>
      </c>
      <c r="P1859" s="18">
        <v>4.7</v>
      </c>
      <c r="Q1859" s="18" t="b">
        <f>FALSE()</f>
        <v>0</v>
      </c>
      <c r="R1859" s="18" t="b">
        <f>FALSE()</f>
        <v>0</v>
      </c>
      <c r="S1859" s="19">
        <f t="shared" si="29"/>
        <v>15</v>
      </c>
      <c r="T1859">
        <f>COUNTIF('👤 Customers'!$A:$A, B1859)</f>
        <v>1</v>
      </c>
      <c r="U1859">
        <f>COUNTIF('🚴 Riders'!A1858:A1918, C1859)</f>
        <v>0</v>
      </c>
      <c r="V1859">
        <f>COUNTIF('🏭 Facilities'!A1858:A1866, D1859)</f>
        <v>0</v>
      </c>
    </row>
    <row r="1860" spans="1:22">
      <c r="A1860" s="16" t="s">
        <v>4385</v>
      </c>
      <c r="B1860" s="16" t="s">
        <v>1130</v>
      </c>
      <c r="C1860" s="16" t="s">
        <v>354</v>
      </c>
      <c r="D1860" s="16" t="s">
        <v>115</v>
      </c>
      <c r="E1860" s="25">
        <v>45161</v>
      </c>
      <c r="F1860" s="16" t="s">
        <v>4386</v>
      </c>
      <c r="G1860" s="16" t="s">
        <v>117</v>
      </c>
      <c r="H1860" s="16">
        <v>7.1</v>
      </c>
      <c r="I1860" s="16">
        <v>149</v>
      </c>
      <c r="J1860" s="16">
        <v>0</v>
      </c>
      <c r="K1860" s="16">
        <v>1057.9000000000001</v>
      </c>
      <c r="L1860" s="16" t="s">
        <v>146</v>
      </c>
      <c r="M1860" s="16" t="s">
        <v>119</v>
      </c>
      <c r="N1860" s="27">
        <v>45161.190972222219</v>
      </c>
      <c r="O1860" s="27">
        <v>45161.804166666669</v>
      </c>
      <c r="P1860" s="16">
        <v>3.3</v>
      </c>
      <c r="Q1860" s="16" t="b">
        <f>TRUE()</f>
        <v>1</v>
      </c>
      <c r="R1860" s="16" t="b">
        <f>FALSE()</f>
        <v>0</v>
      </c>
      <c r="S1860" s="17">
        <f t="shared" si="29"/>
        <v>14.7</v>
      </c>
      <c r="T1860">
        <f>COUNTIF('👤 Customers'!$A:$A, B1860)</f>
        <v>1</v>
      </c>
      <c r="U1860">
        <f>COUNTIF('🚴 Riders'!A1859:A1919, C1860)</f>
        <v>0</v>
      </c>
      <c r="V1860">
        <f>COUNTIF('🏭 Facilities'!A1859:A1867, D1860)</f>
        <v>0</v>
      </c>
    </row>
    <row r="1861" spans="1:22">
      <c r="A1861" s="18" t="s">
        <v>4387</v>
      </c>
      <c r="B1861" s="18" t="s">
        <v>4388</v>
      </c>
      <c r="C1861" s="18" t="s">
        <v>157</v>
      </c>
      <c r="D1861" s="18" t="s">
        <v>123</v>
      </c>
      <c r="E1861" s="26">
        <v>45633</v>
      </c>
      <c r="F1861" s="18" t="s">
        <v>4389</v>
      </c>
      <c r="G1861" s="18" t="s">
        <v>176</v>
      </c>
      <c r="H1861" s="18">
        <v>7.4</v>
      </c>
      <c r="I1861" s="18">
        <v>599</v>
      </c>
      <c r="J1861" s="18">
        <v>10</v>
      </c>
      <c r="K1861" s="18">
        <v>3989.34</v>
      </c>
      <c r="L1861" s="18" t="s">
        <v>118</v>
      </c>
      <c r="M1861" s="18" t="s">
        <v>119</v>
      </c>
      <c r="N1861" s="28">
        <v>45633.480555555558</v>
      </c>
      <c r="O1861" s="28">
        <v>45634.208333333336</v>
      </c>
      <c r="P1861" s="18">
        <v>4.0999999999999996</v>
      </c>
      <c r="Q1861" s="18" t="b">
        <f>FALSE()</f>
        <v>0</v>
      </c>
      <c r="R1861" s="18" t="b">
        <f>FALSE()</f>
        <v>0</v>
      </c>
      <c r="S1861" s="19">
        <f t="shared" si="29"/>
        <v>17.5</v>
      </c>
      <c r="T1861">
        <f>COUNTIF('👤 Customers'!$A:$A, B1861)</f>
        <v>1</v>
      </c>
      <c r="U1861">
        <f>COUNTIF('🚴 Riders'!A1860:A1920, C1861)</f>
        <v>0</v>
      </c>
      <c r="V1861">
        <f>COUNTIF('🏭 Facilities'!A1860:A1868, D1861)</f>
        <v>0</v>
      </c>
    </row>
    <row r="1862" spans="1:22">
      <c r="A1862" s="16" t="s">
        <v>4390</v>
      </c>
      <c r="B1862" s="16" t="s">
        <v>2101</v>
      </c>
      <c r="C1862" s="16" t="s">
        <v>1092</v>
      </c>
      <c r="D1862" s="16" t="s">
        <v>184</v>
      </c>
      <c r="E1862" s="25">
        <v>45480</v>
      </c>
      <c r="F1862" s="16" t="s">
        <v>4391</v>
      </c>
      <c r="G1862" s="16" t="s">
        <v>117</v>
      </c>
      <c r="H1862" s="16">
        <v>2</v>
      </c>
      <c r="I1862" s="16">
        <v>149</v>
      </c>
      <c r="J1862" s="16">
        <v>0</v>
      </c>
      <c r="K1862" s="16">
        <v>298</v>
      </c>
      <c r="L1862" s="16" t="s">
        <v>207</v>
      </c>
      <c r="M1862" s="16" t="s">
        <v>119</v>
      </c>
      <c r="N1862" s="27">
        <v>45480.781944444447</v>
      </c>
      <c r="O1862" s="27">
        <v>45481.439583333333</v>
      </c>
      <c r="P1862" s="16">
        <v>3.7</v>
      </c>
      <c r="Q1862" s="16" t="b">
        <f>FALSE()</f>
        <v>0</v>
      </c>
      <c r="R1862" s="16" t="b">
        <f>FALSE()</f>
        <v>0</v>
      </c>
      <c r="S1862" s="17">
        <f t="shared" si="29"/>
        <v>15.8</v>
      </c>
      <c r="T1862">
        <f>COUNTIF('👤 Customers'!$A:$A, B1862)</f>
        <v>1</v>
      </c>
      <c r="U1862">
        <f>COUNTIF('🚴 Riders'!A1861:A1921, C1862)</f>
        <v>0</v>
      </c>
      <c r="V1862">
        <f>COUNTIF('🏭 Facilities'!A1861:A1869, D1862)</f>
        <v>0</v>
      </c>
    </row>
    <row r="1863" spans="1:22">
      <c r="A1863" s="18" t="s">
        <v>4392</v>
      </c>
      <c r="B1863" s="18" t="s">
        <v>436</v>
      </c>
      <c r="C1863" s="18" t="s">
        <v>265</v>
      </c>
      <c r="D1863" s="18" t="s">
        <v>130</v>
      </c>
      <c r="E1863" s="26">
        <v>45145</v>
      </c>
      <c r="F1863" s="18" t="s">
        <v>4393</v>
      </c>
      <c r="G1863" s="18" t="s">
        <v>125</v>
      </c>
      <c r="H1863" s="18">
        <v>2.9</v>
      </c>
      <c r="I1863" s="18">
        <v>199</v>
      </c>
      <c r="J1863" s="18">
        <v>0</v>
      </c>
      <c r="K1863" s="18">
        <v>577.1</v>
      </c>
      <c r="L1863" s="18" t="s">
        <v>118</v>
      </c>
      <c r="M1863" s="18" t="s">
        <v>119</v>
      </c>
      <c r="N1863" s="28">
        <v>45145.645833333336</v>
      </c>
      <c r="O1863" s="28">
        <v>45146.229166666664</v>
      </c>
      <c r="P1863" s="18">
        <v>2.7</v>
      </c>
      <c r="Q1863" s="18" t="b">
        <f>FALSE()</f>
        <v>0</v>
      </c>
      <c r="R1863" s="18" t="b">
        <f>FALSE()</f>
        <v>0</v>
      </c>
      <c r="S1863" s="19">
        <f t="shared" si="29"/>
        <v>14</v>
      </c>
      <c r="T1863">
        <f>COUNTIF('👤 Customers'!$A:$A, B1863)</f>
        <v>1</v>
      </c>
      <c r="U1863">
        <f>COUNTIF('🚴 Riders'!A1862:A1922, C1863)</f>
        <v>0</v>
      </c>
      <c r="V1863">
        <f>COUNTIF('🏭 Facilities'!A1862:A1870, D1863)</f>
        <v>0</v>
      </c>
    </row>
    <row r="1864" spans="1:22">
      <c r="A1864" s="16" t="s">
        <v>4394</v>
      </c>
      <c r="B1864" s="16" t="s">
        <v>235</v>
      </c>
      <c r="C1864" s="16" t="s">
        <v>122</v>
      </c>
      <c r="D1864" s="16" t="s">
        <v>158</v>
      </c>
      <c r="E1864" s="25">
        <v>45088</v>
      </c>
      <c r="F1864" s="16" t="s">
        <v>4395</v>
      </c>
      <c r="G1864" s="16" t="s">
        <v>132</v>
      </c>
      <c r="H1864" s="16">
        <v>1.4</v>
      </c>
      <c r="I1864" s="16">
        <v>399</v>
      </c>
      <c r="J1864" s="16">
        <v>0</v>
      </c>
      <c r="K1864" s="16">
        <v>558.6</v>
      </c>
      <c r="L1864" s="16" t="s">
        <v>118</v>
      </c>
      <c r="M1864" s="16" t="s">
        <v>119</v>
      </c>
      <c r="N1864" s="27">
        <v>45088.4375</v>
      </c>
      <c r="O1864" s="27">
        <v>45088.834722222222</v>
      </c>
      <c r="P1864" s="16">
        <v>3.5</v>
      </c>
      <c r="Q1864" s="16" t="b">
        <f>FALSE()</f>
        <v>0</v>
      </c>
      <c r="R1864" s="16" t="b">
        <f>TRUE()</f>
        <v>1</v>
      </c>
      <c r="S1864" s="17">
        <f t="shared" si="29"/>
        <v>9.5</v>
      </c>
      <c r="T1864">
        <f>COUNTIF('👤 Customers'!$A:$A, B1864)</f>
        <v>1</v>
      </c>
      <c r="U1864">
        <f>COUNTIF('🚴 Riders'!A1863:A1923, C1864)</f>
        <v>0</v>
      </c>
      <c r="V1864">
        <f>COUNTIF('🏭 Facilities'!A1863:A1871, D1864)</f>
        <v>0</v>
      </c>
    </row>
    <row r="1865" spans="1:22">
      <c r="A1865" s="18" t="s">
        <v>4396</v>
      </c>
      <c r="B1865" s="18" t="s">
        <v>1356</v>
      </c>
      <c r="C1865" s="18" t="s">
        <v>358</v>
      </c>
      <c r="D1865" s="18" t="s">
        <v>130</v>
      </c>
      <c r="E1865" s="26">
        <v>45505</v>
      </c>
      <c r="F1865" s="18" t="s">
        <v>4397</v>
      </c>
      <c r="G1865" s="18" t="s">
        <v>117</v>
      </c>
      <c r="H1865" s="18">
        <v>6.1</v>
      </c>
      <c r="I1865" s="18">
        <v>149</v>
      </c>
      <c r="J1865" s="18">
        <v>0</v>
      </c>
      <c r="K1865" s="18">
        <v>908.9</v>
      </c>
      <c r="L1865" s="18" t="s">
        <v>118</v>
      </c>
      <c r="M1865" s="18" t="s">
        <v>133</v>
      </c>
      <c r="N1865" s="20"/>
      <c r="O1865" s="20"/>
      <c r="P1865" s="20"/>
      <c r="Q1865" s="18" t="b">
        <f>FALSE()</f>
        <v>0</v>
      </c>
      <c r="R1865" s="18" t="b">
        <f>FALSE()</f>
        <v>0</v>
      </c>
      <c r="S1865" s="19" t="str">
        <f t="shared" si="29"/>
        <v>N/A</v>
      </c>
      <c r="T1865">
        <f>COUNTIF('👤 Customers'!$A:$A, B1865)</f>
        <v>1</v>
      </c>
      <c r="U1865">
        <f>COUNTIF('🚴 Riders'!A1864:A1924, C1865)</f>
        <v>0</v>
      </c>
      <c r="V1865">
        <f>COUNTIF('🏭 Facilities'!A1864:A1872, D1865)</f>
        <v>0</v>
      </c>
    </row>
    <row r="1866" spans="1:22">
      <c r="A1866" s="16" t="s">
        <v>4398</v>
      </c>
      <c r="B1866" s="16" t="s">
        <v>397</v>
      </c>
      <c r="C1866" s="16" t="s">
        <v>1092</v>
      </c>
      <c r="D1866" s="16" t="s">
        <v>184</v>
      </c>
      <c r="E1866" s="25">
        <v>45598</v>
      </c>
      <c r="F1866" s="16" t="s">
        <v>4399</v>
      </c>
      <c r="G1866" s="16" t="s">
        <v>132</v>
      </c>
      <c r="H1866" s="16">
        <v>7.6</v>
      </c>
      <c r="I1866" s="16">
        <v>399</v>
      </c>
      <c r="J1866" s="16">
        <v>0</v>
      </c>
      <c r="K1866" s="16">
        <v>3032.4</v>
      </c>
      <c r="L1866" s="16" t="s">
        <v>118</v>
      </c>
      <c r="M1866" s="16" t="s">
        <v>119</v>
      </c>
      <c r="N1866" s="27">
        <v>45598.915277777778</v>
      </c>
      <c r="O1866" s="27">
        <v>45599.949305555558</v>
      </c>
      <c r="P1866" s="16">
        <v>3.7</v>
      </c>
      <c r="Q1866" s="16" t="b">
        <f>FALSE()</f>
        <v>0</v>
      </c>
      <c r="R1866" s="16" t="b">
        <f>FALSE()</f>
        <v>0</v>
      </c>
      <c r="S1866" s="17">
        <f t="shared" si="29"/>
        <v>24.8</v>
      </c>
      <c r="T1866">
        <f>COUNTIF('👤 Customers'!$A:$A, B1866)</f>
        <v>1</v>
      </c>
      <c r="U1866">
        <f>COUNTIF('🚴 Riders'!A1865:A1925, C1866)</f>
        <v>0</v>
      </c>
      <c r="V1866">
        <f>COUNTIF('🏭 Facilities'!A1865:A1873, D1866)</f>
        <v>0</v>
      </c>
    </row>
    <row r="1867" spans="1:22">
      <c r="A1867" s="18" t="s">
        <v>4400</v>
      </c>
      <c r="B1867" s="18" t="s">
        <v>1737</v>
      </c>
      <c r="C1867" s="18" t="s">
        <v>183</v>
      </c>
      <c r="D1867" s="18" t="s">
        <v>197</v>
      </c>
      <c r="E1867" s="26">
        <v>44988</v>
      </c>
      <c r="F1867" s="18" t="s">
        <v>4401</v>
      </c>
      <c r="G1867" s="18" t="s">
        <v>125</v>
      </c>
      <c r="H1867" s="18">
        <v>1.4</v>
      </c>
      <c r="I1867" s="18">
        <v>199</v>
      </c>
      <c r="J1867" s="18">
        <v>0</v>
      </c>
      <c r="K1867" s="18">
        <v>278.60000000000002</v>
      </c>
      <c r="L1867" s="18" t="s">
        <v>146</v>
      </c>
      <c r="M1867" s="18" t="s">
        <v>119</v>
      </c>
      <c r="N1867" s="28">
        <v>44988.219444444447</v>
      </c>
      <c r="O1867" s="28">
        <v>44989.106249999997</v>
      </c>
      <c r="P1867" s="18">
        <v>4.2</v>
      </c>
      <c r="Q1867" s="18" t="b">
        <f>FALSE()</f>
        <v>0</v>
      </c>
      <c r="R1867" s="18" t="b">
        <f>FALSE()</f>
        <v>0</v>
      </c>
      <c r="S1867" s="19">
        <f t="shared" si="29"/>
        <v>21.3</v>
      </c>
      <c r="T1867">
        <f>COUNTIF('👤 Customers'!$A:$A, B1867)</f>
        <v>1</v>
      </c>
      <c r="U1867">
        <f>COUNTIF('🚴 Riders'!A1866:A1926, C1867)</f>
        <v>0</v>
      </c>
      <c r="V1867">
        <f>COUNTIF('🏭 Facilities'!A1866:A1874, D1867)</f>
        <v>0</v>
      </c>
    </row>
    <row r="1868" spans="1:22">
      <c r="A1868" s="16" t="s">
        <v>4402</v>
      </c>
      <c r="B1868" s="16" t="s">
        <v>1979</v>
      </c>
      <c r="C1868" s="16" t="s">
        <v>149</v>
      </c>
      <c r="D1868" s="16" t="s">
        <v>115</v>
      </c>
      <c r="E1868" s="25">
        <v>45498</v>
      </c>
      <c r="F1868" s="16" t="s">
        <v>4403</v>
      </c>
      <c r="G1868" s="16" t="s">
        <v>145</v>
      </c>
      <c r="H1868" s="16">
        <v>6.8</v>
      </c>
      <c r="I1868" s="16">
        <v>299</v>
      </c>
      <c r="J1868" s="16">
        <v>30</v>
      </c>
      <c r="K1868" s="16">
        <v>1423.24</v>
      </c>
      <c r="L1868" s="16" t="s">
        <v>118</v>
      </c>
      <c r="M1868" s="16" t="s">
        <v>119</v>
      </c>
      <c r="N1868" s="27">
        <v>45498.456250000003</v>
      </c>
      <c r="O1868" s="27">
        <v>45499.286805555559</v>
      </c>
      <c r="P1868" s="16">
        <v>3.5</v>
      </c>
      <c r="Q1868" s="16" t="b">
        <f>TRUE()</f>
        <v>1</v>
      </c>
      <c r="R1868" s="16" t="b">
        <f>FALSE()</f>
        <v>0</v>
      </c>
      <c r="S1868" s="17">
        <f t="shared" si="29"/>
        <v>19.899999999999999</v>
      </c>
      <c r="T1868">
        <f>COUNTIF('👤 Customers'!$A:$A, B1868)</f>
        <v>1</v>
      </c>
      <c r="U1868">
        <f>COUNTIF('🚴 Riders'!A1867:A1927, C1868)</f>
        <v>0</v>
      </c>
      <c r="V1868">
        <f>COUNTIF('🏭 Facilities'!A1867:A1875, D1868)</f>
        <v>0</v>
      </c>
    </row>
    <row r="1869" spans="1:22">
      <c r="A1869" s="18" t="s">
        <v>4404</v>
      </c>
      <c r="B1869" s="18" t="s">
        <v>817</v>
      </c>
      <c r="C1869" s="18" t="s">
        <v>153</v>
      </c>
      <c r="D1869" s="18" t="s">
        <v>115</v>
      </c>
      <c r="E1869" s="26">
        <v>45292</v>
      </c>
      <c r="F1869" s="18" t="s">
        <v>4405</v>
      </c>
      <c r="G1869" s="18" t="s">
        <v>145</v>
      </c>
      <c r="H1869" s="18">
        <v>4</v>
      </c>
      <c r="I1869" s="18">
        <v>299</v>
      </c>
      <c r="J1869" s="18">
        <v>0</v>
      </c>
      <c r="K1869" s="18">
        <v>1196</v>
      </c>
      <c r="L1869" s="18" t="s">
        <v>146</v>
      </c>
      <c r="M1869" s="18" t="s">
        <v>140</v>
      </c>
      <c r="N1869" s="28">
        <v>45292.489583333336</v>
      </c>
      <c r="O1869" s="28">
        <v>45293.128472222219</v>
      </c>
      <c r="P1869" s="20"/>
      <c r="Q1869" s="18" t="b">
        <f>FALSE()</f>
        <v>0</v>
      </c>
      <c r="R1869" s="18" t="b">
        <f>FALSE()</f>
        <v>0</v>
      </c>
      <c r="S1869" s="19">
        <f t="shared" si="29"/>
        <v>15.3</v>
      </c>
      <c r="T1869">
        <f>COUNTIF('👤 Customers'!$A:$A, B1869)</f>
        <v>1</v>
      </c>
      <c r="U1869">
        <f>COUNTIF('🚴 Riders'!A1868:A1928, C1869)</f>
        <v>0</v>
      </c>
      <c r="V1869">
        <f>COUNTIF('🏭 Facilities'!A1868:A1876, D1869)</f>
        <v>0</v>
      </c>
    </row>
    <row r="1870" spans="1:22">
      <c r="A1870" s="16" t="s">
        <v>4406</v>
      </c>
      <c r="B1870" s="16" t="s">
        <v>1788</v>
      </c>
      <c r="C1870" s="16" t="s">
        <v>162</v>
      </c>
      <c r="D1870" s="16" t="s">
        <v>205</v>
      </c>
      <c r="E1870" s="25">
        <v>45593</v>
      </c>
      <c r="F1870" s="16" t="s">
        <v>4407</v>
      </c>
      <c r="G1870" s="16" t="s">
        <v>145</v>
      </c>
      <c r="H1870" s="16">
        <v>4.8</v>
      </c>
      <c r="I1870" s="16">
        <v>299</v>
      </c>
      <c r="J1870" s="16">
        <v>0</v>
      </c>
      <c r="K1870" s="16">
        <v>1435.2</v>
      </c>
      <c r="L1870" s="16" t="s">
        <v>126</v>
      </c>
      <c r="M1870" s="16" t="s">
        <v>133</v>
      </c>
      <c r="N1870" s="20"/>
      <c r="O1870" s="20"/>
      <c r="P1870" s="20"/>
      <c r="Q1870" s="16" t="b">
        <f>FALSE()</f>
        <v>0</v>
      </c>
      <c r="R1870" s="16" t="b">
        <f>FALSE()</f>
        <v>0</v>
      </c>
      <c r="S1870" s="17" t="str">
        <f t="shared" si="29"/>
        <v>N/A</v>
      </c>
      <c r="T1870">
        <f>COUNTIF('👤 Customers'!$A:$A, B1870)</f>
        <v>1</v>
      </c>
      <c r="U1870">
        <f>COUNTIF('🚴 Riders'!A1869:A1929, C1870)</f>
        <v>0</v>
      </c>
      <c r="V1870">
        <f>COUNTIF('🏭 Facilities'!A1869:A1877, D1870)</f>
        <v>0</v>
      </c>
    </row>
    <row r="1871" spans="1:22">
      <c r="A1871" s="18" t="s">
        <v>4408</v>
      </c>
      <c r="B1871" s="18" t="s">
        <v>1356</v>
      </c>
      <c r="C1871" s="18" t="s">
        <v>170</v>
      </c>
      <c r="D1871" s="18" t="s">
        <v>123</v>
      </c>
      <c r="E1871" s="26">
        <v>45141</v>
      </c>
      <c r="F1871" s="18" t="s">
        <v>4409</v>
      </c>
      <c r="G1871" s="18" t="s">
        <v>132</v>
      </c>
      <c r="H1871" s="18">
        <v>5.9</v>
      </c>
      <c r="I1871" s="18">
        <v>399</v>
      </c>
      <c r="J1871" s="18">
        <v>10</v>
      </c>
      <c r="K1871" s="18">
        <v>2118.69</v>
      </c>
      <c r="L1871" s="18" t="s">
        <v>126</v>
      </c>
      <c r="M1871" s="18" t="s">
        <v>119</v>
      </c>
      <c r="N1871" s="28">
        <v>45141.678472222222</v>
      </c>
      <c r="O1871" s="28">
        <v>45142.415972222225</v>
      </c>
      <c r="P1871" s="18">
        <v>3.3</v>
      </c>
      <c r="Q1871" s="18" t="b">
        <f>FALSE()</f>
        <v>0</v>
      </c>
      <c r="R1871" s="18" t="b">
        <f>FALSE()</f>
        <v>0</v>
      </c>
      <c r="S1871" s="19">
        <f t="shared" si="29"/>
        <v>17.7</v>
      </c>
      <c r="T1871">
        <f>COUNTIF('👤 Customers'!$A:$A, B1871)</f>
        <v>1</v>
      </c>
      <c r="U1871">
        <f>COUNTIF('🚴 Riders'!A1870:A1930, C1871)</f>
        <v>0</v>
      </c>
      <c r="V1871">
        <f>COUNTIF('🏭 Facilities'!A1870:A1878, D1871)</f>
        <v>0</v>
      </c>
    </row>
    <row r="1872" spans="1:22">
      <c r="A1872" s="16" t="s">
        <v>4410</v>
      </c>
      <c r="B1872" s="16" t="s">
        <v>142</v>
      </c>
      <c r="C1872" s="16" t="s">
        <v>339</v>
      </c>
      <c r="D1872" s="16" t="s">
        <v>158</v>
      </c>
      <c r="E1872" s="25">
        <v>45411</v>
      </c>
      <c r="F1872" s="16" t="s">
        <v>4411</v>
      </c>
      <c r="G1872" s="16" t="s">
        <v>176</v>
      </c>
      <c r="H1872" s="16">
        <v>4</v>
      </c>
      <c r="I1872" s="16">
        <v>599</v>
      </c>
      <c r="J1872" s="16">
        <v>20</v>
      </c>
      <c r="K1872" s="16">
        <v>1916.8</v>
      </c>
      <c r="L1872" s="16" t="s">
        <v>139</v>
      </c>
      <c r="M1872" s="16" t="s">
        <v>119</v>
      </c>
      <c r="N1872" s="27">
        <v>45411.065972222219</v>
      </c>
      <c r="O1872" s="27">
        <v>45411.64166666667</v>
      </c>
      <c r="P1872" s="16">
        <v>2.6</v>
      </c>
      <c r="Q1872" s="16" t="b">
        <f>FALSE()</f>
        <v>0</v>
      </c>
      <c r="R1872" s="16" t="b">
        <f>FALSE()</f>
        <v>0</v>
      </c>
      <c r="S1872" s="17">
        <f t="shared" si="29"/>
        <v>13.8</v>
      </c>
      <c r="T1872">
        <f>COUNTIF('👤 Customers'!$A:$A, B1872)</f>
        <v>1</v>
      </c>
      <c r="U1872">
        <f>COUNTIF('🚴 Riders'!A1871:A1931, C1872)</f>
        <v>0</v>
      </c>
      <c r="V1872">
        <f>COUNTIF('🏭 Facilities'!A1871:A1879, D1872)</f>
        <v>0</v>
      </c>
    </row>
    <row r="1873" spans="1:22">
      <c r="A1873" s="18" t="s">
        <v>4412</v>
      </c>
      <c r="B1873" s="18" t="s">
        <v>2676</v>
      </c>
      <c r="C1873" s="18" t="s">
        <v>251</v>
      </c>
      <c r="D1873" s="18" t="s">
        <v>123</v>
      </c>
      <c r="E1873" s="26">
        <v>45116</v>
      </c>
      <c r="F1873" s="18" t="s">
        <v>4413</v>
      </c>
      <c r="G1873" s="18" t="s">
        <v>132</v>
      </c>
      <c r="H1873" s="18">
        <v>4.9000000000000004</v>
      </c>
      <c r="I1873" s="18">
        <v>399</v>
      </c>
      <c r="J1873" s="18">
        <v>20</v>
      </c>
      <c r="K1873" s="18">
        <v>1564.08</v>
      </c>
      <c r="L1873" s="18" t="s">
        <v>118</v>
      </c>
      <c r="M1873" s="18" t="s">
        <v>119</v>
      </c>
      <c r="N1873" s="28">
        <v>45116.324305555558</v>
      </c>
      <c r="O1873" s="28">
        <v>45117.2</v>
      </c>
      <c r="P1873" s="18">
        <v>4.5999999999999996</v>
      </c>
      <c r="Q1873" s="18" t="b">
        <f>TRUE()</f>
        <v>1</v>
      </c>
      <c r="R1873" s="18" t="b">
        <f>FALSE()</f>
        <v>0</v>
      </c>
      <c r="S1873" s="19">
        <f t="shared" si="29"/>
        <v>21</v>
      </c>
      <c r="T1873">
        <f>COUNTIF('👤 Customers'!$A:$A, B1873)</f>
        <v>1</v>
      </c>
      <c r="U1873">
        <f>COUNTIF('🚴 Riders'!A1872:A1932, C1873)</f>
        <v>0</v>
      </c>
      <c r="V1873">
        <f>COUNTIF('🏭 Facilities'!A1872:A1880, D1873)</f>
        <v>0</v>
      </c>
    </row>
    <row r="1874" spans="1:22">
      <c r="A1874" s="16" t="s">
        <v>4414</v>
      </c>
      <c r="B1874" s="16" t="s">
        <v>290</v>
      </c>
      <c r="C1874" s="16" t="s">
        <v>431</v>
      </c>
      <c r="D1874" s="16" t="s">
        <v>115</v>
      </c>
      <c r="E1874" s="25">
        <v>45130</v>
      </c>
      <c r="F1874" s="16" t="s">
        <v>4415</v>
      </c>
      <c r="G1874" s="16" t="s">
        <v>117</v>
      </c>
      <c r="H1874" s="16">
        <v>1.7</v>
      </c>
      <c r="I1874" s="16">
        <v>149</v>
      </c>
      <c r="J1874" s="16">
        <v>20</v>
      </c>
      <c r="K1874" s="16">
        <v>202.64</v>
      </c>
      <c r="L1874" s="16" t="s">
        <v>207</v>
      </c>
      <c r="M1874" s="16" t="s">
        <v>140</v>
      </c>
      <c r="N1874" s="27">
        <v>45131.003472222219</v>
      </c>
      <c r="O1874" s="27">
        <v>45131.479861111111</v>
      </c>
      <c r="P1874" s="20"/>
      <c r="Q1874" s="16" t="b">
        <f>FALSE()</f>
        <v>0</v>
      </c>
      <c r="R1874" s="16" t="b">
        <f>FALSE()</f>
        <v>0</v>
      </c>
      <c r="S1874" s="17">
        <f t="shared" si="29"/>
        <v>11.4</v>
      </c>
      <c r="T1874">
        <f>COUNTIF('👤 Customers'!$A:$A, B1874)</f>
        <v>1</v>
      </c>
      <c r="U1874">
        <f>COUNTIF('🚴 Riders'!A1873:A1933, C1874)</f>
        <v>0</v>
      </c>
      <c r="V1874">
        <f>COUNTIF('🏭 Facilities'!A1873:A1881, D1874)</f>
        <v>0</v>
      </c>
    </row>
    <row r="1875" spans="1:22">
      <c r="A1875" s="18" t="s">
        <v>4416</v>
      </c>
      <c r="B1875" s="18" t="s">
        <v>713</v>
      </c>
      <c r="C1875" s="18" t="s">
        <v>170</v>
      </c>
      <c r="D1875" s="18" t="s">
        <v>205</v>
      </c>
      <c r="E1875" s="26">
        <v>45344</v>
      </c>
      <c r="F1875" s="18" t="s">
        <v>4417</v>
      </c>
      <c r="G1875" s="18" t="s">
        <v>145</v>
      </c>
      <c r="H1875" s="18">
        <v>3.9</v>
      </c>
      <c r="I1875" s="18">
        <v>299</v>
      </c>
      <c r="J1875" s="18">
        <v>20</v>
      </c>
      <c r="K1875" s="18">
        <v>932.88</v>
      </c>
      <c r="L1875" s="18" t="s">
        <v>126</v>
      </c>
      <c r="M1875" s="18" t="s">
        <v>119</v>
      </c>
      <c r="N1875" s="28">
        <v>45344.400694444441</v>
      </c>
      <c r="O1875" s="28">
        <v>45344.771527777775</v>
      </c>
      <c r="P1875" s="18">
        <v>3.8</v>
      </c>
      <c r="Q1875" s="18" t="b">
        <f>FALSE()</f>
        <v>0</v>
      </c>
      <c r="R1875" s="18" t="b">
        <f>TRUE()</f>
        <v>1</v>
      </c>
      <c r="S1875" s="19">
        <f t="shared" si="29"/>
        <v>8.9</v>
      </c>
      <c r="T1875">
        <f>COUNTIF('👤 Customers'!$A:$A, B1875)</f>
        <v>1</v>
      </c>
      <c r="U1875">
        <f>COUNTIF('🚴 Riders'!A1874:A1934, C1875)</f>
        <v>0</v>
      </c>
      <c r="V1875">
        <f>COUNTIF('🏭 Facilities'!A1874:A1882, D1875)</f>
        <v>0</v>
      </c>
    </row>
    <row r="1876" spans="1:22">
      <c r="A1876" s="16" t="s">
        <v>4418</v>
      </c>
      <c r="B1876" s="16" t="s">
        <v>1006</v>
      </c>
      <c r="C1876" s="16" t="s">
        <v>157</v>
      </c>
      <c r="D1876" s="16" t="s">
        <v>205</v>
      </c>
      <c r="E1876" s="25">
        <v>45326</v>
      </c>
      <c r="F1876" s="16" t="s">
        <v>4419</v>
      </c>
      <c r="G1876" s="16" t="s">
        <v>117</v>
      </c>
      <c r="H1876" s="16">
        <v>2.4</v>
      </c>
      <c r="I1876" s="16">
        <v>149</v>
      </c>
      <c r="J1876" s="16">
        <v>20</v>
      </c>
      <c r="K1876" s="16">
        <v>286.08</v>
      </c>
      <c r="L1876" s="16" t="s">
        <v>207</v>
      </c>
      <c r="M1876" s="16" t="s">
        <v>119</v>
      </c>
      <c r="N1876" s="27">
        <v>45326.459722222222</v>
      </c>
      <c r="O1876" s="27">
        <v>45327.158333333333</v>
      </c>
      <c r="P1876" s="16">
        <v>4.2</v>
      </c>
      <c r="Q1876" s="16" t="b">
        <f>FALSE()</f>
        <v>0</v>
      </c>
      <c r="R1876" s="16" t="b">
        <f>FALSE()</f>
        <v>0</v>
      </c>
      <c r="S1876" s="17">
        <f t="shared" si="29"/>
        <v>16.8</v>
      </c>
      <c r="T1876">
        <f>COUNTIF('👤 Customers'!$A:$A, B1876)</f>
        <v>1</v>
      </c>
      <c r="U1876">
        <f>COUNTIF('🚴 Riders'!A1875:A1935, C1876)</f>
        <v>0</v>
      </c>
      <c r="V1876">
        <f>COUNTIF('🏭 Facilities'!A1875:A1883, D1876)</f>
        <v>0</v>
      </c>
    </row>
    <row r="1877" spans="1:22">
      <c r="A1877" s="18" t="s">
        <v>4420</v>
      </c>
      <c r="B1877" s="18" t="s">
        <v>1562</v>
      </c>
      <c r="C1877" s="18" t="s">
        <v>183</v>
      </c>
      <c r="D1877" s="18" t="s">
        <v>137</v>
      </c>
      <c r="E1877" s="26">
        <v>45193</v>
      </c>
      <c r="F1877" s="18" t="s">
        <v>4421</v>
      </c>
      <c r="G1877" s="18" t="s">
        <v>176</v>
      </c>
      <c r="H1877" s="18">
        <v>6.6</v>
      </c>
      <c r="I1877" s="18">
        <v>599</v>
      </c>
      <c r="J1877" s="18">
        <v>0</v>
      </c>
      <c r="K1877" s="18">
        <v>3953.4</v>
      </c>
      <c r="L1877" s="18" t="s">
        <v>146</v>
      </c>
      <c r="M1877" s="18" t="s">
        <v>133</v>
      </c>
      <c r="N1877" s="20"/>
      <c r="O1877" s="20"/>
      <c r="P1877" s="20"/>
      <c r="Q1877" s="18" t="b">
        <f>FALSE()</f>
        <v>0</v>
      </c>
      <c r="R1877" s="18" t="b">
        <f>FALSE()</f>
        <v>0</v>
      </c>
      <c r="S1877" s="19" t="str">
        <f t="shared" si="29"/>
        <v>N/A</v>
      </c>
      <c r="T1877">
        <f>COUNTIF('👤 Customers'!$A:$A, B1877)</f>
        <v>1</v>
      </c>
      <c r="U1877">
        <f>COUNTIF('🚴 Riders'!A1876:A1936, C1877)</f>
        <v>0</v>
      </c>
      <c r="V1877">
        <f>COUNTIF('🏭 Facilities'!A1876:A1884, D1877)</f>
        <v>0</v>
      </c>
    </row>
    <row r="1878" spans="1:22">
      <c r="A1878" s="16" t="s">
        <v>4422</v>
      </c>
      <c r="B1878" s="16" t="s">
        <v>1979</v>
      </c>
      <c r="C1878" s="16" t="s">
        <v>339</v>
      </c>
      <c r="D1878" s="16" t="s">
        <v>130</v>
      </c>
      <c r="E1878" s="25">
        <v>45554</v>
      </c>
      <c r="F1878" s="16" t="s">
        <v>4423</v>
      </c>
      <c r="G1878" s="16" t="s">
        <v>176</v>
      </c>
      <c r="H1878" s="16">
        <v>6.9</v>
      </c>
      <c r="I1878" s="16">
        <v>599</v>
      </c>
      <c r="J1878" s="16">
        <v>30</v>
      </c>
      <c r="K1878" s="16">
        <v>2893.17</v>
      </c>
      <c r="L1878" s="16" t="s">
        <v>126</v>
      </c>
      <c r="M1878" s="16" t="s">
        <v>119</v>
      </c>
      <c r="N1878" s="27">
        <v>45554.396527777775</v>
      </c>
      <c r="O1878" s="27">
        <v>45554.998611111114</v>
      </c>
      <c r="P1878" s="16">
        <v>4</v>
      </c>
      <c r="Q1878" s="16" t="b">
        <f>FALSE()</f>
        <v>0</v>
      </c>
      <c r="R1878" s="16" t="b">
        <f>FALSE()</f>
        <v>0</v>
      </c>
      <c r="S1878" s="17">
        <f t="shared" si="29"/>
        <v>14.5</v>
      </c>
      <c r="T1878">
        <f>COUNTIF('👤 Customers'!$A:$A, B1878)</f>
        <v>1</v>
      </c>
      <c r="U1878">
        <f>COUNTIF('🚴 Riders'!A1877:A1937, C1878)</f>
        <v>0</v>
      </c>
      <c r="V1878">
        <f>COUNTIF('🏭 Facilities'!A1877:A1885, D1878)</f>
        <v>0</v>
      </c>
    </row>
    <row r="1879" spans="1:22">
      <c r="A1879" s="18" t="s">
        <v>4424</v>
      </c>
      <c r="B1879" s="18" t="s">
        <v>1147</v>
      </c>
      <c r="C1879" s="18" t="s">
        <v>240</v>
      </c>
      <c r="D1879" s="18" t="s">
        <v>123</v>
      </c>
      <c r="E1879" s="26">
        <v>45371</v>
      </c>
      <c r="F1879" s="18" t="s">
        <v>4425</v>
      </c>
      <c r="G1879" s="18" t="s">
        <v>125</v>
      </c>
      <c r="H1879" s="18">
        <v>4.8</v>
      </c>
      <c r="I1879" s="18">
        <v>199</v>
      </c>
      <c r="J1879" s="18">
        <v>10</v>
      </c>
      <c r="K1879" s="18">
        <v>859.68</v>
      </c>
      <c r="L1879" s="18" t="s">
        <v>139</v>
      </c>
      <c r="M1879" s="18" t="s">
        <v>119</v>
      </c>
      <c r="N1879" s="28">
        <v>45371.365972222222</v>
      </c>
      <c r="O1879" s="28">
        <v>45372.481944444444</v>
      </c>
      <c r="P1879" s="18">
        <v>3</v>
      </c>
      <c r="Q1879" s="18" t="b">
        <f>TRUE()</f>
        <v>1</v>
      </c>
      <c r="R1879" s="18" t="b">
        <f>FALSE()</f>
        <v>0</v>
      </c>
      <c r="S1879" s="19">
        <f t="shared" si="29"/>
        <v>26.8</v>
      </c>
      <c r="T1879">
        <f>COUNTIF('👤 Customers'!$A:$A, B1879)</f>
        <v>1</v>
      </c>
      <c r="U1879">
        <f>COUNTIF('🚴 Riders'!A1878:A1938, C1879)</f>
        <v>0</v>
      </c>
      <c r="V1879">
        <f>COUNTIF('🏭 Facilities'!A1878:A1886, D1879)</f>
        <v>0</v>
      </c>
    </row>
    <row r="1880" spans="1:22">
      <c r="A1880" s="16" t="s">
        <v>4426</v>
      </c>
      <c r="B1880" s="16" t="s">
        <v>492</v>
      </c>
      <c r="C1880" s="16" t="s">
        <v>129</v>
      </c>
      <c r="D1880" s="16" t="s">
        <v>184</v>
      </c>
      <c r="E1880" s="25">
        <v>45561</v>
      </c>
      <c r="F1880" s="16" t="s">
        <v>4427</v>
      </c>
      <c r="G1880" s="16" t="s">
        <v>132</v>
      </c>
      <c r="H1880" s="16">
        <v>3.2</v>
      </c>
      <c r="I1880" s="16">
        <v>399</v>
      </c>
      <c r="J1880" s="16">
        <v>0</v>
      </c>
      <c r="K1880" s="16">
        <v>1276.8</v>
      </c>
      <c r="L1880" s="16" t="s">
        <v>146</v>
      </c>
      <c r="M1880" s="16" t="s">
        <v>140</v>
      </c>
      <c r="N1880" s="27">
        <v>45561.249305555553</v>
      </c>
      <c r="O1880" s="27">
        <v>45561.856944444444</v>
      </c>
      <c r="P1880" s="20"/>
      <c r="Q1880" s="16" t="b">
        <f>FALSE()</f>
        <v>0</v>
      </c>
      <c r="R1880" s="16" t="b">
        <f>TRUE()</f>
        <v>1</v>
      </c>
      <c r="S1880" s="17">
        <f t="shared" si="29"/>
        <v>14.6</v>
      </c>
      <c r="T1880">
        <f>COUNTIF('👤 Customers'!$A:$A, B1880)</f>
        <v>1</v>
      </c>
      <c r="U1880">
        <f>COUNTIF('🚴 Riders'!A1879:A1939, C1880)</f>
        <v>0</v>
      </c>
      <c r="V1880">
        <f>COUNTIF('🏭 Facilities'!A1879:A1887, D1880)</f>
        <v>0</v>
      </c>
    </row>
    <row r="1881" spans="1:22">
      <c r="A1881" s="18" t="s">
        <v>4428</v>
      </c>
      <c r="B1881" s="18" t="s">
        <v>1162</v>
      </c>
      <c r="C1881" s="18" t="s">
        <v>300</v>
      </c>
      <c r="D1881" s="18" t="s">
        <v>130</v>
      </c>
      <c r="E1881" s="26">
        <v>44976</v>
      </c>
      <c r="F1881" s="18" t="s">
        <v>4429</v>
      </c>
      <c r="G1881" s="18" t="s">
        <v>176</v>
      </c>
      <c r="H1881" s="18">
        <v>3.2</v>
      </c>
      <c r="I1881" s="18">
        <v>599</v>
      </c>
      <c r="J1881" s="18">
        <v>0</v>
      </c>
      <c r="K1881" s="18">
        <v>1916.8</v>
      </c>
      <c r="L1881" s="18" t="s">
        <v>207</v>
      </c>
      <c r="M1881" s="18" t="s">
        <v>119</v>
      </c>
      <c r="N1881" s="28">
        <v>44976.240972222222</v>
      </c>
      <c r="O1881" s="28">
        <v>44977.3</v>
      </c>
      <c r="P1881" s="18">
        <v>2.7</v>
      </c>
      <c r="Q1881" s="18" t="b">
        <f>FALSE()</f>
        <v>0</v>
      </c>
      <c r="R1881" s="18" t="b">
        <f>FALSE()</f>
        <v>0</v>
      </c>
      <c r="S1881" s="19">
        <f t="shared" si="29"/>
        <v>25.4</v>
      </c>
      <c r="T1881">
        <f>COUNTIF('👤 Customers'!$A:$A, B1881)</f>
        <v>1</v>
      </c>
      <c r="U1881">
        <f>COUNTIF('🚴 Riders'!A1880:A1940, C1881)</f>
        <v>0</v>
      </c>
      <c r="V1881">
        <f>COUNTIF('🏭 Facilities'!A1880:A1888, D1881)</f>
        <v>0</v>
      </c>
    </row>
    <row r="1882" spans="1:22">
      <c r="A1882" s="16" t="s">
        <v>4430</v>
      </c>
      <c r="B1882" s="16" t="s">
        <v>342</v>
      </c>
      <c r="C1882" s="16" t="s">
        <v>717</v>
      </c>
      <c r="D1882" s="16" t="s">
        <v>197</v>
      </c>
      <c r="E1882" s="25">
        <v>45079</v>
      </c>
      <c r="F1882" s="16" t="s">
        <v>4431</v>
      </c>
      <c r="G1882" s="16" t="s">
        <v>125</v>
      </c>
      <c r="H1882" s="16">
        <v>7.7</v>
      </c>
      <c r="I1882" s="16">
        <v>199</v>
      </c>
      <c r="J1882" s="16">
        <v>0</v>
      </c>
      <c r="K1882" s="16">
        <v>1532.3</v>
      </c>
      <c r="L1882" s="16" t="s">
        <v>126</v>
      </c>
      <c r="M1882" s="16" t="s">
        <v>119</v>
      </c>
      <c r="N1882" s="27">
        <v>45079.112500000003</v>
      </c>
      <c r="O1882" s="27">
        <v>45080.035416666666</v>
      </c>
      <c r="P1882" s="16">
        <v>4.7</v>
      </c>
      <c r="Q1882" s="16" t="b">
        <f>FALSE()</f>
        <v>0</v>
      </c>
      <c r="R1882" s="16" t="b">
        <f>FALSE()</f>
        <v>0</v>
      </c>
      <c r="S1882" s="17">
        <f t="shared" si="29"/>
        <v>22.1</v>
      </c>
      <c r="T1882">
        <f>COUNTIF('👤 Customers'!$A:$A, B1882)</f>
        <v>1</v>
      </c>
      <c r="U1882">
        <f>COUNTIF('🚴 Riders'!A1881:A1941, C1882)</f>
        <v>0</v>
      </c>
      <c r="V1882">
        <f>COUNTIF('🏭 Facilities'!A1881:A1889, D1882)</f>
        <v>0</v>
      </c>
    </row>
    <row r="1883" spans="1:22">
      <c r="A1883" s="18" t="s">
        <v>4432</v>
      </c>
      <c r="B1883" s="18" t="s">
        <v>1191</v>
      </c>
      <c r="C1883" s="18" t="s">
        <v>129</v>
      </c>
      <c r="D1883" s="18" t="s">
        <v>123</v>
      </c>
      <c r="E1883" s="26">
        <v>45243</v>
      </c>
      <c r="F1883" s="18" t="s">
        <v>4433</v>
      </c>
      <c r="G1883" s="18" t="s">
        <v>117</v>
      </c>
      <c r="H1883" s="18">
        <v>5.3</v>
      </c>
      <c r="I1883" s="18">
        <v>149</v>
      </c>
      <c r="J1883" s="18">
        <v>0</v>
      </c>
      <c r="K1883" s="18">
        <v>789.7</v>
      </c>
      <c r="L1883" s="18" t="s">
        <v>118</v>
      </c>
      <c r="M1883" s="18" t="s">
        <v>119</v>
      </c>
      <c r="N1883" s="28">
        <v>45243.400694444441</v>
      </c>
      <c r="O1883" s="28">
        <v>45244.067361111112</v>
      </c>
      <c r="P1883" s="18">
        <v>5</v>
      </c>
      <c r="Q1883" s="18" t="b">
        <f>FALSE()</f>
        <v>0</v>
      </c>
      <c r="R1883" s="18" t="b">
        <f>FALSE()</f>
        <v>0</v>
      </c>
      <c r="S1883" s="19">
        <f t="shared" si="29"/>
        <v>16</v>
      </c>
      <c r="T1883">
        <f>COUNTIF('👤 Customers'!$A:$A, B1883)</f>
        <v>1</v>
      </c>
      <c r="U1883">
        <f>COUNTIF('🚴 Riders'!A1882:A1942, C1883)</f>
        <v>0</v>
      </c>
      <c r="V1883">
        <f>COUNTIF('🏭 Facilities'!A1882:A1890, D1883)</f>
        <v>0</v>
      </c>
    </row>
    <row r="1884" spans="1:22">
      <c r="A1884" s="16" t="s">
        <v>4434</v>
      </c>
      <c r="B1884" s="16" t="s">
        <v>947</v>
      </c>
      <c r="C1884" s="16" t="s">
        <v>842</v>
      </c>
      <c r="D1884" s="16" t="s">
        <v>184</v>
      </c>
      <c r="E1884" s="25">
        <v>45503</v>
      </c>
      <c r="F1884" s="16" t="s">
        <v>4435</v>
      </c>
      <c r="G1884" s="16" t="s">
        <v>132</v>
      </c>
      <c r="H1884" s="16">
        <v>5.2</v>
      </c>
      <c r="I1884" s="16">
        <v>399</v>
      </c>
      <c r="J1884" s="16">
        <v>0</v>
      </c>
      <c r="K1884" s="16">
        <v>2074.8000000000002</v>
      </c>
      <c r="L1884" s="16" t="s">
        <v>139</v>
      </c>
      <c r="M1884" s="16" t="s">
        <v>119</v>
      </c>
      <c r="N1884" s="27">
        <v>45503.472222222219</v>
      </c>
      <c r="O1884" s="27">
        <v>45504.456944444442</v>
      </c>
      <c r="P1884" s="16">
        <v>3.3</v>
      </c>
      <c r="Q1884" s="16" t="b">
        <f>TRUE()</f>
        <v>1</v>
      </c>
      <c r="R1884" s="16" t="b">
        <f>FALSE()</f>
        <v>0</v>
      </c>
      <c r="S1884" s="17">
        <f t="shared" si="29"/>
        <v>23.6</v>
      </c>
      <c r="T1884">
        <f>COUNTIF('👤 Customers'!$A:$A, B1884)</f>
        <v>1</v>
      </c>
      <c r="U1884">
        <f>COUNTIF('🚴 Riders'!A1883:A1943, C1884)</f>
        <v>0</v>
      </c>
      <c r="V1884">
        <f>COUNTIF('🏭 Facilities'!A1883:A1891, D1884)</f>
        <v>0</v>
      </c>
    </row>
    <row r="1885" spans="1:22">
      <c r="A1885" s="18" t="s">
        <v>4436</v>
      </c>
      <c r="B1885" s="18" t="s">
        <v>827</v>
      </c>
      <c r="C1885" s="18" t="s">
        <v>300</v>
      </c>
      <c r="D1885" s="18" t="s">
        <v>184</v>
      </c>
      <c r="E1885" s="26">
        <v>45496</v>
      </c>
      <c r="F1885" s="18" t="s">
        <v>4437</v>
      </c>
      <c r="G1885" s="18" t="s">
        <v>125</v>
      </c>
      <c r="H1885" s="18">
        <v>1.2</v>
      </c>
      <c r="I1885" s="18">
        <v>199</v>
      </c>
      <c r="J1885" s="18">
        <v>30</v>
      </c>
      <c r="K1885" s="18">
        <v>167.16</v>
      </c>
      <c r="L1885" s="18" t="s">
        <v>126</v>
      </c>
      <c r="M1885" s="18" t="s">
        <v>140</v>
      </c>
      <c r="N1885" s="28">
        <v>45497.044444444444</v>
      </c>
      <c r="O1885" s="28">
        <v>45498.104166666664</v>
      </c>
      <c r="P1885" s="20"/>
      <c r="Q1885" s="18" t="b">
        <f>FALSE()</f>
        <v>0</v>
      </c>
      <c r="R1885" s="18" t="b">
        <f>FALSE()</f>
        <v>0</v>
      </c>
      <c r="S1885" s="19">
        <f t="shared" si="29"/>
        <v>25.4</v>
      </c>
      <c r="T1885">
        <f>COUNTIF('👤 Customers'!$A:$A, B1885)</f>
        <v>1</v>
      </c>
      <c r="U1885">
        <f>COUNTIF('🚴 Riders'!A1884:A1944, C1885)</f>
        <v>0</v>
      </c>
      <c r="V1885">
        <f>COUNTIF('🏭 Facilities'!A1884:A1892, D1885)</f>
        <v>0</v>
      </c>
    </row>
    <row r="1886" spans="1:22">
      <c r="A1886" s="16" t="s">
        <v>4438</v>
      </c>
      <c r="B1886" s="16" t="s">
        <v>419</v>
      </c>
      <c r="C1886" s="16" t="s">
        <v>276</v>
      </c>
      <c r="D1886" s="16" t="s">
        <v>137</v>
      </c>
      <c r="E1886" s="25">
        <v>45587</v>
      </c>
      <c r="F1886" s="16" t="s">
        <v>4439</v>
      </c>
      <c r="G1886" s="16" t="s">
        <v>176</v>
      </c>
      <c r="H1886" s="16">
        <v>5.5</v>
      </c>
      <c r="I1886" s="16">
        <v>599</v>
      </c>
      <c r="J1886" s="16">
        <v>0</v>
      </c>
      <c r="K1886" s="16">
        <v>3294.5</v>
      </c>
      <c r="L1886" s="16" t="s">
        <v>207</v>
      </c>
      <c r="M1886" s="16" t="s">
        <v>119</v>
      </c>
      <c r="N1886" s="27">
        <v>45587.116666666669</v>
      </c>
      <c r="O1886" s="27">
        <v>45587.99722222222</v>
      </c>
      <c r="P1886" s="16">
        <v>4.2</v>
      </c>
      <c r="Q1886" s="16" t="b">
        <f>FALSE()</f>
        <v>0</v>
      </c>
      <c r="R1886" s="16" t="b">
        <f>FALSE()</f>
        <v>0</v>
      </c>
      <c r="S1886" s="17">
        <f t="shared" si="29"/>
        <v>21.1</v>
      </c>
      <c r="T1886">
        <f>COUNTIF('👤 Customers'!$A:$A, B1886)</f>
        <v>1</v>
      </c>
      <c r="U1886">
        <f>COUNTIF('🚴 Riders'!A1885:A1945, C1886)</f>
        <v>0</v>
      </c>
      <c r="V1886">
        <f>COUNTIF('🏭 Facilities'!A1885:A1893, D1886)</f>
        <v>0</v>
      </c>
    </row>
    <row r="1887" spans="1:22">
      <c r="A1887" s="18" t="s">
        <v>4440</v>
      </c>
      <c r="B1887" s="18" t="s">
        <v>2167</v>
      </c>
      <c r="C1887" s="18" t="s">
        <v>232</v>
      </c>
      <c r="D1887" s="18" t="s">
        <v>123</v>
      </c>
      <c r="E1887" s="26">
        <v>45647</v>
      </c>
      <c r="F1887" s="18" t="s">
        <v>4441</v>
      </c>
      <c r="G1887" s="18" t="s">
        <v>145</v>
      </c>
      <c r="H1887" s="18">
        <v>2.2000000000000002</v>
      </c>
      <c r="I1887" s="18">
        <v>299</v>
      </c>
      <c r="J1887" s="18">
        <v>10</v>
      </c>
      <c r="K1887" s="18">
        <v>592.02</v>
      </c>
      <c r="L1887" s="18" t="s">
        <v>139</v>
      </c>
      <c r="M1887" s="18" t="s">
        <v>133</v>
      </c>
      <c r="N1887" s="20"/>
      <c r="O1887" s="20"/>
      <c r="P1887" s="20"/>
      <c r="Q1887" s="18" t="b">
        <f>FALSE()</f>
        <v>0</v>
      </c>
      <c r="R1887" s="18" t="b">
        <f>FALSE()</f>
        <v>0</v>
      </c>
      <c r="S1887" s="19" t="str">
        <f t="shared" si="29"/>
        <v>N/A</v>
      </c>
      <c r="T1887">
        <f>COUNTIF('👤 Customers'!$A:$A, B1887)</f>
        <v>1</v>
      </c>
      <c r="U1887">
        <f>COUNTIF('🚴 Riders'!A1886:A1946, C1887)</f>
        <v>0</v>
      </c>
      <c r="V1887">
        <f>COUNTIF('🏭 Facilities'!A1886:A1894, D1887)</f>
        <v>0</v>
      </c>
    </row>
    <row r="1888" spans="1:22">
      <c r="A1888" s="16" t="s">
        <v>4442</v>
      </c>
      <c r="B1888" s="16" t="s">
        <v>695</v>
      </c>
      <c r="C1888" s="16" t="s">
        <v>461</v>
      </c>
      <c r="D1888" s="16" t="s">
        <v>205</v>
      </c>
      <c r="E1888" s="25">
        <v>44994</v>
      </c>
      <c r="F1888" s="16" t="s">
        <v>4443</v>
      </c>
      <c r="G1888" s="16" t="s">
        <v>125</v>
      </c>
      <c r="H1888" s="16">
        <v>1.1000000000000001</v>
      </c>
      <c r="I1888" s="16">
        <v>199</v>
      </c>
      <c r="J1888" s="16">
        <v>0</v>
      </c>
      <c r="K1888" s="16">
        <v>218.9</v>
      </c>
      <c r="L1888" s="16" t="s">
        <v>139</v>
      </c>
      <c r="M1888" s="16" t="s">
        <v>119</v>
      </c>
      <c r="N1888" s="27">
        <v>44994.1875</v>
      </c>
      <c r="O1888" s="27">
        <v>44995.03125</v>
      </c>
      <c r="P1888" s="16">
        <v>2.8</v>
      </c>
      <c r="Q1888" s="16" t="b">
        <f>TRUE()</f>
        <v>1</v>
      </c>
      <c r="R1888" s="16" t="b">
        <f>FALSE()</f>
        <v>0</v>
      </c>
      <c r="S1888" s="17">
        <f t="shared" si="29"/>
        <v>20.3</v>
      </c>
      <c r="T1888">
        <f>COUNTIF('👤 Customers'!$A:$A, B1888)</f>
        <v>1</v>
      </c>
      <c r="U1888">
        <f>COUNTIF('🚴 Riders'!A1887:A1947, C1888)</f>
        <v>0</v>
      </c>
      <c r="V1888">
        <f>COUNTIF('🏭 Facilities'!A1887:A1895, D1888)</f>
        <v>0</v>
      </c>
    </row>
    <row r="1889" spans="1:22">
      <c r="A1889" s="18" t="s">
        <v>4444</v>
      </c>
      <c r="B1889" s="18" t="s">
        <v>941</v>
      </c>
      <c r="C1889" s="18" t="s">
        <v>157</v>
      </c>
      <c r="D1889" s="18" t="s">
        <v>115</v>
      </c>
      <c r="E1889" s="26">
        <v>44965</v>
      </c>
      <c r="F1889" s="18" t="s">
        <v>4445</v>
      </c>
      <c r="G1889" s="18" t="s">
        <v>132</v>
      </c>
      <c r="H1889" s="18">
        <v>2.1</v>
      </c>
      <c r="I1889" s="18">
        <v>399</v>
      </c>
      <c r="J1889" s="18">
        <v>0</v>
      </c>
      <c r="K1889" s="18">
        <v>837.9</v>
      </c>
      <c r="L1889" s="18" t="s">
        <v>207</v>
      </c>
      <c r="M1889" s="18" t="s">
        <v>140</v>
      </c>
      <c r="N1889" s="28">
        <v>44965.29791666667</v>
      </c>
      <c r="O1889" s="28">
        <v>44966.296527777777</v>
      </c>
      <c r="P1889" s="20"/>
      <c r="Q1889" s="18" t="b">
        <f>FALSE()</f>
        <v>0</v>
      </c>
      <c r="R1889" s="18" t="b">
        <f>TRUE()</f>
        <v>1</v>
      </c>
      <c r="S1889" s="19">
        <f t="shared" si="29"/>
        <v>24</v>
      </c>
      <c r="T1889">
        <f>COUNTIF('👤 Customers'!$A:$A, B1889)</f>
        <v>1</v>
      </c>
      <c r="U1889">
        <f>COUNTIF('🚴 Riders'!A1888:A1948, C1889)</f>
        <v>0</v>
      </c>
      <c r="V1889">
        <f>COUNTIF('🏭 Facilities'!A1888:A1896, D1889)</f>
        <v>0</v>
      </c>
    </row>
    <row r="1890" spans="1:22">
      <c r="A1890" s="16" t="s">
        <v>4446</v>
      </c>
      <c r="B1890" s="16" t="s">
        <v>216</v>
      </c>
      <c r="C1890" s="16" t="s">
        <v>257</v>
      </c>
      <c r="D1890" s="16" t="s">
        <v>184</v>
      </c>
      <c r="E1890" s="25">
        <v>45286</v>
      </c>
      <c r="F1890" s="16" t="s">
        <v>4447</v>
      </c>
      <c r="G1890" s="16" t="s">
        <v>125</v>
      </c>
      <c r="H1890" s="16">
        <v>2</v>
      </c>
      <c r="I1890" s="16">
        <v>199</v>
      </c>
      <c r="J1890" s="16">
        <v>0</v>
      </c>
      <c r="K1890" s="16">
        <v>398</v>
      </c>
      <c r="L1890" s="16" t="s">
        <v>207</v>
      </c>
      <c r="M1890" s="16" t="s">
        <v>119</v>
      </c>
      <c r="N1890" s="27">
        <v>45286.754861111112</v>
      </c>
      <c r="O1890" s="27">
        <v>45287.789583333331</v>
      </c>
      <c r="P1890" s="16">
        <v>4.8</v>
      </c>
      <c r="Q1890" s="16" t="b">
        <f>FALSE()</f>
        <v>0</v>
      </c>
      <c r="R1890" s="16" t="b">
        <f>FALSE()</f>
        <v>0</v>
      </c>
      <c r="S1890" s="17">
        <f t="shared" si="29"/>
        <v>24.8</v>
      </c>
      <c r="T1890">
        <f>COUNTIF('👤 Customers'!$A:$A, B1890)</f>
        <v>1</v>
      </c>
      <c r="U1890">
        <f>COUNTIF('🚴 Riders'!A1889:A1949, C1890)</f>
        <v>0</v>
      </c>
      <c r="V1890">
        <f>COUNTIF('🏭 Facilities'!A1889:A1897, D1890)</f>
        <v>0</v>
      </c>
    </row>
    <row r="1891" spans="1:22">
      <c r="A1891" s="18" t="s">
        <v>4448</v>
      </c>
      <c r="B1891" s="18" t="s">
        <v>562</v>
      </c>
      <c r="C1891" s="18" t="s">
        <v>272</v>
      </c>
      <c r="D1891" s="18" t="s">
        <v>205</v>
      </c>
      <c r="E1891" s="26">
        <v>45553</v>
      </c>
      <c r="F1891" s="18" t="s">
        <v>4449</v>
      </c>
      <c r="G1891" s="18" t="s">
        <v>145</v>
      </c>
      <c r="H1891" s="18">
        <v>1.3</v>
      </c>
      <c r="I1891" s="18">
        <v>299</v>
      </c>
      <c r="J1891" s="18">
        <v>0</v>
      </c>
      <c r="K1891" s="18">
        <v>388.7</v>
      </c>
      <c r="L1891" s="18" t="s">
        <v>118</v>
      </c>
      <c r="M1891" s="18" t="s">
        <v>119</v>
      </c>
      <c r="N1891" s="28">
        <v>45553.185416666667</v>
      </c>
      <c r="O1891" s="28">
        <v>45554.12222222222</v>
      </c>
      <c r="P1891" s="18">
        <v>4.7</v>
      </c>
      <c r="Q1891" s="18" t="b">
        <f>FALSE()</f>
        <v>0</v>
      </c>
      <c r="R1891" s="18" t="b">
        <f>FALSE()</f>
        <v>0</v>
      </c>
      <c r="S1891" s="19">
        <f t="shared" si="29"/>
        <v>22.5</v>
      </c>
      <c r="T1891">
        <f>COUNTIF('👤 Customers'!$A:$A, B1891)</f>
        <v>1</v>
      </c>
      <c r="U1891">
        <f>COUNTIF('🚴 Riders'!A1890:A1950, C1891)</f>
        <v>0</v>
      </c>
      <c r="V1891">
        <f>COUNTIF('🏭 Facilities'!A1890:A1898, D1891)</f>
        <v>0</v>
      </c>
    </row>
    <row r="1892" spans="1:22">
      <c r="A1892" s="16" t="s">
        <v>4450</v>
      </c>
      <c r="B1892" s="16" t="s">
        <v>1654</v>
      </c>
      <c r="C1892" s="16" t="s">
        <v>283</v>
      </c>
      <c r="D1892" s="16" t="s">
        <v>205</v>
      </c>
      <c r="E1892" s="25">
        <v>45237</v>
      </c>
      <c r="F1892" s="16" t="s">
        <v>4451</v>
      </c>
      <c r="G1892" s="16" t="s">
        <v>176</v>
      </c>
      <c r="H1892" s="16">
        <v>7.8</v>
      </c>
      <c r="I1892" s="16">
        <v>599</v>
      </c>
      <c r="J1892" s="16">
        <v>0</v>
      </c>
      <c r="K1892" s="16">
        <v>4672.2</v>
      </c>
      <c r="L1892" s="16" t="s">
        <v>139</v>
      </c>
      <c r="M1892" s="16" t="s">
        <v>133</v>
      </c>
      <c r="N1892" s="20"/>
      <c r="O1892" s="20"/>
      <c r="P1892" s="20"/>
      <c r="Q1892" s="16" t="b">
        <f>FALSE()</f>
        <v>0</v>
      </c>
      <c r="R1892" s="16" t="b">
        <f>FALSE()</f>
        <v>0</v>
      </c>
      <c r="S1892" s="17" t="str">
        <f t="shared" si="29"/>
        <v>N/A</v>
      </c>
      <c r="T1892">
        <f>COUNTIF('👤 Customers'!$A:$A, B1892)</f>
        <v>1</v>
      </c>
      <c r="U1892">
        <f>COUNTIF('🚴 Riders'!A1891:A1951, C1892)</f>
        <v>0</v>
      </c>
      <c r="V1892">
        <f>COUNTIF('🏭 Facilities'!A1891:A1899, D1892)</f>
        <v>0</v>
      </c>
    </row>
    <row r="1893" spans="1:22">
      <c r="A1893" s="18" t="s">
        <v>4452</v>
      </c>
      <c r="B1893" s="18" t="s">
        <v>2906</v>
      </c>
      <c r="C1893" s="18" t="s">
        <v>136</v>
      </c>
      <c r="D1893" s="18" t="s">
        <v>115</v>
      </c>
      <c r="E1893" s="26">
        <v>45085</v>
      </c>
      <c r="F1893" s="18" t="s">
        <v>4453</v>
      </c>
      <c r="G1893" s="18" t="s">
        <v>125</v>
      </c>
      <c r="H1893" s="18">
        <v>1.7</v>
      </c>
      <c r="I1893" s="18">
        <v>199</v>
      </c>
      <c r="J1893" s="18">
        <v>0</v>
      </c>
      <c r="K1893" s="18">
        <v>338.3</v>
      </c>
      <c r="L1893" s="18" t="s">
        <v>146</v>
      </c>
      <c r="M1893" s="18" t="s">
        <v>140</v>
      </c>
      <c r="N1893" s="28">
        <v>45085.779166666667</v>
      </c>
      <c r="O1893" s="28">
        <v>45086.405555555553</v>
      </c>
      <c r="P1893" s="20"/>
      <c r="Q1893" s="18" t="b">
        <f>FALSE()</f>
        <v>0</v>
      </c>
      <c r="R1893" s="18" t="b">
        <f>FALSE()</f>
        <v>0</v>
      </c>
      <c r="S1893" s="19">
        <f t="shared" si="29"/>
        <v>15</v>
      </c>
      <c r="T1893">
        <f>COUNTIF('👤 Customers'!$A:$A, B1893)</f>
        <v>1</v>
      </c>
      <c r="U1893">
        <f>COUNTIF('🚴 Riders'!A1892:A1952, C1893)</f>
        <v>0</v>
      </c>
      <c r="V1893">
        <f>COUNTIF('🏭 Facilities'!A1892:A1900, D1893)</f>
        <v>0</v>
      </c>
    </row>
    <row r="1894" spans="1:22">
      <c r="A1894" s="16" t="s">
        <v>4454</v>
      </c>
      <c r="B1894" s="16" t="s">
        <v>1439</v>
      </c>
      <c r="C1894" s="16" t="s">
        <v>174</v>
      </c>
      <c r="D1894" s="16" t="s">
        <v>158</v>
      </c>
      <c r="E1894" s="25">
        <v>45492</v>
      </c>
      <c r="F1894" s="16" t="s">
        <v>4455</v>
      </c>
      <c r="G1894" s="16" t="s">
        <v>145</v>
      </c>
      <c r="H1894" s="16">
        <v>3.4</v>
      </c>
      <c r="I1894" s="16">
        <v>299</v>
      </c>
      <c r="J1894" s="16">
        <v>10</v>
      </c>
      <c r="K1894" s="16">
        <v>914.94</v>
      </c>
      <c r="L1894" s="16" t="s">
        <v>207</v>
      </c>
      <c r="M1894" s="16" t="s">
        <v>133</v>
      </c>
      <c r="N1894" s="20"/>
      <c r="O1894" s="20"/>
      <c r="P1894" s="20"/>
      <c r="Q1894" s="16" t="b">
        <f>FALSE()</f>
        <v>0</v>
      </c>
      <c r="R1894" s="16" t="b">
        <f>TRUE()</f>
        <v>1</v>
      </c>
      <c r="S1894" s="17" t="str">
        <f t="shared" si="29"/>
        <v>N/A</v>
      </c>
      <c r="T1894">
        <f>COUNTIF('👤 Customers'!$A:$A, B1894)</f>
        <v>1</v>
      </c>
      <c r="U1894">
        <f>COUNTIF('🚴 Riders'!A1893:A1953, C1894)</f>
        <v>0</v>
      </c>
      <c r="V1894">
        <f>COUNTIF('🏭 Facilities'!A1893:A1901, D1894)</f>
        <v>0</v>
      </c>
    </row>
    <row r="1895" spans="1:22">
      <c r="A1895" s="18" t="s">
        <v>4456</v>
      </c>
      <c r="B1895" s="18" t="s">
        <v>1070</v>
      </c>
      <c r="C1895" s="18" t="s">
        <v>213</v>
      </c>
      <c r="D1895" s="18" t="s">
        <v>123</v>
      </c>
      <c r="E1895" s="26">
        <v>45386</v>
      </c>
      <c r="F1895" s="18" t="s">
        <v>4457</v>
      </c>
      <c r="G1895" s="18" t="s">
        <v>125</v>
      </c>
      <c r="H1895" s="18">
        <v>7.2</v>
      </c>
      <c r="I1895" s="18">
        <v>199</v>
      </c>
      <c r="J1895" s="18">
        <v>30</v>
      </c>
      <c r="K1895" s="18">
        <v>1002.96</v>
      </c>
      <c r="L1895" s="18" t="s">
        <v>139</v>
      </c>
      <c r="M1895" s="18" t="s">
        <v>140</v>
      </c>
      <c r="N1895" s="28">
        <v>45386.63958333333</v>
      </c>
      <c r="O1895" s="28">
        <v>45387.348611111112</v>
      </c>
      <c r="P1895" s="20"/>
      <c r="Q1895" s="18" t="b">
        <f>FALSE()</f>
        <v>0</v>
      </c>
      <c r="R1895" s="18" t="b">
        <f>TRUE()</f>
        <v>1</v>
      </c>
      <c r="S1895" s="19">
        <f t="shared" si="29"/>
        <v>17</v>
      </c>
      <c r="T1895">
        <f>COUNTIF('👤 Customers'!$A:$A, B1895)</f>
        <v>1</v>
      </c>
      <c r="U1895">
        <f>COUNTIF('🚴 Riders'!A1894:A1954, C1895)</f>
        <v>0</v>
      </c>
      <c r="V1895">
        <f>COUNTIF('🏭 Facilities'!A1894:A1902, D1895)</f>
        <v>0</v>
      </c>
    </row>
    <row r="1896" spans="1:22">
      <c r="A1896" s="16" t="s">
        <v>4458</v>
      </c>
      <c r="B1896" s="16" t="s">
        <v>1018</v>
      </c>
      <c r="C1896" s="16" t="s">
        <v>750</v>
      </c>
      <c r="D1896" s="16" t="s">
        <v>205</v>
      </c>
      <c r="E1896" s="25">
        <v>45375</v>
      </c>
      <c r="F1896" s="16" t="s">
        <v>4459</v>
      </c>
      <c r="G1896" s="16" t="s">
        <v>176</v>
      </c>
      <c r="H1896" s="16">
        <v>1.1000000000000001</v>
      </c>
      <c r="I1896" s="16">
        <v>599</v>
      </c>
      <c r="J1896" s="16">
        <v>0</v>
      </c>
      <c r="K1896" s="16">
        <v>658.9</v>
      </c>
      <c r="L1896" s="16" t="s">
        <v>207</v>
      </c>
      <c r="M1896" s="16" t="s">
        <v>119</v>
      </c>
      <c r="N1896" s="27">
        <v>45375.5625</v>
      </c>
      <c r="O1896" s="27">
        <v>45376.484722222223</v>
      </c>
      <c r="P1896" s="16">
        <v>3.9</v>
      </c>
      <c r="Q1896" s="16" t="b">
        <f>FALSE()</f>
        <v>0</v>
      </c>
      <c r="R1896" s="16" t="b">
        <f>FALSE()</f>
        <v>0</v>
      </c>
      <c r="S1896" s="17">
        <f t="shared" si="29"/>
        <v>22.1</v>
      </c>
      <c r="T1896">
        <f>COUNTIF('👤 Customers'!$A:$A, B1896)</f>
        <v>1</v>
      </c>
      <c r="U1896">
        <f>COUNTIF('🚴 Riders'!A1895:A1955, C1896)</f>
        <v>0</v>
      </c>
      <c r="V1896">
        <f>COUNTIF('🏭 Facilities'!A1895:A1903, D1896)</f>
        <v>0</v>
      </c>
    </row>
    <row r="1897" spans="1:22">
      <c r="A1897" s="18" t="s">
        <v>4460</v>
      </c>
      <c r="B1897" s="18" t="s">
        <v>1137</v>
      </c>
      <c r="C1897" s="18" t="s">
        <v>192</v>
      </c>
      <c r="D1897" s="18" t="s">
        <v>123</v>
      </c>
      <c r="E1897" s="26">
        <v>45166</v>
      </c>
      <c r="F1897" s="18" t="s">
        <v>4461</v>
      </c>
      <c r="G1897" s="18" t="s">
        <v>125</v>
      </c>
      <c r="H1897" s="18">
        <v>5.0999999999999996</v>
      </c>
      <c r="I1897" s="18">
        <v>199</v>
      </c>
      <c r="J1897" s="18">
        <v>10</v>
      </c>
      <c r="K1897" s="18">
        <v>913.41</v>
      </c>
      <c r="L1897" s="18" t="s">
        <v>139</v>
      </c>
      <c r="M1897" s="18" t="s">
        <v>119</v>
      </c>
      <c r="N1897" s="28">
        <v>45166.349305555559</v>
      </c>
      <c r="O1897" s="28">
        <v>45167.067361111112</v>
      </c>
      <c r="P1897" s="18">
        <v>2.8</v>
      </c>
      <c r="Q1897" s="18" t="b">
        <f>FALSE()</f>
        <v>0</v>
      </c>
      <c r="R1897" s="18" t="b">
        <f>FALSE()</f>
        <v>0</v>
      </c>
      <c r="S1897" s="19">
        <f t="shared" si="29"/>
        <v>17.2</v>
      </c>
      <c r="T1897">
        <f>COUNTIF('👤 Customers'!$A:$A, B1897)</f>
        <v>1</v>
      </c>
      <c r="U1897">
        <f>COUNTIF('🚴 Riders'!A1896:A1956, C1897)</f>
        <v>0</v>
      </c>
      <c r="V1897">
        <f>COUNTIF('🏭 Facilities'!A1896:A1904, D1897)</f>
        <v>0</v>
      </c>
    </row>
    <row r="1898" spans="1:22">
      <c r="A1898" s="16" t="s">
        <v>4462</v>
      </c>
      <c r="B1898" s="16" t="s">
        <v>482</v>
      </c>
      <c r="C1898" s="16" t="s">
        <v>236</v>
      </c>
      <c r="D1898" s="16" t="s">
        <v>184</v>
      </c>
      <c r="E1898" s="25">
        <v>44999</v>
      </c>
      <c r="F1898" s="16" t="s">
        <v>4463</v>
      </c>
      <c r="G1898" s="16" t="s">
        <v>145</v>
      </c>
      <c r="H1898" s="16">
        <v>4.3</v>
      </c>
      <c r="I1898" s="16">
        <v>299</v>
      </c>
      <c r="J1898" s="16">
        <v>10</v>
      </c>
      <c r="K1898" s="16">
        <v>1157.1300000000001</v>
      </c>
      <c r="L1898" s="16" t="s">
        <v>146</v>
      </c>
      <c r="M1898" s="16" t="s">
        <v>133</v>
      </c>
      <c r="N1898" s="20"/>
      <c r="O1898" s="20"/>
      <c r="P1898" s="20"/>
      <c r="Q1898" s="16" t="b">
        <f>FALSE()</f>
        <v>0</v>
      </c>
      <c r="R1898" s="16" t="b">
        <f>FALSE()</f>
        <v>0</v>
      </c>
      <c r="S1898" s="17" t="str">
        <f t="shared" si="29"/>
        <v>N/A</v>
      </c>
      <c r="T1898">
        <f>COUNTIF('👤 Customers'!$A:$A, B1898)</f>
        <v>1</v>
      </c>
      <c r="U1898">
        <f>COUNTIF('🚴 Riders'!A1897:A1957, C1898)</f>
        <v>0</v>
      </c>
      <c r="V1898">
        <f>COUNTIF('🏭 Facilities'!A1897:A1905, D1898)</f>
        <v>0</v>
      </c>
    </row>
    <row r="1899" spans="1:22">
      <c r="A1899" s="18" t="s">
        <v>4464</v>
      </c>
      <c r="B1899" s="18" t="s">
        <v>569</v>
      </c>
      <c r="C1899" s="18" t="s">
        <v>220</v>
      </c>
      <c r="D1899" s="18" t="s">
        <v>137</v>
      </c>
      <c r="E1899" s="26">
        <v>45328</v>
      </c>
      <c r="F1899" s="18" t="s">
        <v>4465</v>
      </c>
      <c r="G1899" s="18" t="s">
        <v>145</v>
      </c>
      <c r="H1899" s="18">
        <v>6.7</v>
      </c>
      <c r="I1899" s="18">
        <v>299</v>
      </c>
      <c r="J1899" s="18">
        <v>0</v>
      </c>
      <c r="K1899" s="18">
        <v>2003.3</v>
      </c>
      <c r="L1899" s="18" t="s">
        <v>118</v>
      </c>
      <c r="M1899" s="18" t="s">
        <v>119</v>
      </c>
      <c r="N1899" s="28">
        <v>45328.760416666664</v>
      </c>
      <c r="O1899" s="28">
        <v>45329.35833333333</v>
      </c>
      <c r="P1899" s="18">
        <v>4.4000000000000004</v>
      </c>
      <c r="Q1899" s="18" t="b">
        <f>FALSE()</f>
        <v>0</v>
      </c>
      <c r="R1899" s="18" t="b">
        <f>FALSE()</f>
        <v>0</v>
      </c>
      <c r="S1899" s="19">
        <f t="shared" si="29"/>
        <v>14.3</v>
      </c>
      <c r="T1899">
        <f>COUNTIF('👤 Customers'!$A:$A, B1899)</f>
        <v>1</v>
      </c>
      <c r="U1899">
        <f>COUNTIF('🚴 Riders'!A1898:A1958, C1899)</f>
        <v>0</v>
      </c>
      <c r="V1899">
        <f>COUNTIF('🏭 Facilities'!A1898:A1906, D1899)</f>
        <v>0</v>
      </c>
    </row>
    <row r="1900" spans="1:22">
      <c r="A1900" s="16" t="s">
        <v>4466</v>
      </c>
      <c r="B1900" s="16" t="s">
        <v>1207</v>
      </c>
      <c r="C1900" s="16" t="s">
        <v>842</v>
      </c>
      <c r="D1900" s="16" t="s">
        <v>130</v>
      </c>
      <c r="E1900" s="25">
        <v>45071</v>
      </c>
      <c r="F1900" s="16" t="s">
        <v>4467</v>
      </c>
      <c r="G1900" s="16" t="s">
        <v>132</v>
      </c>
      <c r="H1900" s="16">
        <v>4.7</v>
      </c>
      <c r="I1900" s="16">
        <v>399</v>
      </c>
      <c r="J1900" s="16">
        <v>0</v>
      </c>
      <c r="K1900" s="16">
        <v>1875.3</v>
      </c>
      <c r="L1900" s="16" t="s">
        <v>118</v>
      </c>
      <c r="M1900" s="16" t="s">
        <v>133</v>
      </c>
      <c r="N1900" s="20"/>
      <c r="O1900" s="20"/>
      <c r="P1900" s="20"/>
      <c r="Q1900" s="16" t="b">
        <f>FALSE()</f>
        <v>0</v>
      </c>
      <c r="R1900" s="16" t="b">
        <f>FALSE()</f>
        <v>0</v>
      </c>
      <c r="S1900" s="17" t="str">
        <f t="shared" si="29"/>
        <v>N/A</v>
      </c>
      <c r="T1900">
        <f>COUNTIF('👤 Customers'!$A:$A, B1900)</f>
        <v>1</v>
      </c>
      <c r="U1900">
        <f>COUNTIF('🚴 Riders'!A1899:A1959, C1900)</f>
        <v>0</v>
      </c>
      <c r="V1900">
        <f>COUNTIF('🏭 Facilities'!A1899:A1907, D1900)</f>
        <v>0</v>
      </c>
    </row>
    <row r="1901" spans="1:22">
      <c r="A1901" s="18" t="s">
        <v>4468</v>
      </c>
      <c r="B1901" s="18" t="s">
        <v>566</v>
      </c>
      <c r="C1901" s="18" t="s">
        <v>461</v>
      </c>
      <c r="D1901" s="18" t="s">
        <v>115</v>
      </c>
      <c r="E1901" s="26">
        <v>45323</v>
      </c>
      <c r="F1901" s="18" t="s">
        <v>4469</v>
      </c>
      <c r="G1901" s="18" t="s">
        <v>176</v>
      </c>
      <c r="H1901" s="18">
        <v>3.4</v>
      </c>
      <c r="I1901" s="18">
        <v>599</v>
      </c>
      <c r="J1901" s="18">
        <v>0</v>
      </c>
      <c r="K1901" s="18">
        <v>2036.6</v>
      </c>
      <c r="L1901" s="18" t="s">
        <v>146</v>
      </c>
      <c r="M1901" s="18" t="s">
        <v>119</v>
      </c>
      <c r="N1901" s="28">
        <v>45323.212500000001</v>
      </c>
      <c r="O1901" s="28">
        <v>45324.168055555558</v>
      </c>
      <c r="P1901" s="18">
        <v>2.5</v>
      </c>
      <c r="Q1901" s="18" t="b">
        <f>FALSE()</f>
        <v>0</v>
      </c>
      <c r="R1901" s="18" t="b">
        <f>FALSE()</f>
        <v>0</v>
      </c>
      <c r="S1901" s="19">
        <f t="shared" si="29"/>
        <v>22.9</v>
      </c>
      <c r="T1901">
        <f>COUNTIF('👤 Customers'!$A:$A, B1901)</f>
        <v>1</v>
      </c>
      <c r="U1901">
        <f>COUNTIF('🚴 Riders'!A1900:A1960, C1901)</f>
        <v>0</v>
      </c>
      <c r="V1901">
        <f>COUNTIF('🏭 Facilities'!A1900:A1908, D1901)</f>
        <v>0</v>
      </c>
    </row>
    <row r="1902" spans="1:22">
      <c r="A1902" s="16" t="s">
        <v>4470</v>
      </c>
      <c r="B1902" s="16" t="s">
        <v>400</v>
      </c>
      <c r="C1902" s="16" t="s">
        <v>842</v>
      </c>
      <c r="D1902" s="16" t="s">
        <v>197</v>
      </c>
      <c r="E1902" s="25">
        <v>45549</v>
      </c>
      <c r="F1902" s="16" t="s">
        <v>4471</v>
      </c>
      <c r="G1902" s="16" t="s">
        <v>176</v>
      </c>
      <c r="H1902" s="16">
        <v>2.5</v>
      </c>
      <c r="I1902" s="16">
        <v>599</v>
      </c>
      <c r="J1902" s="16">
        <v>30</v>
      </c>
      <c r="K1902" s="16">
        <v>1048.25</v>
      </c>
      <c r="L1902" s="16" t="s">
        <v>207</v>
      </c>
      <c r="M1902" s="16" t="s">
        <v>140</v>
      </c>
      <c r="N1902" s="27">
        <v>45549.768055555556</v>
      </c>
      <c r="O1902" s="27">
        <v>45550.352083333331</v>
      </c>
      <c r="P1902" s="20"/>
      <c r="Q1902" s="16" t="b">
        <f>FALSE()</f>
        <v>0</v>
      </c>
      <c r="R1902" s="16" t="b">
        <f>FALSE()</f>
        <v>0</v>
      </c>
      <c r="S1902" s="17">
        <f t="shared" si="29"/>
        <v>14</v>
      </c>
      <c r="T1902">
        <f>COUNTIF('👤 Customers'!$A:$A, B1902)</f>
        <v>1</v>
      </c>
      <c r="U1902">
        <f>COUNTIF('🚴 Riders'!A1901:A1961, C1902)</f>
        <v>0</v>
      </c>
      <c r="V1902">
        <f>COUNTIF('🏭 Facilities'!A1901:A1909, D1902)</f>
        <v>0</v>
      </c>
    </row>
    <row r="1903" spans="1:22">
      <c r="A1903" s="18" t="s">
        <v>4472</v>
      </c>
      <c r="B1903" s="18" t="s">
        <v>182</v>
      </c>
      <c r="C1903" s="18" t="s">
        <v>157</v>
      </c>
      <c r="D1903" s="18" t="s">
        <v>115</v>
      </c>
      <c r="E1903" s="26">
        <v>45655</v>
      </c>
      <c r="F1903" s="18" t="s">
        <v>4473</v>
      </c>
      <c r="G1903" s="18" t="s">
        <v>145</v>
      </c>
      <c r="H1903" s="18">
        <v>3.3</v>
      </c>
      <c r="I1903" s="18">
        <v>299</v>
      </c>
      <c r="J1903" s="18">
        <v>0</v>
      </c>
      <c r="K1903" s="18">
        <v>986.7</v>
      </c>
      <c r="L1903" s="18" t="s">
        <v>118</v>
      </c>
      <c r="M1903" s="18" t="s">
        <v>140</v>
      </c>
      <c r="N1903" s="28">
        <v>45655.345833333333</v>
      </c>
      <c r="O1903" s="28">
        <v>45656.186111111114</v>
      </c>
      <c r="P1903" s="20"/>
      <c r="Q1903" s="18" t="b">
        <f>FALSE()</f>
        <v>0</v>
      </c>
      <c r="R1903" s="18" t="b">
        <f>FALSE()</f>
        <v>0</v>
      </c>
      <c r="S1903" s="19">
        <f t="shared" si="29"/>
        <v>20.2</v>
      </c>
      <c r="T1903">
        <f>COUNTIF('👤 Customers'!$A:$A, B1903)</f>
        <v>1</v>
      </c>
      <c r="U1903">
        <f>COUNTIF('🚴 Riders'!A1902:A1962, C1903)</f>
        <v>0</v>
      </c>
      <c r="V1903">
        <f>COUNTIF('🏭 Facilities'!A1902:A1910, D1903)</f>
        <v>0</v>
      </c>
    </row>
    <row r="1904" spans="1:22">
      <c r="A1904" s="16" t="s">
        <v>4474</v>
      </c>
      <c r="B1904" s="16" t="s">
        <v>1111</v>
      </c>
      <c r="C1904" s="16" t="s">
        <v>315</v>
      </c>
      <c r="D1904" s="16" t="s">
        <v>158</v>
      </c>
      <c r="E1904" s="25">
        <v>45141</v>
      </c>
      <c r="F1904" s="16" t="s">
        <v>4475</v>
      </c>
      <c r="G1904" s="16" t="s">
        <v>125</v>
      </c>
      <c r="H1904" s="16">
        <v>7.8</v>
      </c>
      <c r="I1904" s="16">
        <v>199</v>
      </c>
      <c r="J1904" s="16">
        <v>0</v>
      </c>
      <c r="K1904" s="16">
        <v>1552.2</v>
      </c>
      <c r="L1904" s="16" t="s">
        <v>139</v>
      </c>
      <c r="M1904" s="16" t="s">
        <v>140</v>
      </c>
      <c r="N1904" s="27">
        <v>45141.775694444441</v>
      </c>
      <c r="O1904" s="27">
        <v>45142.519444444442</v>
      </c>
      <c r="P1904" s="20"/>
      <c r="Q1904" s="16" t="b">
        <f>FALSE()</f>
        <v>0</v>
      </c>
      <c r="R1904" s="16" t="b">
        <f>TRUE()</f>
        <v>1</v>
      </c>
      <c r="S1904" s="17">
        <f t="shared" si="29"/>
        <v>17.899999999999999</v>
      </c>
      <c r="T1904">
        <f>COUNTIF('👤 Customers'!$A:$A, B1904)</f>
        <v>1</v>
      </c>
      <c r="U1904">
        <f>COUNTIF('🚴 Riders'!A1903:A1963, C1904)</f>
        <v>0</v>
      </c>
      <c r="V1904">
        <f>COUNTIF('🏭 Facilities'!A1903:A1911, D1904)</f>
        <v>0</v>
      </c>
    </row>
    <row r="1905" spans="1:22">
      <c r="A1905" s="18" t="s">
        <v>4476</v>
      </c>
      <c r="B1905" s="18" t="s">
        <v>841</v>
      </c>
      <c r="C1905" s="18" t="s">
        <v>272</v>
      </c>
      <c r="D1905" s="18" t="s">
        <v>205</v>
      </c>
      <c r="E1905" s="26">
        <v>45508</v>
      </c>
      <c r="F1905" s="18" t="s">
        <v>4477</v>
      </c>
      <c r="G1905" s="18" t="s">
        <v>125</v>
      </c>
      <c r="H1905" s="18">
        <v>6.5</v>
      </c>
      <c r="I1905" s="18">
        <v>199</v>
      </c>
      <c r="J1905" s="18">
        <v>10</v>
      </c>
      <c r="K1905" s="18">
        <v>1164.1500000000001</v>
      </c>
      <c r="L1905" s="18" t="s">
        <v>126</v>
      </c>
      <c r="M1905" s="18" t="s">
        <v>119</v>
      </c>
      <c r="N1905" s="28">
        <v>45508.195833333331</v>
      </c>
      <c r="O1905" s="28">
        <v>45508.706250000003</v>
      </c>
      <c r="P1905" s="18">
        <v>4.4000000000000004</v>
      </c>
      <c r="Q1905" s="18" t="b">
        <f>FALSE()</f>
        <v>0</v>
      </c>
      <c r="R1905" s="18" t="b">
        <f>FALSE()</f>
        <v>0</v>
      </c>
      <c r="S1905" s="19">
        <f t="shared" si="29"/>
        <v>12.3</v>
      </c>
      <c r="T1905">
        <f>COUNTIF('👤 Customers'!$A:$A, B1905)</f>
        <v>1</v>
      </c>
      <c r="U1905">
        <f>COUNTIF('🚴 Riders'!A1904:A1964, C1905)</f>
        <v>0</v>
      </c>
      <c r="V1905">
        <f>COUNTIF('🏭 Facilities'!A1904:A1912, D1905)</f>
        <v>0</v>
      </c>
    </row>
    <row r="1906" spans="1:22">
      <c r="A1906" s="16" t="s">
        <v>4478</v>
      </c>
      <c r="B1906" s="16" t="s">
        <v>447</v>
      </c>
      <c r="C1906" s="16" t="s">
        <v>174</v>
      </c>
      <c r="D1906" s="16" t="s">
        <v>130</v>
      </c>
      <c r="E1906" s="25">
        <v>45615</v>
      </c>
      <c r="F1906" s="16" t="s">
        <v>2125</v>
      </c>
      <c r="G1906" s="16" t="s">
        <v>125</v>
      </c>
      <c r="H1906" s="16">
        <v>5.3</v>
      </c>
      <c r="I1906" s="16">
        <v>199</v>
      </c>
      <c r="J1906" s="16">
        <v>0</v>
      </c>
      <c r="K1906" s="16">
        <v>1054.7</v>
      </c>
      <c r="L1906" s="16" t="s">
        <v>118</v>
      </c>
      <c r="M1906" s="16" t="s">
        <v>133</v>
      </c>
      <c r="N1906" s="20"/>
      <c r="O1906" s="20"/>
      <c r="P1906" s="20"/>
      <c r="Q1906" s="16" t="b">
        <f>FALSE()</f>
        <v>0</v>
      </c>
      <c r="R1906" s="16" t="b">
        <f>FALSE()</f>
        <v>0</v>
      </c>
      <c r="S1906" s="17" t="str">
        <f t="shared" si="29"/>
        <v>N/A</v>
      </c>
      <c r="T1906">
        <f>COUNTIF('👤 Customers'!$A:$A, B1906)</f>
        <v>1</v>
      </c>
      <c r="U1906">
        <f>COUNTIF('🚴 Riders'!A1905:A1965, C1906)</f>
        <v>0</v>
      </c>
      <c r="V1906">
        <f>COUNTIF('🏭 Facilities'!A1905:A1913, D1906)</f>
        <v>0</v>
      </c>
    </row>
    <row r="1907" spans="1:22">
      <c r="A1907" s="18" t="s">
        <v>4479</v>
      </c>
      <c r="B1907" s="18" t="s">
        <v>286</v>
      </c>
      <c r="C1907" s="18" t="s">
        <v>461</v>
      </c>
      <c r="D1907" s="18" t="s">
        <v>137</v>
      </c>
      <c r="E1907" s="26">
        <v>44974</v>
      </c>
      <c r="F1907" s="18" t="s">
        <v>4480</v>
      </c>
      <c r="G1907" s="18" t="s">
        <v>125</v>
      </c>
      <c r="H1907" s="18">
        <v>3.8</v>
      </c>
      <c r="I1907" s="18">
        <v>199</v>
      </c>
      <c r="J1907" s="18">
        <v>0</v>
      </c>
      <c r="K1907" s="18">
        <v>756.2</v>
      </c>
      <c r="L1907" s="18" t="s">
        <v>207</v>
      </c>
      <c r="M1907" s="18" t="s">
        <v>119</v>
      </c>
      <c r="N1907" s="28">
        <v>44974.432638888888</v>
      </c>
      <c r="O1907" s="28">
        <v>44975.324999999997</v>
      </c>
      <c r="P1907" s="18">
        <v>4.8</v>
      </c>
      <c r="Q1907" s="18" t="b">
        <f>TRUE()</f>
        <v>1</v>
      </c>
      <c r="R1907" s="18" t="b">
        <f>FALSE()</f>
        <v>0</v>
      </c>
      <c r="S1907" s="19">
        <f t="shared" si="29"/>
        <v>21.4</v>
      </c>
      <c r="T1907">
        <f>COUNTIF('👤 Customers'!$A:$A, B1907)</f>
        <v>1</v>
      </c>
      <c r="U1907">
        <f>COUNTIF('🚴 Riders'!A1906:A1966, C1907)</f>
        <v>0</v>
      </c>
      <c r="V1907">
        <f>COUNTIF('🏭 Facilities'!A1906:A1914, D1907)</f>
        <v>0</v>
      </c>
    </row>
    <row r="1908" spans="1:22">
      <c r="A1908" s="16" t="s">
        <v>4481</v>
      </c>
      <c r="B1908" s="16" t="s">
        <v>200</v>
      </c>
      <c r="C1908" s="16" t="s">
        <v>483</v>
      </c>
      <c r="D1908" s="16" t="s">
        <v>123</v>
      </c>
      <c r="E1908" s="25">
        <v>45516</v>
      </c>
      <c r="F1908" s="16" t="s">
        <v>4482</v>
      </c>
      <c r="G1908" s="16" t="s">
        <v>176</v>
      </c>
      <c r="H1908" s="16">
        <v>6.5</v>
      </c>
      <c r="I1908" s="16">
        <v>599</v>
      </c>
      <c r="J1908" s="16">
        <v>0</v>
      </c>
      <c r="K1908" s="16">
        <v>3893.5</v>
      </c>
      <c r="L1908" s="16" t="s">
        <v>139</v>
      </c>
      <c r="M1908" s="16" t="s">
        <v>140</v>
      </c>
      <c r="N1908" s="27">
        <v>45516.893055555556</v>
      </c>
      <c r="O1908" s="27">
        <v>45517.578472222223</v>
      </c>
      <c r="P1908" s="20"/>
      <c r="Q1908" s="16" t="b">
        <f>FALSE()</f>
        <v>0</v>
      </c>
      <c r="R1908" s="16" t="b">
        <f>TRUE()</f>
        <v>1</v>
      </c>
      <c r="S1908" s="17">
        <f t="shared" si="29"/>
        <v>16.5</v>
      </c>
      <c r="T1908">
        <f>COUNTIF('👤 Customers'!$A:$A, B1908)</f>
        <v>1</v>
      </c>
      <c r="U1908">
        <f>COUNTIF('🚴 Riders'!A1907:A1967, C1908)</f>
        <v>0</v>
      </c>
      <c r="V1908">
        <f>COUNTIF('🏭 Facilities'!A1907:A1915, D1908)</f>
        <v>0</v>
      </c>
    </row>
    <row r="1909" spans="1:22">
      <c r="A1909" s="18" t="s">
        <v>4483</v>
      </c>
      <c r="B1909" s="18" t="s">
        <v>586</v>
      </c>
      <c r="C1909" s="18" t="s">
        <v>350</v>
      </c>
      <c r="D1909" s="18" t="s">
        <v>205</v>
      </c>
      <c r="E1909" s="26">
        <v>44991</v>
      </c>
      <c r="F1909" s="18" t="s">
        <v>4484</v>
      </c>
      <c r="G1909" s="18" t="s">
        <v>176</v>
      </c>
      <c r="H1909" s="18">
        <v>7.8</v>
      </c>
      <c r="I1909" s="18">
        <v>599</v>
      </c>
      <c r="J1909" s="18">
        <v>0</v>
      </c>
      <c r="K1909" s="18">
        <v>4672.2</v>
      </c>
      <c r="L1909" s="18" t="s">
        <v>207</v>
      </c>
      <c r="M1909" s="18" t="s">
        <v>119</v>
      </c>
      <c r="N1909" s="28">
        <v>44991.371527777781</v>
      </c>
      <c r="O1909" s="28">
        <v>44991.888888888891</v>
      </c>
      <c r="P1909" s="18">
        <v>3.6</v>
      </c>
      <c r="Q1909" s="18" t="b">
        <f>FALSE()</f>
        <v>0</v>
      </c>
      <c r="R1909" s="18" t="b">
        <f>FALSE()</f>
        <v>0</v>
      </c>
      <c r="S1909" s="19">
        <f t="shared" si="29"/>
        <v>12.4</v>
      </c>
      <c r="T1909">
        <f>COUNTIF('👤 Customers'!$A:$A, B1909)</f>
        <v>1</v>
      </c>
      <c r="U1909">
        <f>COUNTIF('🚴 Riders'!A1908:A1968, C1909)</f>
        <v>0</v>
      </c>
      <c r="V1909">
        <f>COUNTIF('🏭 Facilities'!A1908:A1916, D1909)</f>
        <v>0</v>
      </c>
    </row>
    <row r="1910" spans="1:22">
      <c r="A1910" s="16" t="s">
        <v>4485</v>
      </c>
      <c r="B1910" s="16" t="s">
        <v>1173</v>
      </c>
      <c r="C1910" s="16" t="s">
        <v>308</v>
      </c>
      <c r="D1910" s="16" t="s">
        <v>205</v>
      </c>
      <c r="E1910" s="25">
        <v>45336</v>
      </c>
      <c r="F1910" s="16" t="s">
        <v>4486</v>
      </c>
      <c r="G1910" s="16" t="s">
        <v>145</v>
      </c>
      <c r="H1910" s="16">
        <v>3.8</v>
      </c>
      <c r="I1910" s="16">
        <v>299</v>
      </c>
      <c r="J1910" s="16">
        <v>10</v>
      </c>
      <c r="K1910" s="16">
        <v>1022.58</v>
      </c>
      <c r="L1910" s="16" t="s">
        <v>207</v>
      </c>
      <c r="M1910" s="16" t="s">
        <v>119</v>
      </c>
      <c r="N1910" s="27">
        <v>45336.476388888892</v>
      </c>
      <c r="O1910" s="27">
        <v>45337.035416666666</v>
      </c>
      <c r="P1910" s="16">
        <v>4</v>
      </c>
      <c r="Q1910" s="16" t="b">
        <f>FALSE()</f>
        <v>0</v>
      </c>
      <c r="R1910" s="16" t="b">
        <f>TRUE()</f>
        <v>1</v>
      </c>
      <c r="S1910" s="17">
        <f t="shared" si="29"/>
        <v>13.4</v>
      </c>
      <c r="T1910">
        <f>COUNTIF('👤 Customers'!$A:$A, B1910)</f>
        <v>1</v>
      </c>
      <c r="U1910">
        <f>COUNTIF('🚴 Riders'!A1909:A1969, C1910)</f>
        <v>0</v>
      </c>
      <c r="V1910">
        <f>COUNTIF('🏭 Facilities'!A1909:A1917, D1910)</f>
        <v>0</v>
      </c>
    </row>
    <row r="1911" spans="1:22">
      <c r="A1911" s="18" t="s">
        <v>4487</v>
      </c>
      <c r="B1911" s="18" t="s">
        <v>1920</v>
      </c>
      <c r="C1911" s="18" t="s">
        <v>179</v>
      </c>
      <c r="D1911" s="18" t="s">
        <v>184</v>
      </c>
      <c r="E1911" s="26">
        <v>45618</v>
      </c>
      <c r="F1911" s="18" t="s">
        <v>4488</v>
      </c>
      <c r="G1911" s="18" t="s">
        <v>145</v>
      </c>
      <c r="H1911" s="18">
        <v>4.4000000000000004</v>
      </c>
      <c r="I1911" s="18">
        <v>299</v>
      </c>
      <c r="J1911" s="18">
        <v>0</v>
      </c>
      <c r="K1911" s="18">
        <v>1315.6</v>
      </c>
      <c r="L1911" s="18" t="s">
        <v>118</v>
      </c>
      <c r="M1911" s="18" t="s">
        <v>140</v>
      </c>
      <c r="N1911" s="28">
        <v>45618.836805555555</v>
      </c>
      <c r="O1911" s="28">
        <v>45619.488888888889</v>
      </c>
      <c r="P1911" s="20"/>
      <c r="Q1911" s="18" t="b">
        <f>FALSE()</f>
        <v>0</v>
      </c>
      <c r="R1911" s="18" t="b">
        <f>FALSE()</f>
        <v>0</v>
      </c>
      <c r="S1911" s="19">
        <f t="shared" si="29"/>
        <v>15.7</v>
      </c>
      <c r="T1911">
        <f>COUNTIF('👤 Customers'!$A:$A, B1911)</f>
        <v>1</v>
      </c>
      <c r="U1911">
        <f>COUNTIF('🚴 Riders'!A1910:A1970, C1911)</f>
        <v>0</v>
      </c>
      <c r="V1911">
        <f>COUNTIF('🏭 Facilities'!A1910:A1918, D1911)</f>
        <v>0</v>
      </c>
    </row>
    <row r="1912" spans="1:22">
      <c r="A1912" s="16" t="s">
        <v>4489</v>
      </c>
      <c r="B1912" s="16" t="s">
        <v>2411</v>
      </c>
      <c r="C1912" s="16" t="s">
        <v>276</v>
      </c>
      <c r="D1912" s="16" t="s">
        <v>115</v>
      </c>
      <c r="E1912" s="25">
        <v>45468</v>
      </c>
      <c r="F1912" s="16" t="s">
        <v>4490</v>
      </c>
      <c r="G1912" s="16" t="s">
        <v>117</v>
      </c>
      <c r="H1912" s="16">
        <v>5.4</v>
      </c>
      <c r="I1912" s="16">
        <v>149</v>
      </c>
      <c r="J1912" s="16">
        <v>0</v>
      </c>
      <c r="K1912" s="16">
        <v>804.6</v>
      </c>
      <c r="L1912" s="16" t="s">
        <v>207</v>
      </c>
      <c r="M1912" s="16" t="s">
        <v>133</v>
      </c>
      <c r="N1912" s="20"/>
      <c r="O1912" s="20"/>
      <c r="P1912" s="20"/>
      <c r="Q1912" s="16" t="b">
        <f>FALSE()</f>
        <v>0</v>
      </c>
      <c r="R1912" s="16" t="b">
        <f>FALSE()</f>
        <v>0</v>
      </c>
      <c r="S1912" s="17" t="str">
        <f t="shared" si="29"/>
        <v>N/A</v>
      </c>
      <c r="T1912">
        <f>COUNTIF('👤 Customers'!$A:$A, B1912)</f>
        <v>1</v>
      </c>
      <c r="U1912">
        <f>COUNTIF('🚴 Riders'!A1911:A1971, C1912)</f>
        <v>0</v>
      </c>
      <c r="V1912">
        <f>COUNTIF('🏭 Facilities'!A1911:A1919, D1912)</f>
        <v>0</v>
      </c>
    </row>
    <row r="1913" spans="1:22">
      <c r="A1913" s="18" t="s">
        <v>4491</v>
      </c>
      <c r="B1913" s="18" t="s">
        <v>637</v>
      </c>
      <c r="C1913" s="18" t="s">
        <v>563</v>
      </c>
      <c r="D1913" s="18" t="s">
        <v>130</v>
      </c>
      <c r="E1913" s="26">
        <v>44960</v>
      </c>
      <c r="F1913" s="18" t="s">
        <v>4492</v>
      </c>
      <c r="G1913" s="18" t="s">
        <v>132</v>
      </c>
      <c r="H1913" s="18">
        <v>7.9</v>
      </c>
      <c r="I1913" s="18">
        <v>399</v>
      </c>
      <c r="J1913" s="18">
        <v>20</v>
      </c>
      <c r="K1913" s="18">
        <v>2521.6799999999998</v>
      </c>
      <c r="L1913" s="18" t="s">
        <v>146</v>
      </c>
      <c r="M1913" s="18" t="s">
        <v>119</v>
      </c>
      <c r="N1913" s="28">
        <v>44960.229861111111</v>
      </c>
      <c r="O1913" s="28">
        <v>44961.134722222225</v>
      </c>
      <c r="P1913" s="18">
        <v>3.1</v>
      </c>
      <c r="Q1913" s="18" t="b">
        <f>TRUE()</f>
        <v>1</v>
      </c>
      <c r="R1913" s="18" t="b">
        <f>FALSE()</f>
        <v>0</v>
      </c>
      <c r="S1913" s="19">
        <f t="shared" si="29"/>
        <v>21.7</v>
      </c>
      <c r="T1913">
        <f>COUNTIF('👤 Customers'!$A:$A, B1913)</f>
        <v>1</v>
      </c>
      <c r="U1913">
        <f>COUNTIF('🚴 Riders'!A1912:A1972, C1913)</f>
        <v>0</v>
      </c>
      <c r="V1913">
        <f>COUNTIF('🏭 Facilities'!A1912:A1920, D1913)</f>
        <v>0</v>
      </c>
    </row>
    <row r="1914" spans="1:22">
      <c r="A1914" s="16" t="s">
        <v>4493</v>
      </c>
      <c r="B1914" s="16" t="s">
        <v>478</v>
      </c>
      <c r="C1914" s="16" t="s">
        <v>358</v>
      </c>
      <c r="D1914" s="16" t="s">
        <v>158</v>
      </c>
      <c r="E1914" s="25">
        <v>45191</v>
      </c>
      <c r="F1914" s="16" t="s">
        <v>4494</v>
      </c>
      <c r="G1914" s="16" t="s">
        <v>117</v>
      </c>
      <c r="H1914" s="16">
        <v>4.8</v>
      </c>
      <c r="I1914" s="16">
        <v>149</v>
      </c>
      <c r="J1914" s="16">
        <v>0</v>
      </c>
      <c r="K1914" s="16">
        <v>715.2</v>
      </c>
      <c r="L1914" s="16" t="s">
        <v>139</v>
      </c>
      <c r="M1914" s="16" t="s">
        <v>119</v>
      </c>
      <c r="N1914" s="27">
        <v>45191.305555555555</v>
      </c>
      <c r="O1914" s="27">
        <v>45191.927777777775</v>
      </c>
      <c r="P1914" s="16">
        <v>4.0999999999999996</v>
      </c>
      <c r="Q1914" s="16" t="b">
        <f>FALSE()</f>
        <v>0</v>
      </c>
      <c r="R1914" s="16" t="b">
        <f>FALSE()</f>
        <v>0</v>
      </c>
      <c r="S1914" s="17">
        <f t="shared" si="29"/>
        <v>14.9</v>
      </c>
      <c r="T1914">
        <f>COUNTIF('👤 Customers'!$A:$A, B1914)</f>
        <v>1</v>
      </c>
      <c r="U1914">
        <f>COUNTIF('🚴 Riders'!A1913:A1973, C1914)</f>
        <v>0</v>
      </c>
      <c r="V1914">
        <f>COUNTIF('🏭 Facilities'!A1913:A1921, D1914)</f>
        <v>0</v>
      </c>
    </row>
    <row r="1915" spans="1:22">
      <c r="A1915" s="18" t="s">
        <v>4495</v>
      </c>
      <c r="B1915" s="18" t="s">
        <v>290</v>
      </c>
      <c r="C1915" s="18" t="s">
        <v>580</v>
      </c>
      <c r="D1915" s="18" t="s">
        <v>197</v>
      </c>
      <c r="E1915" s="26">
        <v>44928</v>
      </c>
      <c r="F1915" s="18" t="s">
        <v>4496</v>
      </c>
      <c r="G1915" s="18" t="s">
        <v>145</v>
      </c>
      <c r="H1915" s="18">
        <v>4.9000000000000004</v>
      </c>
      <c r="I1915" s="18">
        <v>299</v>
      </c>
      <c r="J1915" s="18">
        <v>10</v>
      </c>
      <c r="K1915" s="18">
        <v>1318.59</v>
      </c>
      <c r="L1915" s="18" t="s">
        <v>146</v>
      </c>
      <c r="M1915" s="18" t="s">
        <v>119</v>
      </c>
      <c r="N1915" s="28">
        <v>44929.104861111111</v>
      </c>
      <c r="O1915" s="28">
        <v>44930.026388888888</v>
      </c>
      <c r="P1915" s="18">
        <v>3.8</v>
      </c>
      <c r="Q1915" s="18" t="b">
        <f>FALSE()</f>
        <v>0</v>
      </c>
      <c r="R1915" s="18" t="b">
        <f>FALSE()</f>
        <v>0</v>
      </c>
      <c r="S1915" s="19">
        <f t="shared" si="29"/>
        <v>22.1</v>
      </c>
      <c r="T1915">
        <f>COUNTIF('👤 Customers'!$A:$A, B1915)</f>
        <v>1</v>
      </c>
      <c r="U1915">
        <f>COUNTIF('🚴 Riders'!A1914:A1974, C1915)</f>
        <v>0</v>
      </c>
      <c r="V1915">
        <f>COUNTIF('🏭 Facilities'!A1914:A1922, D1915)</f>
        <v>0</v>
      </c>
    </row>
    <row r="1916" spans="1:22">
      <c r="A1916" s="16" t="s">
        <v>4497</v>
      </c>
      <c r="B1916" s="16" t="s">
        <v>941</v>
      </c>
      <c r="C1916" s="16" t="s">
        <v>362</v>
      </c>
      <c r="D1916" s="16" t="s">
        <v>197</v>
      </c>
      <c r="E1916" s="25">
        <v>44980</v>
      </c>
      <c r="F1916" s="16" t="s">
        <v>4498</v>
      </c>
      <c r="G1916" s="16" t="s">
        <v>132</v>
      </c>
      <c r="H1916" s="16">
        <v>5</v>
      </c>
      <c r="I1916" s="16">
        <v>399</v>
      </c>
      <c r="J1916" s="16">
        <v>10</v>
      </c>
      <c r="K1916" s="16">
        <v>1795.5</v>
      </c>
      <c r="L1916" s="16" t="s">
        <v>139</v>
      </c>
      <c r="M1916" s="16" t="s">
        <v>119</v>
      </c>
      <c r="N1916" s="27">
        <v>44980.256944444445</v>
      </c>
      <c r="O1916" s="27">
        <v>44980.84375</v>
      </c>
      <c r="P1916" s="16">
        <v>4.8</v>
      </c>
      <c r="Q1916" s="16" t="b">
        <f>FALSE()</f>
        <v>0</v>
      </c>
      <c r="R1916" s="16" t="b">
        <f>TRUE()</f>
        <v>1</v>
      </c>
      <c r="S1916" s="17">
        <f t="shared" si="29"/>
        <v>14.1</v>
      </c>
      <c r="T1916">
        <f>COUNTIF('👤 Customers'!$A:$A, B1916)</f>
        <v>1</v>
      </c>
      <c r="U1916">
        <f>COUNTIF('🚴 Riders'!A1915:A1975, C1916)</f>
        <v>0</v>
      </c>
      <c r="V1916">
        <f>COUNTIF('🏭 Facilities'!A1915:A1923, D1916)</f>
        <v>0</v>
      </c>
    </row>
    <row r="1917" spans="1:22">
      <c r="A1917" s="18" t="s">
        <v>4499</v>
      </c>
      <c r="B1917" s="18" t="s">
        <v>1120</v>
      </c>
      <c r="C1917" s="18" t="s">
        <v>188</v>
      </c>
      <c r="D1917" s="18" t="s">
        <v>205</v>
      </c>
      <c r="E1917" s="26">
        <v>45516</v>
      </c>
      <c r="F1917" s="18" t="s">
        <v>4500</v>
      </c>
      <c r="G1917" s="18" t="s">
        <v>132</v>
      </c>
      <c r="H1917" s="18">
        <v>4.5999999999999996</v>
      </c>
      <c r="I1917" s="18">
        <v>399</v>
      </c>
      <c r="J1917" s="18">
        <v>10</v>
      </c>
      <c r="K1917" s="18">
        <v>1651.86</v>
      </c>
      <c r="L1917" s="18" t="s">
        <v>146</v>
      </c>
      <c r="M1917" s="18" t="s">
        <v>140</v>
      </c>
      <c r="N1917" s="28">
        <v>45516.897222222222</v>
      </c>
      <c r="O1917" s="28">
        <v>45517.429861111108</v>
      </c>
      <c r="P1917" s="20"/>
      <c r="Q1917" s="18" t="b">
        <f>FALSE()</f>
        <v>0</v>
      </c>
      <c r="R1917" s="18" t="b">
        <f>FALSE()</f>
        <v>0</v>
      </c>
      <c r="S1917" s="19">
        <f t="shared" si="29"/>
        <v>12.8</v>
      </c>
      <c r="T1917">
        <f>COUNTIF('👤 Customers'!$A:$A, B1917)</f>
        <v>1</v>
      </c>
      <c r="U1917">
        <f>COUNTIF('🚴 Riders'!A1916:A1976, C1917)</f>
        <v>0</v>
      </c>
      <c r="V1917">
        <f>COUNTIF('🏭 Facilities'!A1916:A1924, D1917)</f>
        <v>0</v>
      </c>
    </row>
    <row r="1918" spans="1:22">
      <c r="A1918" s="16" t="s">
        <v>4501</v>
      </c>
      <c r="B1918" s="16" t="s">
        <v>598</v>
      </c>
      <c r="C1918" s="16" t="s">
        <v>204</v>
      </c>
      <c r="D1918" s="16" t="s">
        <v>158</v>
      </c>
      <c r="E1918" s="25">
        <v>45207</v>
      </c>
      <c r="F1918" s="16" t="s">
        <v>4502</v>
      </c>
      <c r="G1918" s="16" t="s">
        <v>117</v>
      </c>
      <c r="H1918" s="16">
        <v>3.1</v>
      </c>
      <c r="I1918" s="16">
        <v>149</v>
      </c>
      <c r="J1918" s="16">
        <v>10</v>
      </c>
      <c r="K1918" s="16">
        <v>415.71</v>
      </c>
      <c r="L1918" s="16" t="s">
        <v>146</v>
      </c>
      <c r="M1918" s="16" t="s">
        <v>140</v>
      </c>
      <c r="N1918" s="27">
        <v>45208.03402777778</v>
      </c>
      <c r="O1918" s="27">
        <v>45208.552777777775</v>
      </c>
      <c r="P1918" s="20"/>
      <c r="Q1918" s="16" t="b">
        <f>FALSE()</f>
        <v>0</v>
      </c>
      <c r="R1918" s="16" t="b">
        <f>FALSE()</f>
        <v>0</v>
      </c>
      <c r="S1918" s="17">
        <f t="shared" si="29"/>
        <v>12.4</v>
      </c>
      <c r="T1918">
        <f>COUNTIF('👤 Customers'!$A:$A, B1918)</f>
        <v>1</v>
      </c>
      <c r="U1918">
        <f>COUNTIF('🚴 Riders'!A1917:A1977, C1918)</f>
        <v>0</v>
      </c>
      <c r="V1918">
        <f>COUNTIF('🏭 Facilities'!A1917:A1925, D1918)</f>
        <v>0</v>
      </c>
    </row>
    <row r="1919" spans="1:22">
      <c r="A1919" s="18" t="s">
        <v>4503</v>
      </c>
      <c r="B1919" s="18" t="s">
        <v>925</v>
      </c>
      <c r="C1919" s="18" t="s">
        <v>350</v>
      </c>
      <c r="D1919" s="18" t="s">
        <v>184</v>
      </c>
      <c r="E1919" s="26">
        <v>45188</v>
      </c>
      <c r="F1919" s="18" t="s">
        <v>4504</v>
      </c>
      <c r="G1919" s="18" t="s">
        <v>145</v>
      </c>
      <c r="H1919" s="18">
        <v>6.6</v>
      </c>
      <c r="I1919" s="18">
        <v>299</v>
      </c>
      <c r="J1919" s="18">
        <v>0</v>
      </c>
      <c r="K1919" s="18">
        <v>1973.4</v>
      </c>
      <c r="L1919" s="18" t="s">
        <v>139</v>
      </c>
      <c r="M1919" s="18" t="s">
        <v>119</v>
      </c>
      <c r="N1919" s="28">
        <v>45188.32708333333</v>
      </c>
      <c r="O1919" s="28">
        <v>45189.263194444444</v>
      </c>
      <c r="P1919" s="18">
        <v>3.5</v>
      </c>
      <c r="Q1919" s="18" t="b">
        <f>FALSE()</f>
        <v>0</v>
      </c>
      <c r="R1919" s="18" t="b">
        <f>FALSE()</f>
        <v>0</v>
      </c>
      <c r="S1919" s="19">
        <f t="shared" si="29"/>
        <v>22.5</v>
      </c>
      <c r="T1919">
        <f>COUNTIF('👤 Customers'!$A:$A, B1919)</f>
        <v>1</v>
      </c>
      <c r="U1919">
        <f>COUNTIF('🚴 Riders'!A1918:A1978, C1919)</f>
        <v>0</v>
      </c>
      <c r="V1919">
        <f>COUNTIF('🏭 Facilities'!A1918:A1926, D1919)</f>
        <v>0</v>
      </c>
    </row>
    <row r="1920" spans="1:22">
      <c r="A1920" s="16" t="s">
        <v>4505</v>
      </c>
      <c r="B1920" s="16" t="s">
        <v>1832</v>
      </c>
      <c r="C1920" s="16" t="s">
        <v>487</v>
      </c>
      <c r="D1920" s="16" t="s">
        <v>205</v>
      </c>
      <c r="E1920" s="25">
        <v>45598</v>
      </c>
      <c r="F1920" s="16" t="s">
        <v>4506</v>
      </c>
      <c r="G1920" s="16" t="s">
        <v>125</v>
      </c>
      <c r="H1920" s="16">
        <v>3.4</v>
      </c>
      <c r="I1920" s="16">
        <v>199</v>
      </c>
      <c r="J1920" s="16">
        <v>0</v>
      </c>
      <c r="K1920" s="16">
        <v>676.6</v>
      </c>
      <c r="L1920" s="16" t="s">
        <v>118</v>
      </c>
      <c r="M1920" s="16" t="s">
        <v>119</v>
      </c>
      <c r="N1920" s="27">
        <v>45599.054166666669</v>
      </c>
      <c r="O1920" s="27">
        <v>45600.146527777775</v>
      </c>
      <c r="P1920" s="16">
        <v>3.7</v>
      </c>
      <c r="Q1920" s="16" t="b">
        <f>FALSE()</f>
        <v>0</v>
      </c>
      <c r="R1920" s="16" t="b">
        <f>FALSE()</f>
        <v>0</v>
      </c>
      <c r="S1920" s="17">
        <f t="shared" si="29"/>
        <v>26.2</v>
      </c>
      <c r="T1920">
        <f>COUNTIF('👤 Customers'!$A:$A, B1920)</f>
        <v>1</v>
      </c>
      <c r="U1920">
        <f>COUNTIF('🚴 Riders'!A1919:A1979, C1920)</f>
        <v>0</v>
      </c>
      <c r="V1920">
        <f>COUNTIF('🏭 Facilities'!A1919:A1927, D1920)</f>
        <v>0</v>
      </c>
    </row>
    <row r="1921" spans="1:22">
      <c r="A1921" s="18" t="s">
        <v>4507</v>
      </c>
      <c r="B1921" s="18" t="s">
        <v>1776</v>
      </c>
      <c r="C1921" s="18" t="s">
        <v>358</v>
      </c>
      <c r="D1921" s="18" t="s">
        <v>115</v>
      </c>
      <c r="E1921" s="26">
        <v>45404</v>
      </c>
      <c r="F1921" s="18" t="s">
        <v>4508</v>
      </c>
      <c r="G1921" s="18" t="s">
        <v>117</v>
      </c>
      <c r="H1921" s="18">
        <v>2.7</v>
      </c>
      <c r="I1921" s="18">
        <v>149</v>
      </c>
      <c r="J1921" s="18">
        <v>0</v>
      </c>
      <c r="K1921" s="18">
        <v>402.3</v>
      </c>
      <c r="L1921" s="18" t="s">
        <v>146</v>
      </c>
      <c r="M1921" s="18" t="s">
        <v>140</v>
      </c>
      <c r="N1921" s="28">
        <v>45404.402777777781</v>
      </c>
      <c r="O1921" s="28">
        <v>45405.10833333333</v>
      </c>
      <c r="P1921" s="20"/>
      <c r="Q1921" s="18" t="b">
        <f>FALSE()</f>
        <v>0</v>
      </c>
      <c r="R1921" s="18" t="b">
        <f>FALSE()</f>
        <v>0</v>
      </c>
      <c r="S1921" s="19">
        <f t="shared" si="29"/>
        <v>16.899999999999999</v>
      </c>
      <c r="T1921">
        <f>COUNTIF('👤 Customers'!$A:$A, B1921)</f>
        <v>1</v>
      </c>
      <c r="U1921">
        <f>COUNTIF('🚴 Riders'!A1920:A1980, C1921)</f>
        <v>0</v>
      </c>
      <c r="V1921">
        <f>COUNTIF('🏭 Facilities'!A1920:A1928, D1921)</f>
        <v>0</v>
      </c>
    </row>
    <row r="1922" spans="1:22">
      <c r="A1922" s="16" t="s">
        <v>4509</v>
      </c>
      <c r="B1922" s="16" t="s">
        <v>368</v>
      </c>
      <c r="C1922" s="16" t="s">
        <v>143</v>
      </c>
      <c r="D1922" s="16" t="s">
        <v>205</v>
      </c>
      <c r="E1922" s="25">
        <v>45100</v>
      </c>
      <c r="F1922" s="16" t="s">
        <v>4510</v>
      </c>
      <c r="G1922" s="16" t="s">
        <v>117</v>
      </c>
      <c r="H1922" s="16">
        <v>2.9</v>
      </c>
      <c r="I1922" s="16">
        <v>149</v>
      </c>
      <c r="J1922" s="16">
        <v>30</v>
      </c>
      <c r="K1922" s="16">
        <v>302.47000000000003</v>
      </c>
      <c r="L1922" s="16" t="s">
        <v>139</v>
      </c>
      <c r="M1922" s="16" t="s">
        <v>140</v>
      </c>
      <c r="N1922" s="27">
        <v>45100.495833333334</v>
      </c>
      <c r="O1922" s="27">
        <v>45100.90347222222</v>
      </c>
      <c r="P1922" s="20"/>
      <c r="Q1922" s="16" t="b">
        <f>FALSE()</f>
        <v>0</v>
      </c>
      <c r="R1922" s="16" t="b">
        <f>FALSE()</f>
        <v>0</v>
      </c>
      <c r="S1922" s="17">
        <f t="shared" ref="S1922:S1985" si="30">IF(OR(N1922="",O1922=""),"N/A",ROUND(((O1922-N1922)*24),1))</f>
        <v>9.8000000000000007</v>
      </c>
      <c r="T1922">
        <f>COUNTIF('👤 Customers'!$A:$A, B1922)</f>
        <v>1</v>
      </c>
      <c r="U1922">
        <f>COUNTIF('🚴 Riders'!A1921:A1981, C1922)</f>
        <v>0</v>
      </c>
      <c r="V1922">
        <f>COUNTIF('🏭 Facilities'!A1921:A1929, D1922)</f>
        <v>0</v>
      </c>
    </row>
    <row r="1923" spans="1:22">
      <c r="A1923" s="18" t="s">
        <v>4511</v>
      </c>
      <c r="B1923" s="18" t="s">
        <v>1518</v>
      </c>
      <c r="C1923" s="18" t="s">
        <v>220</v>
      </c>
      <c r="D1923" s="18" t="s">
        <v>205</v>
      </c>
      <c r="E1923" s="26">
        <v>45044</v>
      </c>
      <c r="F1923" s="18" t="s">
        <v>4512</v>
      </c>
      <c r="G1923" s="18" t="s">
        <v>132</v>
      </c>
      <c r="H1923" s="18">
        <v>7</v>
      </c>
      <c r="I1923" s="18">
        <v>399</v>
      </c>
      <c r="J1923" s="18">
        <v>0</v>
      </c>
      <c r="K1923" s="18">
        <v>2793</v>
      </c>
      <c r="L1923" s="18" t="s">
        <v>139</v>
      </c>
      <c r="M1923" s="18" t="s">
        <v>119</v>
      </c>
      <c r="N1923" s="28">
        <v>45044.86041666667</v>
      </c>
      <c r="O1923" s="28">
        <v>45045.229861111111</v>
      </c>
      <c r="P1923" s="18">
        <v>4.4000000000000004</v>
      </c>
      <c r="Q1923" s="18" t="b">
        <f>FALSE()</f>
        <v>0</v>
      </c>
      <c r="R1923" s="18" t="b">
        <f>FALSE()</f>
        <v>0</v>
      </c>
      <c r="S1923" s="19">
        <f t="shared" si="30"/>
        <v>8.9</v>
      </c>
      <c r="T1923">
        <f>COUNTIF('👤 Customers'!$A:$A, B1923)</f>
        <v>1</v>
      </c>
      <c r="U1923">
        <f>COUNTIF('🚴 Riders'!A1922:A1982, C1923)</f>
        <v>0</v>
      </c>
      <c r="V1923">
        <f>COUNTIF('🏭 Facilities'!A1922:A1930, D1923)</f>
        <v>0</v>
      </c>
    </row>
    <row r="1924" spans="1:22">
      <c r="A1924" s="16" t="s">
        <v>4513</v>
      </c>
      <c r="B1924" s="16" t="s">
        <v>1214</v>
      </c>
      <c r="C1924" s="16" t="s">
        <v>343</v>
      </c>
      <c r="D1924" s="16" t="s">
        <v>197</v>
      </c>
      <c r="E1924" s="25">
        <v>45647</v>
      </c>
      <c r="F1924" s="16" t="s">
        <v>4514</v>
      </c>
      <c r="G1924" s="16" t="s">
        <v>176</v>
      </c>
      <c r="H1924" s="16">
        <v>1.7</v>
      </c>
      <c r="I1924" s="16">
        <v>599</v>
      </c>
      <c r="J1924" s="16">
        <v>0</v>
      </c>
      <c r="K1924" s="16">
        <v>1018.3</v>
      </c>
      <c r="L1924" s="16" t="s">
        <v>207</v>
      </c>
      <c r="M1924" s="16" t="s">
        <v>119</v>
      </c>
      <c r="N1924" s="27">
        <v>45647.815972222219</v>
      </c>
      <c r="O1924" s="27">
        <v>45648.824999999997</v>
      </c>
      <c r="P1924" s="16">
        <v>3.5</v>
      </c>
      <c r="Q1924" s="16" t="b">
        <f>FALSE()</f>
        <v>0</v>
      </c>
      <c r="R1924" s="16" t="b">
        <f>FALSE()</f>
        <v>0</v>
      </c>
      <c r="S1924" s="17">
        <f t="shared" si="30"/>
        <v>24.2</v>
      </c>
      <c r="T1924">
        <f>COUNTIF('👤 Customers'!$A:$A, B1924)</f>
        <v>1</v>
      </c>
      <c r="U1924">
        <f>COUNTIF('🚴 Riders'!A1923:A1983, C1924)</f>
        <v>0</v>
      </c>
      <c r="V1924">
        <f>COUNTIF('🏭 Facilities'!A1923:A1931, D1924)</f>
        <v>0</v>
      </c>
    </row>
    <row r="1925" spans="1:22">
      <c r="A1925" s="18" t="s">
        <v>4515</v>
      </c>
      <c r="B1925" s="18" t="s">
        <v>2262</v>
      </c>
      <c r="C1925" s="18" t="s">
        <v>717</v>
      </c>
      <c r="D1925" s="18" t="s">
        <v>197</v>
      </c>
      <c r="E1925" s="26">
        <v>45435</v>
      </c>
      <c r="F1925" s="18" t="s">
        <v>4516</v>
      </c>
      <c r="G1925" s="18" t="s">
        <v>117</v>
      </c>
      <c r="H1925" s="18">
        <v>4.0999999999999996</v>
      </c>
      <c r="I1925" s="18">
        <v>149</v>
      </c>
      <c r="J1925" s="18">
        <v>0</v>
      </c>
      <c r="K1925" s="18">
        <v>610.9</v>
      </c>
      <c r="L1925" s="18" t="s">
        <v>118</v>
      </c>
      <c r="M1925" s="18" t="s">
        <v>119</v>
      </c>
      <c r="N1925" s="28">
        <v>45435.945138888892</v>
      </c>
      <c r="O1925" s="28">
        <v>45436.586111111108</v>
      </c>
      <c r="P1925" s="18">
        <v>4.3</v>
      </c>
      <c r="Q1925" s="18" t="b">
        <f>FALSE()</f>
        <v>0</v>
      </c>
      <c r="R1925" s="18" t="b">
        <f>FALSE()</f>
        <v>0</v>
      </c>
      <c r="S1925" s="19">
        <f t="shared" si="30"/>
        <v>15.4</v>
      </c>
      <c r="T1925">
        <f>COUNTIF('👤 Customers'!$A:$A, B1925)</f>
        <v>1</v>
      </c>
      <c r="U1925">
        <f>COUNTIF('🚴 Riders'!A1924:A1984, C1925)</f>
        <v>0</v>
      </c>
      <c r="V1925">
        <f>COUNTIF('🏭 Facilities'!A1924:A1932, D1925)</f>
        <v>0</v>
      </c>
    </row>
    <row r="1926" spans="1:22">
      <c r="A1926" s="16" t="s">
        <v>4517</v>
      </c>
      <c r="B1926" s="16" t="s">
        <v>3703</v>
      </c>
      <c r="C1926" s="16" t="s">
        <v>166</v>
      </c>
      <c r="D1926" s="16" t="s">
        <v>130</v>
      </c>
      <c r="E1926" s="25">
        <v>45486</v>
      </c>
      <c r="F1926" s="16" t="s">
        <v>4518</v>
      </c>
      <c r="G1926" s="16" t="s">
        <v>132</v>
      </c>
      <c r="H1926" s="16">
        <v>7.8</v>
      </c>
      <c r="I1926" s="16">
        <v>399</v>
      </c>
      <c r="J1926" s="16">
        <v>0</v>
      </c>
      <c r="K1926" s="16">
        <v>3112.2</v>
      </c>
      <c r="L1926" s="16" t="s">
        <v>139</v>
      </c>
      <c r="M1926" s="16" t="s">
        <v>119</v>
      </c>
      <c r="N1926" s="27">
        <v>45486.647916666669</v>
      </c>
      <c r="O1926" s="27">
        <v>45487.451388888891</v>
      </c>
      <c r="P1926" s="16">
        <v>4.8</v>
      </c>
      <c r="Q1926" s="16" t="b">
        <f>FALSE()</f>
        <v>0</v>
      </c>
      <c r="R1926" s="16" t="b">
        <f>FALSE()</f>
        <v>0</v>
      </c>
      <c r="S1926" s="17">
        <f t="shared" si="30"/>
        <v>19.3</v>
      </c>
      <c r="T1926">
        <f>COUNTIF('👤 Customers'!$A:$A, B1926)</f>
        <v>1</v>
      </c>
      <c r="U1926">
        <f>COUNTIF('🚴 Riders'!A1925:A1985, C1926)</f>
        <v>0</v>
      </c>
      <c r="V1926">
        <f>COUNTIF('🏭 Facilities'!A1925:A1933, D1926)</f>
        <v>0</v>
      </c>
    </row>
    <row r="1927" spans="1:22">
      <c r="A1927" s="18" t="s">
        <v>4519</v>
      </c>
      <c r="B1927" s="18" t="s">
        <v>1545</v>
      </c>
      <c r="C1927" s="18" t="s">
        <v>308</v>
      </c>
      <c r="D1927" s="18" t="s">
        <v>184</v>
      </c>
      <c r="E1927" s="26">
        <v>44955</v>
      </c>
      <c r="F1927" s="18" t="s">
        <v>4520</v>
      </c>
      <c r="G1927" s="18" t="s">
        <v>125</v>
      </c>
      <c r="H1927" s="18">
        <v>4.2</v>
      </c>
      <c r="I1927" s="18">
        <v>199</v>
      </c>
      <c r="J1927" s="18">
        <v>0</v>
      </c>
      <c r="K1927" s="18">
        <v>835.8</v>
      </c>
      <c r="L1927" s="18" t="s">
        <v>126</v>
      </c>
      <c r="M1927" s="18" t="s">
        <v>119</v>
      </c>
      <c r="N1927" s="28">
        <v>44955.835416666669</v>
      </c>
      <c r="O1927" s="28">
        <v>44956.214583333334</v>
      </c>
      <c r="P1927" s="18">
        <v>3.6</v>
      </c>
      <c r="Q1927" s="18" t="b">
        <f>TRUE()</f>
        <v>1</v>
      </c>
      <c r="R1927" s="18" t="b">
        <f>FALSE()</f>
        <v>0</v>
      </c>
      <c r="S1927" s="19">
        <f t="shared" si="30"/>
        <v>9.1</v>
      </c>
      <c r="T1927">
        <f>COUNTIF('👤 Customers'!$A:$A, B1927)</f>
        <v>1</v>
      </c>
      <c r="U1927">
        <f>COUNTIF('🚴 Riders'!A1926:A1986, C1927)</f>
        <v>0</v>
      </c>
      <c r="V1927">
        <f>COUNTIF('🏭 Facilities'!A1926:A1934, D1927)</f>
        <v>0</v>
      </c>
    </row>
    <row r="1928" spans="1:22">
      <c r="A1928" s="16" t="s">
        <v>4521</v>
      </c>
      <c r="B1928" s="16" t="s">
        <v>623</v>
      </c>
      <c r="C1928" s="16" t="s">
        <v>257</v>
      </c>
      <c r="D1928" s="16" t="s">
        <v>197</v>
      </c>
      <c r="E1928" s="25">
        <v>45371</v>
      </c>
      <c r="F1928" s="16" t="s">
        <v>4522</v>
      </c>
      <c r="G1928" s="16" t="s">
        <v>117</v>
      </c>
      <c r="H1928" s="16">
        <v>5</v>
      </c>
      <c r="I1928" s="16">
        <v>149</v>
      </c>
      <c r="J1928" s="16">
        <v>0</v>
      </c>
      <c r="K1928" s="16">
        <v>745</v>
      </c>
      <c r="L1928" s="16" t="s">
        <v>139</v>
      </c>
      <c r="M1928" s="16" t="s">
        <v>119</v>
      </c>
      <c r="N1928" s="27">
        <v>45372.013194444444</v>
      </c>
      <c r="O1928" s="27">
        <v>45372.481944444444</v>
      </c>
      <c r="P1928" s="16">
        <v>4.8</v>
      </c>
      <c r="Q1928" s="16" t="b">
        <f>FALSE()</f>
        <v>0</v>
      </c>
      <c r="R1928" s="16" t="b">
        <f>FALSE()</f>
        <v>0</v>
      </c>
      <c r="S1928" s="17">
        <f t="shared" si="30"/>
        <v>11.3</v>
      </c>
      <c r="T1928">
        <f>COUNTIF('👤 Customers'!$A:$A, B1928)</f>
        <v>1</v>
      </c>
      <c r="U1928">
        <f>COUNTIF('🚴 Riders'!A1927:A1987, C1928)</f>
        <v>0</v>
      </c>
      <c r="V1928">
        <f>COUNTIF('🏭 Facilities'!A1927:A1935, D1928)</f>
        <v>0</v>
      </c>
    </row>
    <row r="1929" spans="1:22">
      <c r="A1929" s="18" t="s">
        <v>4523</v>
      </c>
      <c r="B1929" s="18" t="s">
        <v>1162</v>
      </c>
      <c r="C1929" s="18" t="s">
        <v>257</v>
      </c>
      <c r="D1929" s="18" t="s">
        <v>130</v>
      </c>
      <c r="E1929" s="26">
        <v>45210</v>
      </c>
      <c r="F1929" s="18" t="s">
        <v>4524</v>
      </c>
      <c r="G1929" s="18" t="s">
        <v>176</v>
      </c>
      <c r="H1929" s="18">
        <v>6.7</v>
      </c>
      <c r="I1929" s="18">
        <v>599</v>
      </c>
      <c r="J1929" s="18">
        <v>0</v>
      </c>
      <c r="K1929" s="18">
        <v>4013.3</v>
      </c>
      <c r="L1929" s="18" t="s">
        <v>118</v>
      </c>
      <c r="M1929" s="18" t="s">
        <v>133</v>
      </c>
      <c r="N1929" s="20"/>
      <c r="O1929" s="20"/>
      <c r="P1929" s="20"/>
      <c r="Q1929" s="18" t="b">
        <f>FALSE()</f>
        <v>0</v>
      </c>
      <c r="R1929" s="18" t="b">
        <f>FALSE()</f>
        <v>0</v>
      </c>
      <c r="S1929" s="19" t="str">
        <f t="shared" si="30"/>
        <v>N/A</v>
      </c>
      <c r="T1929">
        <f>COUNTIF('👤 Customers'!$A:$A, B1929)</f>
        <v>1</v>
      </c>
      <c r="U1929">
        <f>COUNTIF('🚴 Riders'!A1928:A1988, C1929)</f>
        <v>0</v>
      </c>
      <c r="V1929">
        <f>COUNTIF('🏭 Facilities'!A1928:A1936, D1929)</f>
        <v>0</v>
      </c>
    </row>
    <row r="1930" spans="1:22">
      <c r="A1930" s="16" t="s">
        <v>4525</v>
      </c>
      <c r="B1930" s="16" t="s">
        <v>3301</v>
      </c>
      <c r="C1930" s="16" t="s">
        <v>251</v>
      </c>
      <c r="D1930" s="16" t="s">
        <v>137</v>
      </c>
      <c r="E1930" s="25">
        <v>45305</v>
      </c>
      <c r="F1930" s="16" t="s">
        <v>4526</v>
      </c>
      <c r="G1930" s="16" t="s">
        <v>132</v>
      </c>
      <c r="H1930" s="16">
        <v>3.6</v>
      </c>
      <c r="I1930" s="16">
        <v>399</v>
      </c>
      <c r="J1930" s="16">
        <v>10</v>
      </c>
      <c r="K1930" s="16">
        <v>1292.76</v>
      </c>
      <c r="L1930" s="16" t="s">
        <v>207</v>
      </c>
      <c r="M1930" s="16" t="s">
        <v>119</v>
      </c>
      <c r="N1930" s="27">
        <v>45305.237500000003</v>
      </c>
      <c r="O1930" s="27">
        <v>45305.978472222225</v>
      </c>
      <c r="P1930" s="16">
        <v>3.8</v>
      </c>
      <c r="Q1930" s="16" t="b">
        <f>FALSE()</f>
        <v>0</v>
      </c>
      <c r="R1930" s="16" t="b">
        <f>FALSE()</f>
        <v>0</v>
      </c>
      <c r="S1930" s="17">
        <f t="shared" si="30"/>
        <v>17.8</v>
      </c>
      <c r="T1930">
        <f>COUNTIF('👤 Customers'!$A:$A, B1930)</f>
        <v>1</v>
      </c>
      <c r="U1930">
        <f>COUNTIF('🚴 Riders'!A1929:A1989, C1930)</f>
        <v>0</v>
      </c>
      <c r="V1930">
        <f>COUNTIF('🏭 Facilities'!A1929:A1937, D1930)</f>
        <v>0</v>
      </c>
    </row>
    <row r="1931" spans="1:22">
      <c r="A1931" s="18" t="s">
        <v>4527</v>
      </c>
      <c r="B1931" s="18" t="s">
        <v>2585</v>
      </c>
      <c r="C1931" s="18" t="s">
        <v>251</v>
      </c>
      <c r="D1931" s="18" t="s">
        <v>123</v>
      </c>
      <c r="E1931" s="26">
        <v>45092</v>
      </c>
      <c r="F1931" s="18" t="s">
        <v>4528</v>
      </c>
      <c r="G1931" s="18" t="s">
        <v>132</v>
      </c>
      <c r="H1931" s="18">
        <v>6.6</v>
      </c>
      <c r="I1931" s="18">
        <v>399</v>
      </c>
      <c r="J1931" s="18">
        <v>20</v>
      </c>
      <c r="K1931" s="18">
        <v>2106.7199999999998</v>
      </c>
      <c r="L1931" s="18" t="s">
        <v>207</v>
      </c>
      <c r="M1931" s="18" t="s">
        <v>119</v>
      </c>
      <c r="N1931" s="28">
        <v>45093.041666666664</v>
      </c>
      <c r="O1931" s="28">
        <v>45093.405555555553</v>
      </c>
      <c r="P1931" s="18">
        <v>3.7</v>
      </c>
      <c r="Q1931" s="18" t="b">
        <f>FALSE()</f>
        <v>0</v>
      </c>
      <c r="R1931" s="18" t="b">
        <f>FALSE()</f>
        <v>0</v>
      </c>
      <c r="S1931" s="19">
        <f t="shared" si="30"/>
        <v>8.6999999999999993</v>
      </c>
      <c r="T1931">
        <f>COUNTIF('👤 Customers'!$A:$A, B1931)</f>
        <v>1</v>
      </c>
      <c r="U1931">
        <f>COUNTIF('🚴 Riders'!A1930:A1990, C1931)</f>
        <v>0</v>
      </c>
      <c r="V1931">
        <f>COUNTIF('🏭 Facilities'!A1930:A1938, D1931)</f>
        <v>0</v>
      </c>
    </row>
    <row r="1932" spans="1:22">
      <c r="A1932" s="16" t="s">
        <v>4529</v>
      </c>
      <c r="B1932" s="16" t="s">
        <v>1311</v>
      </c>
      <c r="C1932" s="16" t="s">
        <v>204</v>
      </c>
      <c r="D1932" s="16" t="s">
        <v>197</v>
      </c>
      <c r="E1932" s="25">
        <v>45262</v>
      </c>
      <c r="F1932" s="16" t="s">
        <v>4530</v>
      </c>
      <c r="G1932" s="16" t="s">
        <v>145</v>
      </c>
      <c r="H1932" s="16">
        <v>7</v>
      </c>
      <c r="I1932" s="16">
        <v>299</v>
      </c>
      <c r="J1932" s="16">
        <v>20</v>
      </c>
      <c r="K1932" s="16">
        <v>1674.4</v>
      </c>
      <c r="L1932" s="16" t="s">
        <v>118</v>
      </c>
      <c r="M1932" s="16" t="s">
        <v>119</v>
      </c>
      <c r="N1932" s="27">
        <v>45262.800694444442</v>
      </c>
      <c r="O1932" s="27">
        <v>45263.718055555553</v>
      </c>
      <c r="P1932" s="16">
        <v>3.8</v>
      </c>
      <c r="Q1932" s="16" t="b">
        <f>TRUE()</f>
        <v>1</v>
      </c>
      <c r="R1932" s="16" t="b">
        <f>FALSE()</f>
        <v>0</v>
      </c>
      <c r="S1932" s="17">
        <f t="shared" si="30"/>
        <v>22</v>
      </c>
      <c r="T1932">
        <f>COUNTIF('👤 Customers'!$A:$A, B1932)</f>
        <v>1</v>
      </c>
      <c r="U1932">
        <f>COUNTIF('🚴 Riders'!A1931:A1991, C1932)</f>
        <v>0</v>
      </c>
      <c r="V1932">
        <f>COUNTIF('🏭 Facilities'!A1931:A1939, D1932)</f>
        <v>0</v>
      </c>
    </row>
    <row r="1933" spans="1:22">
      <c r="A1933" s="18" t="s">
        <v>4531</v>
      </c>
      <c r="B1933" s="18" t="s">
        <v>1067</v>
      </c>
      <c r="C1933" s="18" t="s">
        <v>563</v>
      </c>
      <c r="D1933" s="18" t="s">
        <v>205</v>
      </c>
      <c r="E1933" s="26">
        <v>45590</v>
      </c>
      <c r="F1933" s="18" t="s">
        <v>4532</v>
      </c>
      <c r="G1933" s="18" t="s">
        <v>125</v>
      </c>
      <c r="H1933" s="18">
        <v>5.6</v>
      </c>
      <c r="I1933" s="18">
        <v>199</v>
      </c>
      <c r="J1933" s="18">
        <v>20</v>
      </c>
      <c r="K1933" s="18">
        <v>891.52</v>
      </c>
      <c r="L1933" s="18" t="s">
        <v>146</v>
      </c>
      <c r="M1933" s="18" t="s">
        <v>140</v>
      </c>
      <c r="N1933" s="28">
        <v>45590.566666666666</v>
      </c>
      <c r="O1933" s="28">
        <v>45591.526388888888</v>
      </c>
      <c r="P1933" s="20"/>
      <c r="Q1933" s="18" t="b">
        <f>FALSE()</f>
        <v>0</v>
      </c>
      <c r="R1933" s="18" t="b">
        <f>FALSE()</f>
        <v>0</v>
      </c>
      <c r="S1933" s="19">
        <f t="shared" si="30"/>
        <v>23</v>
      </c>
      <c r="T1933">
        <f>COUNTIF('👤 Customers'!$A:$A, B1933)</f>
        <v>1</v>
      </c>
      <c r="U1933">
        <f>COUNTIF('🚴 Riders'!A1932:A1992, C1933)</f>
        <v>0</v>
      </c>
      <c r="V1933">
        <f>COUNTIF('🏭 Facilities'!A1932:A1940, D1933)</f>
        <v>0</v>
      </c>
    </row>
    <row r="1934" spans="1:22">
      <c r="A1934" s="16" t="s">
        <v>4533</v>
      </c>
      <c r="B1934" s="16" t="s">
        <v>2995</v>
      </c>
      <c r="C1934" s="16" t="s">
        <v>213</v>
      </c>
      <c r="D1934" s="16" t="s">
        <v>123</v>
      </c>
      <c r="E1934" s="25">
        <v>44946</v>
      </c>
      <c r="F1934" s="16" t="s">
        <v>4534</v>
      </c>
      <c r="G1934" s="16" t="s">
        <v>176</v>
      </c>
      <c r="H1934" s="16">
        <v>2.2000000000000002</v>
      </c>
      <c r="I1934" s="16">
        <v>599</v>
      </c>
      <c r="J1934" s="16">
        <v>20</v>
      </c>
      <c r="K1934" s="16">
        <v>1054.24</v>
      </c>
      <c r="L1934" s="16" t="s">
        <v>126</v>
      </c>
      <c r="M1934" s="16" t="s">
        <v>119</v>
      </c>
      <c r="N1934" s="27">
        <v>44946.724305555559</v>
      </c>
      <c r="O1934" s="27">
        <v>44947.538194444445</v>
      </c>
      <c r="P1934" s="16">
        <v>2.9</v>
      </c>
      <c r="Q1934" s="16" t="b">
        <f>FALSE()</f>
        <v>0</v>
      </c>
      <c r="R1934" s="16" t="b">
        <f>FALSE()</f>
        <v>0</v>
      </c>
      <c r="S1934" s="17">
        <f t="shared" si="30"/>
        <v>19.5</v>
      </c>
      <c r="T1934">
        <f>COUNTIF('👤 Customers'!$A:$A, B1934)</f>
        <v>1</v>
      </c>
      <c r="U1934">
        <f>COUNTIF('🚴 Riders'!A1933:A1993, C1934)</f>
        <v>0</v>
      </c>
      <c r="V1934">
        <f>COUNTIF('🏭 Facilities'!A1933:A1941, D1934)</f>
        <v>0</v>
      </c>
    </row>
    <row r="1935" spans="1:22">
      <c r="A1935" s="18" t="s">
        <v>4535</v>
      </c>
      <c r="B1935" s="18" t="s">
        <v>643</v>
      </c>
      <c r="C1935" s="18" t="s">
        <v>183</v>
      </c>
      <c r="D1935" s="18" t="s">
        <v>123</v>
      </c>
      <c r="E1935" s="26">
        <v>45230</v>
      </c>
      <c r="F1935" s="18" t="s">
        <v>4536</v>
      </c>
      <c r="G1935" s="18" t="s">
        <v>145</v>
      </c>
      <c r="H1935" s="18">
        <v>7.6</v>
      </c>
      <c r="I1935" s="18">
        <v>299</v>
      </c>
      <c r="J1935" s="18">
        <v>0</v>
      </c>
      <c r="K1935" s="18">
        <v>2272.4</v>
      </c>
      <c r="L1935" s="18" t="s">
        <v>207</v>
      </c>
      <c r="M1935" s="18" t="s">
        <v>119</v>
      </c>
      <c r="N1935" s="28">
        <v>45230.304861111108</v>
      </c>
      <c r="O1935" s="28">
        <v>45231.380555555559</v>
      </c>
      <c r="P1935" s="18">
        <v>3.3</v>
      </c>
      <c r="Q1935" s="18" t="b">
        <f>FALSE()</f>
        <v>0</v>
      </c>
      <c r="R1935" s="18" t="b">
        <f>FALSE()</f>
        <v>0</v>
      </c>
      <c r="S1935" s="19">
        <f t="shared" si="30"/>
        <v>25.8</v>
      </c>
      <c r="T1935">
        <f>COUNTIF('👤 Customers'!$A:$A, B1935)</f>
        <v>1</v>
      </c>
      <c r="U1935">
        <f>COUNTIF('🚴 Riders'!A1934:A1994, C1935)</f>
        <v>0</v>
      </c>
      <c r="V1935">
        <f>COUNTIF('🏭 Facilities'!A1934:A1942, D1935)</f>
        <v>0</v>
      </c>
    </row>
    <row r="1936" spans="1:22">
      <c r="A1936" s="16" t="s">
        <v>4537</v>
      </c>
      <c r="B1936" s="16" t="s">
        <v>447</v>
      </c>
      <c r="C1936" s="16" t="s">
        <v>157</v>
      </c>
      <c r="D1936" s="16" t="s">
        <v>123</v>
      </c>
      <c r="E1936" s="25">
        <v>45644</v>
      </c>
      <c r="F1936" s="16" t="s">
        <v>4538</v>
      </c>
      <c r="G1936" s="16" t="s">
        <v>125</v>
      </c>
      <c r="H1936" s="16">
        <v>5.0999999999999996</v>
      </c>
      <c r="I1936" s="16">
        <v>199</v>
      </c>
      <c r="J1936" s="16">
        <v>10</v>
      </c>
      <c r="K1936" s="16">
        <v>913.41</v>
      </c>
      <c r="L1936" s="16" t="s">
        <v>139</v>
      </c>
      <c r="M1936" s="16" t="s">
        <v>133</v>
      </c>
      <c r="N1936" s="20"/>
      <c r="O1936" s="20"/>
      <c r="P1936" s="20"/>
      <c r="Q1936" s="16" t="b">
        <f>FALSE()</f>
        <v>0</v>
      </c>
      <c r="R1936" s="16" t="b">
        <f>FALSE()</f>
        <v>0</v>
      </c>
      <c r="S1936" s="17" t="str">
        <f t="shared" si="30"/>
        <v>N/A</v>
      </c>
      <c r="T1936">
        <f>COUNTIF('👤 Customers'!$A:$A, B1936)</f>
        <v>1</v>
      </c>
      <c r="U1936">
        <f>COUNTIF('🚴 Riders'!A1935:A1995, C1936)</f>
        <v>0</v>
      </c>
      <c r="V1936">
        <f>COUNTIF('🏭 Facilities'!A1935:A1943, D1936)</f>
        <v>0</v>
      </c>
    </row>
    <row r="1937" spans="1:22">
      <c r="A1937" s="18" t="s">
        <v>4539</v>
      </c>
      <c r="B1937" s="18" t="s">
        <v>1961</v>
      </c>
      <c r="C1937" s="18" t="s">
        <v>153</v>
      </c>
      <c r="D1937" s="18" t="s">
        <v>123</v>
      </c>
      <c r="E1937" s="26">
        <v>45277</v>
      </c>
      <c r="F1937" s="18" t="s">
        <v>926</v>
      </c>
      <c r="G1937" s="18" t="s">
        <v>117</v>
      </c>
      <c r="H1937" s="18">
        <v>5.4</v>
      </c>
      <c r="I1937" s="18">
        <v>149</v>
      </c>
      <c r="J1937" s="18">
        <v>0</v>
      </c>
      <c r="K1937" s="18">
        <v>804.6</v>
      </c>
      <c r="L1937" s="18" t="s">
        <v>126</v>
      </c>
      <c r="M1937" s="18" t="s">
        <v>119</v>
      </c>
      <c r="N1937" s="28">
        <v>45277.816666666666</v>
      </c>
      <c r="O1937" s="28">
        <v>45278.301388888889</v>
      </c>
      <c r="P1937" s="18">
        <v>2.8</v>
      </c>
      <c r="Q1937" s="18" t="b">
        <f>TRUE()</f>
        <v>1</v>
      </c>
      <c r="R1937" s="18" t="b">
        <f>FALSE()</f>
        <v>0</v>
      </c>
      <c r="S1937" s="19">
        <f t="shared" si="30"/>
        <v>11.6</v>
      </c>
      <c r="T1937">
        <f>COUNTIF('👤 Customers'!$A:$A, B1937)</f>
        <v>1</v>
      </c>
      <c r="U1937">
        <f>COUNTIF('🚴 Riders'!A1936:A1996, C1937)</f>
        <v>0</v>
      </c>
      <c r="V1937">
        <f>COUNTIF('🏭 Facilities'!A1936:A1944, D1937)</f>
        <v>0</v>
      </c>
    </row>
    <row r="1938" spans="1:22">
      <c r="A1938" s="16" t="s">
        <v>4540</v>
      </c>
      <c r="B1938" s="16" t="s">
        <v>1533</v>
      </c>
      <c r="C1938" s="16" t="s">
        <v>174</v>
      </c>
      <c r="D1938" s="16" t="s">
        <v>130</v>
      </c>
      <c r="E1938" s="25">
        <v>45340</v>
      </c>
      <c r="F1938" s="16" t="s">
        <v>4541</v>
      </c>
      <c r="G1938" s="16" t="s">
        <v>117</v>
      </c>
      <c r="H1938" s="16">
        <v>1.6</v>
      </c>
      <c r="I1938" s="16">
        <v>149</v>
      </c>
      <c r="J1938" s="16">
        <v>0</v>
      </c>
      <c r="K1938" s="16">
        <v>238.4</v>
      </c>
      <c r="L1938" s="16" t="s">
        <v>146</v>
      </c>
      <c r="M1938" s="16" t="s">
        <v>119</v>
      </c>
      <c r="N1938" s="27">
        <v>45340.515972222223</v>
      </c>
      <c r="O1938" s="27">
        <v>45341.589583333334</v>
      </c>
      <c r="P1938" s="16">
        <v>4.5999999999999996</v>
      </c>
      <c r="Q1938" s="16" t="b">
        <f>FALSE()</f>
        <v>0</v>
      </c>
      <c r="R1938" s="16" t="b">
        <f>TRUE()</f>
        <v>1</v>
      </c>
      <c r="S1938" s="17">
        <f t="shared" si="30"/>
        <v>25.8</v>
      </c>
      <c r="T1938">
        <f>COUNTIF('👤 Customers'!$A:$A, B1938)</f>
        <v>1</v>
      </c>
      <c r="U1938">
        <f>COUNTIF('🚴 Riders'!A1937:A1997, C1938)</f>
        <v>0</v>
      </c>
      <c r="V1938">
        <f>COUNTIF('🏭 Facilities'!A1937:A1945, D1938)</f>
        <v>0</v>
      </c>
    </row>
    <row r="1939" spans="1:22">
      <c r="A1939" s="18" t="s">
        <v>4542</v>
      </c>
      <c r="B1939" s="18" t="s">
        <v>1469</v>
      </c>
      <c r="C1939" s="18" t="s">
        <v>153</v>
      </c>
      <c r="D1939" s="18" t="s">
        <v>115</v>
      </c>
      <c r="E1939" s="26">
        <v>45387</v>
      </c>
      <c r="F1939" s="18" t="s">
        <v>4543</v>
      </c>
      <c r="G1939" s="18" t="s">
        <v>132</v>
      </c>
      <c r="H1939" s="18">
        <v>4.0999999999999996</v>
      </c>
      <c r="I1939" s="18">
        <v>399</v>
      </c>
      <c r="J1939" s="18">
        <v>30</v>
      </c>
      <c r="K1939" s="18">
        <v>1145.1300000000001</v>
      </c>
      <c r="L1939" s="18" t="s">
        <v>126</v>
      </c>
      <c r="M1939" s="18" t="s">
        <v>119</v>
      </c>
      <c r="N1939" s="28">
        <v>45387.779166666667</v>
      </c>
      <c r="O1939" s="28">
        <v>45388.700694444444</v>
      </c>
      <c r="P1939" s="18">
        <v>3.2</v>
      </c>
      <c r="Q1939" s="18" t="b">
        <f>FALSE()</f>
        <v>0</v>
      </c>
      <c r="R1939" s="18" t="b">
        <f>TRUE()</f>
        <v>1</v>
      </c>
      <c r="S1939" s="19">
        <f t="shared" si="30"/>
        <v>22.1</v>
      </c>
      <c r="T1939">
        <f>COUNTIF('👤 Customers'!$A:$A, B1939)</f>
        <v>1</v>
      </c>
      <c r="U1939">
        <f>COUNTIF('🚴 Riders'!A1938:A1998, C1939)</f>
        <v>0</v>
      </c>
      <c r="V1939">
        <f>COUNTIF('🏭 Facilities'!A1938:A1946, D1939)</f>
        <v>0</v>
      </c>
    </row>
    <row r="1940" spans="1:22">
      <c r="A1940" s="16" t="s">
        <v>4544</v>
      </c>
      <c r="B1940" s="16" t="s">
        <v>1832</v>
      </c>
      <c r="C1940" s="16" t="s">
        <v>536</v>
      </c>
      <c r="D1940" s="16" t="s">
        <v>115</v>
      </c>
      <c r="E1940" s="25">
        <v>44984</v>
      </c>
      <c r="F1940" s="16" t="s">
        <v>4545</v>
      </c>
      <c r="G1940" s="16" t="s">
        <v>117</v>
      </c>
      <c r="H1940" s="16">
        <v>5.6</v>
      </c>
      <c r="I1940" s="16">
        <v>149</v>
      </c>
      <c r="J1940" s="16">
        <v>0</v>
      </c>
      <c r="K1940" s="16">
        <v>834.4</v>
      </c>
      <c r="L1940" s="16" t="s">
        <v>207</v>
      </c>
      <c r="M1940" s="16" t="s">
        <v>119</v>
      </c>
      <c r="N1940" s="27">
        <v>44984.934027777781</v>
      </c>
      <c r="O1940" s="27">
        <v>44986.031944444447</v>
      </c>
      <c r="P1940" s="16">
        <v>3.9</v>
      </c>
      <c r="Q1940" s="16" t="b">
        <f>FALSE()</f>
        <v>0</v>
      </c>
      <c r="R1940" s="16" t="b">
        <f>TRUE()</f>
        <v>1</v>
      </c>
      <c r="S1940" s="17">
        <f t="shared" si="30"/>
        <v>26.3</v>
      </c>
      <c r="T1940">
        <f>COUNTIF('👤 Customers'!$A:$A, B1940)</f>
        <v>1</v>
      </c>
      <c r="U1940">
        <f>COUNTIF('🚴 Riders'!A1939:A1999, C1940)</f>
        <v>0</v>
      </c>
      <c r="V1940">
        <f>COUNTIF('🏭 Facilities'!A1939:A1947, D1940)</f>
        <v>0</v>
      </c>
    </row>
    <row r="1941" spans="1:22">
      <c r="A1941" s="18" t="s">
        <v>4546</v>
      </c>
      <c r="B1941" s="18" t="s">
        <v>1567</v>
      </c>
      <c r="C1941" s="18" t="s">
        <v>276</v>
      </c>
      <c r="D1941" s="18" t="s">
        <v>115</v>
      </c>
      <c r="E1941" s="26">
        <v>44928</v>
      </c>
      <c r="F1941" s="18" t="s">
        <v>4547</v>
      </c>
      <c r="G1941" s="18" t="s">
        <v>176</v>
      </c>
      <c r="H1941" s="18">
        <v>4.4000000000000004</v>
      </c>
      <c r="I1941" s="18">
        <v>599</v>
      </c>
      <c r="J1941" s="18">
        <v>10</v>
      </c>
      <c r="K1941" s="18">
        <v>2372.04</v>
      </c>
      <c r="L1941" s="18" t="s">
        <v>139</v>
      </c>
      <c r="M1941" s="18" t="s">
        <v>119</v>
      </c>
      <c r="N1941" s="28">
        <v>44928.34652777778</v>
      </c>
      <c r="O1941" s="28">
        <v>44929.061805555553</v>
      </c>
      <c r="P1941" s="18">
        <v>2.8</v>
      </c>
      <c r="Q1941" s="18" t="b">
        <f>FALSE()</f>
        <v>0</v>
      </c>
      <c r="R1941" s="18" t="b">
        <f>FALSE()</f>
        <v>0</v>
      </c>
      <c r="S1941" s="19">
        <f t="shared" si="30"/>
        <v>17.2</v>
      </c>
      <c r="T1941">
        <f>COUNTIF('👤 Customers'!$A:$A, B1941)</f>
        <v>1</v>
      </c>
      <c r="U1941">
        <f>COUNTIF('🚴 Riders'!A1940:A2000, C1941)</f>
        <v>0</v>
      </c>
      <c r="V1941">
        <f>COUNTIF('🏭 Facilities'!A1940:A1948, D1941)</f>
        <v>0</v>
      </c>
    </row>
    <row r="1942" spans="1:22">
      <c r="A1942" s="16" t="s">
        <v>4548</v>
      </c>
      <c r="B1942" s="16" t="s">
        <v>1754</v>
      </c>
      <c r="C1942" s="16" t="s">
        <v>276</v>
      </c>
      <c r="D1942" s="16" t="s">
        <v>137</v>
      </c>
      <c r="E1942" s="25">
        <v>45219</v>
      </c>
      <c r="F1942" s="16" t="s">
        <v>4549</v>
      </c>
      <c r="G1942" s="16" t="s">
        <v>132</v>
      </c>
      <c r="H1942" s="16">
        <v>6.2</v>
      </c>
      <c r="I1942" s="16">
        <v>399</v>
      </c>
      <c r="J1942" s="16">
        <v>0</v>
      </c>
      <c r="K1942" s="16">
        <v>2473.8000000000002</v>
      </c>
      <c r="L1942" s="16" t="s">
        <v>126</v>
      </c>
      <c r="M1942" s="16" t="s">
        <v>119</v>
      </c>
      <c r="N1942" s="27">
        <v>45220.074305555558</v>
      </c>
      <c r="O1942" s="27">
        <v>45220.79791666667</v>
      </c>
      <c r="P1942" s="16">
        <v>3.7</v>
      </c>
      <c r="Q1942" s="16" t="b">
        <f>TRUE()</f>
        <v>1</v>
      </c>
      <c r="R1942" s="16" t="b">
        <f>FALSE()</f>
        <v>0</v>
      </c>
      <c r="S1942" s="17">
        <f t="shared" si="30"/>
        <v>17.399999999999999</v>
      </c>
      <c r="T1942">
        <f>COUNTIF('👤 Customers'!$A:$A, B1942)</f>
        <v>1</v>
      </c>
      <c r="U1942">
        <f>COUNTIF('🚴 Riders'!A1941:A2001, C1942)</f>
        <v>0</v>
      </c>
      <c r="V1942">
        <f>COUNTIF('🏭 Facilities'!A1941:A1949, D1942)</f>
        <v>0</v>
      </c>
    </row>
    <row r="1943" spans="1:22">
      <c r="A1943" s="18" t="s">
        <v>4550</v>
      </c>
      <c r="B1943" s="18" t="s">
        <v>4356</v>
      </c>
      <c r="C1943" s="18" t="s">
        <v>192</v>
      </c>
      <c r="D1943" s="18" t="s">
        <v>137</v>
      </c>
      <c r="E1943" s="26">
        <v>45583</v>
      </c>
      <c r="F1943" s="18" t="s">
        <v>4551</v>
      </c>
      <c r="G1943" s="18" t="s">
        <v>176</v>
      </c>
      <c r="H1943" s="18">
        <v>3.8</v>
      </c>
      <c r="I1943" s="18">
        <v>599</v>
      </c>
      <c r="J1943" s="18">
        <v>0</v>
      </c>
      <c r="K1943" s="18">
        <v>2276.1999999999998</v>
      </c>
      <c r="L1943" s="18" t="s">
        <v>139</v>
      </c>
      <c r="M1943" s="18" t="s">
        <v>119</v>
      </c>
      <c r="N1943" s="28">
        <v>45583.79791666667</v>
      </c>
      <c r="O1943" s="28">
        <v>45584.429861111108</v>
      </c>
      <c r="P1943" s="18">
        <v>4.5999999999999996</v>
      </c>
      <c r="Q1943" s="18" t="b">
        <f>FALSE()</f>
        <v>0</v>
      </c>
      <c r="R1943" s="18" t="b">
        <f>FALSE()</f>
        <v>0</v>
      </c>
      <c r="S1943" s="19">
        <f t="shared" si="30"/>
        <v>15.2</v>
      </c>
      <c r="T1943">
        <f>COUNTIF('👤 Customers'!$A:$A, B1943)</f>
        <v>1</v>
      </c>
      <c r="U1943">
        <f>COUNTIF('🚴 Riders'!A1942:A2002, C1943)</f>
        <v>0</v>
      </c>
      <c r="V1943">
        <f>COUNTIF('🏭 Facilities'!A1942:A1950, D1943)</f>
        <v>0</v>
      </c>
    </row>
    <row r="1944" spans="1:22">
      <c r="A1944" s="16" t="s">
        <v>4552</v>
      </c>
      <c r="B1944" s="16" t="s">
        <v>279</v>
      </c>
      <c r="C1944" s="16" t="s">
        <v>257</v>
      </c>
      <c r="D1944" s="16" t="s">
        <v>130</v>
      </c>
      <c r="E1944" s="25">
        <v>45126</v>
      </c>
      <c r="F1944" s="16" t="s">
        <v>4553</v>
      </c>
      <c r="G1944" s="16" t="s">
        <v>176</v>
      </c>
      <c r="H1944" s="16">
        <v>4</v>
      </c>
      <c r="I1944" s="16">
        <v>599</v>
      </c>
      <c r="J1944" s="16">
        <v>0</v>
      </c>
      <c r="K1944" s="16">
        <v>2396</v>
      </c>
      <c r="L1944" s="16" t="s">
        <v>146</v>
      </c>
      <c r="M1944" s="16" t="s">
        <v>133</v>
      </c>
      <c r="N1944" s="20"/>
      <c r="O1944" s="20"/>
      <c r="P1944" s="20"/>
      <c r="Q1944" s="16" t="b">
        <f>FALSE()</f>
        <v>0</v>
      </c>
      <c r="R1944" s="16" t="b">
        <f>FALSE()</f>
        <v>0</v>
      </c>
      <c r="S1944" s="17" t="str">
        <f t="shared" si="30"/>
        <v>N/A</v>
      </c>
      <c r="T1944">
        <f>COUNTIF('👤 Customers'!$A:$A, B1944)</f>
        <v>1</v>
      </c>
      <c r="U1944">
        <f>COUNTIF('🚴 Riders'!A1943:A2003, C1944)</f>
        <v>0</v>
      </c>
      <c r="V1944">
        <f>COUNTIF('🏭 Facilities'!A1943:A1951, D1944)</f>
        <v>0</v>
      </c>
    </row>
    <row r="1945" spans="1:22">
      <c r="A1945" s="18" t="s">
        <v>4554</v>
      </c>
      <c r="B1945" s="18" t="s">
        <v>716</v>
      </c>
      <c r="C1945" s="18" t="s">
        <v>261</v>
      </c>
      <c r="D1945" s="18" t="s">
        <v>137</v>
      </c>
      <c r="E1945" s="26">
        <v>45635</v>
      </c>
      <c r="F1945" s="18" t="s">
        <v>4555</v>
      </c>
      <c r="G1945" s="18" t="s">
        <v>117</v>
      </c>
      <c r="H1945" s="18">
        <v>6.6</v>
      </c>
      <c r="I1945" s="18">
        <v>149</v>
      </c>
      <c r="J1945" s="18">
        <v>0</v>
      </c>
      <c r="K1945" s="18">
        <v>983.4</v>
      </c>
      <c r="L1945" s="18" t="s">
        <v>118</v>
      </c>
      <c r="M1945" s="18" t="s">
        <v>133</v>
      </c>
      <c r="N1945" s="20"/>
      <c r="O1945" s="20"/>
      <c r="P1945" s="20"/>
      <c r="Q1945" s="18" t="b">
        <f>FALSE()</f>
        <v>0</v>
      </c>
      <c r="R1945" s="18" t="b">
        <f>FALSE()</f>
        <v>0</v>
      </c>
      <c r="S1945" s="19" t="str">
        <f t="shared" si="30"/>
        <v>N/A</v>
      </c>
      <c r="T1945">
        <f>COUNTIF('👤 Customers'!$A:$A, B1945)</f>
        <v>1</v>
      </c>
      <c r="U1945">
        <f>COUNTIF('🚴 Riders'!A1944:A2004, C1945)</f>
        <v>0</v>
      </c>
      <c r="V1945">
        <f>COUNTIF('🏭 Facilities'!A1944:A1952, D1945)</f>
        <v>0</v>
      </c>
    </row>
    <row r="1946" spans="1:22">
      <c r="A1946" s="16" t="s">
        <v>4556</v>
      </c>
      <c r="B1946" s="16" t="s">
        <v>1634</v>
      </c>
      <c r="C1946" s="16" t="s">
        <v>232</v>
      </c>
      <c r="D1946" s="16" t="s">
        <v>158</v>
      </c>
      <c r="E1946" s="25">
        <v>45474</v>
      </c>
      <c r="F1946" s="16" t="s">
        <v>4557</v>
      </c>
      <c r="G1946" s="16" t="s">
        <v>176</v>
      </c>
      <c r="H1946" s="16">
        <v>4.2</v>
      </c>
      <c r="I1946" s="16">
        <v>599</v>
      </c>
      <c r="J1946" s="16">
        <v>0</v>
      </c>
      <c r="K1946" s="16">
        <v>2515.8000000000002</v>
      </c>
      <c r="L1946" s="16" t="s">
        <v>146</v>
      </c>
      <c r="M1946" s="16" t="s">
        <v>133</v>
      </c>
      <c r="N1946" s="20"/>
      <c r="O1946" s="20"/>
      <c r="P1946" s="20"/>
      <c r="Q1946" s="16" t="b">
        <f>TRUE()</f>
        <v>1</v>
      </c>
      <c r="R1946" s="16" t="b">
        <f>FALSE()</f>
        <v>0</v>
      </c>
      <c r="S1946" s="17" t="str">
        <f t="shared" si="30"/>
        <v>N/A</v>
      </c>
      <c r="T1946">
        <f>COUNTIF('👤 Customers'!$A:$A, B1946)</f>
        <v>1</v>
      </c>
      <c r="U1946">
        <f>COUNTIF('🚴 Riders'!A1945:A2005, C1946)</f>
        <v>0</v>
      </c>
      <c r="V1946">
        <f>COUNTIF('🏭 Facilities'!A1945:A1953, D1946)</f>
        <v>0</v>
      </c>
    </row>
    <row r="1947" spans="1:22">
      <c r="A1947" s="18" t="s">
        <v>4558</v>
      </c>
      <c r="B1947" s="18" t="s">
        <v>554</v>
      </c>
      <c r="C1947" s="18" t="s">
        <v>354</v>
      </c>
      <c r="D1947" s="18" t="s">
        <v>137</v>
      </c>
      <c r="E1947" s="26">
        <v>44935</v>
      </c>
      <c r="F1947" s="18" t="s">
        <v>4559</v>
      </c>
      <c r="G1947" s="18" t="s">
        <v>145</v>
      </c>
      <c r="H1947" s="18">
        <v>2.9</v>
      </c>
      <c r="I1947" s="18">
        <v>299</v>
      </c>
      <c r="J1947" s="18">
        <v>0</v>
      </c>
      <c r="K1947" s="18">
        <v>867.1</v>
      </c>
      <c r="L1947" s="18" t="s">
        <v>118</v>
      </c>
      <c r="M1947" s="18" t="s">
        <v>119</v>
      </c>
      <c r="N1947" s="28">
        <v>44935.523611111108</v>
      </c>
      <c r="O1947" s="28">
        <v>44935.886805555558</v>
      </c>
      <c r="P1947" s="18">
        <v>4.9000000000000004</v>
      </c>
      <c r="Q1947" s="18" t="b">
        <f>FALSE()</f>
        <v>0</v>
      </c>
      <c r="R1947" s="18" t="b">
        <f>TRUE()</f>
        <v>1</v>
      </c>
      <c r="S1947" s="19">
        <f t="shared" si="30"/>
        <v>8.6999999999999993</v>
      </c>
      <c r="T1947">
        <f>COUNTIF('👤 Customers'!$A:$A, B1947)</f>
        <v>1</v>
      </c>
      <c r="U1947">
        <f>COUNTIF('🚴 Riders'!A1946:A2006, C1947)</f>
        <v>0</v>
      </c>
      <c r="V1947">
        <f>COUNTIF('🏭 Facilities'!A1946:A1954, D1947)</f>
        <v>0</v>
      </c>
    </row>
    <row r="1948" spans="1:22">
      <c r="A1948" s="16" t="s">
        <v>4560</v>
      </c>
      <c r="B1948" s="16" t="s">
        <v>1452</v>
      </c>
      <c r="C1948" s="16" t="s">
        <v>431</v>
      </c>
      <c r="D1948" s="16" t="s">
        <v>184</v>
      </c>
      <c r="E1948" s="25">
        <v>45062</v>
      </c>
      <c r="F1948" s="16" t="s">
        <v>4561</v>
      </c>
      <c r="G1948" s="16" t="s">
        <v>125</v>
      </c>
      <c r="H1948" s="16">
        <v>4</v>
      </c>
      <c r="I1948" s="16">
        <v>199</v>
      </c>
      <c r="J1948" s="16">
        <v>10</v>
      </c>
      <c r="K1948" s="16">
        <v>716.4</v>
      </c>
      <c r="L1948" s="16" t="s">
        <v>207</v>
      </c>
      <c r="M1948" s="16" t="s">
        <v>119</v>
      </c>
      <c r="N1948" s="27">
        <v>45062.431250000001</v>
      </c>
      <c r="O1948" s="27">
        <v>45063.135416666664</v>
      </c>
      <c r="P1948" s="16">
        <v>4.7</v>
      </c>
      <c r="Q1948" s="16" t="b">
        <f>FALSE()</f>
        <v>0</v>
      </c>
      <c r="R1948" s="16" t="b">
        <f>FALSE()</f>
        <v>0</v>
      </c>
      <c r="S1948" s="17">
        <f t="shared" si="30"/>
        <v>16.899999999999999</v>
      </c>
      <c r="T1948">
        <f>COUNTIF('👤 Customers'!$A:$A, B1948)</f>
        <v>1</v>
      </c>
      <c r="U1948">
        <f>COUNTIF('🚴 Riders'!A1947:A2007, C1948)</f>
        <v>0</v>
      </c>
      <c r="V1948">
        <f>COUNTIF('🏭 Facilities'!A1947:A1955, D1948)</f>
        <v>0</v>
      </c>
    </row>
    <row r="1949" spans="1:22">
      <c r="A1949" s="18" t="s">
        <v>4562</v>
      </c>
      <c r="B1949" s="18" t="s">
        <v>731</v>
      </c>
      <c r="C1949" s="18" t="s">
        <v>276</v>
      </c>
      <c r="D1949" s="18" t="s">
        <v>205</v>
      </c>
      <c r="E1949" s="26">
        <v>45527</v>
      </c>
      <c r="F1949" s="18" t="s">
        <v>4563</v>
      </c>
      <c r="G1949" s="18" t="s">
        <v>117</v>
      </c>
      <c r="H1949" s="18">
        <v>4.8</v>
      </c>
      <c r="I1949" s="18">
        <v>149</v>
      </c>
      <c r="J1949" s="18">
        <v>10</v>
      </c>
      <c r="K1949" s="18">
        <v>643.67999999999995</v>
      </c>
      <c r="L1949" s="18" t="s">
        <v>139</v>
      </c>
      <c r="M1949" s="18" t="s">
        <v>119</v>
      </c>
      <c r="N1949" s="28">
        <v>45527.224305555559</v>
      </c>
      <c r="O1949" s="28">
        <v>45528.198611111111</v>
      </c>
      <c r="P1949" s="18">
        <v>3.1</v>
      </c>
      <c r="Q1949" s="18" t="b">
        <f>FALSE()</f>
        <v>0</v>
      </c>
      <c r="R1949" s="18" t="b">
        <f>FALSE()</f>
        <v>0</v>
      </c>
      <c r="S1949" s="19">
        <f t="shared" si="30"/>
        <v>23.4</v>
      </c>
      <c r="T1949">
        <f>COUNTIF('👤 Customers'!$A:$A, B1949)</f>
        <v>1</v>
      </c>
      <c r="U1949">
        <f>COUNTIF('🚴 Riders'!A1948:A2008, C1949)</f>
        <v>0</v>
      </c>
      <c r="V1949">
        <f>COUNTIF('🏭 Facilities'!A1948:A1956, D1949)</f>
        <v>0</v>
      </c>
    </row>
    <row r="1950" spans="1:22">
      <c r="A1950" s="16" t="s">
        <v>4564</v>
      </c>
      <c r="B1950" s="16" t="s">
        <v>2398</v>
      </c>
      <c r="C1950" s="16" t="s">
        <v>479</v>
      </c>
      <c r="D1950" s="16" t="s">
        <v>137</v>
      </c>
      <c r="E1950" s="25">
        <v>45299</v>
      </c>
      <c r="F1950" s="16" t="s">
        <v>4565</v>
      </c>
      <c r="G1950" s="16" t="s">
        <v>117</v>
      </c>
      <c r="H1950" s="16">
        <v>3.4</v>
      </c>
      <c r="I1950" s="16">
        <v>149</v>
      </c>
      <c r="J1950" s="16">
        <v>0</v>
      </c>
      <c r="K1950" s="16">
        <v>506.6</v>
      </c>
      <c r="L1950" s="16" t="s">
        <v>126</v>
      </c>
      <c r="M1950" s="16" t="s">
        <v>133</v>
      </c>
      <c r="N1950" s="20"/>
      <c r="O1950" s="20"/>
      <c r="P1950" s="20"/>
      <c r="Q1950" s="16" t="b">
        <f>FALSE()</f>
        <v>0</v>
      </c>
      <c r="R1950" s="16" t="b">
        <f>FALSE()</f>
        <v>0</v>
      </c>
      <c r="S1950" s="17" t="str">
        <f t="shared" si="30"/>
        <v>N/A</v>
      </c>
      <c r="T1950">
        <f>COUNTIF('👤 Customers'!$A:$A, B1950)</f>
        <v>1</v>
      </c>
      <c r="U1950">
        <f>COUNTIF('🚴 Riders'!A1949:A2009, C1950)</f>
        <v>0</v>
      </c>
      <c r="V1950">
        <f>COUNTIF('🏭 Facilities'!A1949:A1957, D1950)</f>
        <v>0</v>
      </c>
    </row>
    <row r="1951" spans="1:22">
      <c r="A1951" s="18" t="s">
        <v>4566</v>
      </c>
      <c r="B1951" s="18" t="s">
        <v>1754</v>
      </c>
      <c r="C1951" s="18" t="s">
        <v>220</v>
      </c>
      <c r="D1951" s="18" t="s">
        <v>115</v>
      </c>
      <c r="E1951" s="26">
        <v>45521</v>
      </c>
      <c r="F1951" s="18" t="s">
        <v>4567</v>
      </c>
      <c r="G1951" s="18" t="s">
        <v>125</v>
      </c>
      <c r="H1951" s="18">
        <v>2.1</v>
      </c>
      <c r="I1951" s="18">
        <v>199</v>
      </c>
      <c r="J1951" s="18">
        <v>0</v>
      </c>
      <c r="K1951" s="18">
        <v>417.9</v>
      </c>
      <c r="L1951" s="18" t="s">
        <v>146</v>
      </c>
      <c r="M1951" s="18" t="s">
        <v>119</v>
      </c>
      <c r="N1951" s="28">
        <v>45521.348611111112</v>
      </c>
      <c r="O1951" s="28">
        <v>45521.930555555555</v>
      </c>
      <c r="P1951" s="18">
        <v>3.9</v>
      </c>
      <c r="Q1951" s="18" t="b">
        <f>FALSE()</f>
        <v>0</v>
      </c>
      <c r="R1951" s="18" t="b">
        <f>FALSE()</f>
        <v>0</v>
      </c>
      <c r="S1951" s="19">
        <f t="shared" si="30"/>
        <v>14</v>
      </c>
      <c r="T1951">
        <f>COUNTIF('👤 Customers'!$A:$A, B1951)</f>
        <v>1</v>
      </c>
      <c r="U1951">
        <f>COUNTIF('🚴 Riders'!A1950:A2010, C1951)</f>
        <v>0</v>
      </c>
      <c r="V1951">
        <f>COUNTIF('🏭 Facilities'!A1950:A1958, D1951)</f>
        <v>0</v>
      </c>
    </row>
    <row r="1952" spans="1:22">
      <c r="A1952" s="16" t="s">
        <v>4568</v>
      </c>
      <c r="B1952" s="16" t="s">
        <v>1003</v>
      </c>
      <c r="C1952" s="16" t="s">
        <v>265</v>
      </c>
      <c r="D1952" s="16" t="s">
        <v>158</v>
      </c>
      <c r="E1952" s="25">
        <v>45516</v>
      </c>
      <c r="F1952" s="16" t="s">
        <v>4569</v>
      </c>
      <c r="G1952" s="16" t="s">
        <v>176</v>
      </c>
      <c r="H1952" s="16">
        <v>4.2</v>
      </c>
      <c r="I1952" s="16">
        <v>599</v>
      </c>
      <c r="J1952" s="16">
        <v>0</v>
      </c>
      <c r="K1952" s="16">
        <v>2515.8000000000002</v>
      </c>
      <c r="L1952" s="16" t="s">
        <v>146</v>
      </c>
      <c r="M1952" s="16" t="s">
        <v>119</v>
      </c>
      <c r="N1952" s="27">
        <v>45516.073611111111</v>
      </c>
      <c r="O1952" s="27">
        <v>45516.731944444444</v>
      </c>
      <c r="P1952" s="16">
        <v>3.6</v>
      </c>
      <c r="Q1952" s="16" t="b">
        <f>TRUE()</f>
        <v>1</v>
      </c>
      <c r="R1952" s="16" t="b">
        <f>FALSE()</f>
        <v>0</v>
      </c>
      <c r="S1952" s="17">
        <f t="shared" si="30"/>
        <v>15.8</v>
      </c>
      <c r="T1952">
        <f>COUNTIF('👤 Customers'!$A:$A, B1952)</f>
        <v>1</v>
      </c>
      <c r="U1952">
        <f>COUNTIF('🚴 Riders'!A1951:A2011, C1952)</f>
        <v>0</v>
      </c>
      <c r="V1952">
        <f>COUNTIF('🏭 Facilities'!A1951:A1959, D1952)</f>
        <v>0</v>
      </c>
    </row>
    <row r="1953" spans="1:22">
      <c r="A1953" s="18" t="s">
        <v>4570</v>
      </c>
      <c r="B1953" s="18" t="s">
        <v>1336</v>
      </c>
      <c r="C1953" s="18" t="s">
        <v>326</v>
      </c>
      <c r="D1953" s="18" t="s">
        <v>130</v>
      </c>
      <c r="E1953" s="26">
        <v>44984</v>
      </c>
      <c r="F1953" s="18" t="s">
        <v>4571</v>
      </c>
      <c r="G1953" s="18" t="s">
        <v>132</v>
      </c>
      <c r="H1953" s="18">
        <v>2.8</v>
      </c>
      <c r="I1953" s="18">
        <v>399</v>
      </c>
      <c r="J1953" s="18">
        <v>20</v>
      </c>
      <c r="K1953" s="18">
        <v>893.76</v>
      </c>
      <c r="L1953" s="18" t="s">
        <v>146</v>
      </c>
      <c r="M1953" s="18" t="s">
        <v>119</v>
      </c>
      <c r="N1953" s="28">
        <v>44984.276388888888</v>
      </c>
      <c r="O1953" s="28">
        <v>44984.67083333333</v>
      </c>
      <c r="P1953" s="18">
        <v>4</v>
      </c>
      <c r="Q1953" s="18" t="b">
        <f>FALSE()</f>
        <v>0</v>
      </c>
      <c r="R1953" s="18" t="b">
        <f>FALSE()</f>
        <v>0</v>
      </c>
      <c r="S1953" s="19">
        <f t="shared" si="30"/>
        <v>9.5</v>
      </c>
      <c r="T1953">
        <f>COUNTIF('👤 Customers'!$A:$A, B1953)</f>
        <v>1</v>
      </c>
      <c r="U1953">
        <f>COUNTIF('🚴 Riders'!A1952:A2012, C1953)</f>
        <v>0</v>
      </c>
      <c r="V1953">
        <f>COUNTIF('🏭 Facilities'!A1952:A1960, D1953)</f>
        <v>0</v>
      </c>
    </row>
    <row r="1954" spans="1:22">
      <c r="A1954" s="16" t="s">
        <v>4572</v>
      </c>
      <c r="B1954" s="16" t="s">
        <v>1886</v>
      </c>
      <c r="C1954" s="16" t="s">
        <v>304</v>
      </c>
      <c r="D1954" s="16" t="s">
        <v>158</v>
      </c>
      <c r="E1954" s="25">
        <v>45360</v>
      </c>
      <c r="F1954" s="16" t="s">
        <v>4573</v>
      </c>
      <c r="G1954" s="16" t="s">
        <v>117</v>
      </c>
      <c r="H1954" s="16">
        <v>1.8</v>
      </c>
      <c r="I1954" s="16">
        <v>149</v>
      </c>
      <c r="J1954" s="16">
        <v>0</v>
      </c>
      <c r="K1954" s="16">
        <v>268.2</v>
      </c>
      <c r="L1954" s="16" t="s">
        <v>118</v>
      </c>
      <c r="M1954" s="16" t="s">
        <v>119</v>
      </c>
      <c r="N1954" s="27">
        <v>45360.977083333331</v>
      </c>
      <c r="O1954" s="27">
        <v>45361.95416666667</v>
      </c>
      <c r="P1954" s="16">
        <v>3.1</v>
      </c>
      <c r="Q1954" s="16" t="b">
        <f>FALSE()</f>
        <v>0</v>
      </c>
      <c r="R1954" s="16" t="b">
        <f>FALSE()</f>
        <v>0</v>
      </c>
      <c r="S1954" s="17">
        <f t="shared" si="30"/>
        <v>23.5</v>
      </c>
      <c r="T1954">
        <f>COUNTIF('👤 Customers'!$A:$A, B1954)</f>
        <v>1</v>
      </c>
      <c r="U1954">
        <f>COUNTIF('🚴 Riders'!A1953:A2013, C1954)</f>
        <v>0</v>
      </c>
      <c r="V1954">
        <f>COUNTIF('🏭 Facilities'!A1953:A1961, D1954)</f>
        <v>0</v>
      </c>
    </row>
    <row r="1955" spans="1:22">
      <c r="A1955" s="18" t="s">
        <v>4574</v>
      </c>
      <c r="B1955" s="18" t="s">
        <v>1466</v>
      </c>
      <c r="C1955" s="18" t="s">
        <v>213</v>
      </c>
      <c r="D1955" s="18" t="s">
        <v>130</v>
      </c>
      <c r="E1955" s="26">
        <v>45581</v>
      </c>
      <c r="F1955" s="18" t="s">
        <v>4575</v>
      </c>
      <c r="G1955" s="18" t="s">
        <v>176</v>
      </c>
      <c r="H1955" s="18">
        <v>6.6</v>
      </c>
      <c r="I1955" s="18">
        <v>599</v>
      </c>
      <c r="J1955" s="18">
        <v>0</v>
      </c>
      <c r="K1955" s="18">
        <v>3953.4</v>
      </c>
      <c r="L1955" s="18" t="s">
        <v>126</v>
      </c>
      <c r="M1955" s="18" t="s">
        <v>140</v>
      </c>
      <c r="N1955" s="28">
        <v>45581.73333333333</v>
      </c>
      <c r="O1955" s="28">
        <v>45582.206944444442</v>
      </c>
      <c r="P1955" s="20"/>
      <c r="Q1955" s="18" t="b">
        <f>FALSE()</f>
        <v>0</v>
      </c>
      <c r="R1955" s="18" t="b">
        <f>TRUE()</f>
        <v>1</v>
      </c>
      <c r="S1955" s="19">
        <f t="shared" si="30"/>
        <v>11.4</v>
      </c>
      <c r="T1955">
        <f>COUNTIF('👤 Customers'!$A:$A, B1955)</f>
        <v>1</v>
      </c>
      <c r="U1955">
        <f>COUNTIF('🚴 Riders'!A1954:A2014, C1955)</f>
        <v>0</v>
      </c>
      <c r="V1955">
        <f>COUNTIF('🏭 Facilities'!A1954:A1962, D1955)</f>
        <v>0</v>
      </c>
    </row>
    <row r="1956" spans="1:22">
      <c r="A1956" s="16" t="s">
        <v>4576</v>
      </c>
      <c r="B1956" s="16" t="s">
        <v>628</v>
      </c>
      <c r="C1956" s="16" t="s">
        <v>1092</v>
      </c>
      <c r="D1956" s="16" t="s">
        <v>205</v>
      </c>
      <c r="E1956" s="25">
        <v>45377</v>
      </c>
      <c r="F1956" s="16" t="s">
        <v>4577</v>
      </c>
      <c r="G1956" s="16" t="s">
        <v>145</v>
      </c>
      <c r="H1956" s="16">
        <v>6.2</v>
      </c>
      <c r="I1956" s="16">
        <v>299</v>
      </c>
      <c r="J1956" s="16">
        <v>10</v>
      </c>
      <c r="K1956" s="16">
        <v>1668.42</v>
      </c>
      <c r="L1956" s="16" t="s">
        <v>126</v>
      </c>
      <c r="M1956" s="16" t="s">
        <v>119</v>
      </c>
      <c r="N1956" s="27">
        <v>45377.680555555555</v>
      </c>
      <c r="O1956" s="27">
        <v>45378.579861111109</v>
      </c>
      <c r="P1956" s="16">
        <v>4.4000000000000004</v>
      </c>
      <c r="Q1956" s="16" t="b">
        <f>FALSE()</f>
        <v>0</v>
      </c>
      <c r="R1956" s="16" t="b">
        <f>FALSE()</f>
        <v>0</v>
      </c>
      <c r="S1956" s="17">
        <f t="shared" si="30"/>
        <v>21.6</v>
      </c>
      <c r="T1956">
        <f>COUNTIF('👤 Customers'!$A:$A, B1956)</f>
        <v>1</v>
      </c>
      <c r="U1956">
        <f>COUNTIF('🚴 Riders'!A1955:A2015, C1956)</f>
        <v>0</v>
      </c>
      <c r="V1956">
        <f>COUNTIF('🏭 Facilities'!A1955:A1963, D1956)</f>
        <v>0</v>
      </c>
    </row>
    <row r="1957" spans="1:22">
      <c r="A1957" s="18" t="s">
        <v>4578</v>
      </c>
      <c r="B1957" s="18" t="s">
        <v>2170</v>
      </c>
      <c r="C1957" s="18" t="s">
        <v>265</v>
      </c>
      <c r="D1957" s="18" t="s">
        <v>158</v>
      </c>
      <c r="E1957" s="26">
        <v>45341</v>
      </c>
      <c r="F1957" s="18" t="s">
        <v>4579</v>
      </c>
      <c r="G1957" s="18" t="s">
        <v>125</v>
      </c>
      <c r="H1957" s="18">
        <v>5.0999999999999996</v>
      </c>
      <c r="I1957" s="18">
        <v>199</v>
      </c>
      <c r="J1957" s="18">
        <v>10</v>
      </c>
      <c r="K1957" s="18">
        <v>913.41</v>
      </c>
      <c r="L1957" s="18" t="s">
        <v>126</v>
      </c>
      <c r="M1957" s="18" t="s">
        <v>119</v>
      </c>
      <c r="N1957" s="28">
        <v>45341.375694444447</v>
      </c>
      <c r="O1957" s="28">
        <v>45341.839583333334</v>
      </c>
      <c r="P1957" s="18">
        <v>4.5999999999999996</v>
      </c>
      <c r="Q1957" s="18" t="b">
        <f>FALSE()</f>
        <v>0</v>
      </c>
      <c r="R1957" s="18" t="b">
        <f>TRUE()</f>
        <v>1</v>
      </c>
      <c r="S1957" s="19">
        <f t="shared" si="30"/>
        <v>11.1</v>
      </c>
      <c r="T1957">
        <f>COUNTIF('👤 Customers'!$A:$A, B1957)</f>
        <v>1</v>
      </c>
      <c r="U1957">
        <f>COUNTIF('🚴 Riders'!A1956:A2016, C1957)</f>
        <v>0</v>
      </c>
      <c r="V1957">
        <f>COUNTIF('🏭 Facilities'!A1956:A1964, D1957)</f>
        <v>0</v>
      </c>
    </row>
    <row r="1958" spans="1:22">
      <c r="A1958" s="16" t="s">
        <v>4580</v>
      </c>
      <c r="B1958" s="16" t="s">
        <v>2727</v>
      </c>
      <c r="C1958" s="16" t="s">
        <v>276</v>
      </c>
      <c r="D1958" s="16" t="s">
        <v>197</v>
      </c>
      <c r="E1958" s="25">
        <v>44966</v>
      </c>
      <c r="F1958" s="16" t="s">
        <v>4581</v>
      </c>
      <c r="G1958" s="16" t="s">
        <v>145</v>
      </c>
      <c r="H1958" s="16">
        <v>5.2</v>
      </c>
      <c r="I1958" s="16">
        <v>299</v>
      </c>
      <c r="J1958" s="16">
        <v>20</v>
      </c>
      <c r="K1958" s="16">
        <v>1243.8399999999999</v>
      </c>
      <c r="L1958" s="16" t="s">
        <v>126</v>
      </c>
      <c r="M1958" s="16" t="s">
        <v>119</v>
      </c>
      <c r="N1958" s="27">
        <v>44967.113194444442</v>
      </c>
      <c r="O1958" s="27">
        <v>44967.96875</v>
      </c>
      <c r="P1958" s="16">
        <v>2.8</v>
      </c>
      <c r="Q1958" s="16" t="b">
        <f>FALSE()</f>
        <v>0</v>
      </c>
      <c r="R1958" s="16" t="b">
        <f>FALSE()</f>
        <v>0</v>
      </c>
      <c r="S1958" s="17">
        <f t="shared" si="30"/>
        <v>20.5</v>
      </c>
      <c r="T1958">
        <f>COUNTIF('👤 Customers'!$A:$A, B1958)</f>
        <v>1</v>
      </c>
      <c r="U1958">
        <f>COUNTIF('🚴 Riders'!A1957:A2017, C1958)</f>
        <v>0</v>
      </c>
      <c r="V1958">
        <f>COUNTIF('🏭 Facilities'!A1957:A1965, D1958)</f>
        <v>0</v>
      </c>
    </row>
    <row r="1959" spans="1:22">
      <c r="A1959" s="18" t="s">
        <v>4582</v>
      </c>
      <c r="B1959" s="18" t="s">
        <v>569</v>
      </c>
      <c r="C1959" s="18" t="s">
        <v>431</v>
      </c>
      <c r="D1959" s="18" t="s">
        <v>115</v>
      </c>
      <c r="E1959" s="26">
        <v>45294</v>
      </c>
      <c r="F1959" s="18" t="s">
        <v>4583</v>
      </c>
      <c r="G1959" s="18" t="s">
        <v>145</v>
      </c>
      <c r="H1959" s="18">
        <v>3.1</v>
      </c>
      <c r="I1959" s="18">
        <v>299</v>
      </c>
      <c r="J1959" s="18">
        <v>0</v>
      </c>
      <c r="K1959" s="18">
        <v>926.9</v>
      </c>
      <c r="L1959" s="18" t="s">
        <v>207</v>
      </c>
      <c r="M1959" s="18" t="s">
        <v>119</v>
      </c>
      <c r="N1959" s="28">
        <v>45294.241666666669</v>
      </c>
      <c r="O1959" s="28">
        <v>45294.824999999997</v>
      </c>
      <c r="P1959" s="18">
        <v>2.9</v>
      </c>
      <c r="Q1959" s="18" t="b">
        <f>FALSE()</f>
        <v>0</v>
      </c>
      <c r="R1959" s="18" t="b">
        <f>FALSE()</f>
        <v>0</v>
      </c>
      <c r="S1959" s="19">
        <f t="shared" si="30"/>
        <v>14</v>
      </c>
      <c r="T1959">
        <f>COUNTIF('👤 Customers'!$A:$A, B1959)</f>
        <v>1</v>
      </c>
      <c r="U1959">
        <f>COUNTIF('🚴 Riders'!A1958:A2018, C1959)</f>
        <v>0</v>
      </c>
      <c r="V1959">
        <f>COUNTIF('🏭 Facilities'!A1958:A1966, D1959)</f>
        <v>0</v>
      </c>
    </row>
    <row r="1960" spans="1:22">
      <c r="A1960" s="16" t="s">
        <v>4584</v>
      </c>
      <c r="B1960" s="16" t="s">
        <v>737</v>
      </c>
      <c r="C1960" s="16" t="s">
        <v>257</v>
      </c>
      <c r="D1960" s="16" t="s">
        <v>158</v>
      </c>
      <c r="E1960" s="25">
        <v>45320</v>
      </c>
      <c r="F1960" s="16" t="s">
        <v>4585</v>
      </c>
      <c r="G1960" s="16" t="s">
        <v>117</v>
      </c>
      <c r="H1960" s="16">
        <v>2.9</v>
      </c>
      <c r="I1960" s="16">
        <v>149</v>
      </c>
      <c r="J1960" s="16">
        <v>30</v>
      </c>
      <c r="K1960" s="16">
        <v>302.47000000000003</v>
      </c>
      <c r="L1960" s="16" t="s">
        <v>146</v>
      </c>
      <c r="M1960" s="16" t="s">
        <v>119</v>
      </c>
      <c r="N1960" s="27">
        <v>45320.859722222223</v>
      </c>
      <c r="O1960" s="27">
        <v>45321.636805555558</v>
      </c>
      <c r="P1960" s="16">
        <v>4.5999999999999996</v>
      </c>
      <c r="Q1960" s="16" t="b">
        <f>FALSE()</f>
        <v>0</v>
      </c>
      <c r="R1960" s="16" t="b">
        <f>TRUE()</f>
        <v>1</v>
      </c>
      <c r="S1960" s="17">
        <f t="shared" si="30"/>
        <v>18.7</v>
      </c>
      <c r="T1960">
        <f>COUNTIF('👤 Customers'!$A:$A, B1960)</f>
        <v>1</v>
      </c>
      <c r="U1960">
        <f>COUNTIF('🚴 Riders'!A1959:A2019, C1960)</f>
        <v>0</v>
      </c>
      <c r="V1960">
        <f>COUNTIF('🏭 Facilities'!A1959:A1967, D1960)</f>
        <v>0</v>
      </c>
    </row>
    <row r="1961" spans="1:22">
      <c r="A1961" s="18" t="s">
        <v>4586</v>
      </c>
      <c r="B1961" s="18" t="s">
        <v>649</v>
      </c>
      <c r="C1961" s="18" t="s">
        <v>183</v>
      </c>
      <c r="D1961" s="18" t="s">
        <v>130</v>
      </c>
      <c r="E1961" s="26">
        <v>45263</v>
      </c>
      <c r="F1961" s="18" t="s">
        <v>4587</v>
      </c>
      <c r="G1961" s="18" t="s">
        <v>145</v>
      </c>
      <c r="H1961" s="18">
        <v>6.1</v>
      </c>
      <c r="I1961" s="18">
        <v>299</v>
      </c>
      <c r="J1961" s="18">
        <v>10</v>
      </c>
      <c r="K1961" s="18">
        <v>1641.51</v>
      </c>
      <c r="L1961" s="18" t="s">
        <v>146</v>
      </c>
      <c r="M1961" s="18" t="s">
        <v>119</v>
      </c>
      <c r="N1961" s="28">
        <v>45264.154166666667</v>
      </c>
      <c r="O1961" s="28">
        <v>45265.220833333333</v>
      </c>
      <c r="P1961" s="18">
        <v>2.8</v>
      </c>
      <c r="Q1961" s="18" t="b">
        <f>FALSE()</f>
        <v>0</v>
      </c>
      <c r="R1961" s="18" t="b">
        <f>FALSE()</f>
        <v>0</v>
      </c>
      <c r="S1961" s="19">
        <f t="shared" si="30"/>
        <v>25.6</v>
      </c>
      <c r="T1961">
        <f>COUNTIF('👤 Customers'!$A:$A, B1961)</f>
        <v>1</v>
      </c>
      <c r="U1961">
        <f>COUNTIF('🚴 Riders'!A1960:A2020, C1961)</f>
        <v>0</v>
      </c>
      <c r="V1961">
        <f>COUNTIF('🏭 Facilities'!A1960:A1968, D1961)</f>
        <v>0</v>
      </c>
    </row>
    <row r="1962" spans="1:22">
      <c r="A1962" s="16" t="s">
        <v>4588</v>
      </c>
      <c r="B1962" s="16" t="s">
        <v>1051</v>
      </c>
      <c r="C1962" s="16" t="s">
        <v>196</v>
      </c>
      <c r="D1962" s="16" t="s">
        <v>130</v>
      </c>
      <c r="E1962" s="25">
        <v>44953</v>
      </c>
      <c r="F1962" s="16" t="s">
        <v>4589</v>
      </c>
      <c r="G1962" s="16" t="s">
        <v>176</v>
      </c>
      <c r="H1962" s="16">
        <v>6.4</v>
      </c>
      <c r="I1962" s="16">
        <v>599</v>
      </c>
      <c r="J1962" s="16">
        <v>0</v>
      </c>
      <c r="K1962" s="16">
        <v>3833.6</v>
      </c>
      <c r="L1962" s="16" t="s">
        <v>146</v>
      </c>
      <c r="M1962" s="16" t="s">
        <v>119</v>
      </c>
      <c r="N1962" s="27">
        <v>44953.380555555559</v>
      </c>
      <c r="O1962" s="27">
        <v>44954.032638888886</v>
      </c>
      <c r="P1962" s="16">
        <v>3.9</v>
      </c>
      <c r="Q1962" s="16" t="b">
        <f>FALSE()</f>
        <v>0</v>
      </c>
      <c r="R1962" s="16" t="b">
        <f>TRUE()</f>
        <v>1</v>
      </c>
      <c r="S1962" s="17">
        <f t="shared" si="30"/>
        <v>15.6</v>
      </c>
      <c r="T1962">
        <f>COUNTIF('👤 Customers'!$A:$A, B1962)</f>
        <v>1</v>
      </c>
      <c r="U1962">
        <f>COUNTIF('🚴 Riders'!A1961:A2021, C1962)</f>
        <v>0</v>
      </c>
      <c r="V1962">
        <f>COUNTIF('🏭 Facilities'!A1961:A1969, D1962)</f>
        <v>0</v>
      </c>
    </row>
    <row r="1963" spans="1:22">
      <c r="A1963" s="18" t="s">
        <v>4590</v>
      </c>
      <c r="B1963" s="18" t="s">
        <v>667</v>
      </c>
      <c r="C1963" s="18" t="s">
        <v>300</v>
      </c>
      <c r="D1963" s="18" t="s">
        <v>184</v>
      </c>
      <c r="E1963" s="26">
        <v>45100</v>
      </c>
      <c r="F1963" s="18" t="s">
        <v>4591</v>
      </c>
      <c r="G1963" s="18" t="s">
        <v>145</v>
      </c>
      <c r="H1963" s="18">
        <v>4.3</v>
      </c>
      <c r="I1963" s="18">
        <v>299</v>
      </c>
      <c r="J1963" s="18">
        <v>0</v>
      </c>
      <c r="K1963" s="18">
        <v>1285.7</v>
      </c>
      <c r="L1963" s="18" t="s">
        <v>139</v>
      </c>
      <c r="M1963" s="18" t="s">
        <v>140</v>
      </c>
      <c r="N1963" s="28">
        <v>45100.208333333336</v>
      </c>
      <c r="O1963" s="28">
        <v>45101.197916666664</v>
      </c>
      <c r="P1963" s="20"/>
      <c r="Q1963" s="18" t="b">
        <f>FALSE()</f>
        <v>0</v>
      </c>
      <c r="R1963" s="18" t="b">
        <f>FALSE()</f>
        <v>0</v>
      </c>
      <c r="S1963" s="19">
        <f t="shared" si="30"/>
        <v>23.7</v>
      </c>
      <c r="T1963">
        <f>COUNTIF('👤 Customers'!$A:$A, B1963)</f>
        <v>1</v>
      </c>
      <c r="U1963">
        <f>COUNTIF('🚴 Riders'!A1962:A2022, C1963)</f>
        <v>0</v>
      </c>
      <c r="V1963">
        <f>COUNTIF('🏭 Facilities'!A1962:A1970, D1963)</f>
        <v>0</v>
      </c>
    </row>
    <row r="1964" spans="1:22">
      <c r="A1964" s="16" t="s">
        <v>4592</v>
      </c>
      <c r="B1964" s="16" t="s">
        <v>554</v>
      </c>
      <c r="C1964" s="16" t="s">
        <v>143</v>
      </c>
      <c r="D1964" s="16" t="s">
        <v>137</v>
      </c>
      <c r="E1964" s="25">
        <v>45022</v>
      </c>
      <c r="F1964" s="16" t="s">
        <v>4593</v>
      </c>
      <c r="G1964" s="16" t="s">
        <v>132</v>
      </c>
      <c r="H1964" s="16">
        <v>4.9000000000000004</v>
      </c>
      <c r="I1964" s="16">
        <v>399</v>
      </c>
      <c r="J1964" s="16">
        <v>0</v>
      </c>
      <c r="K1964" s="16">
        <v>1955.1</v>
      </c>
      <c r="L1964" s="16" t="s">
        <v>118</v>
      </c>
      <c r="M1964" s="16" t="s">
        <v>119</v>
      </c>
      <c r="N1964" s="27">
        <v>45022.811111111114</v>
      </c>
      <c r="O1964" s="27">
        <v>45023.172222222223</v>
      </c>
      <c r="P1964" s="16">
        <v>3</v>
      </c>
      <c r="Q1964" s="16" t="b">
        <f>FALSE()</f>
        <v>0</v>
      </c>
      <c r="R1964" s="16" t="b">
        <f>FALSE()</f>
        <v>0</v>
      </c>
      <c r="S1964" s="17">
        <f t="shared" si="30"/>
        <v>8.6999999999999993</v>
      </c>
      <c r="T1964">
        <f>COUNTIF('👤 Customers'!$A:$A, B1964)</f>
        <v>1</v>
      </c>
      <c r="U1964">
        <f>COUNTIF('🚴 Riders'!A1963:A2023, C1964)</f>
        <v>0</v>
      </c>
      <c r="V1964">
        <f>COUNTIF('🏭 Facilities'!A1963:A1971, D1964)</f>
        <v>0</v>
      </c>
    </row>
    <row r="1965" spans="1:22">
      <c r="A1965" s="18" t="s">
        <v>4594</v>
      </c>
      <c r="B1965" s="18" t="s">
        <v>2621</v>
      </c>
      <c r="C1965" s="18" t="s">
        <v>272</v>
      </c>
      <c r="D1965" s="18" t="s">
        <v>158</v>
      </c>
      <c r="E1965" s="26">
        <v>45529</v>
      </c>
      <c r="F1965" s="18" t="s">
        <v>4595</v>
      </c>
      <c r="G1965" s="18" t="s">
        <v>132</v>
      </c>
      <c r="H1965" s="18">
        <v>1.4</v>
      </c>
      <c r="I1965" s="18">
        <v>399</v>
      </c>
      <c r="J1965" s="18">
        <v>0</v>
      </c>
      <c r="K1965" s="18">
        <v>558.6</v>
      </c>
      <c r="L1965" s="18" t="s">
        <v>126</v>
      </c>
      <c r="M1965" s="18" t="s">
        <v>133</v>
      </c>
      <c r="N1965" s="20"/>
      <c r="O1965" s="20"/>
      <c r="P1965" s="20"/>
      <c r="Q1965" s="18" t="b">
        <f>FALSE()</f>
        <v>0</v>
      </c>
      <c r="R1965" s="18" t="b">
        <f>FALSE()</f>
        <v>0</v>
      </c>
      <c r="S1965" s="19" t="str">
        <f t="shared" si="30"/>
        <v>N/A</v>
      </c>
      <c r="T1965">
        <f>COUNTIF('👤 Customers'!$A:$A, B1965)</f>
        <v>1</v>
      </c>
      <c r="U1965">
        <f>COUNTIF('🚴 Riders'!A1964:A2024, C1965)</f>
        <v>0</v>
      </c>
      <c r="V1965">
        <f>COUNTIF('🏭 Facilities'!A1964:A1972, D1965)</f>
        <v>0</v>
      </c>
    </row>
    <row r="1966" spans="1:22">
      <c r="A1966" s="16" t="s">
        <v>4596</v>
      </c>
      <c r="B1966" s="16" t="s">
        <v>710</v>
      </c>
      <c r="C1966" s="16" t="s">
        <v>179</v>
      </c>
      <c r="D1966" s="16" t="s">
        <v>130</v>
      </c>
      <c r="E1966" s="25">
        <v>45220</v>
      </c>
      <c r="F1966" s="16" t="s">
        <v>4597</v>
      </c>
      <c r="G1966" s="16" t="s">
        <v>176</v>
      </c>
      <c r="H1966" s="16">
        <v>7.9</v>
      </c>
      <c r="I1966" s="16">
        <v>599</v>
      </c>
      <c r="J1966" s="16">
        <v>0</v>
      </c>
      <c r="K1966" s="16">
        <v>4732.1000000000004</v>
      </c>
      <c r="L1966" s="16" t="s">
        <v>118</v>
      </c>
      <c r="M1966" s="16" t="s">
        <v>119</v>
      </c>
      <c r="N1966" s="27">
        <v>45220.601388888892</v>
      </c>
      <c r="O1966" s="27">
        <v>45220.945833333331</v>
      </c>
      <c r="P1966" s="16">
        <v>3.6</v>
      </c>
      <c r="Q1966" s="16" t="b">
        <f>FALSE()</f>
        <v>0</v>
      </c>
      <c r="R1966" s="16" t="b">
        <f>FALSE()</f>
        <v>0</v>
      </c>
      <c r="S1966" s="17">
        <f t="shared" si="30"/>
        <v>8.3000000000000007</v>
      </c>
      <c r="T1966">
        <f>COUNTIF('👤 Customers'!$A:$A, B1966)</f>
        <v>1</v>
      </c>
      <c r="U1966">
        <f>COUNTIF('🚴 Riders'!A1965:A2025, C1966)</f>
        <v>0</v>
      </c>
      <c r="V1966">
        <f>COUNTIF('🏭 Facilities'!A1965:A1973, D1966)</f>
        <v>0</v>
      </c>
    </row>
    <row r="1967" spans="1:22">
      <c r="A1967" s="18" t="s">
        <v>4598</v>
      </c>
      <c r="B1967" s="18" t="s">
        <v>667</v>
      </c>
      <c r="C1967" s="18" t="s">
        <v>188</v>
      </c>
      <c r="D1967" s="18" t="s">
        <v>123</v>
      </c>
      <c r="E1967" s="26">
        <v>45036</v>
      </c>
      <c r="F1967" s="18" t="s">
        <v>4599</v>
      </c>
      <c r="G1967" s="18" t="s">
        <v>176</v>
      </c>
      <c r="H1967" s="18">
        <v>3.1</v>
      </c>
      <c r="I1967" s="18">
        <v>599</v>
      </c>
      <c r="J1967" s="18">
        <v>0</v>
      </c>
      <c r="K1967" s="18">
        <v>1856.9</v>
      </c>
      <c r="L1967" s="18" t="s">
        <v>118</v>
      </c>
      <c r="M1967" s="18" t="s">
        <v>119</v>
      </c>
      <c r="N1967" s="28">
        <v>45036.243750000001</v>
      </c>
      <c r="O1967" s="28">
        <v>45037.075694444444</v>
      </c>
      <c r="P1967" s="18">
        <v>3.8</v>
      </c>
      <c r="Q1967" s="18" t="b">
        <f>FALSE()</f>
        <v>0</v>
      </c>
      <c r="R1967" s="18" t="b">
        <f>FALSE()</f>
        <v>0</v>
      </c>
      <c r="S1967" s="19">
        <f t="shared" si="30"/>
        <v>20</v>
      </c>
      <c r="T1967">
        <f>COUNTIF('👤 Customers'!$A:$A, B1967)</f>
        <v>1</v>
      </c>
      <c r="U1967">
        <f>COUNTIF('🚴 Riders'!A1966:A2026, C1967)</f>
        <v>0</v>
      </c>
      <c r="V1967">
        <f>COUNTIF('🏭 Facilities'!A1966:A1974, D1967)</f>
        <v>0</v>
      </c>
    </row>
    <row r="1968" spans="1:22">
      <c r="A1968" s="16" t="s">
        <v>4600</v>
      </c>
      <c r="B1968" s="16" t="s">
        <v>2446</v>
      </c>
      <c r="C1968" s="16" t="s">
        <v>750</v>
      </c>
      <c r="D1968" s="16" t="s">
        <v>184</v>
      </c>
      <c r="E1968" s="25">
        <v>45339</v>
      </c>
      <c r="F1968" s="16" t="s">
        <v>4601</v>
      </c>
      <c r="G1968" s="16" t="s">
        <v>145</v>
      </c>
      <c r="H1968" s="16">
        <v>6.5</v>
      </c>
      <c r="I1968" s="16">
        <v>299</v>
      </c>
      <c r="J1968" s="16">
        <v>0</v>
      </c>
      <c r="K1968" s="16">
        <v>1943.5</v>
      </c>
      <c r="L1968" s="16" t="s">
        <v>118</v>
      </c>
      <c r="M1968" s="16" t="s">
        <v>119</v>
      </c>
      <c r="N1968" s="27">
        <v>45340.027083333334</v>
      </c>
      <c r="O1968" s="27">
        <v>45340.815972222219</v>
      </c>
      <c r="P1968" s="16">
        <v>2.9</v>
      </c>
      <c r="Q1968" s="16" t="b">
        <f>FALSE()</f>
        <v>0</v>
      </c>
      <c r="R1968" s="16" t="b">
        <f>FALSE()</f>
        <v>0</v>
      </c>
      <c r="S1968" s="17">
        <f t="shared" si="30"/>
        <v>18.899999999999999</v>
      </c>
      <c r="T1968">
        <f>COUNTIF('👤 Customers'!$A:$A, B1968)</f>
        <v>1</v>
      </c>
      <c r="U1968">
        <f>COUNTIF('🚴 Riders'!A1967:A2027, C1968)</f>
        <v>0</v>
      </c>
      <c r="V1968">
        <f>COUNTIF('🏭 Facilities'!A1967:A1975, D1968)</f>
        <v>0</v>
      </c>
    </row>
    <row r="1969" spans="1:22">
      <c r="A1969" s="18" t="s">
        <v>4602</v>
      </c>
      <c r="B1969" s="18" t="s">
        <v>595</v>
      </c>
      <c r="C1969" s="18" t="s">
        <v>162</v>
      </c>
      <c r="D1969" s="18" t="s">
        <v>184</v>
      </c>
      <c r="E1969" s="26">
        <v>45038</v>
      </c>
      <c r="F1969" s="18" t="s">
        <v>4603</v>
      </c>
      <c r="G1969" s="18" t="s">
        <v>176</v>
      </c>
      <c r="H1969" s="18">
        <v>6.6</v>
      </c>
      <c r="I1969" s="18">
        <v>599</v>
      </c>
      <c r="J1969" s="18">
        <v>0</v>
      </c>
      <c r="K1969" s="18">
        <v>3953.4</v>
      </c>
      <c r="L1969" s="18" t="s">
        <v>139</v>
      </c>
      <c r="M1969" s="18" t="s">
        <v>119</v>
      </c>
      <c r="N1969" s="28">
        <v>45038.285416666666</v>
      </c>
      <c r="O1969" s="28">
        <v>45039.40347222222</v>
      </c>
      <c r="P1969" s="18">
        <v>3.9</v>
      </c>
      <c r="Q1969" s="18" t="b">
        <f>FALSE()</f>
        <v>0</v>
      </c>
      <c r="R1969" s="18" t="b">
        <f>FALSE()</f>
        <v>0</v>
      </c>
      <c r="S1969" s="19">
        <f t="shared" si="30"/>
        <v>26.8</v>
      </c>
      <c r="T1969">
        <f>COUNTIF('👤 Customers'!$A:$A, B1969)</f>
        <v>1</v>
      </c>
      <c r="U1969">
        <f>COUNTIF('🚴 Riders'!A1968:A2028, C1969)</f>
        <v>0</v>
      </c>
      <c r="V1969">
        <f>COUNTIF('🏭 Facilities'!A1968:A1976, D1969)</f>
        <v>0</v>
      </c>
    </row>
    <row r="1970" spans="1:22">
      <c r="A1970" s="16" t="s">
        <v>4604</v>
      </c>
      <c r="B1970" s="16" t="s">
        <v>2347</v>
      </c>
      <c r="C1970" s="16" t="s">
        <v>487</v>
      </c>
      <c r="D1970" s="16" t="s">
        <v>130</v>
      </c>
      <c r="E1970" s="25">
        <v>45338</v>
      </c>
      <c r="F1970" s="16" t="s">
        <v>4605</v>
      </c>
      <c r="G1970" s="16" t="s">
        <v>145</v>
      </c>
      <c r="H1970" s="16">
        <v>4.8</v>
      </c>
      <c r="I1970" s="16">
        <v>299</v>
      </c>
      <c r="J1970" s="16">
        <v>0</v>
      </c>
      <c r="K1970" s="16">
        <v>1435.2</v>
      </c>
      <c r="L1970" s="16" t="s">
        <v>126</v>
      </c>
      <c r="M1970" s="16" t="s">
        <v>119</v>
      </c>
      <c r="N1970" s="27">
        <v>45338.71597222222</v>
      </c>
      <c r="O1970" s="27">
        <v>45339.628472222219</v>
      </c>
      <c r="P1970" s="16">
        <v>4.8</v>
      </c>
      <c r="Q1970" s="16" t="b">
        <f>TRUE()</f>
        <v>1</v>
      </c>
      <c r="R1970" s="16" t="b">
        <f>FALSE()</f>
        <v>0</v>
      </c>
      <c r="S1970" s="17">
        <f t="shared" si="30"/>
        <v>21.9</v>
      </c>
      <c r="T1970">
        <f>COUNTIF('👤 Customers'!$A:$A, B1970)</f>
        <v>1</v>
      </c>
      <c r="U1970">
        <f>COUNTIF('🚴 Riders'!A1969:A2029, C1970)</f>
        <v>0</v>
      </c>
      <c r="V1970">
        <f>COUNTIF('🏭 Facilities'!A1969:A1977, D1970)</f>
        <v>0</v>
      </c>
    </row>
    <row r="1971" spans="1:22">
      <c r="A1971" s="18" t="s">
        <v>4606</v>
      </c>
      <c r="B1971" s="18" t="s">
        <v>1336</v>
      </c>
      <c r="C1971" s="18" t="s">
        <v>326</v>
      </c>
      <c r="D1971" s="18" t="s">
        <v>115</v>
      </c>
      <c r="E1971" s="26">
        <v>45409</v>
      </c>
      <c r="F1971" s="18" t="s">
        <v>4607</v>
      </c>
      <c r="G1971" s="18" t="s">
        <v>117</v>
      </c>
      <c r="H1971" s="18">
        <v>4.9000000000000004</v>
      </c>
      <c r="I1971" s="18">
        <v>149</v>
      </c>
      <c r="J1971" s="18">
        <v>30</v>
      </c>
      <c r="K1971" s="18">
        <v>511.07</v>
      </c>
      <c r="L1971" s="18" t="s">
        <v>146</v>
      </c>
      <c r="M1971" s="18" t="s">
        <v>119</v>
      </c>
      <c r="N1971" s="28">
        <v>45409.839583333334</v>
      </c>
      <c r="O1971" s="28">
        <v>45410.768055555556</v>
      </c>
      <c r="P1971" s="18">
        <v>3.8</v>
      </c>
      <c r="Q1971" s="18" t="b">
        <f>FALSE()</f>
        <v>0</v>
      </c>
      <c r="R1971" s="18" t="b">
        <f>FALSE()</f>
        <v>0</v>
      </c>
      <c r="S1971" s="19">
        <f t="shared" si="30"/>
        <v>22.3</v>
      </c>
      <c r="T1971">
        <f>COUNTIF('👤 Customers'!$A:$A, B1971)</f>
        <v>1</v>
      </c>
      <c r="U1971">
        <f>COUNTIF('🚴 Riders'!A1970:A2030, C1971)</f>
        <v>0</v>
      </c>
      <c r="V1971">
        <f>COUNTIF('🏭 Facilities'!A1970:A1978, D1971)</f>
        <v>0</v>
      </c>
    </row>
    <row r="1972" spans="1:22">
      <c r="A1972" s="16" t="s">
        <v>4608</v>
      </c>
      <c r="B1972" s="16" t="s">
        <v>1137</v>
      </c>
      <c r="C1972" s="16" t="s">
        <v>326</v>
      </c>
      <c r="D1972" s="16" t="s">
        <v>158</v>
      </c>
      <c r="E1972" s="25">
        <v>45330</v>
      </c>
      <c r="F1972" s="16" t="s">
        <v>4609</v>
      </c>
      <c r="G1972" s="16" t="s">
        <v>145</v>
      </c>
      <c r="H1972" s="16">
        <v>2.4</v>
      </c>
      <c r="I1972" s="16">
        <v>299</v>
      </c>
      <c r="J1972" s="16">
        <v>10</v>
      </c>
      <c r="K1972" s="16">
        <v>645.84</v>
      </c>
      <c r="L1972" s="16" t="s">
        <v>207</v>
      </c>
      <c r="M1972" s="16" t="s">
        <v>119</v>
      </c>
      <c r="N1972" s="27">
        <v>45330.482638888891</v>
      </c>
      <c r="O1972" s="27">
        <v>45330.918749999997</v>
      </c>
      <c r="P1972" s="16">
        <v>3.9</v>
      </c>
      <c r="Q1972" s="16" t="b">
        <f>TRUE()</f>
        <v>1</v>
      </c>
      <c r="R1972" s="16" t="b">
        <f>FALSE()</f>
        <v>0</v>
      </c>
      <c r="S1972" s="17">
        <f t="shared" si="30"/>
        <v>10.5</v>
      </c>
      <c r="T1972">
        <f>COUNTIF('👤 Customers'!$A:$A, B1972)</f>
        <v>1</v>
      </c>
      <c r="U1972">
        <f>COUNTIF('🚴 Riders'!A1971:A2031, C1972)</f>
        <v>0</v>
      </c>
      <c r="V1972">
        <f>COUNTIF('🏭 Facilities'!A1971:A1979, D1972)</f>
        <v>0</v>
      </c>
    </row>
    <row r="1973" spans="1:22">
      <c r="A1973" s="18" t="s">
        <v>4610</v>
      </c>
      <c r="B1973" s="18" t="s">
        <v>589</v>
      </c>
      <c r="C1973" s="18" t="s">
        <v>304</v>
      </c>
      <c r="D1973" s="18" t="s">
        <v>115</v>
      </c>
      <c r="E1973" s="26">
        <v>45375</v>
      </c>
      <c r="F1973" s="18" t="s">
        <v>4611</v>
      </c>
      <c r="G1973" s="18" t="s">
        <v>145</v>
      </c>
      <c r="H1973" s="18">
        <v>3.2</v>
      </c>
      <c r="I1973" s="18">
        <v>299</v>
      </c>
      <c r="J1973" s="18">
        <v>0</v>
      </c>
      <c r="K1973" s="18">
        <v>956.8</v>
      </c>
      <c r="L1973" s="18" t="s">
        <v>126</v>
      </c>
      <c r="M1973" s="18" t="s">
        <v>119</v>
      </c>
      <c r="N1973" s="28">
        <v>45375.563888888886</v>
      </c>
      <c r="O1973" s="28">
        <v>45376.470833333333</v>
      </c>
      <c r="P1973" s="18">
        <v>2.5</v>
      </c>
      <c r="Q1973" s="18" t="b">
        <f>TRUE()</f>
        <v>1</v>
      </c>
      <c r="R1973" s="18" t="b">
        <f>TRUE()</f>
        <v>1</v>
      </c>
      <c r="S1973" s="19">
        <f t="shared" si="30"/>
        <v>21.8</v>
      </c>
      <c r="T1973">
        <f>COUNTIF('👤 Customers'!$A:$A, B1973)</f>
        <v>1</v>
      </c>
      <c r="U1973">
        <f>COUNTIF('🚴 Riders'!A1972:A2032, C1973)</f>
        <v>0</v>
      </c>
      <c r="V1973">
        <f>COUNTIF('🏭 Facilities'!A1972:A1980, D1973)</f>
        <v>0</v>
      </c>
    </row>
    <row r="1974" spans="1:22">
      <c r="A1974" s="16" t="s">
        <v>4612</v>
      </c>
      <c r="B1974" s="16" t="s">
        <v>728</v>
      </c>
      <c r="C1974" s="16" t="s">
        <v>143</v>
      </c>
      <c r="D1974" s="16" t="s">
        <v>184</v>
      </c>
      <c r="E1974" s="25">
        <v>45336</v>
      </c>
      <c r="F1974" s="16" t="s">
        <v>4613</v>
      </c>
      <c r="G1974" s="16" t="s">
        <v>145</v>
      </c>
      <c r="H1974" s="16">
        <v>3.2</v>
      </c>
      <c r="I1974" s="16">
        <v>299</v>
      </c>
      <c r="J1974" s="16">
        <v>10</v>
      </c>
      <c r="K1974" s="16">
        <v>861.12</v>
      </c>
      <c r="L1974" s="16" t="s">
        <v>126</v>
      </c>
      <c r="M1974" s="16" t="s">
        <v>119</v>
      </c>
      <c r="N1974" s="27">
        <v>45336.54583333333</v>
      </c>
      <c r="O1974" s="27">
        <v>45336.961111111108</v>
      </c>
      <c r="P1974" s="16">
        <v>4.3</v>
      </c>
      <c r="Q1974" s="16" t="b">
        <f>FALSE()</f>
        <v>0</v>
      </c>
      <c r="R1974" s="16" t="b">
        <f>FALSE()</f>
        <v>0</v>
      </c>
      <c r="S1974" s="17">
        <f t="shared" si="30"/>
        <v>10</v>
      </c>
      <c r="T1974">
        <f>COUNTIF('👤 Customers'!$A:$A, B1974)</f>
        <v>1</v>
      </c>
      <c r="U1974">
        <f>COUNTIF('🚴 Riders'!A1973:A2033, C1974)</f>
        <v>0</v>
      </c>
      <c r="V1974">
        <f>COUNTIF('🏭 Facilities'!A1973:A1981, D1974)</f>
        <v>0</v>
      </c>
    </row>
    <row r="1975" spans="1:22">
      <c r="A1975" s="18" t="s">
        <v>4614</v>
      </c>
      <c r="B1975" s="18" t="s">
        <v>1740</v>
      </c>
      <c r="C1975" s="18" t="s">
        <v>479</v>
      </c>
      <c r="D1975" s="18" t="s">
        <v>123</v>
      </c>
      <c r="E1975" s="26">
        <v>45137</v>
      </c>
      <c r="F1975" s="18" t="s">
        <v>4615</v>
      </c>
      <c r="G1975" s="18" t="s">
        <v>125</v>
      </c>
      <c r="H1975" s="18">
        <v>3.8</v>
      </c>
      <c r="I1975" s="18">
        <v>199</v>
      </c>
      <c r="J1975" s="18">
        <v>0</v>
      </c>
      <c r="K1975" s="18">
        <v>756.2</v>
      </c>
      <c r="L1975" s="18" t="s">
        <v>139</v>
      </c>
      <c r="M1975" s="18" t="s">
        <v>133</v>
      </c>
      <c r="N1975" s="20"/>
      <c r="O1975" s="20"/>
      <c r="P1975" s="20"/>
      <c r="Q1975" s="18" t="b">
        <f>FALSE()</f>
        <v>0</v>
      </c>
      <c r="R1975" s="18" t="b">
        <f>FALSE()</f>
        <v>0</v>
      </c>
      <c r="S1975" s="19" t="str">
        <f t="shared" si="30"/>
        <v>N/A</v>
      </c>
      <c r="T1975">
        <f>COUNTIF('👤 Customers'!$A:$A, B1975)</f>
        <v>1</v>
      </c>
      <c r="U1975">
        <f>COUNTIF('🚴 Riders'!A1974:A2034, C1975)</f>
        <v>0</v>
      </c>
      <c r="V1975">
        <f>COUNTIF('🏭 Facilities'!A1974:A1982, D1975)</f>
        <v>0</v>
      </c>
    </row>
    <row r="1976" spans="1:22">
      <c r="A1976" s="16" t="s">
        <v>4616</v>
      </c>
      <c r="B1976" s="16" t="s">
        <v>1444</v>
      </c>
      <c r="C1976" s="16" t="s">
        <v>240</v>
      </c>
      <c r="D1976" s="16" t="s">
        <v>184</v>
      </c>
      <c r="E1976" s="25">
        <v>45175</v>
      </c>
      <c r="F1976" s="16" t="s">
        <v>4617</v>
      </c>
      <c r="G1976" s="16" t="s">
        <v>125</v>
      </c>
      <c r="H1976" s="16">
        <v>6.5</v>
      </c>
      <c r="I1976" s="16">
        <v>199</v>
      </c>
      <c r="J1976" s="16">
        <v>0</v>
      </c>
      <c r="K1976" s="16">
        <v>1293.5</v>
      </c>
      <c r="L1976" s="16" t="s">
        <v>207</v>
      </c>
      <c r="M1976" s="16" t="s">
        <v>119</v>
      </c>
      <c r="N1976" s="27">
        <v>45175.3125</v>
      </c>
      <c r="O1976" s="27">
        <v>45176.053472222222</v>
      </c>
      <c r="P1976" s="16">
        <v>4.7</v>
      </c>
      <c r="Q1976" s="16" t="b">
        <f>FALSE()</f>
        <v>0</v>
      </c>
      <c r="R1976" s="16" t="b">
        <f>FALSE()</f>
        <v>0</v>
      </c>
      <c r="S1976" s="17">
        <f t="shared" si="30"/>
        <v>17.8</v>
      </c>
      <c r="T1976">
        <f>COUNTIF('👤 Customers'!$A:$A, B1976)</f>
        <v>1</v>
      </c>
      <c r="U1976">
        <f>COUNTIF('🚴 Riders'!A1975:A2035, C1976)</f>
        <v>0</v>
      </c>
      <c r="V1976">
        <f>COUNTIF('🏭 Facilities'!A1975:A1983, D1976)</f>
        <v>0</v>
      </c>
    </row>
    <row r="1977" spans="1:22">
      <c r="A1977" s="18" t="s">
        <v>4618</v>
      </c>
      <c r="B1977" s="18" t="s">
        <v>1434</v>
      </c>
      <c r="C1977" s="18" t="s">
        <v>236</v>
      </c>
      <c r="D1977" s="18" t="s">
        <v>137</v>
      </c>
      <c r="E1977" s="26">
        <v>45632</v>
      </c>
      <c r="F1977" s="18" t="s">
        <v>4619</v>
      </c>
      <c r="G1977" s="18" t="s">
        <v>117</v>
      </c>
      <c r="H1977" s="18">
        <v>3</v>
      </c>
      <c r="I1977" s="18">
        <v>149</v>
      </c>
      <c r="J1977" s="18">
        <v>0</v>
      </c>
      <c r="K1977" s="18">
        <v>447</v>
      </c>
      <c r="L1977" s="18" t="s">
        <v>207</v>
      </c>
      <c r="M1977" s="18" t="s">
        <v>119</v>
      </c>
      <c r="N1977" s="28">
        <v>45632.739583333336</v>
      </c>
      <c r="O1977" s="28">
        <v>45633.492361111108</v>
      </c>
      <c r="P1977" s="18">
        <v>4.2</v>
      </c>
      <c r="Q1977" s="18" t="b">
        <f>FALSE()</f>
        <v>0</v>
      </c>
      <c r="R1977" s="18" t="b">
        <f>FALSE()</f>
        <v>0</v>
      </c>
      <c r="S1977" s="19">
        <f t="shared" si="30"/>
        <v>18.100000000000001</v>
      </c>
      <c r="T1977">
        <f>COUNTIF('👤 Customers'!$A:$A, B1977)</f>
        <v>1</v>
      </c>
      <c r="U1977">
        <f>COUNTIF('🚴 Riders'!A1976:A2036, C1977)</f>
        <v>0</v>
      </c>
      <c r="V1977">
        <f>COUNTIF('🏭 Facilities'!A1976:A1984, D1977)</f>
        <v>0</v>
      </c>
    </row>
    <row r="1978" spans="1:22">
      <c r="A1978" s="16" t="s">
        <v>4620</v>
      </c>
      <c r="B1978" s="16" t="s">
        <v>1423</v>
      </c>
      <c r="C1978" s="16" t="s">
        <v>354</v>
      </c>
      <c r="D1978" s="16" t="s">
        <v>115</v>
      </c>
      <c r="E1978" s="25">
        <v>45427</v>
      </c>
      <c r="F1978" s="16" t="s">
        <v>4621</v>
      </c>
      <c r="G1978" s="16" t="s">
        <v>125</v>
      </c>
      <c r="H1978" s="16">
        <v>4</v>
      </c>
      <c r="I1978" s="16">
        <v>199</v>
      </c>
      <c r="J1978" s="16">
        <v>10</v>
      </c>
      <c r="K1978" s="16">
        <v>716.4</v>
      </c>
      <c r="L1978" s="16" t="s">
        <v>126</v>
      </c>
      <c r="M1978" s="16" t="s">
        <v>119</v>
      </c>
      <c r="N1978" s="27">
        <v>45427.484027777777</v>
      </c>
      <c r="O1978" s="27">
        <v>45428.522222222222</v>
      </c>
      <c r="P1978" s="16">
        <v>3.2</v>
      </c>
      <c r="Q1978" s="16" t="b">
        <f>FALSE()</f>
        <v>0</v>
      </c>
      <c r="R1978" s="16" t="b">
        <f>FALSE()</f>
        <v>0</v>
      </c>
      <c r="S1978" s="17">
        <f t="shared" si="30"/>
        <v>24.9</v>
      </c>
      <c r="T1978">
        <f>COUNTIF('👤 Customers'!$A:$A, B1978)</f>
        <v>1</v>
      </c>
      <c r="U1978">
        <f>COUNTIF('🚴 Riders'!A1977:A2037, C1978)</f>
        <v>0</v>
      </c>
      <c r="V1978">
        <f>COUNTIF('🏭 Facilities'!A1977:A1985, D1978)</f>
        <v>0</v>
      </c>
    </row>
    <row r="1979" spans="1:22">
      <c r="A1979" s="18" t="s">
        <v>4622</v>
      </c>
      <c r="B1979" s="18" t="s">
        <v>1603</v>
      </c>
      <c r="C1979" s="18" t="s">
        <v>287</v>
      </c>
      <c r="D1979" s="18" t="s">
        <v>115</v>
      </c>
      <c r="E1979" s="26">
        <v>45473</v>
      </c>
      <c r="F1979" s="18" t="s">
        <v>4623</v>
      </c>
      <c r="G1979" s="18" t="s">
        <v>125</v>
      </c>
      <c r="H1979" s="18">
        <v>5.3</v>
      </c>
      <c r="I1979" s="18">
        <v>199</v>
      </c>
      <c r="J1979" s="18">
        <v>0</v>
      </c>
      <c r="K1979" s="18">
        <v>1054.7</v>
      </c>
      <c r="L1979" s="18" t="s">
        <v>207</v>
      </c>
      <c r="M1979" s="18" t="s">
        <v>119</v>
      </c>
      <c r="N1979" s="28">
        <v>45473.649305555555</v>
      </c>
      <c r="O1979" s="28">
        <v>45474.529861111114</v>
      </c>
      <c r="P1979" s="18">
        <v>2.6</v>
      </c>
      <c r="Q1979" s="18" t="b">
        <f>TRUE()</f>
        <v>1</v>
      </c>
      <c r="R1979" s="18" t="b">
        <f>TRUE()</f>
        <v>1</v>
      </c>
      <c r="S1979" s="19">
        <f t="shared" si="30"/>
        <v>21.1</v>
      </c>
      <c r="T1979">
        <f>COUNTIF('👤 Customers'!$A:$A, B1979)</f>
        <v>1</v>
      </c>
      <c r="U1979">
        <f>COUNTIF('🚴 Riders'!A1978:A2038, C1979)</f>
        <v>0</v>
      </c>
      <c r="V1979">
        <f>COUNTIF('🏭 Facilities'!A1978:A1986, D1979)</f>
        <v>0</v>
      </c>
    </row>
    <row r="1980" spans="1:22">
      <c r="A1980" s="16" t="s">
        <v>4624</v>
      </c>
      <c r="B1980" s="16" t="s">
        <v>728</v>
      </c>
      <c r="C1980" s="16" t="s">
        <v>842</v>
      </c>
      <c r="D1980" s="16" t="s">
        <v>115</v>
      </c>
      <c r="E1980" s="25">
        <v>45028</v>
      </c>
      <c r="F1980" s="16" t="s">
        <v>4625</v>
      </c>
      <c r="G1980" s="16" t="s">
        <v>125</v>
      </c>
      <c r="H1980" s="16">
        <v>1.8</v>
      </c>
      <c r="I1980" s="16">
        <v>199</v>
      </c>
      <c r="J1980" s="16">
        <v>0</v>
      </c>
      <c r="K1980" s="16">
        <v>358.2</v>
      </c>
      <c r="L1980" s="16" t="s">
        <v>126</v>
      </c>
      <c r="M1980" s="16" t="s">
        <v>133</v>
      </c>
      <c r="N1980" s="20"/>
      <c r="O1980" s="20"/>
      <c r="P1980" s="20"/>
      <c r="Q1980" s="16" t="b">
        <f>FALSE()</f>
        <v>0</v>
      </c>
      <c r="R1980" s="16" t="b">
        <f>FALSE()</f>
        <v>0</v>
      </c>
      <c r="S1980" s="17" t="str">
        <f t="shared" si="30"/>
        <v>N/A</v>
      </c>
      <c r="T1980">
        <f>COUNTIF('👤 Customers'!$A:$A, B1980)</f>
        <v>1</v>
      </c>
      <c r="U1980">
        <f>COUNTIF('🚴 Riders'!A1979:A2039, C1980)</f>
        <v>0</v>
      </c>
      <c r="V1980">
        <f>COUNTIF('🏭 Facilities'!A1979:A1987, D1980)</f>
        <v>0</v>
      </c>
    </row>
    <row r="1981" spans="1:22">
      <c r="A1981" s="18" t="s">
        <v>4626</v>
      </c>
      <c r="B1981" s="18" t="s">
        <v>135</v>
      </c>
      <c r="C1981" s="18" t="s">
        <v>461</v>
      </c>
      <c r="D1981" s="18" t="s">
        <v>205</v>
      </c>
      <c r="E1981" s="26">
        <v>45587</v>
      </c>
      <c r="F1981" s="18" t="s">
        <v>3667</v>
      </c>
      <c r="G1981" s="18" t="s">
        <v>132</v>
      </c>
      <c r="H1981" s="18">
        <v>6.3</v>
      </c>
      <c r="I1981" s="18">
        <v>399</v>
      </c>
      <c r="J1981" s="18">
        <v>0</v>
      </c>
      <c r="K1981" s="18">
        <v>2513.6999999999998</v>
      </c>
      <c r="L1981" s="18" t="s">
        <v>118</v>
      </c>
      <c r="M1981" s="18" t="s">
        <v>133</v>
      </c>
      <c r="N1981" s="20"/>
      <c r="O1981" s="20"/>
      <c r="P1981" s="20"/>
      <c r="Q1981" s="18" t="b">
        <f>FALSE()</f>
        <v>0</v>
      </c>
      <c r="R1981" s="18" t="b">
        <f>TRUE()</f>
        <v>1</v>
      </c>
      <c r="S1981" s="19" t="str">
        <f t="shared" si="30"/>
        <v>N/A</v>
      </c>
      <c r="T1981">
        <f>COUNTIF('👤 Customers'!$A:$A, B1981)</f>
        <v>1</v>
      </c>
      <c r="U1981">
        <f>COUNTIF('🚴 Riders'!A1980:A2040, C1981)</f>
        <v>0</v>
      </c>
      <c r="V1981">
        <f>COUNTIF('🏭 Facilities'!A1980:A1988, D1981)</f>
        <v>0</v>
      </c>
    </row>
    <row r="1982" spans="1:22">
      <c r="A1982" s="16" t="s">
        <v>4627</v>
      </c>
      <c r="B1982" s="16" t="s">
        <v>2858</v>
      </c>
      <c r="C1982" s="16" t="s">
        <v>251</v>
      </c>
      <c r="D1982" s="16" t="s">
        <v>205</v>
      </c>
      <c r="E1982" s="25">
        <v>45581</v>
      </c>
      <c r="F1982" s="16" t="s">
        <v>4628</v>
      </c>
      <c r="G1982" s="16" t="s">
        <v>132</v>
      </c>
      <c r="H1982" s="16">
        <v>6.6</v>
      </c>
      <c r="I1982" s="16">
        <v>399</v>
      </c>
      <c r="J1982" s="16">
        <v>10</v>
      </c>
      <c r="K1982" s="16">
        <v>2370.06</v>
      </c>
      <c r="L1982" s="16" t="s">
        <v>139</v>
      </c>
      <c r="M1982" s="16" t="s">
        <v>119</v>
      </c>
      <c r="N1982" s="27">
        <v>45581.309027777781</v>
      </c>
      <c r="O1982" s="27">
        <v>45581.726388888892</v>
      </c>
      <c r="P1982" s="16">
        <v>3.3</v>
      </c>
      <c r="Q1982" s="16" t="b">
        <f>FALSE()</f>
        <v>0</v>
      </c>
      <c r="R1982" s="16" t="b">
        <f>FALSE()</f>
        <v>0</v>
      </c>
      <c r="S1982" s="17">
        <f t="shared" si="30"/>
        <v>10</v>
      </c>
      <c r="T1982">
        <f>COUNTIF('👤 Customers'!$A:$A, B1982)</f>
        <v>1</v>
      </c>
      <c r="U1982">
        <f>COUNTIF('🚴 Riders'!A1981:A2041, C1982)</f>
        <v>0</v>
      </c>
      <c r="V1982">
        <f>COUNTIF('🏭 Facilities'!A1981:A1989, D1982)</f>
        <v>0</v>
      </c>
    </row>
    <row r="1983" spans="1:22">
      <c r="A1983" s="18" t="s">
        <v>4629</v>
      </c>
      <c r="B1983" s="18" t="s">
        <v>1548</v>
      </c>
      <c r="C1983" s="18" t="s">
        <v>300</v>
      </c>
      <c r="D1983" s="18" t="s">
        <v>130</v>
      </c>
      <c r="E1983" s="26">
        <v>45167</v>
      </c>
      <c r="F1983" s="18" t="s">
        <v>4630</v>
      </c>
      <c r="G1983" s="18" t="s">
        <v>132</v>
      </c>
      <c r="H1983" s="18">
        <v>3.1</v>
      </c>
      <c r="I1983" s="18">
        <v>399</v>
      </c>
      <c r="J1983" s="18">
        <v>20</v>
      </c>
      <c r="K1983" s="18">
        <v>989.52</v>
      </c>
      <c r="L1983" s="18" t="s">
        <v>126</v>
      </c>
      <c r="M1983" s="18" t="s">
        <v>119</v>
      </c>
      <c r="N1983" s="28">
        <v>45167.713194444441</v>
      </c>
      <c r="O1983" s="28">
        <v>45168.134722222225</v>
      </c>
      <c r="P1983" s="18">
        <v>2.9</v>
      </c>
      <c r="Q1983" s="18" t="b">
        <f>FALSE()</f>
        <v>0</v>
      </c>
      <c r="R1983" s="18" t="b">
        <f>FALSE()</f>
        <v>0</v>
      </c>
      <c r="S1983" s="19">
        <f t="shared" si="30"/>
        <v>10.1</v>
      </c>
      <c r="T1983">
        <f>COUNTIF('👤 Customers'!$A:$A, B1983)</f>
        <v>1</v>
      </c>
      <c r="U1983">
        <f>COUNTIF('🚴 Riders'!A1982:A2042, C1983)</f>
        <v>0</v>
      </c>
      <c r="V1983">
        <f>COUNTIF('🏭 Facilities'!A1982:A1990, D1983)</f>
        <v>0</v>
      </c>
    </row>
    <row r="1984" spans="1:22">
      <c r="A1984" s="16" t="s">
        <v>4631</v>
      </c>
      <c r="B1984" s="16" t="s">
        <v>2865</v>
      </c>
      <c r="C1984" s="16" t="s">
        <v>196</v>
      </c>
      <c r="D1984" s="16" t="s">
        <v>123</v>
      </c>
      <c r="E1984" s="25">
        <v>45541</v>
      </c>
      <c r="F1984" s="16" t="s">
        <v>4632</v>
      </c>
      <c r="G1984" s="16" t="s">
        <v>145</v>
      </c>
      <c r="H1984" s="16">
        <v>6.1</v>
      </c>
      <c r="I1984" s="16">
        <v>299</v>
      </c>
      <c r="J1984" s="16">
        <v>0</v>
      </c>
      <c r="K1984" s="16">
        <v>1823.9</v>
      </c>
      <c r="L1984" s="16" t="s">
        <v>118</v>
      </c>
      <c r="M1984" s="16" t="s">
        <v>140</v>
      </c>
      <c r="N1984" s="27">
        <v>45542.035416666666</v>
      </c>
      <c r="O1984" s="27">
        <v>45542.959027777775</v>
      </c>
      <c r="P1984" s="20"/>
      <c r="Q1984" s="16" t="b">
        <f>FALSE()</f>
        <v>0</v>
      </c>
      <c r="R1984" s="16" t="b">
        <f>FALSE()</f>
        <v>0</v>
      </c>
      <c r="S1984" s="17">
        <f t="shared" si="30"/>
        <v>22.2</v>
      </c>
      <c r="T1984">
        <f>COUNTIF('👤 Customers'!$A:$A, B1984)</f>
        <v>1</v>
      </c>
      <c r="U1984">
        <f>COUNTIF('🚴 Riders'!A1983:A2043, C1984)</f>
        <v>0</v>
      </c>
      <c r="V1984">
        <f>COUNTIF('🏭 Facilities'!A1983:A1991, D1984)</f>
        <v>0</v>
      </c>
    </row>
    <row r="1985" spans="1:22">
      <c r="A1985" s="18" t="s">
        <v>4633</v>
      </c>
      <c r="B1985" s="18" t="s">
        <v>835</v>
      </c>
      <c r="C1985" s="18" t="s">
        <v>358</v>
      </c>
      <c r="D1985" s="18" t="s">
        <v>115</v>
      </c>
      <c r="E1985" s="26">
        <v>45416</v>
      </c>
      <c r="F1985" s="18" t="s">
        <v>4634</v>
      </c>
      <c r="G1985" s="18" t="s">
        <v>117</v>
      </c>
      <c r="H1985" s="18">
        <v>7</v>
      </c>
      <c r="I1985" s="18">
        <v>149</v>
      </c>
      <c r="J1985" s="18">
        <v>10</v>
      </c>
      <c r="K1985" s="18">
        <v>938.7</v>
      </c>
      <c r="L1985" s="18" t="s">
        <v>126</v>
      </c>
      <c r="M1985" s="18" t="s">
        <v>119</v>
      </c>
      <c r="N1985" s="28">
        <v>45416.17083333333</v>
      </c>
      <c r="O1985" s="28">
        <v>45416.667361111111</v>
      </c>
      <c r="P1985" s="18">
        <v>3.3</v>
      </c>
      <c r="Q1985" s="18" t="b">
        <f>FALSE()</f>
        <v>0</v>
      </c>
      <c r="R1985" s="18" t="b">
        <f>FALSE()</f>
        <v>0</v>
      </c>
      <c r="S1985" s="19">
        <f t="shared" si="30"/>
        <v>11.9</v>
      </c>
      <c r="T1985">
        <f>COUNTIF('👤 Customers'!$A:$A, B1985)</f>
        <v>1</v>
      </c>
      <c r="U1985">
        <f>COUNTIF('🚴 Riders'!A1984:A2044, C1985)</f>
        <v>0</v>
      </c>
      <c r="V1985">
        <f>COUNTIF('🏭 Facilities'!A1984:A1992, D1985)</f>
        <v>0</v>
      </c>
    </row>
    <row r="1986" spans="1:22">
      <c r="A1986" s="16" t="s">
        <v>4635</v>
      </c>
      <c r="B1986" s="16" t="s">
        <v>200</v>
      </c>
      <c r="C1986" s="16" t="s">
        <v>196</v>
      </c>
      <c r="D1986" s="16" t="s">
        <v>130</v>
      </c>
      <c r="E1986" s="25">
        <v>45165</v>
      </c>
      <c r="F1986" s="16" t="s">
        <v>4636</v>
      </c>
      <c r="G1986" s="16" t="s">
        <v>132</v>
      </c>
      <c r="H1986" s="16">
        <v>7.3</v>
      </c>
      <c r="I1986" s="16">
        <v>399</v>
      </c>
      <c r="J1986" s="16">
        <v>20</v>
      </c>
      <c r="K1986" s="16">
        <v>2330.16</v>
      </c>
      <c r="L1986" s="16" t="s">
        <v>118</v>
      </c>
      <c r="M1986" s="16" t="s">
        <v>140</v>
      </c>
      <c r="N1986" s="27">
        <v>45165.779861111114</v>
      </c>
      <c r="O1986" s="27">
        <v>45166.265277777777</v>
      </c>
      <c r="P1986" s="20"/>
      <c r="Q1986" s="16" t="b">
        <f>FALSE()</f>
        <v>0</v>
      </c>
      <c r="R1986" s="16" t="b">
        <f>FALSE()</f>
        <v>0</v>
      </c>
      <c r="S1986" s="17">
        <f t="shared" ref="S1986:S2049" si="31">IF(OR(N1986="",O1986=""),"N/A",ROUND(((O1986-N1986)*24),1))</f>
        <v>11.6</v>
      </c>
      <c r="T1986">
        <f>COUNTIF('👤 Customers'!$A:$A, B1986)</f>
        <v>1</v>
      </c>
      <c r="U1986">
        <f>COUNTIF('🚴 Riders'!A1985:A2045, C1986)</f>
        <v>0</v>
      </c>
      <c r="V1986">
        <f>COUNTIF('🏭 Facilities'!A1985:A1993, D1986)</f>
        <v>0</v>
      </c>
    </row>
    <row r="1987" spans="1:22">
      <c r="A1987" s="18" t="s">
        <v>4637</v>
      </c>
      <c r="B1987" s="18" t="s">
        <v>814</v>
      </c>
      <c r="C1987" s="18" t="s">
        <v>413</v>
      </c>
      <c r="D1987" s="18" t="s">
        <v>184</v>
      </c>
      <c r="E1987" s="26">
        <v>45424</v>
      </c>
      <c r="F1987" s="18" t="s">
        <v>4638</v>
      </c>
      <c r="G1987" s="18" t="s">
        <v>117</v>
      </c>
      <c r="H1987" s="18">
        <v>1.9</v>
      </c>
      <c r="I1987" s="18">
        <v>149</v>
      </c>
      <c r="J1987" s="18">
        <v>0</v>
      </c>
      <c r="K1987" s="18">
        <v>283.10000000000002</v>
      </c>
      <c r="L1987" s="18" t="s">
        <v>146</v>
      </c>
      <c r="M1987" s="18" t="s">
        <v>119</v>
      </c>
      <c r="N1987" s="28">
        <v>45424.8125</v>
      </c>
      <c r="O1987" s="28">
        <v>45425.634722222225</v>
      </c>
      <c r="P1987" s="18">
        <v>2.7</v>
      </c>
      <c r="Q1987" s="18" t="b">
        <f>FALSE()</f>
        <v>0</v>
      </c>
      <c r="R1987" s="18" t="b">
        <f>FALSE()</f>
        <v>0</v>
      </c>
      <c r="S1987" s="19">
        <f t="shared" si="31"/>
        <v>19.7</v>
      </c>
      <c r="T1987">
        <f>COUNTIF('👤 Customers'!$A:$A, B1987)</f>
        <v>1</v>
      </c>
      <c r="U1987">
        <f>COUNTIF('🚴 Riders'!A1986:A2046, C1987)</f>
        <v>0</v>
      </c>
      <c r="V1987">
        <f>COUNTIF('🏭 Facilities'!A1986:A1994, D1987)</f>
        <v>0</v>
      </c>
    </row>
    <row r="1988" spans="1:22">
      <c r="A1988" s="16" t="s">
        <v>4639</v>
      </c>
      <c r="B1988" s="16" t="s">
        <v>1431</v>
      </c>
      <c r="C1988" s="16" t="s">
        <v>179</v>
      </c>
      <c r="D1988" s="16" t="s">
        <v>205</v>
      </c>
      <c r="E1988" s="25">
        <v>45298</v>
      </c>
      <c r="F1988" s="16" t="s">
        <v>1661</v>
      </c>
      <c r="G1988" s="16" t="s">
        <v>145</v>
      </c>
      <c r="H1988" s="16">
        <v>1.9</v>
      </c>
      <c r="I1988" s="16">
        <v>299</v>
      </c>
      <c r="J1988" s="16">
        <v>20</v>
      </c>
      <c r="K1988" s="16">
        <v>454.48</v>
      </c>
      <c r="L1988" s="16" t="s">
        <v>118</v>
      </c>
      <c r="M1988" s="16" t="s">
        <v>119</v>
      </c>
      <c r="N1988" s="27">
        <v>45298.258333333331</v>
      </c>
      <c r="O1988" s="27">
        <v>45299.192361111112</v>
      </c>
      <c r="P1988" s="16">
        <v>4</v>
      </c>
      <c r="Q1988" s="16" t="b">
        <f>FALSE()</f>
        <v>0</v>
      </c>
      <c r="R1988" s="16" t="b">
        <f>FALSE()</f>
        <v>0</v>
      </c>
      <c r="S1988" s="17">
        <f t="shared" si="31"/>
        <v>22.4</v>
      </c>
      <c r="T1988">
        <f>COUNTIF('👤 Customers'!$A:$A, B1988)</f>
        <v>1</v>
      </c>
      <c r="U1988">
        <f>COUNTIF('🚴 Riders'!A1987:A2047, C1988)</f>
        <v>0</v>
      </c>
      <c r="V1988">
        <f>COUNTIF('🏭 Facilities'!A1987:A1995, D1988)</f>
        <v>0</v>
      </c>
    </row>
    <row r="1989" spans="1:22">
      <c r="A1989" s="18" t="s">
        <v>4640</v>
      </c>
      <c r="B1989" s="18" t="s">
        <v>1562</v>
      </c>
      <c r="C1989" s="18" t="s">
        <v>174</v>
      </c>
      <c r="D1989" s="18" t="s">
        <v>197</v>
      </c>
      <c r="E1989" s="26">
        <v>45534</v>
      </c>
      <c r="F1989" s="18" t="s">
        <v>4641</v>
      </c>
      <c r="G1989" s="18" t="s">
        <v>176</v>
      </c>
      <c r="H1989" s="18">
        <v>2.6</v>
      </c>
      <c r="I1989" s="18">
        <v>599</v>
      </c>
      <c r="J1989" s="18">
        <v>0</v>
      </c>
      <c r="K1989" s="18">
        <v>1557.4</v>
      </c>
      <c r="L1989" s="18" t="s">
        <v>118</v>
      </c>
      <c r="M1989" s="18" t="s">
        <v>119</v>
      </c>
      <c r="N1989" s="28">
        <v>45534.4375</v>
      </c>
      <c r="O1989" s="28">
        <v>45534.999305555553</v>
      </c>
      <c r="P1989" s="18">
        <v>2.9</v>
      </c>
      <c r="Q1989" s="18" t="b">
        <f>FALSE()</f>
        <v>0</v>
      </c>
      <c r="R1989" s="18" t="b">
        <f>FALSE()</f>
        <v>0</v>
      </c>
      <c r="S1989" s="19">
        <f t="shared" si="31"/>
        <v>13.5</v>
      </c>
      <c r="T1989">
        <f>COUNTIF('👤 Customers'!$A:$A, B1989)</f>
        <v>1</v>
      </c>
      <c r="U1989">
        <f>COUNTIF('🚴 Riders'!A1988:A2048, C1989)</f>
        <v>0</v>
      </c>
      <c r="V1989">
        <f>COUNTIF('🏭 Facilities'!A1988:A1996, D1989)</f>
        <v>0</v>
      </c>
    </row>
    <row r="1990" spans="1:22">
      <c r="A1990" s="16" t="s">
        <v>4642</v>
      </c>
      <c r="B1990" s="16" t="s">
        <v>1781</v>
      </c>
      <c r="C1990" s="16" t="s">
        <v>276</v>
      </c>
      <c r="D1990" s="16" t="s">
        <v>184</v>
      </c>
      <c r="E1990" s="25">
        <v>45015</v>
      </c>
      <c r="F1990" s="16" t="s">
        <v>4643</v>
      </c>
      <c r="G1990" s="16" t="s">
        <v>145</v>
      </c>
      <c r="H1990" s="16">
        <v>2.2999999999999998</v>
      </c>
      <c r="I1990" s="16">
        <v>299</v>
      </c>
      <c r="J1990" s="16">
        <v>0</v>
      </c>
      <c r="K1990" s="16">
        <v>687.7</v>
      </c>
      <c r="L1990" s="16" t="s">
        <v>126</v>
      </c>
      <c r="M1990" s="16" t="s">
        <v>119</v>
      </c>
      <c r="N1990" s="27">
        <v>45015.427083333336</v>
      </c>
      <c r="O1990" s="27">
        <v>45015.993055555555</v>
      </c>
      <c r="P1990" s="16">
        <v>4.0999999999999996</v>
      </c>
      <c r="Q1990" s="16" t="b">
        <f>FALSE()</f>
        <v>0</v>
      </c>
      <c r="R1990" s="16" t="b">
        <f>TRUE()</f>
        <v>1</v>
      </c>
      <c r="S1990" s="17">
        <f t="shared" si="31"/>
        <v>13.6</v>
      </c>
      <c r="T1990">
        <f>COUNTIF('👤 Customers'!$A:$A, B1990)</f>
        <v>1</v>
      </c>
      <c r="U1990">
        <f>COUNTIF('🚴 Riders'!A1989:A2049, C1990)</f>
        <v>0</v>
      </c>
      <c r="V1990">
        <f>COUNTIF('🏭 Facilities'!A1989:A1997, D1990)</f>
        <v>0</v>
      </c>
    </row>
    <row r="1991" spans="1:22">
      <c r="A1991" s="18" t="s">
        <v>4644</v>
      </c>
      <c r="B1991" s="18" t="s">
        <v>1743</v>
      </c>
      <c r="C1991" s="18" t="s">
        <v>315</v>
      </c>
      <c r="D1991" s="18" t="s">
        <v>130</v>
      </c>
      <c r="E1991" s="26">
        <v>45401</v>
      </c>
      <c r="F1991" s="18" t="s">
        <v>4645</v>
      </c>
      <c r="G1991" s="18" t="s">
        <v>132</v>
      </c>
      <c r="H1991" s="18">
        <v>2.5</v>
      </c>
      <c r="I1991" s="18">
        <v>399</v>
      </c>
      <c r="J1991" s="18">
        <v>0</v>
      </c>
      <c r="K1991" s="18">
        <v>997.5</v>
      </c>
      <c r="L1991" s="18" t="s">
        <v>118</v>
      </c>
      <c r="M1991" s="18" t="s">
        <v>133</v>
      </c>
      <c r="N1991" s="20"/>
      <c r="O1991" s="20"/>
      <c r="P1991" s="20"/>
      <c r="Q1991" s="18" t="b">
        <f>FALSE()</f>
        <v>0</v>
      </c>
      <c r="R1991" s="18" t="b">
        <f>FALSE()</f>
        <v>0</v>
      </c>
      <c r="S1991" s="19" t="str">
        <f t="shared" si="31"/>
        <v>N/A</v>
      </c>
      <c r="T1991">
        <f>COUNTIF('👤 Customers'!$A:$A, B1991)</f>
        <v>1</v>
      </c>
      <c r="U1991">
        <f>COUNTIF('🚴 Riders'!A1990:A2050, C1991)</f>
        <v>0</v>
      </c>
      <c r="V1991">
        <f>COUNTIF('🏭 Facilities'!A1990:A1998, D1991)</f>
        <v>0</v>
      </c>
    </row>
    <row r="1992" spans="1:22">
      <c r="A1992" s="16" t="s">
        <v>4646</v>
      </c>
      <c r="B1992" s="16" t="s">
        <v>296</v>
      </c>
      <c r="C1992" s="16" t="s">
        <v>315</v>
      </c>
      <c r="D1992" s="16" t="s">
        <v>137</v>
      </c>
      <c r="E1992" s="25">
        <v>45635</v>
      </c>
      <c r="F1992" s="16" t="s">
        <v>4647</v>
      </c>
      <c r="G1992" s="16" t="s">
        <v>145</v>
      </c>
      <c r="H1992" s="16">
        <v>6.5</v>
      </c>
      <c r="I1992" s="16">
        <v>299</v>
      </c>
      <c r="J1992" s="16">
        <v>10</v>
      </c>
      <c r="K1992" s="16">
        <v>1749.15</v>
      </c>
      <c r="L1992" s="16" t="s">
        <v>139</v>
      </c>
      <c r="M1992" s="16" t="s">
        <v>119</v>
      </c>
      <c r="N1992" s="27">
        <v>45635.219444444447</v>
      </c>
      <c r="O1992" s="27">
        <v>45635.747916666667</v>
      </c>
      <c r="P1992" s="16">
        <v>4.4000000000000004</v>
      </c>
      <c r="Q1992" s="16" t="b">
        <f>FALSE()</f>
        <v>0</v>
      </c>
      <c r="R1992" s="16" t="b">
        <f>FALSE()</f>
        <v>0</v>
      </c>
      <c r="S1992" s="17">
        <f t="shared" si="31"/>
        <v>12.7</v>
      </c>
      <c r="T1992">
        <f>COUNTIF('👤 Customers'!$A:$A, B1992)</f>
        <v>1</v>
      </c>
      <c r="U1992">
        <f>COUNTIF('🚴 Riders'!A1991:A2051, C1992)</f>
        <v>0</v>
      </c>
      <c r="V1992">
        <f>COUNTIF('🏭 Facilities'!A1991:A1999, D1992)</f>
        <v>0</v>
      </c>
    </row>
    <row r="1993" spans="1:22">
      <c r="A1993" s="18" t="s">
        <v>4648</v>
      </c>
      <c r="B1993" s="18" t="s">
        <v>4254</v>
      </c>
      <c r="C1993" s="18" t="s">
        <v>166</v>
      </c>
      <c r="D1993" s="18" t="s">
        <v>184</v>
      </c>
      <c r="E1993" s="26">
        <v>45492</v>
      </c>
      <c r="F1993" s="18" t="s">
        <v>4649</v>
      </c>
      <c r="G1993" s="18" t="s">
        <v>132</v>
      </c>
      <c r="H1993" s="18">
        <v>3.8</v>
      </c>
      <c r="I1993" s="18">
        <v>399</v>
      </c>
      <c r="J1993" s="18">
        <v>0</v>
      </c>
      <c r="K1993" s="18">
        <v>1516.2</v>
      </c>
      <c r="L1993" s="18" t="s">
        <v>139</v>
      </c>
      <c r="M1993" s="18" t="s">
        <v>140</v>
      </c>
      <c r="N1993" s="28">
        <v>45492.96597222222</v>
      </c>
      <c r="O1993" s="28">
        <v>45493.712500000001</v>
      </c>
      <c r="P1993" s="20"/>
      <c r="Q1993" s="18" t="b">
        <f>FALSE()</f>
        <v>0</v>
      </c>
      <c r="R1993" s="18" t="b">
        <f>FALSE()</f>
        <v>0</v>
      </c>
      <c r="S1993" s="19">
        <f t="shared" si="31"/>
        <v>17.899999999999999</v>
      </c>
      <c r="T1993">
        <f>COUNTIF('👤 Customers'!$A:$A, B1993)</f>
        <v>1</v>
      </c>
      <c r="U1993">
        <f>COUNTIF('🚴 Riders'!A1992:A2052, C1993)</f>
        <v>0</v>
      </c>
      <c r="V1993">
        <f>COUNTIF('🏭 Facilities'!A1992:A2000, D1993)</f>
        <v>0</v>
      </c>
    </row>
    <row r="1994" spans="1:22">
      <c r="A1994" s="16" t="s">
        <v>4650</v>
      </c>
      <c r="B1994" s="16" t="s">
        <v>2676</v>
      </c>
      <c r="C1994" s="16" t="s">
        <v>322</v>
      </c>
      <c r="D1994" s="16" t="s">
        <v>184</v>
      </c>
      <c r="E1994" s="25">
        <v>44979</v>
      </c>
      <c r="F1994" s="16" t="s">
        <v>4651</v>
      </c>
      <c r="G1994" s="16" t="s">
        <v>117</v>
      </c>
      <c r="H1994" s="16">
        <v>3.1</v>
      </c>
      <c r="I1994" s="16">
        <v>149</v>
      </c>
      <c r="J1994" s="16">
        <v>0</v>
      </c>
      <c r="K1994" s="16">
        <v>461.9</v>
      </c>
      <c r="L1994" s="16" t="s">
        <v>118</v>
      </c>
      <c r="M1994" s="16" t="s">
        <v>119</v>
      </c>
      <c r="N1994" s="27">
        <v>44979.527083333334</v>
      </c>
      <c r="O1994" s="27">
        <v>44980.399305555555</v>
      </c>
      <c r="P1994" s="16">
        <v>2.9</v>
      </c>
      <c r="Q1994" s="16" t="b">
        <f>FALSE()</f>
        <v>0</v>
      </c>
      <c r="R1994" s="16" t="b">
        <f>FALSE()</f>
        <v>0</v>
      </c>
      <c r="S1994" s="17">
        <f t="shared" si="31"/>
        <v>20.9</v>
      </c>
      <c r="T1994">
        <f>COUNTIF('👤 Customers'!$A:$A, B1994)</f>
        <v>1</v>
      </c>
      <c r="U1994">
        <f>COUNTIF('🚴 Riders'!A1993:A2053, C1994)</f>
        <v>0</v>
      </c>
      <c r="V1994">
        <f>COUNTIF('🏭 Facilities'!A1993:A2001, D1994)</f>
        <v>0</v>
      </c>
    </row>
    <row r="1995" spans="1:22">
      <c r="A1995" s="18" t="s">
        <v>4652</v>
      </c>
      <c r="B1995" s="18" t="s">
        <v>883</v>
      </c>
      <c r="C1995" s="18" t="s">
        <v>153</v>
      </c>
      <c r="D1995" s="18" t="s">
        <v>130</v>
      </c>
      <c r="E1995" s="26">
        <v>45309</v>
      </c>
      <c r="F1995" s="18" t="s">
        <v>4653</v>
      </c>
      <c r="G1995" s="18" t="s">
        <v>176</v>
      </c>
      <c r="H1995" s="18">
        <v>2</v>
      </c>
      <c r="I1995" s="18">
        <v>599</v>
      </c>
      <c r="J1995" s="18">
        <v>10</v>
      </c>
      <c r="K1995" s="18">
        <v>1078.2</v>
      </c>
      <c r="L1995" s="18" t="s">
        <v>146</v>
      </c>
      <c r="M1995" s="18" t="s">
        <v>119</v>
      </c>
      <c r="N1995" s="28">
        <v>45309.826388888891</v>
      </c>
      <c r="O1995" s="28">
        <v>45310.480555555558</v>
      </c>
      <c r="P1995" s="18">
        <v>3</v>
      </c>
      <c r="Q1995" s="18" t="b">
        <f>FALSE()</f>
        <v>0</v>
      </c>
      <c r="R1995" s="18" t="b">
        <f>FALSE()</f>
        <v>0</v>
      </c>
      <c r="S1995" s="19">
        <f t="shared" si="31"/>
        <v>15.7</v>
      </c>
      <c r="T1995">
        <f>COUNTIF('👤 Customers'!$A:$A, B1995)</f>
        <v>1</v>
      </c>
      <c r="U1995">
        <f>COUNTIF('🚴 Riders'!A1994:A2054, C1995)</f>
        <v>0</v>
      </c>
      <c r="V1995">
        <f>COUNTIF('🏭 Facilities'!A1994:A2002, D1995)</f>
        <v>0</v>
      </c>
    </row>
    <row r="1996" spans="1:22">
      <c r="A1996" s="16" t="s">
        <v>4654</v>
      </c>
      <c r="B1996" s="16" t="s">
        <v>460</v>
      </c>
      <c r="C1996" s="16" t="s">
        <v>224</v>
      </c>
      <c r="D1996" s="16" t="s">
        <v>205</v>
      </c>
      <c r="E1996" s="25">
        <v>45237</v>
      </c>
      <c r="F1996" s="16" t="s">
        <v>4655</v>
      </c>
      <c r="G1996" s="16" t="s">
        <v>176</v>
      </c>
      <c r="H1996" s="16">
        <v>1.1000000000000001</v>
      </c>
      <c r="I1996" s="16">
        <v>599</v>
      </c>
      <c r="J1996" s="16">
        <v>0</v>
      </c>
      <c r="K1996" s="16">
        <v>658.9</v>
      </c>
      <c r="L1996" s="16" t="s">
        <v>207</v>
      </c>
      <c r="M1996" s="16" t="s">
        <v>119</v>
      </c>
      <c r="N1996" s="27">
        <v>45238.008333333331</v>
      </c>
      <c r="O1996" s="27">
        <v>45238.875694444447</v>
      </c>
      <c r="P1996" s="16">
        <v>3.8</v>
      </c>
      <c r="Q1996" s="16" t="b">
        <f>FALSE()</f>
        <v>0</v>
      </c>
      <c r="R1996" s="16" t="b">
        <f>FALSE()</f>
        <v>0</v>
      </c>
      <c r="S1996" s="17">
        <f t="shared" si="31"/>
        <v>20.8</v>
      </c>
      <c r="T1996">
        <f>COUNTIF('👤 Customers'!$A:$A, B1996)</f>
        <v>1</v>
      </c>
      <c r="U1996">
        <f>COUNTIF('🚴 Riders'!A1995:A2055, C1996)</f>
        <v>0</v>
      </c>
      <c r="V1996">
        <f>COUNTIF('🏭 Facilities'!A1995:A2003, D1996)</f>
        <v>0</v>
      </c>
    </row>
    <row r="1997" spans="1:22">
      <c r="A1997" s="18" t="s">
        <v>4656</v>
      </c>
      <c r="B1997" s="18" t="s">
        <v>3580</v>
      </c>
      <c r="C1997" s="18" t="s">
        <v>192</v>
      </c>
      <c r="D1997" s="18" t="s">
        <v>123</v>
      </c>
      <c r="E1997" s="26">
        <v>45281</v>
      </c>
      <c r="F1997" s="18" t="s">
        <v>4657</v>
      </c>
      <c r="G1997" s="18" t="s">
        <v>132</v>
      </c>
      <c r="H1997" s="18">
        <v>2.7</v>
      </c>
      <c r="I1997" s="18">
        <v>399</v>
      </c>
      <c r="J1997" s="18">
        <v>10</v>
      </c>
      <c r="K1997" s="18">
        <v>969.57</v>
      </c>
      <c r="L1997" s="18" t="s">
        <v>118</v>
      </c>
      <c r="M1997" s="18" t="s">
        <v>133</v>
      </c>
      <c r="N1997" s="20"/>
      <c r="O1997" s="20"/>
      <c r="P1997" s="20"/>
      <c r="Q1997" s="18" t="b">
        <f>FALSE()</f>
        <v>0</v>
      </c>
      <c r="R1997" s="18" t="b">
        <f>FALSE()</f>
        <v>0</v>
      </c>
      <c r="S1997" s="19" t="str">
        <f t="shared" si="31"/>
        <v>N/A</v>
      </c>
      <c r="T1997">
        <f>COUNTIF('👤 Customers'!$A:$A, B1997)</f>
        <v>1</v>
      </c>
      <c r="U1997">
        <f>COUNTIF('🚴 Riders'!A1996:A2056, C1997)</f>
        <v>0</v>
      </c>
      <c r="V1997">
        <f>COUNTIF('🏭 Facilities'!A1996:A2004, D1997)</f>
        <v>0</v>
      </c>
    </row>
    <row r="1998" spans="1:22">
      <c r="A1998" s="16" t="s">
        <v>4658</v>
      </c>
      <c r="B1998" s="16" t="s">
        <v>952</v>
      </c>
      <c r="C1998" s="16" t="s">
        <v>213</v>
      </c>
      <c r="D1998" s="16" t="s">
        <v>123</v>
      </c>
      <c r="E1998" s="25">
        <v>45454</v>
      </c>
      <c r="F1998" s="16" t="s">
        <v>4659</v>
      </c>
      <c r="G1998" s="16" t="s">
        <v>132</v>
      </c>
      <c r="H1998" s="16">
        <v>1.4</v>
      </c>
      <c r="I1998" s="16">
        <v>399</v>
      </c>
      <c r="J1998" s="16">
        <v>30</v>
      </c>
      <c r="K1998" s="16">
        <v>391.02</v>
      </c>
      <c r="L1998" s="16" t="s">
        <v>126</v>
      </c>
      <c r="M1998" s="16" t="s">
        <v>119</v>
      </c>
      <c r="N1998" s="27">
        <v>45454.627083333333</v>
      </c>
      <c r="O1998" s="27">
        <v>45455.56527777778</v>
      </c>
      <c r="P1998" s="16">
        <v>4.0999999999999996</v>
      </c>
      <c r="Q1998" s="16" t="b">
        <f>FALSE()</f>
        <v>0</v>
      </c>
      <c r="R1998" s="16" t="b">
        <f>TRUE()</f>
        <v>1</v>
      </c>
      <c r="S1998" s="17">
        <f t="shared" si="31"/>
        <v>22.5</v>
      </c>
      <c r="T1998">
        <f>COUNTIF('👤 Customers'!$A:$A, B1998)</f>
        <v>1</v>
      </c>
      <c r="U1998">
        <f>COUNTIF('🚴 Riders'!A1997:A2057, C1998)</f>
        <v>0</v>
      </c>
      <c r="V1998">
        <f>COUNTIF('🏭 Facilities'!A1997:A2005, D1998)</f>
        <v>0</v>
      </c>
    </row>
    <row r="1999" spans="1:22">
      <c r="A1999" s="18" t="s">
        <v>4660</v>
      </c>
      <c r="B1999" s="18" t="s">
        <v>3098</v>
      </c>
      <c r="C1999" s="18" t="s">
        <v>129</v>
      </c>
      <c r="D1999" s="18" t="s">
        <v>137</v>
      </c>
      <c r="E1999" s="26">
        <v>45563</v>
      </c>
      <c r="F1999" s="18" t="s">
        <v>4661</v>
      </c>
      <c r="G1999" s="18" t="s">
        <v>145</v>
      </c>
      <c r="H1999" s="18">
        <v>2.1</v>
      </c>
      <c r="I1999" s="18">
        <v>299</v>
      </c>
      <c r="J1999" s="18">
        <v>0</v>
      </c>
      <c r="K1999" s="18">
        <v>627.9</v>
      </c>
      <c r="L1999" s="18" t="s">
        <v>118</v>
      </c>
      <c r="M1999" s="18" t="s">
        <v>119</v>
      </c>
      <c r="N1999" s="28">
        <v>45563.11041666667</v>
      </c>
      <c r="O1999" s="28">
        <v>45564.12222222222</v>
      </c>
      <c r="P1999" s="18">
        <v>2.7</v>
      </c>
      <c r="Q1999" s="18" t="b">
        <f>TRUE()</f>
        <v>1</v>
      </c>
      <c r="R1999" s="18" t="b">
        <f>FALSE()</f>
        <v>0</v>
      </c>
      <c r="S1999" s="19">
        <f t="shared" si="31"/>
        <v>24.3</v>
      </c>
      <c r="T1999">
        <f>COUNTIF('👤 Customers'!$A:$A, B1999)</f>
        <v>1</v>
      </c>
      <c r="U1999">
        <f>COUNTIF('🚴 Riders'!A1998:A2058, C1999)</f>
        <v>0</v>
      </c>
      <c r="V1999">
        <f>COUNTIF('🏭 Facilities'!A1998:A2006, D1999)</f>
        <v>0</v>
      </c>
    </row>
    <row r="2000" spans="1:22">
      <c r="A2000" s="16" t="s">
        <v>4662</v>
      </c>
      <c r="B2000" s="16" t="s">
        <v>1219</v>
      </c>
      <c r="C2000" s="16" t="s">
        <v>174</v>
      </c>
      <c r="D2000" s="16" t="s">
        <v>123</v>
      </c>
      <c r="E2000" s="25">
        <v>45210</v>
      </c>
      <c r="F2000" s="16" t="s">
        <v>4663</v>
      </c>
      <c r="G2000" s="16" t="s">
        <v>117</v>
      </c>
      <c r="H2000" s="16">
        <v>3.3</v>
      </c>
      <c r="I2000" s="16">
        <v>149</v>
      </c>
      <c r="J2000" s="16">
        <v>20</v>
      </c>
      <c r="K2000" s="16">
        <v>393.36</v>
      </c>
      <c r="L2000" s="16" t="s">
        <v>207</v>
      </c>
      <c r="M2000" s="16" t="s">
        <v>119</v>
      </c>
      <c r="N2000" s="27">
        <v>45211.136805555558</v>
      </c>
      <c r="O2000" s="27">
        <v>45212.167361111111</v>
      </c>
      <c r="P2000" s="16">
        <v>2.9</v>
      </c>
      <c r="Q2000" s="16" t="b">
        <f>FALSE()</f>
        <v>0</v>
      </c>
      <c r="R2000" s="16" t="b">
        <f>FALSE()</f>
        <v>0</v>
      </c>
      <c r="S2000" s="17">
        <f t="shared" si="31"/>
        <v>24.7</v>
      </c>
      <c r="T2000">
        <f>COUNTIF('👤 Customers'!$A:$A, B2000)</f>
        <v>1</v>
      </c>
      <c r="U2000">
        <f>COUNTIF('🚴 Riders'!A1999:A2059, C2000)</f>
        <v>0</v>
      </c>
      <c r="V2000">
        <f>COUNTIF('🏭 Facilities'!A1999:A2007, D2000)</f>
        <v>0</v>
      </c>
    </row>
    <row r="2001" spans="1:22">
      <c r="A2001" s="18" t="s">
        <v>4664</v>
      </c>
      <c r="B2001" s="18" t="s">
        <v>1578</v>
      </c>
      <c r="C2001" s="18" t="s">
        <v>179</v>
      </c>
      <c r="D2001" s="18" t="s">
        <v>205</v>
      </c>
      <c r="E2001" s="26">
        <v>45159</v>
      </c>
      <c r="F2001" s="18" t="s">
        <v>4665</v>
      </c>
      <c r="G2001" s="18" t="s">
        <v>117</v>
      </c>
      <c r="H2001" s="18">
        <v>3.8</v>
      </c>
      <c r="I2001" s="18">
        <v>149</v>
      </c>
      <c r="J2001" s="18">
        <v>0</v>
      </c>
      <c r="K2001" s="18">
        <v>566.20000000000005</v>
      </c>
      <c r="L2001" s="18" t="s">
        <v>207</v>
      </c>
      <c r="M2001" s="18" t="s">
        <v>133</v>
      </c>
      <c r="N2001" s="20"/>
      <c r="O2001" s="20"/>
      <c r="P2001" s="20"/>
      <c r="Q2001" s="18" t="b">
        <f>FALSE()</f>
        <v>0</v>
      </c>
      <c r="R2001" s="18" t="b">
        <f>FALSE()</f>
        <v>0</v>
      </c>
      <c r="S2001" s="19" t="str">
        <f t="shared" si="31"/>
        <v>N/A</v>
      </c>
      <c r="T2001">
        <f>COUNTIF('👤 Customers'!$A:$A, B2001)</f>
        <v>1</v>
      </c>
      <c r="U2001">
        <f>COUNTIF('🚴 Riders'!A2000:A2060, C2001)</f>
        <v>0</v>
      </c>
      <c r="V2001">
        <f>COUNTIF('🏭 Facilities'!A2000:A2008, D2001)</f>
        <v>0</v>
      </c>
    </row>
    <row r="2002" spans="1:22">
      <c r="A2002" s="16" t="s">
        <v>4666</v>
      </c>
      <c r="B2002" s="16" t="s">
        <v>974</v>
      </c>
      <c r="C2002" s="16" t="s">
        <v>308</v>
      </c>
      <c r="D2002" s="16" t="s">
        <v>205</v>
      </c>
      <c r="E2002" s="25">
        <v>45304</v>
      </c>
      <c r="F2002" s="16" t="s">
        <v>4667</v>
      </c>
      <c r="G2002" s="16" t="s">
        <v>176</v>
      </c>
      <c r="H2002" s="16">
        <v>1.5</v>
      </c>
      <c r="I2002" s="16">
        <v>599</v>
      </c>
      <c r="J2002" s="16">
        <v>0</v>
      </c>
      <c r="K2002" s="16">
        <v>898.5</v>
      </c>
      <c r="L2002" s="16" t="s">
        <v>207</v>
      </c>
      <c r="M2002" s="16" t="s">
        <v>119</v>
      </c>
      <c r="N2002" s="27">
        <v>45304.871527777781</v>
      </c>
      <c r="O2002" s="27">
        <v>45305.786805555559</v>
      </c>
      <c r="P2002" s="16">
        <v>4.3</v>
      </c>
      <c r="Q2002" s="16" t="b">
        <f>FALSE()</f>
        <v>0</v>
      </c>
      <c r="R2002" s="16" t="b">
        <f>FALSE()</f>
        <v>0</v>
      </c>
      <c r="S2002" s="17">
        <f t="shared" si="31"/>
        <v>22</v>
      </c>
      <c r="T2002">
        <f>COUNTIF('👤 Customers'!$A:$A, B2002)</f>
        <v>1</v>
      </c>
      <c r="U2002">
        <f>COUNTIF('🚴 Riders'!A2001:A2061, C2002)</f>
        <v>0</v>
      </c>
      <c r="V2002">
        <f>COUNTIF('🏭 Facilities'!A2001:A2009, D2002)</f>
        <v>0</v>
      </c>
    </row>
    <row r="2003" spans="1:22">
      <c r="A2003" s="18" t="s">
        <v>4668</v>
      </c>
      <c r="B2003" s="18" t="s">
        <v>332</v>
      </c>
      <c r="C2003" s="18" t="s">
        <v>236</v>
      </c>
      <c r="D2003" s="18" t="s">
        <v>197</v>
      </c>
      <c r="E2003" s="26">
        <v>45650</v>
      </c>
      <c r="F2003" s="18" t="s">
        <v>4669</v>
      </c>
      <c r="G2003" s="18" t="s">
        <v>125</v>
      </c>
      <c r="H2003" s="18">
        <v>5.3</v>
      </c>
      <c r="I2003" s="18">
        <v>199</v>
      </c>
      <c r="J2003" s="18">
        <v>20</v>
      </c>
      <c r="K2003" s="18">
        <v>843.76</v>
      </c>
      <c r="L2003" s="18" t="s">
        <v>139</v>
      </c>
      <c r="M2003" s="18" t="s">
        <v>119</v>
      </c>
      <c r="N2003" s="28">
        <v>45650.664583333331</v>
      </c>
      <c r="O2003" s="28">
        <v>45651.392361111109</v>
      </c>
      <c r="P2003" s="18">
        <v>3.6</v>
      </c>
      <c r="Q2003" s="18" t="b">
        <f>FALSE()</f>
        <v>0</v>
      </c>
      <c r="R2003" s="18" t="b">
        <f>FALSE()</f>
        <v>0</v>
      </c>
      <c r="S2003" s="19">
        <f t="shared" si="31"/>
        <v>17.5</v>
      </c>
      <c r="T2003">
        <f>COUNTIF('👤 Customers'!$A:$A, B2003)</f>
        <v>1</v>
      </c>
      <c r="U2003">
        <f>COUNTIF('🚴 Riders'!A2002:A2062, C2003)</f>
        <v>0</v>
      </c>
      <c r="V2003">
        <f>COUNTIF('🏭 Facilities'!A2002:A2010, D2003)</f>
        <v>0</v>
      </c>
    </row>
    <row r="2004" spans="1:22">
      <c r="A2004" s="16" t="s">
        <v>4670</v>
      </c>
      <c r="B2004" s="16" t="s">
        <v>1423</v>
      </c>
      <c r="C2004" s="16" t="s">
        <v>350</v>
      </c>
      <c r="D2004" s="16" t="s">
        <v>197</v>
      </c>
      <c r="E2004" s="25">
        <v>45417</v>
      </c>
      <c r="F2004" s="16" t="s">
        <v>4671</v>
      </c>
      <c r="G2004" s="16" t="s">
        <v>132</v>
      </c>
      <c r="H2004" s="16">
        <v>7.9</v>
      </c>
      <c r="I2004" s="16">
        <v>399</v>
      </c>
      <c r="J2004" s="16">
        <v>0</v>
      </c>
      <c r="K2004" s="16">
        <v>3152.1</v>
      </c>
      <c r="L2004" s="16" t="s">
        <v>146</v>
      </c>
      <c r="M2004" s="16" t="s">
        <v>119</v>
      </c>
      <c r="N2004" s="27">
        <v>45417.879166666666</v>
      </c>
      <c r="O2004" s="27">
        <v>45418.556250000001</v>
      </c>
      <c r="P2004" s="16">
        <v>4.0999999999999996</v>
      </c>
      <c r="Q2004" s="16" t="b">
        <f>FALSE()</f>
        <v>0</v>
      </c>
      <c r="R2004" s="16" t="b">
        <f>FALSE()</f>
        <v>0</v>
      </c>
      <c r="S2004" s="17">
        <f t="shared" si="31"/>
        <v>16.3</v>
      </c>
      <c r="T2004">
        <f>COUNTIF('👤 Customers'!$A:$A, B2004)</f>
        <v>1</v>
      </c>
      <c r="U2004">
        <f>COUNTIF('🚴 Riders'!A2003:A2063, C2004)</f>
        <v>0</v>
      </c>
      <c r="V2004">
        <f>COUNTIF('🏭 Facilities'!A2003:A2011, D2004)</f>
        <v>0</v>
      </c>
    </row>
    <row r="2005" spans="1:22">
      <c r="A2005" s="18" t="s">
        <v>4672</v>
      </c>
      <c r="B2005" s="18" t="s">
        <v>121</v>
      </c>
      <c r="C2005" s="18" t="s">
        <v>842</v>
      </c>
      <c r="D2005" s="18" t="s">
        <v>184</v>
      </c>
      <c r="E2005" s="26">
        <v>45111</v>
      </c>
      <c r="F2005" s="18" t="s">
        <v>4673</v>
      </c>
      <c r="G2005" s="18" t="s">
        <v>117</v>
      </c>
      <c r="H2005" s="18">
        <v>1.9</v>
      </c>
      <c r="I2005" s="18">
        <v>149</v>
      </c>
      <c r="J2005" s="18">
        <v>20</v>
      </c>
      <c r="K2005" s="18">
        <v>226.48</v>
      </c>
      <c r="L2005" s="18" t="s">
        <v>118</v>
      </c>
      <c r="M2005" s="18" t="s">
        <v>119</v>
      </c>
      <c r="N2005" s="28">
        <v>45111.517361111109</v>
      </c>
      <c r="O2005" s="28">
        <v>45112.539583333331</v>
      </c>
      <c r="P2005" s="18">
        <v>4</v>
      </c>
      <c r="Q2005" s="18" t="b">
        <f>FALSE()</f>
        <v>0</v>
      </c>
      <c r="R2005" s="18" t="b">
        <f>FALSE()</f>
        <v>0</v>
      </c>
      <c r="S2005" s="19">
        <f t="shared" si="31"/>
        <v>24.5</v>
      </c>
      <c r="T2005">
        <f>COUNTIF('👤 Customers'!$A:$A, B2005)</f>
        <v>1</v>
      </c>
      <c r="U2005">
        <f>COUNTIF('🚴 Riders'!A2004:A2064, C2005)</f>
        <v>0</v>
      </c>
      <c r="V2005">
        <f>COUNTIF('🏭 Facilities'!A2004:A2012, D2005)</f>
        <v>0</v>
      </c>
    </row>
    <row r="2006" spans="1:22">
      <c r="A2006" s="16" t="s">
        <v>4674</v>
      </c>
      <c r="B2006" s="16" t="s">
        <v>1356</v>
      </c>
      <c r="C2006" s="16" t="s">
        <v>308</v>
      </c>
      <c r="D2006" s="16" t="s">
        <v>184</v>
      </c>
      <c r="E2006" s="25">
        <v>45205</v>
      </c>
      <c r="F2006" s="16" t="s">
        <v>4675</v>
      </c>
      <c r="G2006" s="16" t="s">
        <v>145</v>
      </c>
      <c r="H2006" s="16">
        <v>5.2</v>
      </c>
      <c r="I2006" s="16">
        <v>299</v>
      </c>
      <c r="J2006" s="16">
        <v>0</v>
      </c>
      <c r="K2006" s="16">
        <v>1554.8</v>
      </c>
      <c r="L2006" s="16" t="s">
        <v>146</v>
      </c>
      <c r="M2006" s="16" t="s">
        <v>119</v>
      </c>
      <c r="N2006" s="27">
        <v>45205.520138888889</v>
      </c>
      <c r="O2006" s="27">
        <v>45206.383333333331</v>
      </c>
      <c r="P2006" s="16">
        <v>2.6</v>
      </c>
      <c r="Q2006" s="16" t="b">
        <f>TRUE()</f>
        <v>1</v>
      </c>
      <c r="R2006" s="16" t="b">
        <f>FALSE()</f>
        <v>0</v>
      </c>
      <c r="S2006" s="17">
        <f t="shared" si="31"/>
        <v>20.7</v>
      </c>
      <c r="T2006">
        <f>COUNTIF('👤 Customers'!$A:$A, B2006)</f>
        <v>1</v>
      </c>
      <c r="U2006">
        <f>COUNTIF('🚴 Riders'!A2005:A2065, C2006)</f>
        <v>0</v>
      </c>
      <c r="V2006">
        <f>COUNTIF('🏭 Facilities'!A2005:A2013, D2006)</f>
        <v>0</v>
      </c>
    </row>
    <row r="2007" spans="1:22">
      <c r="A2007" s="18" t="s">
        <v>4676</v>
      </c>
      <c r="B2007" s="18" t="s">
        <v>1515</v>
      </c>
      <c r="C2007" s="18" t="s">
        <v>431</v>
      </c>
      <c r="D2007" s="18" t="s">
        <v>197</v>
      </c>
      <c r="E2007" s="26">
        <v>45521</v>
      </c>
      <c r="F2007" s="18" t="s">
        <v>4677</v>
      </c>
      <c r="G2007" s="18" t="s">
        <v>145</v>
      </c>
      <c r="H2007" s="18">
        <v>6.1</v>
      </c>
      <c r="I2007" s="18">
        <v>299</v>
      </c>
      <c r="J2007" s="18">
        <v>20</v>
      </c>
      <c r="K2007" s="18">
        <v>1459.12</v>
      </c>
      <c r="L2007" s="18" t="s">
        <v>146</v>
      </c>
      <c r="M2007" s="18" t="s">
        <v>140</v>
      </c>
      <c r="N2007" s="28">
        <v>45521.470833333333</v>
      </c>
      <c r="O2007" s="28">
        <v>45521.943055555559</v>
      </c>
      <c r="P2007" s="20"/>
      <c r="Q2007" s="18" t="b">
        <f>FALSE()</f>
        <v>0</v>
      </c>
      <c r="R2007" s="18" t="b">
        <f>TRUE()</f>
        <v>1</v>
      </c>
      <c r="S2007" s="19">
        <f t="shared" si="31"/>
        <v>11.3</v>
      </c>
      <c r="T2007">
        <f>COUNTIF('👤 Customers'!$A:$A, B2007)</f>
        <v>1</v>
      </c>
      <c r="U2007">
        <f>COUNTIF('🚴 Riders'!A2006:A2066, C2007)</f>
        <v>0</v>
      </c>
      <c r="V2007">
        <f>COUNTIF('🏭 Facilities'!A2006:A2014, D2007)</f>
        <v>0</v>
      </c>
    </row>
    <row r="2008" spans="1:22">
      <c r="A2008" s="16" t="s">
        <v>4678</v>
      </c>
      <c r="B2008" s="16" t="s">
        <v>522</v>
      </c>
      <c r="C2008" s="16" t="s">
        <v>166</v>
      </c>
      <c r="D2008" s="16" t="s">
        <v>205</v>
      </c>
      <c r="E2008" s="25">
        <v>45547</v>
      </c>
      <c r="F2008" s="16" t="s">
        <v>4679</v>
      </c>
      <c r="G2008" s="16" t="s">
        <v>145</v>
      </c>
      <c r="H2008" s="16">
        <v>5.6</v>
      </c>
      <c r="I2008" s="16">
        <v>299</v>
      </c>
      <c r="J2008" s="16">
        <v>0</v>
      </c>
      <c r="K2008" s="16">
        <v>1674.4</v>
      </c>
      <c r="L2008" s="16" t="s">
        <v>126</v>
      </c>
      <c r="M2008" s="16" t="s">
        <v>119</v>
      </c>
      <c r="N2008" s="27">
        <v>45547.896527777775</v>
      </c>
      <c r="O2008" s="27">
        <v>45548.354166666664</v>
      </c>
      <c r="P2008" s="16">
        <v>3.8</v>
      </c>
      <c r="Q2008" s="16" t="b">
        <f>FALSE()</f>
        <v>0</v>
      </c>
      <c r="R2008" s="16" t="b">
        <f>FALSE()</f>
        <v>0</v>
      </c>
      <c r="S2008" s="17">
        <f t="shared" si="31"/>
        <v>11</v>
      </c>
      <c r="T2008">
        <f>COUNTIF('👤 Customers'!$A:$A, B2008)</f>
        <v>1</v>
      </c>
      <c r="U2008">
        <f>COUNTIF('🚴 Riders'!A2007:A2067, C2008)</f>
        <v>0</v>
      </c>
      <c r="V2008">
        <f>COUNTIF('🏭 Facilities'!A2007:A2015, D2008)</f>
        <v>0</v>
      </c>
    </row>
    <row r="2009" spans="1:22">
      <c r="A2009" s="18" t="s">
        <v>4680</v>
      </c>
      <c r="B2009" s="18" t="s">
        <v>952</v>
      </c>
      <c r="C2009" s="18" t="s">
        <v>136</v>
      </c>
      <c r="D2009" s="18" t="s">
        <v>137</v>
      </c>
      <c r="E2009" s="26">
        <v>45650</v>
      </c>
      <c r="F2009" s="18" t="s">
        <v>4681</v>
      </c>
      <c r="G2009" s="18" t="s">
        <v>176</v>
      </c>
      <c r="H2009" s="18">
        <v>1.3</v>
      </c>
      <c r="I2009" s="18">
        <v>599</v>
      </c>
      <c r="J2009" s="18">
        <v>0</v>
      </c>
      <c r="K2009" s="18">
        <v>778.7</v>
      </c>
      <c r="L2009" s="18" t="s">
        <v>139</v>
      </c>
      <c r="M2009" s="18" t="s">
        <v>119</v>
      </c>
      <c r="N2009" s="28">
        <v>45650.218055555553</v>
      </c>
      <c r="O2009" s="28">
        <v>45650.878472222219</v>
      </c>
      <c r="P2009" s="18">
        <v>3.7</v>
      </c>
      <c r="Q2009" s="18" t="b">
        <f>FALSE()</f>
        <v>0</v>
      </c>
      <c r="R2009" s="18" t="b">
        <f>TRUE()</f>
        <v>1</v>
      </c>
      <c r="S2009" s="19">
        <f t="shared" si="31"/>
        <v>15.8</v>
      </c>
      <c r="T2009">
        <f>COUNTIF('👤 Customers'!$A:$A, B2009)</f>
        <v>1</v>
      </c>
      <c r="U2009">
        <f>COUNTIF('🚴 Riders'!A2008:A2068, C2009)</f>
        <v>0</v>
      </c>
      <c r="V2009">
        <f>COUNTIF('🏭 Facilities'!A2008:A2016, D2009)</f>
        <v>0</v>
      </c>
    </row>
    <row r="2010" spans="1:22">
      <c r="A2010" s="16" t="s">
        <v>4682</v>
      </c>
      <c r="B2010" s="16" t="s">
        <v>3055</v>
      </c>
      <c r="C2010" s="16" t="s">
        <v>413</v>
      </c>
      <c r="D2010" s="16" t="s">
        <v>115</v>
      </c>
      <c r="E2010" s="25">
        <v>45048</v>
      </c>
      <c r="F2010" s="16" t="s">
        <v>4683</v>
      </c>
      <c r="G2010" s="16" t="s">
        <v>145</v>
      </c>
      <c r="H2010" s="16">
        <v>2.1</v>
      </c>
      <c r="I2010" s="16">
        <v>299</v>
      </c>
      <c r="J2010" s="16">
        <v>0</v>
      </c>
      <c r="K2010" s="16">
        <v>627.9</v>
      </c>
      <c r="L2010" s="16" t="s">
        <v>207</v>
      </c>
      <c r="M2010" s="16" t="s">
        <v>140</v>
      </c>
      <c r="N2010" s="27">
        <v>45048.396527777775</v>
      </c>
      <c r="O2010" s="27">
        <v>45048.828472222223</v>
      </c>
      <c r="P2010" s="20"/>
      <c r="Q2010" s="16" t="b">
        <f>FALSE()</f>
        <v>0</v>
      </c>
      <c r="R2010" s="16" t="b">
        <f>FALSE()</f>
        <v>0</v>
      </c>
      <c r="S2010" s="17">
        <f t="shared" si="31"/>
        <v>10.4</v>
      </c>
      <c r="T2010">
        <f>COUNTIF('👤 Customers'!$A:$A, B2010)</f>
        <v>1</v>
      </c>
      <c r="U2010">
        <f>COUNTIF('🚴 Riders'!A2009:A2069, C2010)</f>
        <v>0</v>
      </c>
      <c r="V2010">
        <f>COUNTIF('🏭 Facilities'!A2009:A2017, D2010)</f>
        <v>0</v>
      </c>
    </row>
    <row r="2011" spans="1:22">
      <c r="A2011" s="18" t="s">
        <v>4684</v>
      </c>
      <c r="B2011" s="18" t="s">
        <v>782</v>
      </c>
      <c r="C2011" s="18" t="s">
        <v>192</v>
      </c>
      <c r="D2011" s="18" t="s">
        <v>184</v>
      </c>
      <c r="E2011" s="26">
        <v>45200</v>
      </c>
      <c r="F2011" s="18" t="s">
        <v>4685</v>
      </c>
      <c r="G2011" s="18" t="s">
        <v>145</v>
      </c>
      <c r="H2011" s="18">
        <v>3</v>
      </c>
      <c r="I2011" s="18">
        <v>299</v>
      </c>
      <c r="J2011" s="18">
        <v>0</v>
      </c>
      <c r="K2011" s="18">
        <v>897</v>
      </c>
      <c r="L2011" s="18" t="s">
        <v>139</v>
      </c>
      <c r="M2011" s="18" t="s">
        <v>119</v>
      </c>
      <c r="N2011" s="28">
        <v>45200.303472222222</v>
      </c>
      <c r="O2011" s="28">
        <v>45201.131944444445</v>
      </c>
      <c r="P2011" s="18">
        <v>4</v>
      </c>
      <c r="Q2011" s="18" t="b">
        <f>FALSE()</f>
        <v>0</v>
      </c>
      <c r="R2011" s="18" t="b">
        <f>FALSE()</f>
        <v>0</v>
      </c>
      <c r="S2011" s="19">
        <f t="shared" si="31"/>
        <v>19.899999999999999</v>
      </c>
      <c r="T2011">
        <f>COUNTIF('👤 Customers'!$A:$A, B2011)</f>
        <v>1</v>
      </c>
      <c r="U2011">
        <f>COUNTIF('🚴 Riders'!A2010:A2070, C2011)</f>
        <v>0</v>
      </c>
      <c r="V2011">
        <f>COUNTIF('🏭 Facilities'!A2010:A2018, D2011)</f>
        <v>0</v>
      </c>
    </row>
    <row r="2012" spans="1:22">
      <c r="A2012" s="16" t="s">
        <v>4686</v>
      </c>
      <c r="B2012" s="16" t="s">
        <v>1557</v>
      </c>
      <c r="C2012" s="16" t="s">
        <v>362</v>
      </c>
      <c r="D2012" s="16" t="s">
        <v>158</v>
      </c>
      <c r="E2012" s="25">
        <v>45391</v>
      </c>
      <c r="F2012" s="16" t="s">
        <v>4687</v>
      </c>
      <c r="G2012" s="16" t="s">
        <v>176</v>
      </c>
      <c r="H2012" s="16">
        <v>5.4</v>
      </c>
      <c r="I2012" s="16">
        <v>599</v>
      </c>
      <c r="J2012" s="16">
        <v>0</v>
      </c>
      <c r="K2012" s="16">
        <v>3234.6</v>
      </c>
      <c r="L2012" s="16" t="s">
        <v>139</v>
      </c>
      <c r="M2012" s="16" t="s">
        <v>119</v>
      </c>
      <c r="N2012" s="27">
        <v>45391.916666666664</v>
      </c>
      <c r="O2012" s="27">
        <v>45392.492361111108</v>
      </c>
      <c r="P2012" s="16">
        <v>4.7</v>
      </c>
      <c r="Q2012" s="16" t="b">
        <f>FALSE()</f>
        <v>0</v>
      </c>
      <c r="R2012" s="16" t="b">
        <f>FALSE()</f>
        <v>0</v>
      </c>
      <c r="S2012" s="17">
        <f t="shared" si="31"/>
        <v>13.8</v>
      </c>
      <c r="T2012">
        <f>COUNTIF('👤 Customers'!$A:$A, B2012)</f>
        <v>1</v>
      </c>
      <c r="U2012">
        <f>COUNTIF('🚴 Riders'!A2011:A2071, C2012)</f>
        <v>0</v>
      </c>
      <c r="V2012">
        <f>COUNTIF('🏭 Facilities'!A2011:A2019, D2012)</f>
        <v>0</v>
      </c>
    </row>
    <row r="2013" spans="1:22">
      <c r="A2013" s="18" t="s">
        <v>4688</v>
      </c>
      <c r="B2013" s="18" t="s">
        <v>1837</v>
      </c>
      <c r="C2013" s="18" t="s">
        <v>162</v>
      </c>
      <c r="D2013" s="18" t="s">
        <v>115</v>
      </c>
      <c r="E2013" s="26">
        <v>45365</v>
      </c>
      <c r="F2013" s="18" t="s">
        <v>1546</v>
      </c>
      <c r="G2013" s="18" t="s">
        <v>125</v>
      </c>
      <c r="H2013" s="18">
        <v>7.6</v>
      </c>
      <c r="I2013" s="18">
        <v>199</v>
      </c>
      <c r="J2013" s="18">
        <v>0</v>
      </c>
      <c r="K2013" s="18">
        <v>1512.4</v>
      </c>
      <c r="L2013" s="18" t="s">
        <v>126</v>
      </c>
      <c r="M2013" s="18" t="s">
        <v>133</v>
      </c>
      <c r="N2013" s="20"/>
      <c r="O2013" s="20"/>
      <c r="P2013" s="20"/>
      <c r="Q2013" s="18" t="b">
        <f>TRUE()</f>
        <v>1</v>
      </c>
      <c r="R2013" s="18" t="b">
        <f>FALSE()</f>
        <v>0</v>
      </c>
      <c r="S2013" s="19" t="str">
        <f t="shared" si="31"/>
        <v>N/A</v>
      </c>
      <c r="T2013">
        <f>COUNTIF('👤 Customers'!$A:$A, B2013)</f>
        <v>1</v>
      </c>
      <c r="U2013">
        <f>COUNTIF('🚴 Riders'!A2012:A2072, C2013)</f>
        <v>0</v>
      </c>
      <c r="V2013">
        <f>COUNTIF('🏭 Facilities'!A2012:A2020, D2013)</f>
        <v>0</v>
      </c>
    </row>
    <row r="2014" spans="1:22">
      <c r="A2014" s="16" t="s">
        <v>4689</v>
      </c>
      <c r="B2014" s="16" t="s">
        <v>863</v>
      </c>
      <c r="C2014" s="16" t="s">
        <v>196</v>
      </c>
      <c r="D2014" s="16" t="s">
        <v>197</v>
      </c>
      <c r="E2014" s="25">
        <v>45261</v>
      </c>
      <c r="F2014" s="16" t="s">
        <v>4690</v>
      </c>
      <c r="G2014" s="16" t="s">
        <v>125</v>
      </c>
      <c r="H2014" s="16">
        <v>3.5</v>
      </c>
      <c r="I2014" s="16">
        <v>199</v>
      </c>
      <c r="J2014" s="16">
        <v>10</v>
      </c>
      <c r="K2014" s="16">
        <v>626.85</v>
      </c>
      <c r="L2014" s="16" t="s">
        <v>146</v>
      </c>
      <c r="M2014" s="16" t="s">
        <v>119</v>
      </c>
      <c r="N2014" s="27">
        <v>45261.990972222222</v>
      </c>
      <c r="O2014" s="27">
        <v>45262.463888888888</v>
      </c>
      <c r="P2014" s="16">
        <v>2.6</v>
      </c>
      <c r="Q2014" s="16" t="b">
        <f>FALSE()</f>
        <v>0</v>
      </c>
      <c r="R2014" s="16" t="b">
        <f>FALSE()</f>
        <v>0</v>
      </c>
      <c r="S2014" s="17">
        <f t="shared" si="31"/>
        <v>11.3</v>
      </c>
      <c r="T2014">
        <f>COUNTIF('👤 Customers'!$A:$A, B2014)</f>
        <v>1</v>
      </c>
      <c r="U2014">
        <f>COUNTIF('🚴 Riders'!A2013:A2073, C2014)</f>
        <v>0</v>
      </c>
      <c r="V2014">
        <f>COUNTIF('🏭 Facilities'!A2013:A2021, D2014)</f>
        <v>0</v>
      </c>
    </row>
    <row r="2015" spans="1:22">
      <c r="A2015" s="18" t="s">
        <v>4691</v>
      </c>
      <c r="B2015" s="18" t="s">
        <v>952</v>
      </c>
      <c r="C2015" s="18" t="s">
        <v>272</v>
      </c>
      <c r="D2015" s="18" t="s">
        <v>130</v>
      </c>
      <c r="E2015" s="26">
        <v>45384</v>
      </c>
      <c r="F2015" s="18" t="s">
        <v>4692</v>
      </c>
      <c r="G2015" s="18" t="s">
        <v>132</v>
      </c>
      <c r="H2015" s="18">
        <v>1.1000000000000001</v>
      </c>
      <c r="I2015" s="18">
        <v>399</v>
      </c>
      <c r="J2015" s="18">
        <v>0</v>
      </c>
      <c r="K2015" s="18">
        <v>438.9</v>
      </c>
      <c r="L2015" s="18" t="s">
        <v>207</v>
      </c>
      <c r="M2015" s="18" t="s">
        <v>119</v>
      </c>
      <c r="N2015" s="28">
        <v>45384.254166666666</v>
      </c>
      <c r="O2015" s="28">
        <v>45385.302777777775</v>
      </c>
      <c r="P2015" s="18">
        <v>4.4000000000000004</v>
      </c>
      <c r="Q2015" s="18" t="b">
        <f>FALSE()</f>
        <v>0</v>
      </c>
      <c r="R2015" s="18" t="b">
        <f>FALSE()</f>
        <v>0</v>
      </c>
      <c r="S2015" s="19">
        <f t="shared" si="31"/>
        <v>25.2</v>
      </c>
      <c r="T2015">
        <f>COUNTIF('👤 Customers'!$A:$A, B2015)</f>
        <v>1</v>
      </c>
      <c r="U2015">
        <f>COUNTIF('🚴 Riders'!A2014:A2074, C2015)</f>
        <v>0</v>
      </c>
      <c r="V2015">
        <f>COUNTIF('🏭 Facilities'!A2014:A2022, D2015)</f>
        <v>0</v>
      </c>
    </row>
    <row r="2016" spans="1:22">
      <c r="A2016" s="16" t="s">
        <v>4693</v>
      </c>
      <c r="B2016" s="16" t="s">
        <v>692</v>
      </c>
      <c r="C2016" s="16" t="s">
        <v>563</v>
      </c>
      <c r="D2016" s="16" t="s">
        <v>158</v>
      </c>
      <c r="E2016" s="25">
        <v>45114</v>
      </c>
      <c r="F2016" s="16" t="s">
        <v>4694</v>
      </c>
      <c r="G2016" s="16" t="s">
        <v>125</v>
      </c>
      <c r="H2016" s="16">
        <v>5.7</v>
      </c>
      <c r="I2016" s="16">
        <v>199</v>
      </c>
      <c r="J2016" s="16">
        <v>0</v>
      </c>
      <c r="K2016" s="16">
        <v>1134.3</v>
      </c>
      <c r="L2016" s="16" t="s">
        <v>126</v>
      </c>
      <c r="M2016" s="16" t="s">
        <v>119</v>
      </c>
      <c r="N2016" s="27">
        <v>45115.052083333336</v>
      </c>
      <c r="O2016" s="27">
        <v>45115.754166666666</v>
      </c>
      <c r="P2016" s="16">
        <v>3.4</v>
      </c>
      <c r="Q2016" s="16" t="b">
        <f>FALSE()</f>
        <v>0</v>
      </c>
      <c r="R2016" s="16" t="b">
        <f>FALSE()</f>
        <v>0</v>
      </c>
      <c r="S2016" s="17">
        <f t="shared" si="31"/>
        <v>16.8</v>
      </c>
      <c r="T2016">
        <f>COUNTIF('👤 Customers'!$A:$A, B2016)</f>
        <v>1</v>
      </c>
      <c r="U2016">
        <f>COUNTIF('🚴 Riders'!A2015:A2075, C2016)</f>
        <v>0</v>
      </c>
      <c r="V2016">
        <f>COUNTIF('🏭 Facilities'!A2015:A2023, D2016)</f>
        <v>0</v>
      </c>
    </row>
    <row r="2017" spans="1:22">
      <c r="A2017" s="18" t="s">
        <v>4695</v>
      </c>
      <c r="B2017" s="18" t="s">
        <v>2289</v>
      </c>
      <c r="C2017" s="18" t="s">
        <v>308</v>
      </c>
      <c r="D2017" s="18" t="s">
        <v>184</v>
      </c>
      <c r="E2017" s="26">
        <v>44936</v>
      </c>
      <c r="F2017" s="18" t="s">
        <v>4696</v>
      </c>
      <c r="G2017" s="18" t="s">
        <v>125</v>
      </c>
      <c r="H2017" s="18">
        <v>2</v>
      </c>
      <c r="I2017" s="18">
        <v>199</v>
      </c>
      <c r="J2017" s="18">
        <v>10</v>
      </c>
      <c r="K2017" s="18">
        <v>358.2</v>
      </c>
      <c r="L2017" s="18" t="s">
        <v>118</v>
      </c>
      <c r="M2017" s="18" t="s">
        <v>119</v>
      </c>
      <c r="N2017" s="28">
        <v>44936.958333333336</v>
      </c>
      <c r="O2017" s="28">
        <v>44937.990277777775</v>
      </c>
      <c r="P2017" s="18">
        <v>3.2</v>
      </c>
      <c r="Q2017" s="18" t="b">
        <f>FALSE()</f>
        <v>0</v>
      </c>
      <c r="R2017" s="18" t="b">
        <f>FALSE()</f>
        <v>0</v>
      </c>
      <c r="S2017" s="19">
        <f t="shared" si="31"/>
        <v>24.8</v>
      </c>
      <c r="T2017">
        <f>COUNTIF('👤 Customers'!$A:$A, B2017)</f>
        <v>1</v>
      </c>
      <c r="U2017">
        <f>COUNTIF('🚴 Riders'!A2016:A2076, C2017)</f>
        <v>0</v>
      </c>
      <c r="V2017">
        <f>COUNTIF('🏭 Facilities'!A2016:A2024, D2017)</f>
        <v>0</v>
      </c>
    </row>
    <row r="2018" spans="1:22">
      <c r="A2018" s="16" t="s">
        <v>4697</v>
      </c>
      <c r="B2018" s="16" t="s">
        <v>850</v>
      </c>
      <c r="C2018" s="16" t="s">
        <v>251</v>
      </c>
      <c r="D2018" s="16" t="s">
        <v>130</v>
      </c>
      <c r="E2018" s="25">
        <v>45505</v>
      </c>
      <c r="F2018" s="16" t="s">
        <v>4698</v>
      </c>
      <c r="G2018" s="16" t="s">
        <v>125</v>
      </c>
      <c r="H2018" s="16">
        <v>5.7</v>
      </c>
      <c r="I2018" s="16">
        <v>199</v>
      </c>
      <c r="J2018" s="16">
        <v>0</v>
      </c>
      <c r="K2018" s="16">
        <v>1134.3</v>
      </c>
      <c r="L2018" s="16" t="s">
        <v>146</v>
      </c>
      <c r="M2018" s="16" t="s">
        <v>133</v>
      </c>
      <c r="N2018" s="20"/>
      <c r="O2018" s="20"/>
      <c r="P2018" s="20"/>
      <c r="Q2018" s="16" t="b">
        <f>FALSE()</f>
        <v>0</v>
      </c>
      <c r="R2018" s="16" t="b">
        <f>TRUE()</f>
        <v>1</v>
      </c>
      <c r="S2018" s="17" t="str">
        <f t="shared" si="31"/>
        <v>N/A</v>
      </c>
      <c r="T2018">
        <f>COUNTIF('👤 Customers'!$A:$A, B2018)</f>
        <v>1</v>
      </c>
      <c r="U2018">
        <f>COUNTIF('🚴 Riders'!A2017:A2077, C2018)</f>
        <v>0</v>
      </c>
      <c r="V2018">
        <f>COUNTIF('🏭 Facilities'!A2017:A2025, D2018)</f>
        <v>0</v>
      </c>
    </row>
    <row r="2019" spans="1:22">
      <c r="A2019" s="18" t="s">
        <v>4699</v>
      </c>
      <c r="B2019" s="18" t="s">
        <v>1200</v>
      </c>
      <c r="C2019" s="18" t="s">
        <v>308</v>
      </c>
      <c r="D2019" s="18" t="s">
        <v>197</v>
      </c>
      <c r="E2019" s="26">
        <v>45220</v>
      </c>
      <c r="F2019" s="18" t="s">
        <v>4700</v>
      </c>
      <c r="G2019" s="18" t="s">
        <v>125</v>
      </c>
      <c r="H2019" s="18">
        <v>3.7</v>
      </c>
      <c r="I2019" s="18">
        <v>199</v>
      </c>
      <c r="J2019" s="18">
        <v>0</v>
      </c>
      <c r="K2019" s="18">
        <v>736.3</v>
      </c>
      <c r="L2019" s="18" t="s">
        <v>118</v>
      </c>
      <c r="M2019" s="18" t="s">
        <v>119</v>
      </c>
      <c r="N2019" s="28">
        <v>45220.275000000001</v>
      </c>
      <c r="O2019" s="28">
        <v>45220.787499999999</v>
      </c>
      <c r="P2019" s="18">
        <v>3.1</v>
      </c>
      <c r="Q2019" s="18" t="b">
        <f>FALSE()</f>
        <v>0</v>
      </c>
      <c r="R2019" s="18" t="b">
        <f>FALSE()</f>
        <v>0</v>
      </c>
      <c r="S2019" s="19">
        <f t="shared" si="31"/>
        <v>12.3</v>
      </c>
      <c r="T2019">
        <f>COUNTIF('👤 Customers'!$A:$A, B2019)</f>
        <v>1</v>
      </c>
      <c r="U2019">
        <f>COUNTIF('🚴 Riders'!A2018:A2078, C2019)</f>
        <v>0</v>
      </c>
      <c r="V2019">
        <f>COUNTIF('🏭 Facilities'!A2018:A2026, D2019)</f>
        <v>0</v>
      </c>
    </row>
    <row r="2020" spans="1:22">
      <c r="A2020" s="16" t="s">
        <v>4701</v>
      </c>
      <c r="B2020" s="16" t="s">
        <v>900</v>
      </c>
      <c r="C2020" s="16" t="s">
        <v>143</v>
      </c>
      <c r="D2020" s="16" t="s">
        <v>158</v>
      </c>
      <c r="E2020" s="25">
        <v>45654</v>
      </c>
      <c r="F2020" s="16" t="s">
        <v>4702</v>
      </c>
      <c r="G2020" s="16" t="s">
        <v>132</v>
      </c>
      <c r="H2020" s="16">
        <v>7.9</v>
      </c>
      <c r="I2020" s="16">
        <v>399</v>
      </c>
      <c r="J2020" s="16">
        <v>0</v>
      </c>
      <c r="K2020" s="16">
        <v>3152.1</v>
      </c>
      <c r="L2020" s="16" t="s">
        <v>118</v>
      </c>
      <c r="M2020" s="16" t="s">
        <v>140</v>
      </c>
      <c r="N2020" s="27">
        <v>45654.724999999999</v>
      </c>
      <c r="O2020" s="27">
        <v>45655.392361111109</v>
      </c>
      <c r="P2020" s="20"/>
      <c r="Q2020" s="16" t="b">
        <f>FALSE()</f>
        <v>0</v>
      </c>
      <c r="R2020" s="16" t="b">
        <f>FALSE()</f>
        <v>0</v>
      </c>
      <c r="S2020" s="17">
        <f t="shared" si="31"/>
        <v>16</v>
      </c>
      <c r="T2020">
        <f>COUNTIF('👤 Customers'!$A:$A, B2020)</f>
        <v>1</v>
      </c>
      <c r="U2020">
        <f>COUNTIF('🚴 Riders'!A2019:A2079, C2020)</f>
        <v>0</v>
      </c>
      <c r="V2020">
        <f>COUNTIF('🏭 Facilities'!A2019:A2027, D2020)</f>
        <v>0</v>
      </c>
    </row>
    <row r="2021" spans="1:22">
      <c r="A2021" s="18" t="s">
        <v>4703</v>
      </c>
      <c r="B2021" s="18" t="s">
        <v>654</v>
      </c>
      <c r="C2021" s="18" t="s">
        <v>842</v>
      </c>
      <c r="D2021" s="18" t="s">
        <v>205</v>
      </c>
      <c r="E2021" s="26">
        <v>45227</v>
      </c>
      <c r="F2021" s="18" t="s">
        <v>4704</v>
      </c>
      <c r="G2021" s="18" t="s">
        <v>132</v>
      </c>
      <c r="H2021" s="18">
        <v>4.5999999999999996</v>
      </c>
      <c r="I2021" s="18">
        <v>399</v>
      </c>
      <c r="J2021" s="18">
        <v>0</v>
      </c>
      <c r="K2021" s="18">
        <v>1835.4</v>
      </c>
      <c r="L2021" s="18" t="s">
        <v>207</v>
      </c>
      <c r="M2021" s="18" t="s">
        <v>119</v>
      </c>
      <c r="N2021" s="28">
        <v>45228.042361111111</v>
      </c>
      <c r="O2021" s="28">
        <v>45228.791666666664</v>
      </c>
      <c r="P2021" s="18">
        <v>3.6</v>
      </c>
      <c r="Q2021" s="18" t="b">
        <f>FALSE()</f>
        <v>0</v>
      </c>
      <c r="R2021" s="18" t="b">
        <f>FALSE()</f>
        <v>0</v>
      </c>
      <c r="S2021" s="19">
        <f t="shared" si="31"/>
        <v>18</v>
      </c>
      <c r="T2021">
        <f>COUNTIF('👤 Customers'!$A:$A, B2021)</f>
        <v>1</v>
      </c>
      <c r="U2021">
        <f>COUNTIF('🚴 Riders'!A2020:A2080, C2021)</f>
        <v>0</v>
      </c>
      <c r="V2021">
        <f>COUNTIF('🏭 Facilities'!A2020:A2028, D2021)</f>
        <v>0</v>
      </c>
    </row>
    <row r="2022" spans="1:22">
      <c r="A2022" s="16" t="s">
        <v>4705</v>
      </c>
      <c r="B2022" s="16" t="s">
        <v>1540</v>
      </c>
      <c r="C2022" s="16" t="s">
        <v>251</v>
      </c>
      <c r="D2022" s="16" t="s">
        <v>115</v>
      </c>
      <c r="E2022" s="25">
        <v>44930</v>
      </c>
      <c r="F2022" s="16" t="s">
        <v>4706</v>
      </c>
      <c r="G2022" s="16" t="s">
        <v>132</v>
      </c>
      <c r="H2022" s="16">
        <v>1.9</v>
      </c>
      <c r="I2022" s="16">
        <v>399</v>
      </c>
      <c r="J2022" s="16">
        <v>0</v>
      </c>
      <c r="K2022" s="16">
        <v>758.1</v>
      </c>
      <c r="L2022" s="16" t="s">
        <v>126</v>
      </c>
      <c r="M2022" s="16" t="s">
        <v>119</v>
      </c>
      <c r="N2022" s="27">
        <v>44930.395833333336</v>
      </c>
      <c r="O2022" s="27">
        <v>44930.934027777781</v>
      </c>
      <c r="P2022" s="16">
        <v>3</v>
      </c>
      <c r="Q2022" s="16" t="b">
        <f>TRUE()</f>
        <v>1</v>
      </c>
      <c r="R2022" s="16" t="b">
        <f>FALSE()</f>
        <v>0</v>
      </c>
      <c r="S2022" s="17">
        <f t="shared" si="31"/>
        <v>12.9</v>
      </c>
      <c r="T2022">
        <f>COUNTIF('👤 Customers'!$A:$A, B2022)</f>
        <v>1</v>
      </c>
      <c r="U2022">
        <f>COUNTIF('🚴 Riders'!A2021:A2081, C2022)</f>
        <v>0</v>
      </c>
      <c r="V2022">
        <f>COUNTIF('🏭 Facilities'!A2021:A2029, D2022)</f>
        <v>0</v>
      </c>
    </row>
    <row r="2023" spans="1:22">
      <c r="A2023" s="18" t="s">
        <v>4707</v>
      </c>
      <c r="B2023" s="18" t="s">
        <v>2865</v>
      </c>
      <c r="C2023" s="18" t="s">
        <v>170</v>
      </c>
      <c r="D2023" s="18" t="s">
        <v>184</v>
      </c>
      <c r="E2023" s="26">
        <v>45364</v>
      </c>
      <c r="F2023" s="18" t="s">
        <v>4708</v>
      </c>
      <c r="G2023" s="18" t="s">
        <v>125</v>
      </c>
      <c r="H2023" s="18">
        <v>6.8</v>
      </c>
      <c r="I2023" s="18">
        <v>199</v>
      </c>
      <c r="J2023" s="18">
        <v>0</v>
      </c>
      <c r="K2023" s="18">
        <v>1353.2</v>
      </c>
      <c r="L2023" s="18" t="s">
        <v>118</v>
      </c>
      <c r="M2023" s="18" t="s">
        <v>133</v>
      </c>
      <c r="N2023" s="20"/>
      <c r="O2023" s="20"/>
      <c r="P2023" s="20"/>
      <c r="Q2023" s="18" t="b">
        <f>TRUE()</f>
        <v>1</v>
      </c>
      <c r="R2023" s="18" t="b">
        <f>FALSE()</f>
        <v>0</v>
      </c>
      <c r="S2023" s="19" t="str">
        <f t="shared" si="31"/>
        <v>N/A</v>
      </c>
      <c r="T2023">
        <f>COUNTIF('👤 Customers'!$A:$A, B2023)</f>
        <v>1</v>
      </c>
      <c r="U2023">
        <f>COUNTIF('🚴 Riders'!A2022:A2082, C2023)</f>
        <v>0</v>
      </c>
      <c r="V2023">
        <f>COUNTIF('🏭 Facilities'!A2022:A2030, D2023)</f>
        <v>0</v>
      </c>
    </row>
    <row r="2024" spans="1:22">
      <c r="A2024" s="16" t="s">
        <v>4709</v>
      </c>
      <c r="B2024" s="16" t="s">
        <v>2830</v>
      </c>
      <c r="C2024" s="16" t="s">
        <v>153</v>
      </c>
      <c r="D2024" s="16" t="s">
        <v>115</v>
      </c>
      <c r="E2024" s="25">
        <v>44960</v>
      </c>
      <c r="F2024" s="16" t="s">
        <v>4710</v>
      </c>
      <c r="G2024" s="16" t="s">
        <v>176</v>
      </c>
      <c r="H2024" s="16">
        <v>6.6</v>
      </c>
      <c r="I2024" s="16">
        <v>599</v>
      </c>
      <c r="J2024" s="16">
        <v>20</v>
      </c>
      <c r="K2024" s="16">
        <v>3162.72</v>
      </c>
      <c r="L2024" s="16" t="s">
        <v>146</v>
      </c>
      <c r="M2024" s="16" t="s">
        <v>119</v>
      </c>
      <c r="N2024" s="27">
        <v>44960.849305555559</v>
      </c>
      <c r="O2024" s="27">
        <v>44961.552777777775</v>
      </c>
      <c r="P2024" s="16">
        <v>2.6</v>
      </c>
      <c r="Q2024" s="16" t="b">
        <f>FALSE()</f>
        <v>0</v>
      </c>
      <c r="R2024" s="16" t="b">
        <f>FALSE()</f>
        <v>0</v>
      </c>
      <c r="S2024" s="17">
        <f t="shared" si="31"/>
        <v>16.899999999999999</v>
      </c>
      <c r="T2024">
        <f>COUNTIF('👤 Customers'!$A:$A, B2024)</f>
        <v>1</v>
      </c>
      <c r="U2024">
        <f>COUNTIF('🚴 Riders'!A2023:A2083, C2024)</f>
        <v>0</v>
      </c>
      <c r="V2024">
        <f>COUNTIF('🏭 Facilities'!A2023:A2031, D2024)</f>
        <v>0</v>
      </c>
    </row>
    <row r="2025" spans="1:22">
      <c r="A2025" s="18" t="s">
        <v>4711</v>
      </c>
      <c r="B2025" s="18" t="s">
        <v>2681</v>
      </c>
      <c r="C2025" s="18" t="s">
        <v>413</v>
      </c>
      <c r="D2025" s="18" t="s">
        <v>123</v>
      </c>
      <c r="E2025" s="26">
        <v>45250</v>
      </c>
      <c r="F2025" s="18" t="s">
        <v>4712</v>
      </c>
      <c r="G2025" s="18" t="s">
        <v>125</v>
      </c>
      <c r="H2025" s="18">
        <v>3.3</v>
      </c>
      <c r="I2025" s="18">
        <v>199</v>
      </c>
      <c r="J2025" s="18">
        <v>0</v>
      </c>
      <c r="K2025" s="18">
        <v>656.7</v>
      </c>
      <c r="L2025" s="18" t="s">
        <v>118</v>
      </c>
      <c r="M2025" s="18" t="s">
        <v>133</v>
      </c>
      <c r="N2025" s="20"/>
      <c r="O2025" s="20"/>
      <c r="P2025" s="20"/>
      <c r="Q2025" s="18" t="b">
        <f>FALSE()</f>
        <v>0</v>
      </c>
      <c r="R2025" s="18" t="b">
        <f>TRUE()</f>
        <v>1</v>
      </c>
      <c r="S2025" s="19" t="str">
        <f t="shared" si="31"/>
        <v>N/A</v>
      </c>
      <c r="T2025">
        <f>COUNTIF('👤 Customers'!$A:$A, B2025)</f>
        <v>1</v>
      </c>
      <c r="U2025">
        <f>COUNTIF('🚴 Riders'!A2024:A2084, C2025)</f>
        <v>0</v>
      </c>
      <c r="V2025">
        <f>COUNTIF('🏭 Facilities'!A2024:A2032, D2025)</f>
        <v>0</v>
      </c>
    </row>
    <row r="2026" spans="1:22">
      <c r="A2026" s="16" t="s">
        <v>4713</v>
      </c>
      <c r="B2026" s="16" t="s">
        <v>1130</v>
      </c>
      <c r="C2026" s="16" t="s">
        <v>1092</v>
      </c>
      <c r="D2026" s="16" t="s">
        <v>115</v>
      </c>
      <c r="E2026" s="25">
        <v>45547</v>
      </c>
      <c r="F2026" s="16" t="s">
        <v>4714</v>
      </c>
      <c r="G2026" s="16" t="s">
        <v>117</v>
      </c>
      <c r="H2026" s="16">
        <v>5.9</v>
      </c>
      <c r="I2026" s="16">
        <v>149</v>
      </c>
      <c r="J2026" s="16">
        <v>0</v>
      </c>
      <c r="K2026" s="16">
        <v>879.1</v>
      </c>
      <c r="L2026" s="16" t="s">
        <v>207</v>
      </c>
      <c r="M2026" s="16" t="s">
        <v>133</v>
      </c>
      <c r="N2026" s="20"/>
      <c r="O2026" s="20"/>
      <c r="P2026" s="20"/>
      <c r="Q2026" s="16" t="b">
        <f>FALSE()</f>
        <v>0</v>
      </c>
      <c r="R2026" s="16" t="b">
        <f>FALSE()</f>
        <v>0</v>
      </c>
      <c r="S2026" s="17" t="str">
        <f t="shared" si="31"/>
        <v>N/A</v>
      </c>
      <c r="T2026">
        <f>COUNTIF('👤 Customers'!$A:$A, B2026)</f>
        <v>1</v>
      </c>
      <c r="U2026">
        <f>COUNTIF('🚴 Riders'!A2025:A2085, C2026)</f>
        <v>0</v>
      </c>
      <c r="V2026">
        <f>COUNTIF('🏭 Facilities'!A2025:A2033, D2026)</f>
        <v>0</v>
      </c>
    </row>
    <row r="2027" spans="1:22">
      <c r="A2027" s="18" t="s">
        <v>4715</v>
      </c>
      <c r="B2027" s="18" t="s">
        <v>1545</v>
      </c>
      <c r="C2027" s="18" t="s">
        <v>188</v>
      </c>
      <c r="D2027" s="18" t="s">
        <v>197</v>
      </c>
      <c r="E2027" s="26">
        <v>44959</v>
      </c>
      <c r="F2027" s="18" t="s">
        <v>4716</v>
      </c>
      <c r="G2027" s="18" t="s">
        <v>132</v>
      </c>
      <c r="H2027" s="18">
        <v>7.6</v>
      </c>
      <c r="I2027" s="18">
        <v>399</v>
      </c>
      <c r="J2027" s="18">
        <v>20</v>
      </c>
      <c r="K2027" s="18">
        <v>2425.92</v>
      </c>
      <c r="L2027" s="18" t="s">
        <v>118</v>
      </c>
      <c r="M2027" s="18" t="s">
        <v>119</v>
      </c>
      <c r="N2027" s="28">
        <v>44959.428472222222</v>
      </c>
      <c r="O2027" s="28">
        <v>44959.756249999999</v>
      </c>
      <c r="P2027" s="18">
        <v>4.5</v>
      </c>
      <c r="Q2027" s="18" t="b">
        <f>FALSE()</f>
        <v>0</v>
      </c>
      <c r="R2027" s="18" t="b">
        <f>FALSE()</f>
        <v>0</v>
      </c>
      <c r="S2027" s="19">
        <f t="shared" si="31"/>
        <v>7.9</v>
      </c>
      <c r="T2027">
        <f>COUNTIF('👤 Customers'!$A:$A, B2027)</f>
        <v>1</v>
      </c>
      <c r="U2027">
        <f>COUNTIF('🚴 Riders'!A2026:A2086, C2027)</f>
        <v>0</v>
      </c>
      <c r="V2027">
        <f>COUNTIF('🏭 Facilities'!A2026:A2034, D2027)</f>
        <v>0</v>
      </c>
    </row>
    <row r="2028" spans="1:22">
      <c r="A2028" s="16" t="s">
        <v>4717</v>
      </c>
      <c r="B2028" s="16" t="s">
        <v>1704</v>
      </c>
      <c r="C2028" s="16" t="s">
        <v>483</v>
      </c>
      <c r="D2028" s="16" t="s">
        <v>197</v>
      </c>
      <c r="E2028" s="25">
        <v>45372</v>
      </c>
      <c r="F2028" s="16" t="s">
        <v>4718</v>
      </c>
      <c r="G2028" s="16" t="s">
        <v>145</v>
      </c>
      <c r="H2028" s="16">
        <v>1</v>
      </c>
      <c r="I2028" s="16">
        <v>299</v>
      </c>
      <c r="J2028" s="16">
        <v>0</v>
      </c>
      <c r="K2028" s="16">
        <v>299</v>
      </c>
      <c r="L2028" s="16" t="s">
        <v>126</v>
      </c>
      <c r="M2028" s="16" t="s">
        <v>119</v>
      </c>
      <c r="N2028" s="27">
        <v>45372.734027777777</v>
      </c>
      <c r="O2028" s="27">
        <v>45373.620138888888</v>
      </c>
      <c r="P2028" s="16">
        <v>4.5</v>
      </c>
      <c r="Q2028" s="16" t="b">
        <f>FALSE()</f>
        <v>0</v>
      </c>
      <c r="R2028" s="16" t="b">
        <f>FALSE()</f>
        <v>0</v>
      </c>
      <c r="S2028" s="17">
        <f t="shared" si="31"/>
        <v>21.3</v>
      </c>
      <c r="T2028">
        <f>COUNTIF('👤 Customers'!$A:$A, B2028)</f>
        <v>1</v>
      </c>
      <c r="U2028">
        <f>COUNTIF('🚴 Riders'!A2027:A2087, C2028)</f>
        <v>0</v>
      </c>
      <c r="V2028">
        <f>COUNTIF('🏭 Facilities'!A2027:A2035, D2028)</f>
        <v>0</v>
      </c>
    </row>
    <row r="2029" spans="1:22">
      <c r="A2029" s="18" t="s">
        <v>4719</v>
      </c>
      <c r="B2029" s="18" t="s">
        <v>2247</v>
      </c>
      <c r="C2029" s="18" t="s">
        <v>276</v>
      </c>
      <c r="D2029" s="18" t="s">
        <v>130</v>
      </c>
      <c r="E2029" s="26">
        <v>45496</v>
      </c>
      <c r="F2029" s="18" t="s">
        <v>4720</v>
      </c>
      <c r="G2029" s="18" t="s">
        <v>117</v>
      </c>
      <c r="H2029" s="18">
        <v>6.9</v>
      </c>
      <c r="I2029" s="18">
        <v>149</v>
      </c>
      <c r="J2029" s="18">
        <v>0</v>
      </c>
      <c r="K2029" s="18">
        <v>1028.0999999999999</v>
      </c>
      <c r="L2029" s="18" t="s">
        <v>118</v>
      </c>
      <c r="M2029" s="18" t="s">
        <v>140</v>
      </c>
      <c r="N2029" s="28">
        <v>45496.95208333333</v>
      </c>
      <c r="O2029" s="28">
        <v>45497.376388888886</v>
      </c>
      <c r="P2029" s="20"/>
      <c r="Q2029" s="18" t="b">
        <f>TRUE()</f>
        <v>1</v>
      </c>
      <c r="R2029" s="18" t="b">
        <f>TRUE()</f>
        <v>1</v>
      </c>
      <c r="S2029" s="19">
        <f t="shared" si="31"/>
        <v>10.199999999999999</v>
      </c>
      <c r="T2029">
        <f>COUNTIF('👤 Customers'!$A:$A, B2029)</f>
        <v>1</v>
      </c>
      <c r="U2029">
        <f>COUNTIF('🚴 Riders'!A2028:A2088, C2029)</f>
        <v>0</v>
      </c>
      <c r="V2029">
        <f>COUNTIF('🏭 Facilities'!A2028:A2036, D2029)</f>
        <v>0</v>
      </c>
    </row>
    <row r="2030" spans="1:22">
      <c r="A2030" s="16" t="s">
        <v>4721</v>
      </c>
      <c r="B2030" s="16" t="s">
        <v>2082</v>
      </c>
      <c r="C2030" s="16" t="s">
        <v>136</v>
      </c>
      <c r="D2030" s="16" t="s">
        <v>197</v>
      </c>
      <c r="E2030" s="25">
        <v>45130</v>
      </c>
      <c r="F2030" s="16" t="s">
        <v>4722</v>
      </c>
      <c r="G2030" s="16" t="s">
        <v>125</v>
      </c>
      <c r="H2030" s="16">
        <v>3</v>
      </c>
      <c r="I2030" s="16">
        <v>199</v>
      </c>
      <c r="J2030" s="16">
        <v>0</v>
      </c>
      <c r="K2030" s="16">
        <v>597</v>
      </c>
      <c r="L2030" s="16" t="s">
        <v>118</v>
      </c>
      <c r="M2030" s="16" t="s">
        <v>119</v>
      </c>
      <c r="N2030" s="27">
        <v>45130.468055555553</v>
      </c>
      <c r="O2030" s="27">
        <v>45130.913888888892</v>
      </c>
      <c r="P2030" s="16">
        <v>2.5</v>
      </c>
      <c r="Q2030" s="16" t="b">
        <f>FALSE()</f>
        <v>0</v>
      </c>
      <c r="R2030" s="16" t="b">
        <f>FALSE()</f>
        <v>0</v>
      </c>
      <c r="S2030" s="17">
        <f t="shared" si="31"/>
        <v>10.7</v>
      </c>
      <c r="T2030">
        <f>COUNTIF('👤 Customers'!$A:$A, B2030)</f>
        <v>1</v>
      </c>
      <c r="U2030">
        <f>COUNTIF('🚴 Riders'!A2029:A2089, C2030)</f>
        <v>0</v>
      </c>
      <c r="V2030">
        <f>COUNTIF('🏭 Facilities'!A2029:A2037, D2030)</f>
        <v>0</v>
      </c>
    </row>
    <row r="2031" spans="1:22">
      <c r="A2031" s="18" t="s">
        <v>4723</v>
      </c>
      <c r="B2031" s="18" t="s">
        <v>342</v>
      </c>
      <c r="C2031" s="18" t="s">
        <v>122</v>
      </c>
      <c r="D2031" s="18" t="s">
        <v>205</v>
      </c>
      <c r="E2031" s="26">
        <v>45468</v>
      </c>
      <c r="F2031" s="18" t="s">
        <v>4724</v>
      </c>
      <c r="G2031" s="18" t="s">
        <v>132</v>
      </c>
      <c r="H2031" s="18">
        <v>2.1</v>
      </c>
      <c r="I2031" s="18">
        <v>399</v>
      </c>
      <c r="J2031" s="18">
        <v>10</v>
      </c>
      <c r="K2031" s="18">
        <v>754.11</v>
      </c>
      <c r="L2031" s="18" t="s">
        <v>139</v>
      </c>
      <c r="M2031" s="18" t="s">
        <v>119</v>
      </c>
      <c r="N2031" s="28">
        <v>45468.840277777781</v>
      </c>
      <c r="O2031" s="28">
        <v>45469.65902777778</v>
      </c>
      <c r="P2031" s="18">
        <v>2.5</v>
      </c>
      <c r="Q2031" s="18" t="b">
        <f>FALSE()</f>
        <v>0</v>
      </c>
      <c r="R2031" s="18" t="b">
        <f>FALSE()</f>
        <v>0</v>
      </c>
      <c r="S2031" s="19">
        <f t="shared" si="31"/>
        <v>19.600000000000001</v>
      </c>
      <c r="T2031">
        <f>COUNTIF('👤 Customers'!$A:$A, B2031)</f>
        <v>1</v>
      </c>
      <c r="U2031">
        <f>COUNTIF('🚴 Riders'!A2030:A2090, C2031)</f>
        <v>0</v>
      </c>
      <c r="V2031">
        <f>COUNTIF('🏭 Facilities'!A2030:A2038, D2031)</f>
        <v>0</v>
      </c>
    </row>
    <row r="2032" spans="1:22">
      <c r="A2032" s="16" t="s">
        <v>4725</v>
      </c>
      <c r="B2032" s="16" t="s">
        <v>1793</v>
      </c>
      <c r="C2032" s="16" t="s">
        <v>343</v>
      </c>
      <c r="D2032" s="16" t="s">
        <v>205</v>
      </c>
      <c r="E2032" s="25">
        <v>45553</v>
      </c>
      <c r="F2032" s="16" t="s">
        <v>4726</v>
      </c>
      <c r="G2032" s="16" t="s">
        <v>145</v>
      </c>
      <c r="H2032" s="16">
        <v>4.2</v>
      </c>
      <c r="I2032" s="16">
        <v>299</v>
      </c>
      <c r="J2032" s="16">
        <v>0</v>
      </c>
      <c r="K2032" s="16">
        <v>1255.8</v>
      </c>
      <c r="L2032" s="16" t="s">
        <v>139</v>
      </c>
      <c r="M2032" s="16" t="s">
        <v>133</v>
      </c>
      <c r="N2032" s="20"/>
      <c r="O2032" s="20"/>
      <c r="P2032" s="20"/>
      <c r="Q2032" s="16" t="b">
        <f>FALSE()</f>
        <v>0</v>
      </c>
      <c r="R2032" s="16" t="b">
        <f>FALSE()</f>
        <v>0</v>
      </c>
      <c r="S2032" s="17" t="str">
        <f t="shared" si="31"/>
        <v>N/A</v>
      </c>
      <c r="T2032">
        <f>COUNTIF('👤 Customers'!$A:$A, B2032)</f>
        <v>1</v>
      </c>
      <c r="U2032">
        <f>COUNTIF('🚴 Riders'!A2031:A2091, C2032)</f>
        <v>0</v>
      </c>
      <c r="V2032">
        <f>COUNTIF('🏭 Facilities'!A2031:A2039, D2032)</f>
        <v>0</v>
      </c>
    </row>
    <row r="2033" spans="1:22">
      <c r="A2033" s="18" t="s">
        <v>4727</v>
      </c>
      <c r="B2033" s="18" t="s">
        <v>1631</v>
      </c>
      <c r="C2033" s="18" t="s">
        <v>308</v>
      </c>
      <c r="D2033" s="18" t="s">
        <v>130</v>
      </c>
      <c r="E2033" s="26">
        <v>45520</v>
      </c>
      <c r="F2033" s="18" t="s">
        <v>4728</v>
      </c>
      <c r="G2033" s="18" t="s">
        <v>132</v>
      </c>
      <c r="H2033" s="18">
        <v>4.2</v>
      </c>
      <c r="I2033" s="18">
        <v>399</v>
      </c>
      <c r="J2033" s="18">
        <v>10</v>
      </c>
      <c r="K2033" s="18">
        <v>1508.22</v>
      </c>
      <c r="L2033" s="18" t="s">
        <v>207</v>
      </c>
      <c r="M2033" s="18" t="s">
        <v>119</v>
      </c>
      <c r="N2033" s="28">
        <v>45520.967361111114</v>
      </c>
      <c r="O2033" s="28">
        <v>45521.88958333333</v>
      </c>
      <c r="P2033" s="18">
        <v>4.5999999999999996</v>
      </c>
      <c r="Q2033" s="18" t="b">
        <f>FALSE()</f>
        <v>0</v>
      </c>
      <c r="R2033" s="18" t="b">
        <f>FALSE()</f>
        <v>0</v>
      </c>
      <c r="S2033" s="19">
        <f t="shared" si="31"/>
        <v>22.1</v>
      </c>
      <c r="T2033">
        <f>COUNTIF('👤 Customers'!$A:$A, B2033)</f>
        <v>1</v>
      </c>
      <c r="U2033">
        <f>COUNTIF('🚴 Riders'!A2032:A2092, C2033)</f>
        <v>0</v>
      </c>
      <c r="V2033">
        <f>COUNTIF('🏭 Facilities'!A2032:A2040, D2033)</f>
        <v>0</v>
      </c>
    </row>
    <row r="2034" spans="1:22">
      <c r="A2034" s="16" t="s">
        <v>4729</v>
      </c>
      <c r="B2034" s="16" t="s">
        <v>303</v>
      </c>
      <c r="C2034" s="16" t="s">
        <v>166</v>
      </c>
      <c r="D2034" s="16" t="s">
        <v>130</v>
      </c>
      <c r="E2034" s="25">
        <v>45407</v>
      </c>
      <c r="F2034" s="16" t="s">
        <v>4730</v>
      </c>
      <c r="G2034" s="16" t="s">
        <v>176</v>
      </c>
      <c r="H2034" s="16">
        <v>5.3</v>
      </c>
      <c r="I2034" s="16">
        <v>599</v>
      </c>
      <c r="J2034" s="16">
        <v>30</v>
      </c>
      <c r="K2034" s="16">
        <v>2222.29</v>
      </c>
      <c r="L2034" s="16" t="s">
        <v>139</v>
      </c>
      <c r="M2034" s="16" t="s">
        <v>119</v>
      </c>
      <c r="N2034" s="27">
        <v>45407.220138888886</v>
      </c>
      <c r="O2034" s="27">
        <v>45408.238888888889</v>
      </c>
      <c r="P2034" s="16">
        <v>4.4000000000000004</v>
      </c>
      <c r="Q2034" s="16" t="b">
        <f>FALSE()</f>
        <v>0</v>
      </c>
      <c r="R2034" s="16" t="b">
        <f>FALSE()</f>
        <v>0</v>
      </c>
      <c r="S2034" s="17">
        <f t="shared" si="31"/>
        <v>24.5</v>
      </c>
      <c r="T2034">
        <f>COUNTIF('👤 Customers'!$A:$A, B2034)</f>
        <v>1</v>
      </c>
      <c r="U2034">
        <f>COUNTIF('🚴 Riders'!A2033:A2093, C2034)</f>
        <v>0</v>
      </c>
      <c r="V2034">
        <f>COUNTIF('🏭 Facilities'!A2033:A2041, D2034)</f>
        <v>0</v>
      </c>
    </row>
    <row r="2035" spans="1:22">
      <c r="A2035" s="18" t="s">
        <v>4731</v>
      </c>
      <c r="B2035" s="18" t="s">
        <v>342</v>
      </c>
      <c r="C2035" s="18" t="s">
        <v>265</v>
      </c>
      <c r="D2035" s="18" t="s">
        <v>130</v>
      </c>
      <c r="E2035" s="26">
        <v>45071</v>
      </c>
      <c r="F2035" s="18" t="s">
        <v>4732</v>
      </c>
      <c r="G2035" s="18" t="s">
        <v>145</v>
      </c>
      <c r="H2035" s="18">
        <v>7.7</v>
      </c>
      <c r="I2035" s="18">
        <v>299</v>
      </c>
      <c r="J2035" s="18">
        <v>0</v>
      </c>
      <c r="K2035" s="18">
        <v>2302.3000000000002</v>
      </c>
      <c r="L2035" s="18" t="s">
        <v>126</v>
      </c>
      <c r="M2035" s="18" t="s">
        <v>119</v>
      </c>
      <c r="N2035" s="28">
        <v>45071.355555555558</v>
      </c>
      <c r="O2035" s="28">
        <v>45071.836111111108</v>
      </c>
      <c r="P2035" s="18">
        <v>4.3</v>
      </c>
      <c r="Q2035" s="18" t="b">
        <f>FALSE()</f>
        <v>0</v>
      </c>
      <c r="R2035" s="18" t="b">
        <f>FALSE()</f>
        <v>0</v>
      </c>
      <c r="S2035" s="19">
        <f t="shared" si="31"/>
        <v>11.5</v>
      </c>
      <c r="T2035">
        <f>COUNTIF('👤 Customers'!$A:$A, B2035)</f>
        <v>1</v>
      </c>
      <c r="U2035">
        <f>COUNTIF('🚴 Riders'!A2034:A2094, C2035)</f>
        <v>0</v>
      </c>
      <c r="V2035">
        <f>COUNTIF('🏭 Facilities'!A2034:A2042, D2035)</f>
        <v>0</v>
      </c>
    </row>
    <row r="2036" spans="1:22">
      <c r="A2036" s="16" t="s">
        <v>4733</v>
      </c>
      <c r="B2036" s="16" t="s">
        <v>3105</v>
      </c>
      <c r="C2036" s="16" t="s">
        <v>162</v>
      </c>
      <c r="D2036" s="16" t="s">
        <v>123</v>
      </c>
      <c r="E2036" s="25">
        <v>45645</v>
      </c>
      <c r="F2036" s="16" t="s">
        <v>4734</v>
      </c>
      <c r="G2036" s="16" t="s">
        <v>145</v>
      </c>
      <c r="H2036" s="16">
        <v>2.7</v>
      </c>
      <c r="I2036" s="16">
        <v>299</v>
      </c>
      <c r="J2036" s="16">
        <v>10</v>
      </c>
      <c r="K2036" s="16">
        <v>726.57</v>
      </c>
      <c r="L2036" s="16" t="s">
        <v>139</v>
      </c>
      <c r="M2036" s="16" t="s">
        <v>119</v>
      </c>
      <c r="N2036" s="27">
        <v>45645.85833333333</v>
      </c>
      <c r="O2036" s="27">
        <v>45646.947222222225</v>
      </c>
      <c r="P2036" s="16">
        <v>4.5</v>
      </c>
      <c r="Q2036" s="16" t="b">
        <f>FALSE()</f>
        <v>0</v>
      </c>
      <c r="R2036" s="16" t="b">
        <f>FALSE()</f>
        <v>0</v>
      </c>
      <c r="S2036" s="17">
        <f t="shared" si="31"/>
        <v>26.1</v>
      </c>
      <c r="T2036">
        <f>COUNTIF('👤 Customers'!$A:$A, B2036)</f>
        <v>1</v>
      </c>
      <c r="U2036">
        <f>COUNTIF('🚴 Riders'!A2035:A2095, C2036)</f>
        <v>0</v>
      </c>
      <c r="V2036">
        <f>COUNTIF('🏭 Facilities'!A2035:A2043, D2036)</f>
        <v>0</v>
      </c>
    </row>
    <row r="2037" spans="1:22">
      <c r="A2037" s="18" t="s">
        <v>4735</v>
      </c>
      <c r="B2037" s="18" t="s">
        <v>203</v>
      </c>
      <c r="C2037" s="18" t="s">
        <v>261</v>
      </c>
      <c r="D2037" s="18" t="s">
        <v>158</v>
      </c>
      <c r="E2037" s="26">
        <v>44956</v>
      </c>
      <c r="F2037" s="18" t="s">
        <v>4736</v>
      </c>
      <c r="G2037" s="18" t="s">
        <v>145</v>
      </c>
      <c r="H2037" s="18">
        <v>7.5</v>
      </c>
      <c r="I2037" s="18">
        <v>299</v>
      </c>
      <c r="J2037" s="18">
        <v>0</v>
      </c>
      <c r="K2037" s="18">
        <v>2242.5</v>
      </c>
      <c r="L2037" s="18" t="s">
        <v>146</v>
      </c>
      <c r="M2037" s="18" t="s">
        <v>119</v>
      </c>
      <c r="N2037" s="28">
        <v>44956.174305555556</v>
      </c>
      <c r="O2037" s="28">
        <v>44957.212500000001</v>
      </c>
      <c r="P2037" s="18">
        <v>4.5</v>
      </c>
      <c r="Q2037" s="18" t="b">
        <f>FALSE()</f>
        <v>0</v>
      </c>
      <c r="R2037" s="18" t="b">
        <f>FALSE()</f>
        <v>0</v>
      </c>
      <c r="S2037" s="19">
        <f t="shared" si="31"/>
        <v>24.9</v>
      </c>
      <c r="T2037">
        <f>COUNTIF('👤 Customers'!$A:$A, B2037)</f>
        <v>1</v>
      </c>
      <c r="U2037">
        <f>COUNTIF('🚴 Riders'!A2036:A2096, C2037)</f>
        <v>0</v>
      </c>
      <c r="V2037">
        <f>COUNTIF('🏭 Facilities'!A2036:A2044, D2037)</f>
        <v>0</v>
      </c>
    </row>
    <row r="2038" spans="1:22">
      <c r="A2038" s="16" t="s">
        <v>4737</v>
      </c>
      <c r="B2038" s="16" t="s">
        <v>605</v>
      </c>
      <c r="C2038" s="16" t="s">
        <v>580</v>
      </c>
      <c r="D2038" s="16" t="s">
        <v>115</v>
      </c>
      <c r="E2038" s="25">
        <v>45328</v>
      </c>
      <c r="F2038" s="16" t="s">
        <v>4738</v>
      </c>
      <c r="G2038" s="16" t="s">
        <v>125</v>
      </c>
      <c r="H2038" s="16">
        <v>4.3</v>
      </c>
      <c r="I2038" s="16">
        <v>199</v>
      </c>
      <c r="J2038" s="16">
        <v>20</v>
      </c>
      <c r="K2038" s="16">
        <v>684.56</v>
      </c>
      <c r="L2038" s="16" t="s">
        <v>139</v>
      </c>
      <c r="M2038" s="16" t="s">
        <v>119</v>
      </c>
      <c r="N2038" s="27">
        <v>45328.462500000001</v>
      </c>
      <c r="O2038" s="27">
        <v>45328.916666666664</v>
      </c>
      <c r="P2038" s="16">
        <v>2.5</v>
      </c>
      <c r="Q2038" s="16" t="b">
        <f>TRUE()</f>
        <v>1</v>
      </c>
      <c r="R2038" s="16" t="b">
        <f>FALSE()</f>
        <v>0</v>
      </c>
      <c r="S2038" s="17">
        <f t="shared" si="31"/>
        <v>10.9</v>
      </c>
      <c r="T2038">
        <f>COUNTIF('👤 Customers'!$A:$A, B2038)</f>
        <v>1</v>
      </c>
      <c r="U2038">
        <f>COUNTIF('🚴 Riders'!A2037:A2097, C2038)</f>
        <v>0</v>
      </c>
      <c r="V2038">
        <f>COUNTIF('🏭 Facilities'!A2037:A2045, D2038)</f>
        <v>0</v>
      </c>
    </row>
    <row r="2039" spans="1:22">
      <c r="A2039" s="18" t="s">
        <v>4739</v>
      </c>
      <c r="B2039" s="18" t="s">
        <v>243</v>
      </c>
      <c r="C2039" s="18" t="s">
        <v>122</v>
      </c>
      <c r="D2039" s="18" t="s">
        <v>115</v>
      </c>
      <c r="E2039" s="26">
        <v>45521</v>
      </c>
      <c r="F2039" s="18" t="s">
        <v>4740</v>
      </c>
      <c r="G2039" s="18" t="s">
        <v>132</v>
      </c>
      <c r="H2039" s="18">
        <v>5.6</v>
      </c>
      <c r="I2039" s="18">
        <v>399</v>
      </c>
      <c r="J2039" s="18">
        <v>0</v>
      </c>
      <c r="K2039" s="18">
        <v>2234.4</v>
      </c>
      <c r="L2039" s="18" t="s">
        <v>146</v>
      </c>
      <c r="M2039" s="18" t="s">
        <v>119</v>
      </c>
      <c r="N2039" s="28">
        <v>45521.470138888886</v>
      </c>
      <c r="O2039" s="28">
        <v>45522.436805555553</v>
      </c>
      <c r="P2039" s="18">
        <v>2.8</v>
      </c>
      <c r="Q2039" s="18" t="b">
        <f>FALSE()</f>
        <v>0</v>
      </c>
      <c r="R2039" s="18" t="b">
        <f>TRUE()</f>
        <v>1</v>
      </c>
      <c r="S2039" s="19">
        <f t="shared" si="31"/>
        <v>23.2</v>
      </c>
      <c r="T2039">
        <f>COUNTIF('👤 Customers'!$A:$A, B2039)</f>
        <v>1</v>
      </c>
      <c r="U2039">
        <f>COUNTIF('🚴 Riders'!A2038:A2098, C2039)</f>
        <v>0</v>
      </c>
      <c r="V2039">
        <f>COUNTIF('🏭 Facilities'!A2038:A2046, D2039)</f>
        <v>0</v>
      </c>
    </row>
    <row r="2040" spans="1:22">
      <c r="A2040" s="16" t="s">
        <v>4741</v>
      </c>
      <c r="B2040" s="16" t="s">
        <v>935</v>
      </c>
      <c r="C2040" s="16" t="s">
        <v>300</v>
      </c>
      <c r="D2040" s="16" t="s">
        <v>123</v>
      </c>
      <c r="E2040" s="25">
        <v>45009</v>
      </c>
      <c r="F2040" s="16" t="s">
        <v>4742</v>
      </c>
      <c r="G2040" s="16" t="s">
        <v>176</v>
      </c>
      <c r="H2040" s="16">
        <v>5.9</v>
      </c>
      <c r="I2040" s="16">
        <v>599</v>
      </c>
      <c r="J2040" s="16">
        <v>0</v>
      </c>
      <c r="K2040" s="16">
        <v>3534.1</v>
      </c>
      <c r="L2040" s="16" t="s">
        <v>118</v>
      </c>
      <c r="M2040" s="16" t="s">
        <v>119</v>
      </c>
      <c r="N2040" s="27">
        <v>45009.977083333331</v>
      </c>
      <c r="O2040" s="27">
        <v>45010.479166666664</v>
      </c>
      <c r="P2040" s="16">
        <v>3.2</v>
      </c>
      <c r="Q2040" s="16" t="b">
        <f>FALSE()</f>
        <v>0</v>
      </c>
      <c r="R2040" s="16" t="b">
        <f>FALSE()</f>
        <v>0</v>
      </c>
      <c r="S2040" s="17">
        <f t="shared" si="31"/>
        <v>12</v>
      </c>
      <c r="T2040">
        <f>COUNTIF('👤 Customers'!$A:$A, B2040)</f>
        <v>1</v>
      </c>
      <c r="U2040">
        <f>COUNTIF('🚴 Riders'!A2039:A2099, C2040)</f>
        <v>0</v>
      </c>
      <c r="V2040">
        <f>COUNTIF('🏭 Facilities'!A2039:A2047, D2040)</f>
        <v>0</v>
      </c>
    </row>
    <row r="2041" spans="1:22">
      <c r="A2041" s="18" t="s">
        <v>4743</v>
      </c>
      <c r="B2041" s="18" t="s">
        <v>1375</v>
      </c>
      <c r="C2041" s="18" t="s">
        <v>283</v>
      </c>
      <c r="D2041" s="18" t="s">
        <v>158</v>
      </c>
      <c r="E2041" s="26">
        <v>45186</v>
      </c>
      <c r="F2041" s="18" t="s">
        <v>4744</v>
      </c>
      <c r="G2041" s="18" t="s">
        <v>176</v>
      </c>
      <c r="H2041" s="18">
        <v>4</v>
      </c>
      <c r="I2041" s="18">
        <v>599</v>
      </c>
      <c r="J2041" s="18">
        <v>0</v>
      </c>
      <c r="K2041" s="18">
        <v>2396</v>
      </c>
      <c r="L2041" s="18" t="s">
        <v>118</v>
      </c>
      <c r="M2041" s="18" t="s">
        <v>119</v>
      </c>
      <c r="N2041" s="28">
        <v>45186.625694444447</v>
      </c>
      <c r="O2041" s="28">
        <v>45187.438888888886</v>
      </c>
      <c r="P2041" s="18">
        <v>3.4</v>
      </c>
      <c r="Q2041" s="18" t="b">
        <f>FALSE()</f>
        <v>0</v>
      </c>
      <c r="R2041" s="18" t="b">
        <f>FALSE()</f>
        <v>0</v>
      </c>
      <c r="S2041" s="19">
        <f t="shared" si="31"/>
        <v>19.5</v>
      </c>
      <c r="T2041">
        <f>COUNTIF('👤 Customers'!$A:$A, B2041)</f>
        <v>1</v>
      </c>
      <c r="U2041">
        <f>COUNTIF('🚴 Riders'!A2040:A2100, C2041)</f>
        <v>0</v>
      </c>
      <c r="V2041">
        <f>COUNTIF('🏭 Facilities'!A2040:A2048, D2041)</f>
        <v>0</v>
      </c>
    </row>
    <row r="2042" spans="1:22">
      <c r="A2042" s="16" t="s">
        <v>4745</v>
      </c>
      <c r="B2042" s="16" t="s">
        <v>368</v>
      </c>
      <c r="C2042" s="16" t="s">
        <v>611</v>
      </c>
      <c r="D2042" s="16" t="s">
        <v>184</v>
      </c>
      <c r="E2042" s="25">
        <v>45011</v>
      </c>
      <c r="F2042" s="16" t="s">
        <v>4746</v>
      </c>
      <c r="G2042" s="16" t="s">
        <v>145</v>
      </c>
      <c r="H2042" s="16">
        <v>6.4</v>
      </c>
      <c r="I2042" s="16">
        <v>299</v>
      </c>
      <c r="J2042" s="16">
        <v>0</v>
      </c>
      <c r="K2042" s="16">
        <v>1913.6</v>
      </c>
      <c r="L2042" s="16" t="s">
        <v>118</v>
      </c>
      <c r="M2042" s="16" t="s">
        <v>119</v>
      </c>
      <c r="N2042" s="27">
        <v>45011.709722222222</v>
      </c>
      <c r="O2042" s="27">
        <v>45012.347222222219</v>
      </c>
      <c r="P2042" s="16">
        <v>4</v>
      </c>
      <c r="Q2042" s="16" t="b">
        <f>FALSE()</f>
        <v>0</v>
      </c>
      <c r="R2042" s="16" t="b">
        <f>FALSE()</f>
        <v>0</v>
      </c>
      <c r="S2042" s="17">
        <f t="shared" si="31"/>
        <v>15.3</v>
      </c>
      <c r="T2042">
        <f>COUNTIF('👤 Customers'!$A:$A, B2042)</f>
        <v>1</v>
      </c>
      <c r="U2042">
        <f>COUNTIF('🚴 Riders'!A2041:A2101, C2042)</f>
        <v>0</v>
      </c>
      <c r="V2042">
        <f>COUNTIF('🏭 Facilities'!A2041:A2049, D2042)</f>
        <v>0</v>
      </c>
    </row>
    <row r="2043" spans="1:22">
      <c r="A2043" s="18" t="s">
        <v>4747</v>
      </c>
      <c r="B2043" s="18" t="s">
        <v>3828</v>
      </c>
      <c r="C2043" s="18" t="s">
        <v>563</v>
      </c>
      <c r="D2043" s="18" t="s">
        <v>115</v>
      </c>
      <c r="E2043" s="26">
        <v>45225</v>
      </c>
      <c r="F2043" s="18" t="s">
        <v>4748</v>
      </c>
      <c r="G2043" s="18" t="s">
        <v>145</v>
      </c>
      <c r="H2043" s="18">
        <v>7.9</v>
      </c>
      <c r="I2043" s="18">
        <v>299</v>
      </c>
      <c r="J2043" s="18">
        <v>0</v>
      </c>
      <c r="K2043" s="18">
        <v>2362.1</v>
      </c>
      <c r="L2043" s="18" t="s">
        <v>207</v>
      </c>
      <c r="M2043" s="18" t="s">
        <v>119</v>
      </c>
      <c r="N2043" s="28">
        <v>45225.951388888891</v>
      </c>
      <c r="O2043" s="28">
        <v>45227.011805555558</v>
      </c>
      <c r="P2043" s="18">
        <v>2.8</v>
      </c>
      <c r="Q2043" s="18" t="b">
        <f>FALSE()</f>
        <v>0</v>
      </c>
      <c r="R2043" s="18" t="b">
        <f>FALSE()</f>
        <v>0</v>
      </c>
      <c r="S2043" s="19">
        <f t="shared" si="31"/>
        <v>25.5</v>
      </c>
      <c r="T2043">
        <f>COUNTIF('👤 Customers'!$A:$A, B2043)</f>
        <v>1</v>
      </c>
      <c r="U2043">
        <f>COUNTIF('🚴 Riders'!A2042:A2102, C2043)</f>
        <v>0</v>
      </c>
      <c r="V2043">
        <f>COUNTIF('🏭 Facilities'!A2042:A2050, D2043)</f>
        <v>0</v>
      </c>
    </row>
    <row r="2044" spans="1:22">
      <c r="A2044" s="16" t="s">
        <v>4749</v>
      </c>
      <c r="B2044" s="16" t="s">
        <v>1111</v>
      </c>
      <c r="C2044" s="16" t="s">
        <v>170</v>
      </c>
      <c r="D2044" s="16" t="s">
        <v>130</v>
      </c>
      <c r="E2044" s="25">
        <v>45602</v>
      </c>
      <c r="F2044" s="16" t="s">
        <v>4750</v>
      </c>
      <c r="G2044" s="16" t="s">
        <v>117</v>
      </c>
      <c r="H2044" s="16">
        <v>6.3</v>
      </c>
      <c r="I2044" s="16">
        <v>149</v>
      </c>
      <c r="J2044" s="16">
        <v>10</v>
      </c>
      <c r="K2044" s="16">
        <v>844.83</v>
      </c>
      <c r="L2044" s="16" t="s">
        <v>146</v>
      </c>
      <c r="M2044" s="16" t="s">
        <v>119</v>
      </c>
      <c r="N2044" s="27">
        <v>45602.073611111111</v>
      </c>
      <c r="O2044" s="27">
        <v>45602.797222222223</v>
      </c>
      <c r="P2044" s="16">
        <v>4.5999999999999996</v>
      </c>
      <c r="Q2044" s="16" t="b">
        <f>FALSE()</f>
        <v>0</v>
      </c>
      <c r="R2044" s="16" t="b">
        <f>FALSE()</f>
        <v>0</v>
      </c>
      <c r="S2044" s="17">
        <f t="shared" si="31"/>
        <v>17.399999999999999</v>
      </c>
      <c r="T2044">
        <f>COUNTIF('👤 Customers'!$A:$A, B2044)</f>
        <v>1</v>
      </c>
      <c r="U2044">
        <f>COUNTIF('🚴 Riders'!A2043:A2103, C2044)</f>
        <v>0</v>
      </c>
      <c r="V2044">
        <f>COUNTIF('🏭 Facilities'!A2043:A2051, D2044)</f>
        <v>0</v>
      </c>
    </row>
    <row r="2045" spans="1:22">
      <c r="A2045" s="18" t="s">
        <v>4751</v>
      </c>
      <c r="B2045" s="18" t="s">
        <v>2170</v>
      </c>
      <c r="C2045" s="18" t="s">
        <v>343</v>
      </c>
      <c r="D2045" s="18" t="s">
        <v>197</v>
      </c>
      <c r="E2045" s="26">
        <v>45182</v>
      </c>
      <c r="F2045" s="18" t="s">
        <v>4752</v>
      </c>
      <c r="G2045" s="18" t="s">
        <v>132</v>
      </c>
      <c r="H2045" s="18">
        <v>6.8</v>
      </c>
      <c r="I2045" s="18">
        <v>399</v>
      </c>
      <c r="J2045" s="18">
        <v>0</v>
      </c>
      <c r="K2045" s="18">
        <v>2713.2</v>
      </c>
      <c r="L2045" s="18" t="s">
        <v>207</v>
      </c>
      <c r="M2045" s="18" t="s">
        <v>119</v>
      </c>
      <c r="N2045" s="28">
        <v>45183.100694444445</v>
      </c>
      <c r="O2045" s="28">
        <v>45183.72152777778</v>
      </c>
      <c r="P2045" s="18">
        <v>3.2</v>
      </c>
      <c r="Q2045" s="18" t="b">
        <f>FALSE()</f>
        <v>0</v>
      </c>
      <c r="R2045" s="18" t="b">
        <f>TRUE()</f>
        <v>1</v>
      </c>
      <c r="S2045" s="19">
        <f t="shared" si="31"/>
        <v>14.9</v>
      </c>
      <c r="T2045">
        <f>COUNTIF('👤 Customers'!$A:$A, B2045)</f>
        <v>1</v>
      </c>
      <c r="U2045">
        <f>COUNTIF('🚴 Riders'!A2044:A2104, C2045)</f>
        <v>0</v>
      </c>
      <c r="V2045">
        <f>COUNTIF('🏭 Facilities'!A2044:A2052, D2045)</f>
        <v>0</v>
      </c>
    </row>
    <row r="2046" spans="1:22">
      <c r="A2046" s="16" t="s">
        <v>4753</v>
      </c>
      <c r="B2046" s="16" t="s">
        <v>1634</v>
      </c>
      <c r="C2046" s="16" t="s">
        <v>213</v>
      </c>
      <c r="D2046" s="16" t="s">
        <v>130</v>
      </c>
      <c r="E2046" s="25">
        <v>45521</v>
      </c>
      <c r="F2046" s="16" t="s">
        <v>4754</v>
      </c>
      <c r="G2046" s="16" t="s">
        <v>145</v>
      </c>
      <c r="H2046" s="16">
        <v>7.4</v>
      </c>
      <c r="I2046" s="16">
        <v>299</v>
      </c>
      <c r="J2046" s="16">
        <v>0</v>
      </c>
      <c r="K2046" s="16">
        <v>2212.6</v>
      </c>
      <c r="L2046" s="16" t="s">
        <v>118</v>
      </c>
      <c r="M2046" s="16" t="s">
        <v>119</v>
      </c>
      <c r="N2046" s="27">
        <v>45521.359027777777</v>
      </c>
      <c r="O2046" s="27">
        <v>45521.970833333333</v>
      </c>
      <c r="P2046" s="16">
        <v>3.7</v>
      </c>
      <c r="Q2046" s="16" t="b">
        <f>TRUE()</f>
        <v>1</v>
      </c>
      <c r="R2046" s="16" t="b">
        <f>FALSE()</f>
        <v>0</v>
      </c>
      <c r="S2046" s="17">
        <f t="shared" si="31"/>
        <v>14.7</v>
      </c>
      <c r="T2046">
        <f>COUNTIF('👤 Customers'!$A:$A, B2046)</f>
        <v>1</v>
      </c>
      <c r="U2046">
        <f>COUNTIF('🚴 Riders'!A2045:A2105, C2046)</f>
        <v>0</v>
      </c>
      <c r="V2046">
        <f>COUNTIF('🏭 Facilities'!A2045:A2053, D2046)</f>
        <v>0</v>
      </c>
    </row>
    <row r="2047" spans="1:22">
      <c r="A2047" s="18" t="s">
        <v>4755</v>
      </c>
      <c r="B2047" s="18" t="s">
        <v>368</v>
      </c>
      <c r="C2047" s="18" t="s">
        <v>358</v>
      </c>
      <c r="D2047" s="18" t="s">
        <v>123</v>
      </c>
      <c r="E2047" s="26">
        <v>45021</v>
      </c>
      <c r="F2047" s="18" t="s">
        <v>4756</v>
      </c>
      <c r="G2047" s="18" t="s">
        <v>145</v>
      </c>
      <c r="H2047" s="18">
        <v>2</v>
      </c>
      <c r="I2047" s="18">
        <v>299</v>
      </c>
      <c r="J2047" s="18">
        <v>0</v>
      </c>
      <c r="K2047" s="18">
        <v>598</v>
      </c>
      <c r="L2047" s="18" t="s">
        <v>139</v>
      </c>
      <c r="M2047" s="18" t="s">
        <v>140</v>
      </c>
      <c r="N2047" s="28">
        <v>45021.460416666669</v>
      </c>
      <c r="O2047" s="28">
        <v>45022.185416666667</v>
      </c>
      <c r="P2047" s="20"/>
      <c r="Q2047" s="18" t="b">
        <f>FALSE()</f>
        <v>0</v>
      </c>
      <c r="R2047" s="18" t="b">
        <f>FALSE()</f>
        <v>0</v>
      </c>
      <c r="S2047" s="19">
        <f t="shared" si="31"/>
        <v>17.399999999999999</v>
      </c>
      <c r="T2047">
        <f>COUNTIF('👤 Customers'!$A:$A, B2047)</f>
        <v>1</v>
      </c>
      <c r="U2047">
        <f>COUNTIF('🚴 Riders'!A2046:A2106, C2047)</f>
        <v>0</v>
      </c>
      <c r="V2047">
        <f>COUNTIF('🏭 Facilities'!A2046:A2054, D2047)</f>
        <v>0</v>
      </c>
    </row>
    <row r="2048" spans="1:22">
      <c r="A2048" s="16" t="s">
        <v>4757</v>
      </c>
      <c r="B2048" s="16" t="s">
        <v>1102</v>
      </c>
      <c r="C2048" s="16" t="s">
        <v>358</v>
      </c>
      <c r="D2048" s="16" t="s">
        <v>115</v>
      </c>
      <c r="E2048" s="25">
        <v>45387</v>
      </c>
      <c r="F2048" s="16" t="s">
        <v>4758</v>
      </c>
      <c r="G2048" s="16" t="s">
        <v>176</v>
      </c>
      <c r="H2048" s="16">
        <v>5.9</v>
      </c>
      <c r="I2048" s="16">
        <v>599</v>
      </c>
      <c r="J2048" s="16">
        <v>0</v>
      </c>
      <c r="K2048" s="16">
        <v>3534.1</v>
      </c>
      <c r="L2048" s="16" t="s">
        <v>126</v>
      </c>
      <c r="M2048" s="16" t="s">
        <v>119</v>
      </c>
      <c r="N2048" s="27">
        <v>45387.388888888891</v>
      </c>
      <c r="O2048" s="27">
        <v>45388.229861111111</v>
      </c>
      <c r="P2048" s="16">
        <v>4.5999999999999996</v>
      </c>
      <c r="Q2048" s="16" t="b">
        <f>FALSE()</f>
        <v>0</v>
      </c>
      <c r="R2048" s="16" t="b">
        <f>FALSE()</f>
        <v>0</v>
      </c>
      <c r="S2048" s="17">
        <f t="shared" si="31"/>
        <v>20.2</v>
      </c>
      <c r="T2048">
        <f>COUNTIF('👤 Customers'!$A:$A, B2048)</f>
        <v>1</v>
      </c>
      <c r="U2048">
        <f>COUNTIF('🚴 Riders'!A2047:A2107, C2048)</f>
        <v>0</v>
      </c>
      <c r="V2048">
        <f>COUNTIF('🏭 Facilities'!A2047:A2055, D2048)</f>
        <v>0</v>
      </c>
    </row>
    <row r="2049" spans="1:22">
      <c r="A2049" s="18" t="s">
        <v>4759</v>
      </c>
      <c r="B2049" s="18" t="s">
        <v>4215</v>
      </c>
      <c r="C2049" s="18" t="s">
        <v>220</v>
      </c>
      <c r="D2049" s="18" t="s">
        <v>137</v>
      </c>
      <c r="E2049" s="26">
        <v>45121</v>
      </c>
      <c r="F2049" s="18" t="s">
        <v>4760</v>
      </c>
      <c r="G2049" s="18" t="s">
        <v>132</v>
      </c>
      <c r="H2049" s="18">
        <v>4.3</v>
      </c>
      <c r="I2049" s="18">
        <v>399</v>
      </c>
      <c r="J2049" s="18">
        <v>20</v>
      </c>
      <c r="K2049" s="18">
        <v>1372.56</v>
      </c>
      <c r="L2049" s="18" t="s">
        <v>118</v>
      </c>
      <c r="M2049" s="18" t="s">
        <v>119</v>
      </c>
      <c r="N2049" s="28">
        <v>45121.724305555559</v>
      </c>
      <c r="O2049" s="28">
        <v>45122.788194444445</v>
      </c>
      <c r="P2049" s="18">
        <v>3.3</v>
      </c>
      <c r="Q2049" s="18" t="b">
        <f>FALSE()</f>
        <v>0</v>
      </c>
      <c r="R2049" s="18" t="b">
        <f>FALSE()</f>
        <v>0</v>
      </c>
      <c r="S2049" s="19">
        <f t="shared" si="31"/>
        <v>25.5</v>
      </c>
      <c r="T2049">
        <f>COUNTIF('👤 Customers'!$A:$A, B2049)</f>
        <v>1</v>
      </c>
      <c r="U2049">
        <f>COUNTIF('🚴 Riders'!A2048:A2108, C2049)</f>
        <v>0</v>
      </c>
      <c r="V2049">
        <f>COUNTIF('🏭 Facilities'!A2048:A2056, D2049)</f>
        <v>0</v>
      </c>
    </row>
    <row r="2050" spans="1:22">
      <c r="A2050" s="16" t="s">
        <v>4761</v>
      </c>
      <c r="B2050" s="16" t="s">
        <v>2799</v>
      </c>
      <c r="C2050" s="16" t="s">
        <v>272</v>
      </c>
      <c r="D2050" s="16" t="s">
        <v>197</v>
      </c>
      <c r="E2050" s="25">
        <v>44969</v>
      </c>
      <c r="F2050" s="16" t="s">
        <v>4762</v>
      </c>
      <c r="G2050" s="16" t="s">
        <v>117</v>
      </c>
      <c r="H2050" s="16">
        <v>1.2</v>
      </c>
      <c r="I2050" s="16">
        <v>149</v>
      </c>
      <c r="J2050" s="16">
        <v>20</v>
      </c>
      <c r="K2050" s="16">
        <v>143.04</v>
      </c>
      <c r="L2050" s="16" t="s">
        <v>126</v>
      </c>
      <c r="M2050" s="16" t="s">
        <v>119</v>
      </c>
      <c r="N2050" s="27">
        <v>44969.697916666664</v>
      </c>
      <c r="O2050" s="27">
        <v>44970.050694444442</v>
      </c>
      <c r="P2050" s="16">
        <v>2.7</v>
      </c>
      <c r="Q2050" s="16" t="b">
        <f>FALSE()</f>
        <v>0</v>
      </c>
      <c r="R2050" s="16" t="b">
        <f>TRUE()</f>
        <v>1</v>
      </c>
      <c r="S2050" s="17">
        <f t="shared" ref="S2050:S2113" si="32">IF(OR(N2050="",O2050=""),"N/A",ROUND(((O2050-N2050)*24),1))</f>
        <v>8.5</v>
      </c>
      <c r="T2050">
        <f>COUNTIF('👤 Customers'!$A:$A, B2050)</f>
        <v>1</v>
      </c>
      <c r="U2050">
        <f>COUNTIF('🚴 Riders'!A2049:A2109, C2050)</f>
        <v>0</v>
      </c>
      <c r="V2050">
        <f>COUNTIF('🏭 Facilities'!A2049:A2057, D2050)</f>
        <v>0</v>
      </c>
    </row>
    <row r="2051" spans="1:22">
      <c r="A2051" s="18" t="s">
        <v>4763</v>
      </c>
      <c r="B2051" s="18" t="s">
        <v>670</v>
      </c>
      <c r="C2051" s="18" t="s">
        <v>179</v>
      </c>
      <c r="D2051" s="18" t="s">
        <v>197</v>
      </c>
      <c r="E2051" s="26">
        <v>44981</v>
      </c>
      <c r="F2051" s="18" t="s">
        <v>4764</v>
      </c>
      <c r="G2051" s="18" t="s">
        <v>176</v>
      </c>
      <c r="H2051" s="18">
        <v>4.2</v>
      </c>
      <c r="I2051" s="18">
        <v>599</v>
      </c>
      <c r="J2051" s="18">
        <v>0</v>
      </c>
      <c r="K2051" s="18">
        <v>2515.8000000000002</v>
      </c>
      <c r="L2051" s="18" t="s">
        <v>207</v>
      </c>
      <c r="M2051" s="18" t="s">
        <v>119</v>
      </c>
      <c r="N2051" s="28">
        <v>44981.853472222225</v>
      </c>
      <c r="O2051" s="28">
        <v>44982.757638888892</v>
      </c>
      <c r="P2051" s="18">
        <v>2.5</v>
      </c>
      <c r="Q2051" s="18" t="b">
        <f>FALSE()</f>
        <v>0</v>
      </c>
      <c r="R2051" s="18" t="b">
        <f>FALSE()</f>
        <v>0</v>
      </c>
      <c r="S2051" s="19">
        <f t="shared" si="32"/>
        <v>21.7</v>
      </c>
      <c r="T2051">
        <f>COUNTIF('👤 Customers'!$A:$A, B2051)</f>
        <v>1</v>
      </c>
      <c r="U2051">
        <f>COUNTIF('🚴 Riders'!A2050:A2110, C2051)</f>
        <v>0</v>
      </c>
      <c r="V2051">
        <f>COUNTIF('🏭 Facilities'!A2050:A2058, D2051)</f>
        <v>0</v>
      </c>
    </row>
    <row r="2052" spans="1:22">
      <c r="A2052" s="16" t="s">
        <v>4765</v>
      </c>
      <c r="B2052" s="16" t="s">
        <v>698</v>
      </c>
      <c r="C2052" s="16" t="s">
        <v>479</v>
      </c>
      <c r="D2052" s="16" t="s">
        <v>158</v>
      </c>
      <c r="E2052" s="25">
        <v>45035</v>
      </c>
      <c r="F2052" s="16" t="s">
        <v>4766</v>
      </c>
      <c r="G2052" s="16" t="s">
        <v>132</v>
      </c>
      <c r="H2052" s="16">
        <v>4.7</v>
      </c>
      <c r="I2052" s="16">
        <v>399</v>
      </c>
      <c r="J2052" s="16">
        <v>0</v>
      </c>
      <c r="K2052" s="16">
        <v>1875.3</v>
      </c>
      <c r="L2052" s="16" t="s">
        <v>139</v>
      </c>
      <c r="M2052" s="16" t="s">
        <v>119</v>
      </c>
      <c r="N2052" s="27">
        <v>45035.829861111109</v>
      </c>
      <c r="O2052" s="27">
        <v>45036.65347222222</v>
      </c>
      <c r="P2052" s="16">
        <v>2.8</v>
      </c>
      <c r="Q2052" s="16" t="b">
        <f>FALSE()</f>
        <v>0</v>
      </c>
      <c r="R2052" s="16" t="b">
        <f>FALSE()</f>
        <v>0</v>
      </c>
      <c r="S2052" s="17">
        <f t="shared" si="32"/>
        <v>19.8</v>
      </c>
      <c r="T2052">
        <f>COUNTIF('👤 Customers'!$A:$A, B2052)</f>
        <v>1</v>
      </c>
      <c r="U2052">
        <f>COUNTIF('🚴 Riders'!A2051:A2111, C2052)</f>
        <v>0</v>
      </c>
      <c r="V2052">
        <f>COUNTIF('🏭 Facilities'!A2051:A2059, D2052)</f>
        <v>0</v>
      </c>
    </row>
    <row r="2053" spans="1:22">
      <c r="A2053" s="18" t="s">
        <v>4767</v>
      </c>
      <c r="B2053" s="18" t="s">
        <v>2654</v>
      </c>
      <c r="C2053" s="18" t="s">
        <v>129</v>
      </c>
      <c r="D2053" s="18" t="s">
        <v>158</v>
      </c>
      <c r="E2053" s="26">
        <v>44974</v>
      </c>
      <c r="F2053" s="18" t="s">
        <v>4768</v>
      </c>
      <c r="G2053" s="18" t="s">
        <v>117</v>
      </c>
      <c r="H2053" s="18">
        <v>5.7</v>
      </c>
      <c r="I2053" s="18">
        <v>149</v>
      </c>
      <c r="J2053" s="18">
        <v>0</v>
      </c>
      <c r="K2053" s="18">
        <v>849.3</v>
      </c>
      <c r="L2053" s="18" t="s">
        <v>118</v>
      </c>
      <c r="M2053" s="18" t="s">
        <v>119</v>
      </c>
      <c r="N2053" s="28">
        <v>44974.779861111114</v>
      </c>
      <c r="O2053" s="28">
        <v>44975.818055555559</v>
      </c>
      <c r="P2053" s="18">
        <v>4.9000000000000004</v>
      </c>
      <c r="Q2053" s="18" t="b">
        <f>FALSE()</f>
        <v>0</v>
      </c>
      <c r="R2053" s="18" t="b">
        <f>TRUE()</f>
        <v>1</v>
      </c>
      <c r="S2053" s="19">
        <f t="shared" si="32"/>
        <v>24.9</v>
      </c>
      <c r="T2053">
        <f>COUNTIF('👤 Customers'!$A:$A, B2053)</f>
        <v>1</v>
      </c>
      <c r="U2053">
        <f>COUNTIF('🚴 Riders'!A2052:A2112, C2053)</f>
        <v>0</v>
      </c>
      <c r="V2053">
        <f>COUNTIF('🏭 Facilities'!A2052:A2060, D2053)</f>
        <v>0</v>
      </c>
    </row>
    <row r="2054" spans="1:22">
      <c r="A2054" s="16" t="s">
        <v>4769</v>
      </c>
      <c r="B2054" s="16" t="s">
        <v>1048</v>
      </c>
      <c r="C2054" s="16" t="s">
        <v>196</v>
      </c>
      <c r="D2054" s="16" t="s">
        <v>197</v>
      </c>
      <c r="E2054" s="25">
        <v>45034</v>
      </c>
      <c r="F2054" s="16" t="s">
        <v>4770</v>
      </c>
      <c r="G2054" s="16" t="s">
        <v>132</v>
      </c>
      <c r="H2054" s="16">
        <v>7.9</v>
      </c>
      <c r="I2054" s="16">
        <v>399</v>
      </c>
      <c r="J2054" s="16">
        <v>10</v>
      </c>
      <c r="K2054" s="16">
        <v>2836.89</v>
      </c>
      <c r="L2054" s="16" t="s">
        <v>146</v>
      </c>
      <c r="M2054" s="16" t="s">
        <v>133</v>
      </c>
      <c r="N2054" s="20"/>
      <c r="O2054" s="20"/>
      <c r="P2054" s="20"/>
      <c r="Q2054" s="16" t="b">
        <f>FALSE()</f>
        <v>0</v>
      </c>
      <c r="R2054" s="16" t="b">
        <f>FALSE()</f>
        <v>0</v>
      </c>
      <c r="S2054" s="17" t="str">
        <f t="shared" si="32"/>
        <v>N/A</v>
      </c>
      <c r="T2054">
        <f>COUNTIF('👤 Customers'!$A:$A, B2054)</f>
        <v>1</v>
      </c>
      <c r="U2054">
        <f>COUNTIF('🚴 Riders'!A2053:A2113, C2054)</f>
        <v>0</v>
      </c>
      <c r="V2054">
        <f>COUNTIF('🏭 Facilities'!A2053:A2061, D2054)</f>
        <v>0</v>
      </c>
    </row>
    <row r="2055" spans="1:22">
      <c r="A2055" s="18" t="s">
        <v>4771</v>
      </c>
      <c r="B2055" s="18" t="s">
        <v>1691</v>
      </c>
      <c r="C2055" s="18" t="s">
        <v>232</v>
      </c>
      <c r="D2055" s="18" t="s">
        <v>158</v>
      </c>
      <c r="E2055" s="26">
        <v>45150</v>
      </c>
      <c r="F2055" s="18" t="s">
        <v>4772</v>
      </c>
      <c r="G2055" s="18" t="s">
        <v>125</v>
      </c>
      <c r="H2055" s="18">
        <v>4.4000000000000004</v>
      </c>
      <c r="I2055" s="18">
        <v>199</v>
      </c>
      <c r="J2055" s="18">
        <v>0</v>
      </c>
      <c r="K2055" s="18">
        <v>875.6</v>
      </c>
      <c r="L2055" s="18" t="s">
        <v>118</v>
      </c>
      <c r="M2055" s="18" t="s">
        <v>140</v>
      </c>
      <c r="N2055" s="28">
        <v>45150.363194444442</v>
      </c>
      <c r="O2055" s="28">
        <v>45151.262499999997</v>
      </c>
      <c r="P2055" s="20"/>
      <c r="Q2055" s="18" t="b">
        <f>FALSE()</f>
        <v>0</v>
      </c>
      <c r="R2055" s="18" t="b">
        <f>FALSE()</f>
        <v>0</v>
      </c>
      <c r="S2055" s="19">
        <f t="shared" si="32"/>
        <v>21.6</v>
      </c>
      <c r="T2055">
        <f>COUNTIF('👤 Customers'!$A:$A, B2055)</f>
        <v>1</v>
      </c>
      <c r="U2055">
        <f>COUNTIF('🚴 Riders'!A2054:A2114, C2055)</f>
        <v>0</v>
      </c>
      <c r="V2055">
        <f>COUNTIF('🏭 Facilities'!A2054:A2062, D2055)</f>
        <v>0</v>
      </c>
    </row>
    <row r="2056" spans="1:22">
      <c r="A2056" s="16" t="s">
        <v>4773</v>
      </c>
      <c r="B2056" s="16" t="s">
        <v>450</v>
      </c>
      <c r="C2056" s="16" t="s">
        <v>251</v>
      </c>
      <c r="D2056" s="16" t="s">
        <v>158</v>
      </c>
      <c r="E2056" s="25">
        <v>45265</v>
      </c>
      <c r="F2056" s="16" t="s">
        <v>4774</v>
      </c>
      <c r="G2056" s="16" t="s">
        <v>176</v>
      </c>
      <c r="H2056" s="16">
        <v>2.7</v>
      </c>
      <c r="I2056" s="16">
        <v>599</v>
      </c>
      <c r="J2056" s="16">
        <v>0</v>
      </c>
      <c r="K2056" s="16">
        <v>1617.3</v>
      </c>
      <c r="L2056" s="16" t="s">
        <v>118</v>
      </c>
      <c r="M2056" s="16" t="s">
        <v>119</v>
      </c>
      <c r="N2056" s="27">
        <v>45266.086111111108</v>
      </c>
      <c r="O2056" s="27">
        <v>45266.840277777781</v>
      </c>
      <c r="P2056" s="16">
        <v>2.5</v>
      </c>
      <c r="Q2056" s="16" t="b">
        <f>FALSE()</f>
        <v>0</v>
      </c>
      <c r="R2056" s="16" t="b">
        <f>FALSE()</f>
        <v>0</v>
      </c>
      <c r="S2056" s="17">
        <f t="shared" si="32"/>
        <v>18.100000000000001</v>
      </c>
      <c r="T2056">
        <f>COUNTIF('👤 Customers'!$A:$A, B2056)</f>
        <v>1</v>
      </c>
      <c r="U2056">
        <f>COUNTIF('🚴 Riders'!A2055:A2115, C2056)</f>
        <v>0</v>
      </c>
      <c r="V2056">
        <f>COUNTIF('🏭 Facilities'!A2055:A2063, D2056)</f>
        <v>0</v>
      </c>
    </row>
    <row r="2057" spans="1:22">
      <c r="A2057" s="18" t="s">
        <v>4775</v>
      </c>
      <c r="B2057" s="18" t="s">
        <v>782</v>
      </c>
      <c r="C2057" s="18" t="s">
        <v>842</v>
      </c>
      <c r="D2057" s="18" t="s">
        <v>158</v>
      </c>
      <c r="E2057" s="26">
        <v>45375</v>
      </c>
      <c r="F2057" s="18" t="s">
        <v>4776</v>
      </c>
      <c r="G2057" s="18" t="s">
        <v>125</v>
      </c>
      <c r="H2057" s="18">
        <v>6</v>
      </c>
      <c r="I2057" s="18">
        <v>199</v>
      </c>
      <c r="J2057" s="18">
        <v>10</v>
      </c>
      <c r="K2057" s="18">
        <v>1074.5999999999999</v>
      </c>
      <c r="L2057" s="18" t="s">
        <v>139</v>
      </c>
      <c r="M2057" s="18" t="s">
        <v>140</v>
      </c>
      <c r="N2057" s="28">
        <v>45375.530555555553</v>
      </c>
      <c r="O2057" s="28">
        <v>45376.145138888889</v>
      </c>
      <c r="P2057" s="20"/>
      <c r="Q2057" s="18" t="b">
        <f>FALSE()</f>
        <v>0</v>
      </c>
      <c r="R2057" s="18" t="b">
        <f>TRUE()</f>
        <v>1</v>
      </c>
      <c r="S2057" s="19">
        <f t="shared" si="32"/>
        <v>14.8</v>
      </c>
      <c r="T2057">
        <f>COUNTIF('👤 Customers'!$A:$A, B2057)</f>
        <v>1</v>
      </c>
      <c r="U2057">
        <f>COUNTIF('🚴 Riders'!A2056:A2116, C2057)</f>
        <v>0</v>
      </c>
      <c r="V2057">
        <f>COUNTIF('🏭 Facilities'!A2056:A2064, D2057)</f>
        <v>0</v>
      </c>
    </row>
    <row r="2058" spans="1:22">
      <c r="A2058" s="16" t="s">
        <v>4777</v>
      </c>
      <c r="B2058" s="16" t="s">
        <v>346</v>
      </c>
      <c r="C2058" s="16" t="s">
        <v>611</v>
      </c>
      <c r="D2058" s="16" t="s">
        <v>137</v>
      </c>
      <c r="E2058" s="25">
        <v>45616</v>
      </c>
      <c r="F2058" s="16" t="s">
        <v>4778</v>
      </c>
      <c r="G2058" s="16" t="s">
        <v>176</v>
      </c>
      <c r="H2058" s="16">
        <v>2.7</v>
      </c>
      <c r="I2058" s="16">
        <v>599</v>
      </c>
      <c r="J2058" s="16">
        <v>0</v>
      </c>
      <c r="K2058" s="16">
        <v>1617.3</v>
      </c>
      <c r="L2058" s="16" t="s">
        <v>118</v>
      </c>
      <c r="M2058" s="16" t="s">
        <v>133</v>
      </c>
      <c r="N2058" s="20"/>
      <c r="O2058" s="20"/>
      <c r="P2058" s="20"/>
      <c r="Q2058" s="16" t="b">
        <f>FALSE()</f>
        <v>0</v>
      </c>
      <c r="R2058" s="16" t="b">
        <f>FALSE()</f>
        <v>0</v>
      </c>
      <c r="S2058" s="17" t="str">
        <f t="shared" si="32"/>
        <v>N/A</v>
      </c>
      <c r="T2058">
        <f>COUNTIF('👤 Customers'!$A:$A, B2058)</f>
        <v>1</v>
      </c>
      <c r="U2058">
        <f>COUNTIF('🚴 Riders'!A2057:A2117, C2058)</f>
        <v>0</v>
      </c>
      <c r="V2058">
        <f>COUNTIF('🏭 Facilities'!A2057:A2065, D2058)</f>
        <v>0</v>
      </c>
    </row>
    <row r="2059" spans="1:22">
      <c r="A2059" s="18" t="s">
        <v>4779</v>
      </c>
      <c r="B2059" s="18" t="s">
        <v>1036</v>
      </c>
      <c r="C2059" s="18" t="s">
        <v>247</v>
      </c>
      <c r="D2059" s="18" t="s">
        <v>158</v>
      </c>
      <c r="E2059" s="26">
        <v>45518</v>
      </c>
      <c r="F2059" s="18" t="s">
        <v>4780</v>
      </c>
      <c r="G2059" s="18" t="s">
        <v>117</v>
      </c>
      <c r="H2059" s="18">
        <v>2.8</v>
      </c>
      <c r="I2059" s="18">
        <v>149</v>
      </c>
      <c r="J2059" s="18">
        <v>10</v>
      </c>
      <c r="K2059" s="18">
        <v>375.48</v>
      </c>
      <c r="L2059" s="18" t="s">
        <v>146</v>
      </c>
      <c r="M2059" s="18" t="s">
        <v>119</v>
      </c>
      <c r="N2059" s="28">
        <v>45518.691666666666</v>
      </c>
      <c r="O2059" s="28">
        <v>45519.246527777781</v>
      </c>
      <c r="P2059" s="18">
        <v>2.8</v>
      </c>
      <c r="Q2059" s="18" t="b">
        <f>FALSE()</f>
        <v>0</v>
      </c>
      <c r="R2059" s="18" t="b">
        <f>TRUE()</f>
        <v>1</v>
      </c>
      <c r="S2059" s="19">
        <f t="shared" si="32"/>
        <v>13.3</v>
      </c>
      <c r="T2059">
        <f>COUNTIF('👤 Customers'!$A:$A, B2059)</f>
        <v>1</v>
      </c>
      <c r="U2059">
        <f>COUNTIF('🚴 Riders'!A2058:A2118, C2059)</f>
        <v>0</v>
      </c>
      <c r="V2059">
        <f>COUNTIF('🏭 Facilities'!A2058:A2066, D2059)</f>
        <v>0</v>
      </c>
    </row>
    <row r="2060" spans="1:22">
      <c r="A2060" s="16" t="s">
        <v>4781</v>
      </c>
      <c r="B2060" s="16" t="s">
        <v>756</v>
      </c>
      <c r="C2060" s="16" t="s">
        <v>213</v>
      </c>
      <c r="D2060" s="16" t="s">
        <v>197</v>
      </c>
      <c r="E2060" s="25">
        <v>45167</v>
      </c>
      <c r="F2060" s="16" t="s">
        <v>4782</v>
      </c>
      <c r="G2060" s="16" t="s">
        <v>132</v>
      </c>
      <c r="H2060" s="16">
        <v>2.5</v>
      </c>
      <c r="I2060" s="16">
        <v>399</v>
      </c>
      <c r="J2060" s="16">
        <v>0</v>
      </c>
      <c r="K2060" s="16">
        <v>997.5</v>
      </c>
      <c r="L2060" s="16" t="s">
        <v>118</v>
      </c>
      <c r="M2060" s="16" t="s">
        <v>119</v>
      </c>
      <c r="N2060" s="27">
        <v>45167.201388888891</v>
      </c>
      <c r="O2060" s="27">
        <v>45167.909722222219</v>
      </c>
      <c r="P2060" s="16">
        <v>3.3</v>
      </c>
      <c r="Q2060" s="16" t="b">
        <f>FALSE()</f>
        <v>0</v>
      </c>
      <c r="R2060" s="16" t="b">
        <f>FALSE()</f>
        <v>0</v>
      </c>
      <c r="S2060" s="17">
        <f t="shared" si="32"/>
        <v>17</v>
      </c>
      <c r="T2060">
        <f>COUNTIF('👤 Customers'!$A:$A, B2060)</f>
        <v>1</v>
      </c>
      <c r="U2060">
        <f>COUNTIF('🚴 Riders'!A2059:A2119, C2060)</f>
        <v>0</v>
      </c>
      <c r="V2060">
        <f>COUNTIF('🏭 Facilities'!A2059:A2067, D2060)</f>
        <v>0</v>
      </c>
    </row>
    <row r="2061" spans="1:22">
      <c r="A2061" s="18" t="s">
        <v>4783</v>
      </c>
      <c r="B2061" s="18" t="s">
        <v>1111</v>
      </c>
      <c r="C2061" s="18" t="s">
        <v>157</v>
      </c>
      <c r="D2061" s="18" t="s">
        <v>184</v>
      </c>
      <c r="E2061" s="26">
        <v>45534</v>
      </c>
      <c r="F2061" s="18" t="s">
        <v>4784</v>
      </c>
      <c r="G2061" s="18" t="s">
        <v>125</v>
      </c>
      <c r="H2061" s="18">
        <v>6.4</v>
      </c>
      <c r="I2061" s="18">
        <v>199</v>
      </c>
      <c r="J2061" s="18">
        <v>20</v>
      </c>
      <c r="K2061" s="18">
        <v>1018.88</v>
      </c>
      <c r="L2061" s="18" t="s">
        <v>207</v>
      </c>
      <c r="M2061" s="18" t="s">
        <v>140</v>
      </c>
      <c r="N2061" s="28">
        <v>45534.341666666667</v>
      </c>
      <c r="O2061" s="28">
        <v>45535.262499999997</v>
      </c>
      <c r="P2061" s="20"/>
      <c r="Q2061" s="18" t="b">
        <f>FALSE()</f>
        <v>0</v>
      </c>
      <c r="R2061" s="18" t="b">
        <f>FALSE()</f>
        <v>0</v>
      </c>
      <c r="S2061" s="19">
        <f t="shared" si="32"/>
        <v>22.1</v>
      </c>
      <c r="T2061">
        <f>COUNTIF('👤 Customers'!$A:$A, B2061)</f>
        <v>1</v>
      </c>
      <c r="U2061">
        <f>COUNTIF('🚴 Riders'!A2060:A2120, C2061)</f>
        <v>0</v>
      </c>
      <c r="V2061">
        <f>COUNTIF('🏭 Facilities'!A2060:A2068, D2061)</f>
        <v>0</v>
      </c>
    </row>
    <row r="2062" spans="1:22">
      <c r="A2062" s="16" t="s">
        <v>4785</v>
      </c>
      <c r="B2062" s="16" t="s">
        <v>919</v>
      </c>
      <c r="C2062" s="16" t="s">
        <v>479</v>
      </c>
      <c r="D2062" s="16" t="s">
        <v>158</v>
      </c>
      <c r="E2062" s="25">
        <v>45461</v>
      </c>
      <c r="F2062" s="16" t="s">
        <v>4786</v>
      </c>
      <c r="G2062" s="16" t="s">
        <v>132</v>
      </c>
      <c r="H2062" s="16">
        <v>1.1000000000000001</v>
      </c>
      <c r="I2062" s="16">
        <v>399</v>
      </c>
      <c r="J2062" s="16">
        <v>10</v>
      </c>
      <c r="K2062" s="16">
        <v>395.01</v>
      </c>
      <c r="L2062" s="16" t="s">
        <v>139</v>
      </c>
      <c r="M2062" s="16" t="s">
        <v>119</v>
      </c>
      <c r="N2062" s="27">
        <v>45461.618750000001</v>
      </c>
      <c r="O2062" s="27">
        <v>45462.271527777775</v>
      </c>
      <c r="P2062" s="16">
        <v>4.3</v>
      </c>
      <c r="Q2062" s="16" t="b">
        <f>FALSE()</f>
        <v>0</v>
      </c>
      <c r="R2062" s="16" t="b">
        <f>TRUE()</f>
        <v>1</v>
      </c>
      <c r="S2062" s="17">
        <f t="shared" si="32"/>
        <v>15.7</v>
      </c>
      <c r="T2062">
        <f>COUNTIF('👤 Customers'!$A:$A, B2062)</f>
        <v>1</v>
      </c>
      <c r="U2062">
        <f>COUNTIF('🚴 Riders'!A2061:A2121, C2062)</f>
        <v>0</v>
      </c>
      <c r="V2062">
        <f>COUNTIF('🏭 Facilities'!A2061:A2069, D2062)</f>
        <v>0</v>
      </c>
    </row>
    <row r="2063" spans="1:22">
      <c r="A2063" s="18" t="s">
        <v>4787</v>
      </c>
      <c r="B2063" s="18" t="s">
        <v>814</v>
      </c>
      <c r="C2063" s="18" t="s">
        <v>236</v>
      </c>
      <c r="D2063" s="18" t="s">
        <v>115</v>
      </c>
      <c r="E2063" s="26">
        <v>45322</v>
      </c>
      <c r="F2063" s="18" t="s">
        <v>4788</v>
      </c>
      <c r="G2063" s="18" t="s">
        <v>117</v>
      </c>
      <c r="H2063" s="18">
        <v>1.5</v>
      </c>
      <c r="I2063" s="18">
        <v>149</v>
      </c>
      <c r="J2063" s="18">
        <v>10</v>
      </c>
      <c r="K2063" s="18">
        <v>201.15</v>
      </c>
      <c r="L2063" s="18" t="s">
        <v>207</v>
      </c>
      <c r="M2063" s="18" t="s">
        <v>119</v>
      </c>
      <c r="N2063" s="28">
        <v>45322.245833333334</v>
      </c>
      <c r="O2063" s="28">
        <v>45322.847222222219</v>
      </c>
      <c r="P2063" s="18">
        <v>4.3</v>
      </c>
      <c r="Q2063" s="18" t="b">
        <f>FALSE()</f>
        <v>0</v>
      </c>
      <c r="R2063" s="18" t="b">
        <f>FALSE()</f>
        <v>0</v>
      </c>
      <c r="S2063" s="19">
        <f t="shared" si="32"/>
        <v>14.4</v>
      </c>
      <c r="T2063">
        <f>COUNTIF('👤 Customers'!$A:$A, B2063)</f>
        <v>1</v>
      </c>
      <c r="U2063">
        <f>COUNTIF('🚴 Riders'!A2062:A2122, C2063)</f>
        <v>0</v>
      </c>
      <c r="V2063">
        <f>COUNTIF('🏭 Facilities'!A2062:A2070, D2063)</f>
        <v>0</v>
      </c>
    </row>
    <row r="2064" spans="1:22">
      <c r="A2064" s="16" t="s">
        <v>4789</v>
      </c>
      <c r="B2064" s="16" t="s">
        <v>3105</v>
      </c>
      <c r="C2064" s="16" t="s">
        <v>240</v>
      </c>
      <c r="D2064" s="16" t="s">
        <v>137</v>
      </c>
      <c r="E2064" s="25">
        <v>45078</v>
      </c>
      <c r="F2064" s="16" t="s">
        <v>4790</v>
      </c>
      <c r="G2064" s="16" t="s">
        <v>176</v>
      </c>
      <c r="H2064" s="16">
        <v>6.8</v>
      </c>
      <c r="I2064" s="16">
        <v>599</v>
      </c>
      <c r="J2064" s="16">
        <v>30</v>
      </c>
      <c r="K2064" s="16">
        <v>2851.24</v>
      </c>
      <c r="L2064" s="16" t="s">
        <v>118</v>
      </c>
      <c r="M2064" s="16" t="s">
        <v>133</v>
      </c>
      <c r="N2064" s="20"/>
      <c r="O2064" s="20"/>
      <c r="P2064" s="20"/>
      <c r="Q2064" s="16" t="b">
        <f>FALSE()</f>
        <v>0</v>
      </c>
      <c r="R2064" s="16" t="b">
        <f>FALSE()</f>
        <v>0</v>
      </c>
      <c r="S2064" s="17" t="str">
        <f t="shared" si="32"/>
        <v>N/A</v>
      </c>
      <c r="T2064">
        <f>COUNTIF('👤 Customers'!$A:$A, B2064)</f>
        <v>1</v>
      </c>
      <c r="U2064">
        <f>COUNTIF('🚴 Riders'!A2063:A2123, C2064)</f>
        <v>0</v>
      </c>
      <c r="V2064">
        <f>COUNTIF('🏭 Facilities'!A2063:A2071, D2064)</f>
        <v>0</v>
      </c>
    </row>
    <row r="2065" spans="1:22">
      <c r="A2065" s="18" t="s">
        <v>4791</v>
      </c>
      <c r="B2065" s="18" t="s">
        <v>2167</v>
      </c>
      <c r="C2065" s="18" t="s">
        <v>247</v>
      </c>
      <c r="D2065" s="18" t="s">
        <v>137</v>
      </c>
      <c r="E2065" s="26">
        <v>44993</v>
      </c>
      <c r="F2065" s="18" t="s">
        <v>4792</v>
      </c>
      <c r="G2065" s="18" t="s">
        <v>125</v>
      </c>
      <c r="H2065" s="18">
        <v>1.5</v>
      </c>
      <c r="I2065" s="18">
        <v>199</v>
      </c>
      <c r="J2065" s="18">
        <v>10</v>
      </c>
      <c r="K2065" s="18">
        <v>268.64999999999998</v>
      </c>
      <c r="L2065" s="18" t="s">
        <v>118</v>
      </c>
      <c r="M2065" s="18" t="s">
        <v>119</v>
      </c>
      <c r="N2065" s="28">
        <v>44993.445138888892</v>
      </c>
      <c r="O2065" s="28">
        <v>44994.097222222219</v>
      </c>
      <c r="P2065" s="18">
        <v>3.5</v>
      </c>
      <c r="Q2065" s="18" t="b">
        <f>FALSE()</f>
        <v>0</v>
      </c>
      <c r="R2065" s="18" t="b">
        <f>FALSE()</f>
        <v>0</v>
      </c>
      <c r="S2065" s="19">
        <f t="shared" si="32"/>
        <v>15.6</v>
      </c>
      <c r="T2065">
        <f>COUNTIF('👤 Customers'!$A:$A, B2065)</f>
        <v>1</v>
      </c>
      <c r="U2065">
        <f>COUNTIF('🚴 Riders'!A2064:A2124, C2065)</f>
        <v>0</v>
      </c>
      <c r="V2065">
        <f>COUNTIF('🏭 Facilities'!A2064:A2072, D2065)</f>
        <v>0</v>
      </c>
    </row>
    <row r="2066" spans="1:22">
      <c r="A2066" s="16" t="s">
        <v>4793</v>
      </c>
      <c r="B2066" s="16" t="s">
        <v>1416</v>
      </c>
      <c r="C2066" s="16" t="s">
        <v>304</v>
      </c>
      <c r="D2066" s="16" t="s">
        <v>184</v>
      </c>
      <c r="E2066" s="25">
        <v>45007</v>
      </c>
      <c r="F2066" s="16" t="s">
        <v>4794</v>
      </c>
      <c r="G2066" s="16" t="s">
        <v>125</v>
      </c>
      <c r="H2066" s="16">
        <v>2.1</v>
      </c>
      <c r="I2066" s="16">
        <v>199</v>
      </c>
      <c r="J2066" s="16">
        <v>20</v>
      </c>
      <c r="K2066" s="16">
        <v>334.32</v>
      </c>
      <c r="L2066" s="16" t="s">
        <v>118</v>
      </c>
      <c r="M2066" s="16" t="s">
        <v>119</v>
      </c>
      <c r="N2066" s="27">
        <v>45007.962500000001</v>
      </c>
      <c r="O2066" s="27">
        <v>45008.392361111109</v>
      </c>
      <c r="P2066" s="16">
        <v>3.5</v>
      </c>
      <c r="Q2066" s="16" t="b">
        <f>FALSE()</f>
        <v>0</v>
      </c>
      <c r="R2066" s="16" t="b">
        <f>FALSE()</f>
        <v>0</v>
      </c>
      <c r="S2066" s="17">
        <f t="shared" si="32"/>
        <v>10.3</v>
      </c>
      <c r="T2066">
        <f>COUNTIF('👤 Customers'!$A:$A, B2066)</f>
        <v>1</v>
      </c>
      <c r="U2066">
        <f>COUNTIF('🚴 Riders'!A2065:A2125, C2066)</f>
        <v>0</v>
      </c>
      <c r="V2066">
        <f>COUNTIF('🏭 Facilities'!A2065:A2073, D2066)</f>
        <v>0</v>
      </c>
    </row>
    <row r="2067" spans="1:22">
      <c r="A2067" s="18" t="s">
        <v>4795</v>
      </c>
      <c r="B2067" s="18" t="s">
        <v>539</v>
      </c>
      <c r="C2067" s="18" t="s">
        <v>170</v>
      </c>
      <c r="D2067" s="18" t="s">
        <v>137</v>
      </c>
      <c r="E2067" s="26">
        <v>45321</v>
      </c>
      <c r="F2067" s="18" t="s">
        <v>4796</v>
      </c>
      <c r="G2067" s="18" t="s">
        <v>132</v>
      </c>
      <c r="H2067" s="18">
        <v>5</v>
      </c>
      <c r="I2067" s="18">
        <v>399</v>
      </c>
      <c r="J2067" s="18">
        <v>0</v>
      </c>
      <c r="K2067" s="18">
        <v>1995</v>
      </c>
      <c r="L2067" s="18" t="s">
        <v>126</v>
      </c>
      <c r="M2067" s="18" t="s">
        <v>119</v>
      </c>
      <c r="N2067" s="28">
        <v>45321.868055555555</v>
      </c>
      <c r="O2067" s="28">
        <v>45322.620833333334</v>
      </c>
      <c r="P2067" s="18">
        <v>2.6</v>
      </c>
      <c r="Q2067" s="18" t="b">
        <f>FALSE()</f>
        <v>0</v>
      </c>
      <c r="R2067" s="18" t="b">
        <f>FALSE()</f>
        <v>0</v>
      </c>
      <c r="S2067" s="19">
        <f t="shared" si="32"/>
        <v>18.100000000000001</v>
      </c>
      <c r="T2067">
        <f>COUNTIF('👤 Customers'!$A:$A, B2067)</f>
        <v>1</v>
      </c>
      <c r="U2067">
        <f>COUNTIF('🚴 Riders'!A2066:A2126, C2067)</f>
        <v>0</v>
      </c>
      <c r="V2067">
        <f>COUNTIF('🏭 Facilities'!A2066:A2074, D2067)</f>
        <v>0</v>
      </c>
    </row>
    <row r="2068" spans="1:22">
      <c r="A2068" s="16" t="s">
        <v>4797</v>
      </c>
      <c r="B2068" s="16" t="s">
        <v>121</v>
      </c>
      <c r="C2068" s="16" t="s">
        <v>339</v>
      </c>
      <c r="D2068" s="16" t="s">
        <v>205</v>
      </c>
      <c r="E2068" s="25">
        <v>45334</v>
      </c>
      <c r="F2068" s="16" t="s">
        <v>4798</v>
      </c>
      <c r="G2068" s="16" t="s">
        <v>132</v>
      </c>
      <c r="H2068" s="16">
        <v>1.6</v>
      </c>
      <c r="I2068" s="16">
        <v>399</v>
      </c>
      <c r="J2068" s="16">
        <v>10</v>
      </c>
      <c r="K2068" s="16">
        <v>574.55999999999995</v>
      </c>
      <c r="L2068" s="16" t="s">
        <v>207</v>
      </c>
      <c r="M2068" s="16" t="s">
        <v>119</v>
      </c>
      <c r="N2068" s="27">
        <v>45334.720833333333</v>
      </c>
      <c r="O2068" s="27">
        <v>45335.8125</v>
      </c>
      <c r="P2068" s="16">
        <v>3</v>
      </c>
      <c r="Q2068" s="16" t="b">
        <f>FALSE()</f>
        <v>0</v>
      </c>
      <c r="R2068" s="16" t="b">
        <f>TRUE()</f>
        <v>1</v>
      </c>
      <c r="S2068" s="17">
        <f t="shared" si="32"/>
        <v>26.2</v>
      </c>
      <c r="T2068">
        <f>COUNTIF('👤 Customers'!$A:$A, B2068)</f>
        <v>1</v>
      </c>
      <c r="U2068">
        <f>COUNTIF('🚴 Riders'!A2067:A2127, C2068)</f>
        <v>0</v>
      </c>
      <c r="V2068">
        <f>COUNTIF('🏭 Facilities'!A2067:A2075, D2068)</f>
        <v>0</v>
      </c>
    </row>
    <row r="2069" spans="1:22">
      <c r="A2069" s="18" t="s">
        <v>4799</v>
      </c>
      <c r="B2069" s="18" t="s">
        <v>1067</v>
      </c>
      <c r="C2069" s="18" t="s">
        <v>257</v>
      </c>
      <c r="D2069" s="18" t="s">
        <v>137</v>
      </c>
      <c r="E2069" s="26">
        <v>45406</v>
      </c>
      <c r="F2069" s="18" t="s">
        <v>4800</v>
      </c>
      <c r="G2069" s="18" t="s">
        <v>145</v>
      </c>
      <c r="H2069" s="18">
        <v>6.9</v>
      </c>
      <c r="I2069" s="18">
        <v>299</v>
      </c>
      <c r="J2069" s="18">
        <v>0</v>
      </c>
      <c r="K2069" s="18">
        <v>2063.1</v>
      </c>
      <c r="L2069" s="18" t="s">
        <v>139</v>
      </c>
      <c r="M2069" s="18" t="s">
        <v>119</v>
      </c>
      <c r="N2069" s="28">
        <v>45406.479861111111</v>
      </c>
      <c r="O2069" s="28">
        <v>45407.018055555556</v>
      </c>
      <c r="P2069" s="18">
        <v>4</v>
      </c>
      <c r="Q2069" s="18" t="b">
        <f>FALSE()</f>
        <v>0</v>
      </c>
      <c r="R2069" s="18" t="b">
        <f>FALSE()</f>
        <v>0</v>
      </c>
      <c r="S2069" s="19">
        <f t="shared" si="32"/>
        <v>12.9</v>
      </c>
      <c r="T2069">
        <f>COUNTIF('👤 Customers'!$A:$A, B2069)</f>
        <v>1</v>
      </c>
      <c r="U2069">
        <f>COUNTIF('🚴 Riders'!A2068:A2128, C2069)</f>
        <v>0</v>
      </c>
      <c r="V2069">
        <f>COUNTIF('🏭 Facilities'!A2068:A2076, D2069)</f>
        <v>0</v>
      </c>
    </row>
    <row r="2070" spans="1:22">
      <c r="A2070" s="16" t="s">
        <v>4801</v>
      </c>
      <c r="B2070" s="16" t="s">
        <v>872</v>
      </c>
      <c r="C2070" s="16" t="s">
        <v>308</v>
      </c>
      <c r="D2070" s="16" t="s">
        <v>184</v>
      </c>
      <c r="E2070" s="25">
        <v>45415</v>
      </c>
      <c r="F2070" s="16" t="s">
        <v>4802</v>
      </c>
      <c r="G2070" s="16" t="s">
        <v>145</v>
      </c>
      <c r="H2070" s="16">
        <v>3.3</v>
      </c>
      <c r="I2070" s="16">
        <v>299</v>
      </c>
      <c r="J2070" s="16">
        <v>0</v>
      </c>
      <c r="K2070" s="16">
        <v>986.7</v>
      </c>
      <c r="L2070" s="16" t="s">
        <v>118</v>
      </c>
      <c r="M2070" s="16" t="s">
        <v>140</v>
      </c>
      <c r="N2070" s="27">
        <v>45415.864583333336</v>
      </c>
      <c r="O2070" s="27">
        <v>45416.429166666669</v>
      </c>
      <c r="P2070" s="20"/>
      <c r="Q2070" s="16" t="b">
        <f>FALSE()</f>
        <v>0</v>
      </c>
      <c r="R2070" s="16" t="b">
        <f>TRUE()</f>
        <v>1</v>
      </c>
      <c r="S2070" s="17">
        <f t="shared" si="32"/>
        <v>13.5</v>
      </c>
      <c r="T2070">
        <f>COUNTIF('👤 Customers'!$A:$A, B2070)</f>
        <v>1</v>
      </c>
      <c r="U2070">
        <f>COUNTIF('🚴 Riders'!A2069:A2129, C2070)</f>
        <v>0</v>
      </c>
      <c r="V2070">
        <f>COUNTIF('🏭 Facilities'!A2069:A2077, D2070)</f>
        <v>0</v>
      </c>
    </row>
    <row r="2071" spans="1:22">
      <c r="A2071" s="18" t="s">
        <v>4803</v>
      </c>
      <c r="B2071" s="18" t="s">
        <v>916</v>
      </c>
      <c r="C2071" s="18" t="s">
        <v>224</v>
      </c>
      <c r="D2071" s="18" t="s">
        <v>184</v>
      </c>
      <c r="E2071" s="26">
        <v>45016</v>
      </c>
      <c r="F2071" s="18" t="s">
        <v>4804</v>
      </c>
      <c r="G2071" s="18" t="s">
        <v>176</v>
      </c>
      <c r="H2071" s="18">
        <v>3.1</v>
      </c>
      <c r="I2071" s="18">
        <v>599</v>
      </c>
      <c r="J2071" s="18">
        <v>0</v>
      </c>
      <c r="K2071" s="18">
        <v>1856.9</v>
      </c>
      <c r="L2071" s="18" t="s">
        <v>126</v>
      </c>
      <c r="M2071" s="18" t="s">
        <v>119</v>
      </c>
      <c r="N2071" s="28">
        <v>45016.30972222222</v>
      </c>
      <c r="O2071" s="28">
        <v>45016.771527777775</v>
      </c>
      <c r="P2071" s="18">
        <v>3</v>
      </c>
      <c r="Q2071" s="18" t="b">
        <f>TRUE()</f>
        <v>1</v>
      </c>
      <c r="R2071" s="18" t="b">
        <f>FALSE()</f>
        <v>0</v>
      </c>
      <c r="S2071" s="19">
        <f t="shared" si="32"/>
        <v>11.1</v>
      </c>
      <c r="T2071">
        <f>COUNTIF('👤 Customers'!$A:$A, B2071)</f>
        <v>1</v>
      </c>
      <c r="U2071">
        <f>COUNTIF('🚴 Riders'!A2070:A2130, C2071)</f>
        <v>0</v>
      </c>
      <c r="V2071">
        <f>COUNTIF('🏭 Facilities'!A2070:A2078, D2071)</f>
        <v>0</v>
      </c>
    </row>
    <row r="2072" spans="1:22">
      <c r="A2072" s="16" t="s">
        <v>4805</v>
      </c>
      <c r="B2072" s="16" t="s">
        <v>2577</v>
      </c>
      <c r="C2072" s="16" t="s">
        <v>153</v>
      </c>
      <c r="D2072" s="16" t="s">
        <v>137</v>
      </c>
      <c r="E2072" s="25">
        <v>45027</v>
      </c>
      <c r="F2072" s="16" t="s">
        <v>4806</v>
      </c>
      <c r="G2072" s="16" t="s">
        <v>132</v>
      </c>
      <c r="H2072" s="16">
        <v>3.3</v>
      </c>
      <c r="I2072" s="16">
        <v>399</v>
      </c>
      <c r="J2072" s="16">
        <v>0</v>
      </c>
      <c r="K2072" s="16">
        <v>1316.7</v>
      </c>
      <c r="L2072" s="16" t="s">
        <v>118</v>
      </c>
      <c r="M2072" s="16" t="s">
        <v>140</v>
      </c>
      <c r="N2072" s="27">
        <v>45027.296527777777</v>
      </c>
      <c r="O2072" s="27">
        <v>45027.665277777778</v>
      </c>
      <c r="P2072" s="20"/>
      <c r="Q2072" s="16" t="b">
        <f>FALSE()</f>
        <v>0</v>
      </c>
      <c r="R2072" s="16" t="b">
        <f>FALSE()</f>
        <v>0</v>
      </c>
      <c r="S2072" s="17">
        <f t="shared" si="32"/>
        <v>8.9</v>
      </c>
      <c r="T2072">
        <f>COUNTIF('👤 Customers'!$A:$A, B2072)</f>
        <v>1</v>
      </c>
      <c r="U2072">
        <f>COUNTIF('🚴 Riders'!A2071:A2131, C2072)</f>
        <v>0</v>
      </c>
      <c r="V2072">
        <f>COUNTIF('🏭 Facilities'!A2071:A2079, D2072)</f>
        <v>0</v>
      </c>
    </row>
    <row r="2073" spans="1:22">
      <c r="A2073" s="18" t="s">
        <v>4807</v>
      </c>
      <c r="B2073" s="18" t="s">
        <v>478</v>
      </c>
      <c r="C2073" s="18" t="s">
        <v>487</v>
      </c>
      <c r="D2073" s="18" t="s">
        <v>158</v>
      </c>
      <c r="E2073" s="26">
        <v>45553</v>
      </c>
      <c r="F2073" s="18" t="s">
        <v>4808</v>
      </c>
      <c r="G2073" s="18" t="s">
        <v>132</v>
      </c>
      <c r="H2073" s="18">
        <v>5</v>
      </c>
      <c r="I2073" s="18">
        <v>399</v>
      </c>
      <c r="J2073" s="18">
        <v>30</v>
      </c>
      <c r="K2073" s="18">
        <v>1396.5</v>
      </c>
      <c r="L2073" s="18" t="s">
        <v>139</v>
      </c>
      <c r="M2073" s="18" t="s">
        <v>133</v>
      </c>
      <c r="N2073" s="20"/>
      <c r="O2073" s="20"/>
      <c r="P2073" s="20"/>
      <c r="Q2073" s="18" t="b">
        <f>FALSE()</f>
        <v>0</v>
      </c>
      <c r="R2073" s="18" t="b">
        <f>FALSE()</f>
        <v>0</v>
      </c>
      <c r="S2073" s="19" t="str">
        <f t="shared" si="32"/>
        <v>N/A</v>
      </c>
      <c r="T2073">
        <f>COUNTIF('👤 Customers'!$A:$A, B2073)</f>
        <v>1</v>
      </c>
      <c r="U2073">
        <f>COUNTIF('🚴 Riders'!A2072:A2132, C2073)</f>
        <v>0</v>
      </c>
      <c r="V2073">
        <f>COUNTIF('🏭 Facilities'!A2072:A2080, D2073)</f>
        <v>0</v>
      </c>
    </row>
    <row r="2074" spans="1:22">
      <c r="A2074" s="16" t="s">
        <v>4809</v>
      </c>
      <c r="B2074" s="16" t="s">
        <v>2681</v>
      </c>
      <c r="C2074" s="16" t="s">
        <v>304</v>
      </c>
      <c r="D2074" s="16" t="s">
        <v>123</v>
      </c>
      <c r="E2074" s="25">
        <v>45625</v>
      </c>
      <c r="F2074" s="16" t="s">
        <v>4810</v>
      </c>
      <c r="G2074" s="16" t="s">
        <v>145</v>
      </c>
      <c r="H2074" s="16">
        <v>5.3</v>
      </c>
      <c r="I2074" s="16">
        <v>299</v>
      </c>
      <c r="J2074" s="16">
        <v>20</v>
      </c>
      <c r="K2074" s="16">
        <v>1267.76</v>
      </c>
      <c r="L2074" s="16" t="s">
        <v>118</v>
      </c>
      <c r="M2074" s="16" t="s">
        <v>119</v>
      </c>
      <c r="N2074" s="27">
        <v>45626.0625</v>
      </c>
      <c r="O2074" s="27">
        <v>45626.603472222225</v>
      </c>
      <c r="P2074" s="16">
        <v>3.2</v>
      </c>
      <c r="Q2074" s="16" t="b">
        <f>FALSE()</f>
        <v>0</v>
      </c>
      <c r="R2074" s="16" t="b">
        <f>FALSE()</f>
        <v>0</v>
      </c>
      <c r="S2074" s="17">
        <f t="shared" si="32"/>
        <v>13</v>
      </c>
      <c r="T2074">
        <f>COUNTIF('👤 Customers'!$A:$A, B2074)</f>
        <v>1</v>
      </c>
      <c r="U2074">
        <f>COUNTIF('🚴 Riders'!A2073:A2133, C2074)</f>
        <v>0</v>
      </c>
      <c r="V2074">
        <f>COUNTIF('🏭 Facilities'!A2073:A2081, D2074)</f>
        <v>0</v>
      </c>
    </row>
    <row r="2075" spans="1:22">
      <c r="A2075" s="18" t="s">
        <v>4811</v>
      </c>
      <c r="B2075" s="18" t="s">
        <v>2858</v>
      </c>
      <c r="C2075" s="18" t="s">
        <v>149</v>
      </c>
      <c r="D2075" s="18" t="s">
        <v>205</v>
      </c>
      <c r="E2075" s="26">
        <v>45229</v>
      </c>
      <c r="F2075" s="18" t="s">
        <v>4812</v>
      </c>
      <c r="G2075" s="18" t="s">
        <v>125</v>
      </c>
      <c r="H2075" s="18">
        <v>4.0999999999999996</v>
      </c>
      <c r="I2075" s="18">
        <v>199</v>
      </c>
      <c r="J2075" s="18">
        <v>0</v>
      </c>
      <c r="K2075" s="18">
        <v>815.9</v>
      </c>
      <c r="L2075" s="18" t="s">
        <v>146</v>
      </c>
      <c r="M2075" s="18" t="s">
        <v>119</v>
      </c>
      <c r="N2075" s="28">
        <v>45229.581944444442</v>
      </c>
      <c r="O2075" s="28">
        <v>45230.411805555559</v>
      </c>
      <c r="P2075" s="18">
        <v>2.6</v>
      </c>
      <c r="Q2075" s="18" t="b">
        <f>FALSE()</f>
        <v>0</v>
      </c>
      <c r="R2075" s="18" t="b">
        <f>FALSE()</f>
        <v>0</v>
      </c>
      <c r="S2075" s="19">
        <f t="shared" si="32"/>
        <v>19.899999999999999</v>
      </c>
      <c r="T2075">
        <f>COUNTIF('👤 Customers'!$A:$A, B2075)</f>
        <v>1</v>
      </c>
      <c r="U2075">
        <f>COUNTIF('🚴 Riders'!A2074:A2134, C2075)</f>
        <v>0</v>
      </c>
      <c r="V2075">
        <f>COUNTIF('🏭 Facilities'!A2074:A2082, D2075)</f>
        <v>0</v>
      </c>
    </row>
    <row r="2076" spans="1:22">
      <c r="A2076" s="16" t="s">
        <v>4813</v>
      </c>
      <c r="B2076" s="16" t="s">
        <v>958</v>
      </c>
      <c r="C2076" s="16" t="s">
        <v>413</v>
      </c>
      <c r="D2076" s="16" t="s">
        <v>197</v>
      </c>
      <c r="E2076" s="25">
        <v>45307</v>
      </c>
      <c r="F2076" s="16" t="s">
        <v>4814</v>
      </c>
      <c r="G2076" s="16" t="s">
        <v>145</v>
      </c>
      <c r="H2076" s="16">
        <v>3.1</v>
      </c>
      <c r="I2076" s="16">
        <v>299</v>
      </c>
      <c r="J2076" s="16">
        <v>0</v>
      </c>
      <c r="K2076" s="16">
        <v>926.9</v>
      </c>
      <c r="L2076" s="16" t="s">
        <v>126</v>
      </c>
      <c r="M2076" s="16" t="s">
        <v>119</v>
      </c>
      <c r="N2076" s="27">
        <v>45307.581250000003</v>
      </c>
      <c r="O2076" s="27">
        <v>45308.000694444447</v>
      </c>
      <c r="P2076" s="16">
        <v>3.4</v>
      </c>
      <c r="Q2076" s="16" t="b">
        <f>FALSE()</f>
        <v>0</v>
      </c>
      <c r="R2076" s="16" t="b">
        <f>TRUE()</f>
        <v>1</v>
      </c>
      <c r="S2076" s="17">
        <f t="shared" si="32"/>
        <v>10.1</v>
      </c>
      <c r="T2076">
        <f>COUNTIF('👤 Customers'!$A:$A, B2076)</f>
        <v>1</v>
      </c>
      <c r="U2076">
        <f>COUNTIF('🚴 Riders'!A2075:A2135, C2076)</f>
        <v>0</v>
      </c>
      <c r="V2076">
        <f>COUNTIF('🏭 Facilities'!A2075:A2083, D2076)</f>
        <v>0</v>
      </c>
    </row>
    <row r="2077" spans="1:22">
      <c r="A2077" s="18" t="s">
        <v>4815</v>
      </c>
      <c r="B2077" s="18" t="s">
        <v>1781</v>
      </c>
      <c r="C2077" s="18" t="s">
        <v>563</v>
      </c>
      <c r="D2077" s="18" t="s">
        <v>137</v>
      </c>
      <c r="E2077" s="26">
        <v>45400</v>
      </c>
      <c r="F2077" s="18" t="s">
        <v>4816</v>
      </c>
      <c r="G2077" s="18" t="s">
        <v>145</v>
      </c>
      <c r="H2077" s="18">
        <v>5.3</v>
      </c>
      <c r="I2077" s="18">
        <v>299</v>
      </c>
      <c r="J2077" s="18">
        <v>30</v>
      </c>
      <c r="K2077" s="18">
        <v>1109.29</v>
      </c>
      <c r="L2077" s="18" t="s">
        <v>118</v>
      </c>
      <c r="M2077" s="18" t="s">
        <v>119</v>
      </c>
      <c r="N2077" s="28">
        <v>45400.711111111108</v>
      </c>
      <c r="O2077" s="28">
        <v>45401.558333333334</v>
      </c>
      <c r="P2077" s="18">
        <v>3.4</v>
      </c>
      <c r="Q2077" s="18" t="b">
        <f>FALSE()</f>
        <v>0</v>
      </c>
      <c r="R2077" s="18" t="b">
        <f>FALSE()</f>
        <v>0</v>
      </c>
      <c r="S2077" s="19">
        <f t="shared" si="32"/>
        <v>20.3</v>
      </c>
      <c r="T2077">
        <f>COUNTIF('👤 Customers'!$A:$A, B2077)</f>
        <v>1</v>
      </c>
      <c r="U2077">
        <f>COUNTIF('🚴 Riders'!A2076:A2136, C2077)</f>
        <v>0</v>
      </c>
      <c r="V2077">
        <f>COUNTIF('🏭 Facilities'!A2076:A2084, D2077)</f>
        <v>0</v>
      </c>
    </row>
    <row r="2078" spans="1:22">
      <c r="A2078" s="16" t="s">
        <v>4817</v>
      </c>
      <c r="B2078" s="16" t="s">
        <v>2937</v>
      </c>
      <c r="C2078" s="16" t="s">
        <v>129</v>
      </c>
      <c r="D2078" s="16" t="s">
        <v>205</v>
      </c>
      <c r="E2078" s="25">
        <v>45030</v>
      </c>
      <c r="F2078" s="16" t="s">
        <v>4818</v>
      </c>
      <c r="G2078" s="16" t="s">
        <v>176</v>
      </c>
      <c r="H2078" s="16">
        <v>7.5</v>
      </c>
      <c r="I2078" s="16">
        <v>599</v>
      </c>
      <c r="J2078" s="16">
        <v>0</v>
      </c>
      <c r="K2078" s="16">
        <v>4492.5</v>
      </c>
      <c r="L2078" s="16" t="s">
        <v>118</v>
      </c>
      <c r="M2078" s="16" t="s">
        <v>133</v>
      </c>
      <c r="N2078" s="20"/>
      <c r="O2078" s="20"/>
      <c r="P2078" s="20"/>
      <c r="Q2078" s="16" t="b">
        <f>FALSE()</f>
        <v>0</v>
      </c>
      <c r="R2078" s="16" t="b">
        <f>FALSE()</f>
        <v>0</v>
      </c>
      <c r="S2078" s="17" t="str">
        <f t="shared" si="32"/>
        <v>N/A</v>
      </c>
      <c r="T2078">
        <f>COUNTIF('👤 Customers'!$A:$A, B2078)</f>
        <v>1</v>
      </c>
      <c r="U2078">
        <f>COUNTIF('🚴 Riders'!A2077:A2137, C2078)</f>
        <v>0</v>
      </c>
      <c r="V2078">
        <f>COUNTIF('🏭 Facilities'!A2077:A2085, D2078)</f>
        <v>0</v>
      </c>
    </row>
    <row r="2079" spans="1:22">
      <c r="A2079" s="18" t="s">
        <v>4819</v>
      </c>
      <c r="B2079" s="18" t="s">
        <v>365</v>
      </c>
      <c r="C2079" s="18" t="s">
        <v>204</v>
      </c>
      <c r="D2079" s="18" t="s">
        <v>197</v>
      </c>
      <c r="E2079" s="26">
        <v>45587</v>
      </c>
      <c r="F2079" s="18" t="s">
        <v>4820</v>
      </c>
      <c r="G2079" s="18" t="s">
        <v>117</v>
      </c>
      <c r="H2079" s="18">
        <v>4.5</v>
      </c>
      <c r="I2079" s="18">
        <v>149</v>
      </c>
      <c r="J2079" s="18">
        <v>0</v>
      </c>
      <c r="K2079" s="18">
        <v>670.5</v>
      </c>
      <c r="L2079" s="18" t="s">
        <v>126</v>
      </c>
      <c r="M2079" s="18" t="s">
        <v>119</v>
      </c>
      <c r="N2079" s="28">
        <v>45587.990972222222</v>
      </c>
      <c r="O2079" s="28">
        <v>45588.839583333334</v>
      </c>
      <c r="P2079" s="18">
        <v>2.8</v>
      </c>
      <c r="Q2079" s="18" t="b">
        <f>FALSE()</f>
        <v>0</v>
      </c>
      <c r="R2079" s="18" t="b">
        <f>TRUE()</f>
        <v>1</v>
      </c>
      <c r="S2079" s="19">
        <f t="shared" si="32"/>
        <v>20.399999999999999</v>
      </c>
      <c r="T2079">
        <f>COUNTIF('👤 Customers'!$A:$A, B2079)</f>
        <v>1</v>
      </c>
      <c r="U2079">
        <f>COUNTIF('🚴 Riders'!A2078:A2138, C2079)</f>
        <v>0</v>
      </c>
      <c r="V2079">
        <f>COUNTIF('🏭 Facilities'!A2078:A2086, D2079)</f>
        <v>0</v>
      </c>
    </row>
    <row r="2080" spans="1:22">
      <c r="A2080" s="16" t="s">
        <v>4821</v>
      </c>
      <c r="B2080" s="16" t="s">
        <v>701</v>
      </c>
      <c r="C2080" s="16" t="s">
        <v>354</v>
      </c>
      <c r="D2080" s="16" t="s">
        <v>184</v>
      </c>
      <c r="E2080" s="25">
        <v>45179</v>
      </c>
      <c r="F2080" s="16" t="s">
        <v>4822</v>
      </c>
      <c r="G2080" s="16" t="s">
        <v>117</v>
      </c>
      <c r="H2080" s="16">
        <v>4.5</v>
      </c>
      <c r="I2080" s="16">
        <v>149</v>
      </c>
      <c r="J2080" s="16">
        <v>0</v>
      </c>
      <c r="K2080" s="16">
        <v>670.5</v>
      </c>
      <c r="L2080" s="16" t="s">
        <v>207</v>
      </c>
      <c r="M2080" s="16" t="s">
        <v>119</v>
      </c>
      <c r="N2080" s="27">
        <v>45179.230555555558</v>
      </c>
      <c r="O2080" s="27">
        <v>45180.09652777778</v>
      </c>
      <c r="P2080" s="16">
        <v>2.7</v>
      </c>
      <c r="Q2080" s="16" t="b">
        <f>FALSE()</f>
        <v>0</v>
      </c>
      <c r="R2080" s="16" t="b">
        <f>FALSE()</f>
        <v>0</v>
      </c>
      <c r="S2080" s="17">
        <f t="shared" si="32"/>
        <v>20.8</v>
      </c>
      <c r="T2080">
        <f>COUNTIF('👤 Customers'!$A:$A, B2080)</f>
        <v>1</v>
      </c>
      <c r="U2080">
        <f>COUNTIF('🚴 Riders'!A2079:A2139, C2080)</f>
        <v>0</v>
      </c>
      <c r="V2080">
        <f>COUNTIF('🏭 Facilities'!A2079:A2087, D2080)</f>
        <v>0</v>
      </c>
    </row>
    <row r="2081" spans="1:22">
      <c r="A2081" s="18" t="s">
        <v>4823</v>
      </c>
      <c r="B2081" s="18" t="s">
        <v>838</v>
      </c>
      <c r="C2081" s="18" t="s">
        <v>166</v>
      </c>
      <c r="D2081" s="18" t="s">
        <v>115</v>
      </c>
      <c r="E2081" s="26">
        <v>44941</v>
      </c>
      <c r="F2081" s="18" t="s">
        <v>4824</v>
      </c>
      <c r="G2081" s="18" t="s">
        <v>132</v>
      </c>
      <c r="H2081" s="18">
        <v>1.1000000000000001</v>
      </c>
      <c r="I2081" s="18">
        <v>399</v>
      </c>
      <c r="J2081" s="18">
        <v>20</v>
      </c>
      <c r="K2081" s="18">
        <v>351.12</v>
      </c>
      <c r="L2081" s="18" t="s">
        <v>126</v>
      </c>
      <c r="M2081" s="18" t="s">
        <v>119</v>
      </c>
      <c r="N2081" s="28">
        <v>44941.647222222222</v>
      </c>
      <c r="O2081" s="28">
        <v>44942.405555555553</v>
      </c>
      <c r="P2081" s="18">
        <v>4.5999999999999996</v>
      </c>
      <c r="Q2081" s="18" t="b">
        <f>FALSE()</f>
        <v>0</v>
      </c>
      <c r="R2081" s="18" t="b">
        <f>FALSE()</f>
        <v>0</v>
      </c>
      <c r="S2081" s="19">
        <f t="shared" si="32"/>
        <v>18.2</v>
      </c>
      <c r="T2081">
        <f>COUNTIF('👤 Customers'!$A:$A, B2081)</f>
        <v>1</v>
      </c>
      <c r="U2081">
        <f>COUNTIF('🚴 Riders'!A2080:A2140, C2081)</f>
        <v>0</v>
      </c>
      <c r="V2081">
        <f>COUNTIF('🏭 Facilities'!A2080:A2088, D2081)</f>
        <v>0</v>
      </c>
    </row>
    <row r="2082" spans="1:22">
      <c r="A2082" s="16" t="s">
        <v>4825</v>
      </c>
      <c r="B2082" s="16" t="s">
        <v>1781</v>
      </c>
      <c r="C2082" s="16" t="s">
        <v>224</v>
      </c>
      <c r="D2082" s="16" t="s">
        <v>123</v>
      </c>
      <c r="E2082" s="25">
        <v>45586</v>
      </c>
      <c r="F2082" s="16" t="s">
        <v>4826</v>
      </c>
      <c r="G2082" s="16" t="s">
        <v>117</v>
      </c>
      <c r="H2082" s="16">
        <v>6.8</v>
      </c>
      <c r="I2082" s="16">
        <v>149</v>
      </c>
      <c r="J2082" s="16">
        <v>0</v>
      </c>
      <c r="K2082" s="16">
        <v>1013.2</v>
      </c>
      <c r="L2082" s="16" t="s">
        <v>118</v>
      </c>
      <c r="M2082" s="16" t="s">
        <v>133</v>
      </c>
      <c r="N2082" s="20"/>
      <c r="O2082" s="20"/>
      <c r="P2082" s="20"/>
      <c r="Q2082" s="16" t="b">
        <f>FALSE()</f>
        <v>0</v>
      </c>
      <c r="R2082" s="16" t="b">
        <f>TRUE()</f>
        <v>1</v>
      </c>
      <c r="S2082" s="17" t="str">
        <f t="shared" si="32"/>
        <v>N/A</v>
      </c>
      <c r="T2082">
        <f>COUNTIF('👤 Customers'!$A:$A, B2082)</f>
        <v>1</v>
      </c>
      <c r="U2082">
        <f>COUNTIF('🚴 Riders'!A2081:A2141, C2082)</f>
        <v>0</v>
      </c>
      <c r="V2082">
        <f>COUNTIF('🏭 Facilities'!A2081:A2089, D2082)</f>
        <v>0</v>
      </c>
    </row>
    <row r="2083" spans="1:22">
      <c r="A2083" s="18" t="s">
        <v>4827</v>
      </c>
      <c r="B2083" s="18" t="s">
        <v>303</v>
      </c>
      <c r="C2083" s="18" t="s">
        <v>257</v>
      </c>
      <c r="D2083" s="18" t="s">
        <v>130</v>
      </c>
      <c r="E2083" s="26">
        <v>45180</v>
      </c>
      <c r="F2083" s="18" t="s">
        <v>4828</v>
      </c>
      <c r="G2083" s="18" t="s">
        <v>117</v>
      </c>
      <c r="H2083" s="18">
        <v>4.9000000000000004</v>
      </c>
      <c r="I2083" s="18">
        <v>149</v>
      </c>
      <c r="J2083" s="18">
        <v>0</v>
      </c>
      <c r="K2083" s="18">
        <v>730.1</v>
      </c>
      <c r="L2083" s="18" t="s">
        <v>139</v>
      </c>
      <c r="M2083" s="18" t="s">
        <v>119</v>
      </c>
      <c r="N2083" s="28">
        <v>45180.293055555558</v>
      </c>
      <c r="O2083" s="28">
        <v>45181.111111111109</v>
      </c>
      <c r="P2083" s="18">
        <v>5</v>
      </c>
      <c r="Q2083" s="18" t="b">
        <f>FALSE()</f>
        <v>0</v>
      </c>
      <c r="R2083" s="18" t="b">
        <f>FALSE()</f>
        <v>0</v>
      </c>
      <c r="S2083" s="19">
        <f t="shared" si="32"/>
        <v>19.600000000000001</v>
      </c>
      <c r="T2083">
        <f>COUNTIF('👤 Customers'!$A:$A, B2083)</f>
        <v>1</v>
      </c>
      <c r="U2083">
        <f>COUNTIF('🚴 Riders'!A2082:A2142, C2083)</f>
        <v>0</v>
      </c>
      <c r="V2083">
        <f>COUNTIF('🏭 Facilities'!A2082:A2090, D2083)</f>
        <v>0</v>
      </c>
    </row>
    <row r="2084" spans="1:22">
      <c r="A2084" s="16" t="s">
        <v>4829</v>
      </c>
      <c r="B2084" s="16" t="s">
        <v>439</v>
      </c>
      <c r="C2084" s="16" t="s">
        <v>228</v>
      </c>
      <c r="D2084" s="16" t="s">
        <v>197</v>
      </c>
      <c r="E2084" s="25">
        <v>45477</v>
      </c>
      <c r="F2084" s="16" t="s">
        <v>4830</v>
      </c>
      <c r="G2084" s="16" t="s">
        <v>117</v>
      </c>
      <c r="H2084" s="16">
        <v>6.3</v>
      </c>
      <c r="I2084" s="16">
        <v>149</v>
      </c>
      <c r="J2084" s="16">
        <v>0</v>
      </c>
      <c r="K2084" s="16">
        <v>938.7</v>
      </c>
      <c r="L2084" s="16" t="s">
        <v>139</v>
      </c>
      <c r="M2084" s="16" t="s">
        <v>119</v>
      </c>
      <c r="N2084" s="27">
        <v>45477.50277777778</v>
      </c>
      <c r="O2084" s="27">
        <v>45478.04583333333</v>
      </c>
      <c r="P2084" s="16">
        <v>2.5</v>
      </c>
      <c r="Q2084" s="16" t="b">
        <f>FALSE()</f>
        <v>0</v>
      </c>
      <c r="R2084" s="16" t="b">
        <f>FALSE()</f>
        <v>0</v>
      </c>
      <c r="S2084" s="17">
        <f t="shared" si="32"/>
        <v>13</v>
      </c>
      <c r="T2084">
        <f>COUNTIF('👤 Customers'!$A:$A, B2084)</f>
        <v>1</v>
      </c>
      <c r="U2084">
        <f>COUNTIF('🚴 Riders'!A2083:A2143, C2084)</f>
        <v>0</v>
      </c>
      <c r="V2084">
        <f>COUNTIF('🏭 Facilities'!A2083:A2091, D2084)</f>
        <v>0</v>
      </c>
    </row>
    <row r="2085" spans="1:22">
      <c r="A2085" s="18" t="s">
        <v>4831</v>
      </c>
      <c r="B2085" s="18" t="s">
        <v>1111</v>
      </c>
      <c r="C2085" s="18" t="s">
        <v>315</v>
      </c>
      <c r="D2085" s="18" t="s">
        <v>137</v>
      </c>
      <c r="E2085" s="26">
        <v>45204</v>
      </c>
      <c r="F2085" s="18" t="s">
        <v>4832</v>
      </c>
      <c r="G2085" s="18" t="s">
        <v>176</v>
      </c>
      <c r="H2085" s="18">
        <v>5</v>
      </c>
      <c r="I2085" s="18">
        <v>599</v>
      </c>
      <c r="J2085" s="18">
        <v>20</v>
      </c>
      <c r="K2085" s="18">
        <v>2396</v>
      </c>
      <c r="L2085" s="18" t="s">
        <v>126</v>
      </c>
      <c r="M2085" s="18" t="s">
        <v>119</v>
      </c>
      <c r="N2085" s="28">
        <v>45204.151388888888</v>
      </c>
      <c r="O2085" s="28">
        <v>45204.553472222222</v>
      </c>
      <c r="P2085" s="18">
        <v>4.4000000000000004</v>
      </c>
      <c r="Q2085" s="18" t="b">
        <f>FALSE()</f>
        <v>0</v>
      </c>
      <c r="R2085" s="18" t="b">
        <f>FALSE()</f>
        <v>0</v>
      </c>
      <c r="S2085" s="19">
        <f t="shared" si="32"/>
        <v>9.6999999999999993</v>
      </c>
      <c r="T2085">
        <f>COUNTIF('👤 Customers'!$A:$A, B2085)</f>
        <v>1</v>
      </c>
      <c r="U2085">
        <f>COUNTIF('🚴 Riders'!A2084:A2144, C2085)</f>
        <v>0</v>
      </c>
      <c r="V2085">
        <f>COUNTIF('🏭 Facilities'!A2084:A2092, D2085)</f>
        <v>0</v>
      </c>
    </row>
    <row r="2086" spans="1:22">
      <c r="A2086" s="16" t="s">
        <v>4833</v>
      </c>
      <c r="B2086" s="16" t="s">
        <v>958</v>
      </c>
      <c r="C2086" s="16" t="s">
        <v>322</v>
      </c>
      <c r="D2086" s="16" t="s">
        <v>130</v>
      </c>
      <c r="E2086" s="25">
        <v>45389</v>
      </c>
      <c r="F2086" s="16" t="s">
        <v>4834</v>
      </c>
      <c r="G2086" s="16" t="s">
        <v>145</v>
      </c>
      <c r="H2086" s="16">
        <v>1.4</v>
      </c>
      <c r="I2086" s="16">
        <v>299</v>
      </c>
      <c r="J2086" s="16">
        <v>20</v>
      </c>
      <c r="K2086" s="16">
        <v>334.88</v>
      </c>
      <c r="L2086" s="16" t="s">
        <v>126</v>
      </c>
      <c r="M2086" s="16" t="s">
        <v>119</v>
      </c>
      <c r="N2086" s="27">
        <v>45389.29791666667</v>
      </c>
      <c r="O2086" s="27">
        <v>45389.976388888892</v>
      </c>
      <c r="P2086" s="16">
        <v>4.2</v>
      </c>
      <c r="Q2086" s="16" t="b">
        <f>FALSE()</f>
        <v>0</v>
      </c>
      <c r="R2086" s="16" t="b">
        <f>FALSE()</f>
        <v>0</v>
      </c>
      <c r="S2086" s="17">
        <f t="shared" si="32"/>
        <v>16.3</v>
      </c>
      <c r="T2086">
        <f>COUNTIF('👤 Customers'!$A:$A, B2086)</f>
        <v>1</v>
      </c>
      <c r="U2086">
        <f>COUNTIF('🚴 Riders'!A2085:A2145, C2086)</f>
        <v>0</v>
      </c>
      <c r="V2086">
        <f>COUNTIF('🏭 Facilities'!A2085:A2093, D2086)</f>
        <v>0</v>
      </c>
    </row>
    <row r="2087" spans="1:22">
      <c r="A2087" s="18" t="s">
        <v>4835</v>
      </c>
      <c r="B2087" s="18" t="s">
        <v>990</v>
      </c>
      <c r="C2087" s="18" t="s">
        <v>479</v>
      </c>
      <c r="D2087" s="18" t="s">
        <v>137</v>
      </c>
      <c r="E2087" s="26">
        <v>45627</v>
      </c>
      <c r="F2087" s="18" t="s">
        <v>4836</v>
      </c>
      <c r="G2087" s="18" t="s">
        <v>125</v>
      </c>
      <c r="H2087" s="18">
        <v>6.2</v>
      </c>
      <c r="I2087" s="18">
        <v>199</v>
      </c>
      <c r="J2087" s="18">
        <v>10</v>
      </c>
      <c r="K2087" s="18">
        <v>1110.42</v>
      </c>
      <c r="L2087" s="18" t="s">
        <v>139</v>
      </c>
      <c r="M2087" s="18" t="s">
        <v>140</v>
      </c>
      <c r="N2087" s="28">
        <v>45628.138194444444</v>
      </c>
      <c r="O2087" s="28">
        <v>45628.936111111114</v>
      </c>
      <c r="P2087" s="20"/>
      <c r="Q2087" s="18" t="b">
        <f>TRUE()</f>
        <v>1</v>
      </c>
      <c r="R2087" s="18" t="b">
        <f>FALSE()</f>
        <v>0</v>
      </c>
      <c r="S2087" s="19">
        <f t="shared" si="32"/>
        <v>19.2</v>
      </c>
      <c r="T2087">
        <f>COUNTIF('👤 Customers'!$A:$A, B2087)</f>
        <v>1</v>
      </c>
      <c r="U2087">
        <f>COUNTIF('🚴 Riders'!A2086:A2146, C2087)</f>
        <v>0</v>
      </c>
      <c r="V2087">
        <f>COUNTIF('🏭 Facilities'!A2086:A2094, D2087)</f>
        <v>0</v>
      </c>
    </row>
    <row r="2088" spans="1:22">
      <c r="A2088" s="16" t="s">
        <v>4837</v>
      </c>
      <c r="B2088" s="16" t="s">
        <v>2865</v>
      </c>
      <c r="C2088" s="16" t="s">
        <v>750</v>
      </c>
      <c r="D2088" s="16" t="s">
        <v>205</v>
      </c>
      <c r="E2088" s="25">
        <v>45182</v>
      </c>
      <c r="F2088" s="16" t="s">
        <v>4838</v>
      </c>
      <c r="G2088" s="16" t="s">
        <v>145</v>
      </c>
      <c r="H2088" s="16">
        <v>7.5</v>
      </c>
      <c r="I2088" s="16">
        <v>299</v>
      </c>
      <c r="J2088" s="16">
        <v>20</v>
      </c>
      <c r="K2088" s="16">
        <v>1794</v>
      </c>
      <c r="L2088" s="16" t="s">
        <v>207</v>
      </c>
      <c r="M2088" s="16" t="s">
        <v>119</v>
      </c>
      <c r="N2088" s="27">
        <v>45182.095833333333</v>
      </c>
      <c r="O2088" s="27">
        <v>45182.957638888889</v>
      </c>
      <c r="P2088" s="16">
        <v>3.8</v>
      </c>
      <c r="Q2088" s="16" t="b">
        <f>FALSE()</f>
        <v>0</v>
      </c>
      <c r="R2088" s="16" t="b">
        <f>FALSE()</f>
        <v>0</v>
      </c>
      <c r="S2088" s="17">
        <f t="shared" si="32"/>
        <v>20.7</v>
      </c>
      <c r="T2088">
        <f>COUNTIF('👤 Customers'!$A:$A, B2088)</f>
        <v>1</v>
      </c>
      <c r="U2088">
        <f>COUNTIF('🚴 Riders'!A2087:A2147, C2088)</f>
        <v>0</v>
      </c>
      <c r="V2088">
        <f>COUNTIF('🏭 Facilities'!A2087:A2095, D2088)</f>
        <v>0</v>
      </c>
    </row>
    <row r="2089" spans="1:22">
      <c r="A2089" s="18" t="s">
        <v>4839</v>
      </c>
      <c r="B2089" s="18" t="s">
        <v>1713</v>
      </c>
      <c r="C2089" s="18" t="s">
        <v>483</v>
      </c>
      <c r="D2089" s="18" t="s">
        <v>115</v>
      </c>
      <c r="E2089" s="26">
        <v>45362</v>
      </c>
      <c r="F2089" s="18" t="s">
        <v>4840</v>
      </c>
      <c r="G2089" s="18" t="s">
        <v>176</v>
      </c>
      <c r="H2089" s="18">
        <v>4.5999999999999996</v>
      </c>
      <c r="I2089" s="18">
        <v>599</v>
      </c>
      <c r="J2089" s="18">
        <v>0</v>
      </c>
      <c r="K2089" s="18">
        <v>2755.4</v>
      </c>
      <c r="L2089" s="18" t="s">
        <v>139</v>
      </c>
      <c r="M2089" s="18" t="s">
        <v>119</v>
      </c>
      <c r="N2089" s="28">
        <v>45362.702777777777</v>
      </c>
      <c r="O2089" s="28">
        <v>45363.634722222225</v>
      </c>
      <c r="P2089" s="18">
        <v>4.2</v>
      </c>
      <c r="Q2089" s="18" t="b">
        <f>TRUE()</f>
        <v>1</v>
      </c>
      <c r="R2089" s="18" t="b">
        <f>FALSE()</f>
        <v>0</v>
      </c>
      <c r="S2089" s="19">
        <f t="shared" si="32"/>
        <v>22.4</v>
      </c>
      <c r="T2089">
        <f>COUNTIF('👤 Customers'!$A:$A, B2089)</f>
        <v>1</v>
      </c>
      <c r="U2089">
        <f>COUNTIF('🚴 Riders'!A2088:A2148, C2089)</f>
        <v>0</v>
      </c>
      <c r="V2089">
        <f>COUNTIF('🏭 Facilities'!A2088:A2096, D2089)</f>
        <v>0</v>
      </c>
    </row>
    <row r="2090" spans="1:22">
      <c r="A2090" s="16" t="s">
        <v>4841</v>
      </c>
      <c r="B2090" s="16" t="s">
        <v>2096</v>
      </c>
      <c r="C2090" s="16" t="s">
        <v>272</v>
      </c>
      <c r="D2090" s="16" t="s">
        <v>123</v>
      </c>
      <c r="E2090" s="25">
        <v>45368</v>
      </c>
      <c r="F2090" s="16" t="s">
        <v>4842</v>
      </c>
      <c r="G2090" s="16" t="s">
        <v>125</v>
      </c>
      <c r="H2090" s="16">
        <v>5.5</v>
      </c>
      <c r="I2090" s="16">
        <v>199</v>
      </c>
      <c r="J2090" s="16">
        <v>0</v>
      </c>
      <c r="K2090" s="16">
        <v>1094.5</v>
      </c>
      <c r="L2090" s="16" t="s">
        <v>118</v>
      </c>
      <c r="M2090" s="16" t="s">
        <v>119</v>
      </c>
      <c r="N2090" s="27">
        <v>45368.652083333334</v>
      </c>
      <c r="O2090" s="27">
        <v>45369.486805555556</v>
      </c>
      <c r="P2090" s="16">
        <v>3.3</v>
      </c>
      <c r="Q2090" s="16" t="b">
        <f>FALSE()</f>
        <v>0</v>
      </c>
      <c r="R2090" s="16" t="b">
        <f>FALSE()</f>
        <v>0</v>
      </c>
      <c r="S2090" s="17">
        <f t="shared" si="32"/>
        <v>20</v>
      </c>
      <c r="T2090">
        <f>COUNTIF('👤 Customers'!$A:$A, B2090)</f>
        <v>1</v>
      </c>
      <c r="U2090">
        <f>COUNTIF('🚴 Riders'!A2089:A2149, C2090)</f>
        <v>0</v>
      </c>
      <c r="V2090">
        <f>COUNTIF('🏭 Facilities'!A2089:A2097, D2090)</f>
        <v>0</v>
      </c>
    </row>
    <row r="2091" spans="1:22">
      <c r="A2091" s="18" t="s">
        <v>4843</v>
      </c>
      <c r="B2091" s="18" t="s">
        <v>1540</v>
      </c>
      <c r="C2091" s="18" t="s">
        <v>247</v>
      </c>
      <c r="D2091" s="18" t="s">
        <v>137</v>
      </c>
      <c r="E2091" s="26">
        <v>45123</v>
      </c>
      <c r="F2091" s="18" t="s">
        <v>4844</v>
      </c>
      <c r="G2091" s="18" t="s">
        <v>117</v>
      </c>
      <c r="H2091" s="18">
        <v>2.9</v>
      </c>
      <c r="I2091" s="18">
        <v>149</v>
      </c>
      <c r="J2091" s="18">
        <v>20</v>
      </c>
      <c r="K2091" s="18">
        <v>345.68</v>
      </c>
      <c r="L2091" s="18" t="s">
        <v>139</v>
      </c>
      <c r="M2091" s="18" t="s">
        <v>119</v>
      </c>
      <c r="N2091" s="28">
        <v>45123.326388888891</v>
      </c>
      <c r="O2091" s="28">
        <v>45124.122916666667</v>
      </c>
      <c r="P2091" s="18">
        <v>4.0999999999999996</v>
      </c>
      <c r="Q2091" s="18" t="b">
        <f>FALSE()</f>
        <v>0</v>
      </c>
      <c r="R2091" s="18" t="b">
        <f>FALSE()</f>
        <v>0</v>
      </c>
      <c r="S2091" s="19">
        <f t="shared" si="32"/>
        <v>19.100000000000001</v>
      </c>
      <c r="T2091">
        <f>COUNTIF('👤 Customers'!$A:$A, B2091)</f>
        <v>1</v>
      </c>
      <c r="U2091">
        <f>COUNTIF('🚴 Riders'!A2090:A2150, C2091)</f>
        <v>0</v>
      </c>
      <c r="V2091">
        <f>COUNTIF('🏭 Facilities'!A2090:A2098, D2091)</f>
        <v>0</v>
      </c>
    </row>
    <row r="2092" spans="1:22">
      <c r="A2092" s="16" t="s">
        <v>4845</v>
      </c>
      <c r="B2092" s="16" t="s">
        <v>574</v>
      </c>
      <c r="C2092" s="16" t="s">
        <v>343</v>
      </c>
      <c r="D2092" s="16" t="s">
        <v>130</v>
      </c>
      <c r="E2092" s="25">
        <v>45107</v>
      </c>
      <c r="F2092" s="16" t="s">
        <v>4846</v>
      </c>
      <c r="G2092" s="16" t="s">
        <v>117</v>
      </c>
      <c r="H2092" s="16">
        <v>6.4</v>
      </c>
      <c r="I2092" s="16">
        <v>149</v>
      </c>
      <c r="J2092" s="16">
        <v>20</v>
      </c>
      <c r="K2092" s="16">
        <v>762.88</v>
      </c>
      <c r="L2092" s="16" t="s">
        <v>118</v>
      </c>
      <c r="M2092" s="16" t="s">
        <v>133</v>
      </c>
      <c r="N2092" s="20"/>
      <c r="O2092" s="20"/>
      <c r="P2092" s="20"/>
      <c r="Q2092" s="16" t="b">
        <f>FALSE()</f>
        <v>0</v>
      </c>
      <c r="R2092" s="16" t="b">
        <f>FALSE()</f>
        <v>0</v>
      </c>
      <c r="S2092" s="17" t="str">
        <f t="shared" si="32"/>
        <v>N/A</v>
      </c>
      <c r="T2092">
        <f>COUNTIF('👤 Customers'!$A:$A, B2092)</f>
        <v>1</v>
      </c>
      <c r="U2092">
        <f>COUNTIF('🚴 Riders'!A2091:A2151, C2092)</f>
        <v>0</v>
      </c>
      <c r="V2092">
        <f>COUNTIF('🏭 Facilities'!A2091:A2099, D2092)</f>
        <v>0</v>
      </c>
    </row>
    <row r="2093" spans="1:22">
      <c r="A2093" s="18" t="s">
        <v>4847</v>
      </c>
      <c r="B2093" s="18" t="s">
        <v>1682</v>
      </c>
      <c r="C2093" s="18" t="s">
        <v>287</v>
      </c>
      <c r="D2093" s="18" t="s">
        <v>158</v>
      </c>
      <c r="E2093" s="26">
        <v>45089</v>
      </c>
      <c r="F2093" s="18" t="s">
        <v>4848</v>
      </c>
      <c r="G2093" s="18" t="s">
        <v>176</v>
      </c>
      <c r="H2093" s="18">
        <v>4.5999999999999996</v>
      </c>
      <c r="I2093" s="18">
        <v>599</v>
      </c>
      <c r="J2093" s="18">
        <v>30</v>
      </c>
      <c r="K2093" s="18">
        <v>1928.78</v>
      </c>
      <c r="L2093" s="18" t="s">
        <v>118</v>
      </c>
      <c r="M2093" s="18" t="s">
        <v>140</v>
      </c>
      <c r="N2093" s="28">
        <v>45089.690972222219</v>
      </c>
      <c r="O2093" s="28">
        <v>45090.412499999999</v>
      </c>
      <c r="P2093" s="20"/>
      <c r="Q2093" s="18" t="b">
        <f>FALSE()</f>
        <v>0</v>
      </c>
      <c r="R2093" s="18" t="b">
        <f>FALSE()</f>
        <v>0</v>
      </c>
      <c r="S2093" s="19">
        <f t="shared" si="32"/>
        <v>17.3</v>
      </c>
      <c r="T2093">
        <f>COUNTIF('👤 Customers'!$A:$A, B2093)</f>
        <v>1</v>
      </c>
      <c r="U2093">
        <f>COUNTIF('🚴 Riders'!A2092:A2152, C2093)</f>
        <v>0</v>
      </c>
      <c r="V2093">
        <f>COUNTIF('🏭 Facilities'!A2092:A2100, D2093)</f>
        <v>0</v>
      </c>
    </row>
    <row r="2094" spans="1:22">
      <c r="A2094" s="16" t="s">
        <v>4849</v>
      </c>
      <c r="B2094" s="16" t="s">
        <v>2727</v>
      </c>
      <c r="C2094" s="16" t="s">
        <v>750</v>
      </c>
      <c r="D2094" s="16" t="s">
        <v>123</v>
      </c>
      <c r="E2094" s="25">
        <v>45321</v>
      </c>
      <c r="F2094" s="16" t="s">
        <v>4850</v>
      </c>
      <c r="G2094" s="16" t="s">
        <v>132</v>
      </c>
      <c r="H2094" s="16">
        <v>7.5</v>
      </c>
      <c r="I2094" s="16">
        <v>399</v>
      </c>
      <c r="J2094" s="16">
        <v>0</v>
      </c>
      <c r="K2094" s="16">
        <v>2992.5</v>
      </c>
      <c r="L2094" s="16" t="s">
        <v>207</v>
      </c>
      <c r="M2094" s="16" t="s">
        <v>119</v>
      </c>
      <c r="N2094" s="27">
        <v>45321.213888888888</v>
      </c>
      <c r="O2094" s="27">
        <v>45322.109722222223</v>
      </c>
      <c r="P2094" s="16">
        <v>5</v>
      </c>
      <c r="Q2094" s="16" t="b">
        <f>FALSE()</f>
        <v>0</v>
      </c>
      <c r="R2094" s="16" t="b">
        <f>FALSE()</f>
        <v>0</v>
      </c>
      <c r="S2094" s="17">
        <f t="shared" si="32"/>
        <v>21.5</v>
      </c>
      <c r="T2094">
        <f>COUNTIF('👤 Customers'!$A:$A, B2094)</f>
        <v>1</v>
      </c>
      <c r="U2094">
        <f>COUNTIF('🚴 Riders'!A2093:A2153, C2094)</f>
        <v>0</v>
      </c>
      <c r="V2094">
        <f>COUNTIF('🏭 Facilities'!A2093:A2101, D2094)</f>
        <v>0</v>
      </c>
    </row>
    <row r="2095" spans="1:22">
      <c r="A2095" s="18" t="s">
        <v>4851</v>
      </c>
      <c r="B2095" s="18" t="s">
        <v>1155</v>
      </c>
      <c r="C2095" s="18" t="s">
        <v>188</v>
      </c>
      <c r="D2095" s="18" t="s">
        <v>197</v>
      </c>
      <c r="E2095" s="26">
        <v>45465</v>
      </c>
      <c r="F2095" s="18" t="s">
        <v>4852</v>
      </c>
      <c r="G2095" s="18" t="s">
        <v>132</v>
      </c>
      <c r="H2095" s="18">
        <v>1.4</v>
      </c>
      <c r="I2095" s="18">
        <v>399</v>
      </c>
      <c r="J2095" s="18">
        <v>0</v>
      </c>
      <c r="K2095" s="18">
        <v>558.6</v>
      </c>
      <c r="L2095" s="18" t="s">
        <v>207</v>
      </c>
      <c r="M2095" s="18" t="s">
        <v>140</v>
      </c>
      <c r="N2095" s="28">
        <v>45465.632638888892</v>
      </c>
      <c r="O2095" s="28">
        <v>45466.478472222225</v>
      </c>
      <c r="P2095" s="20"/>
      <c r="Q2095" s="18" t="b">
        <f>FALSE()</f>
        <v>0</v>
      </c>
      <c r="R2095" s="18" t="b">
        <f>TRUE()</f>
        <v>1</v>
      </c>
      <c r="S2095" s="19">
        <f t="shared" si="32"/>
        <v>20.3</v>
      </c>
      <c r="T2095">
        <f>COUNTIF('👤 Customers'!$A:$A, B2095)</f>
        <v>1</v>
      </c>
      <c r="U2095">
        <f>COUNTIF('🚴 Riders'!A2094:A2154, C2095)</f>
        <v>0</v>
      </c>
      <c r="V2095">
        <f>COUNTIF('🏭 Facilities'!A2094:A2102, D2095)</f>
        <v>0</v>
      </c>
    </row>
    <row r="2096" spans="1:22">
      <c r="A2096" s="16" t="s">
        <v>4853</v>
      </c>
      <c r="B2096" s="16" t="s">
        <v>271</v>
      </c>
      <c r="C2096" s="16" t="s">
        <v>431</v>
      </c>
      <c r="D2096" s="16" t="s">
        <v>205</v>
      </c>
      <c r="E2096" s="25">
        <v>45413</v>
      </c>
      <c r="F2096" s="16" t="s">
        <v>4854</v>
      </c>
      <c r="G2096" s="16" t="s">
        <v>125</v>
      </c>
      <c r="H2096" s="16">
        <v>4.4000000000000004</v>
      </c>
      <c r="I2096" s="16">
        <v>199</v>
      </c>
      <c r="J2096" s="16">
        <v>0</v>
      </c>
      <c r="K2096" s="16">
        <v>875.6</v>
      </c>
      <c r="L2096" s="16" t="s">
        <v>118</v>
      </c>
      <c r="M2096" s="16" t="s">
        <v>119</v>
      </c>
      <c r="N2096" s="27">
        <v>45413.65902777778</v>
      </c>
      <c r="O2096" s="27">
        <v>45414.078472222223</v>
      </c>
      <c r="P2096" s="16">
        <v>2.5</v>
      </c>
      <c r="Q2096" s="16" t="b">
        <f>FALSE()</f>
        <v>0</v>
      </c>
      <c r="R2096" s="16" t="b">
        <f>FALSE()</f>
        <v>0</v>
      </c>
      <c r="S2096" s="17">
        <f t="shared" si="32"/>
        <v>10.1</v>
      </c>
      <c r="T2096">
        <f>COUNTIF('👤 Customers'!$A:$A, B2096)</f>
        <v>1</v>
      </c>
      <c r="U2096">
        <f>COUNTIF('🚴 Riders'!A2095:A2155, C2096)</f>
        <v>0</v>
      </c>
      <c r="V2096">
        <f>COUNTIF('🏭 Facilities'!A2095:A2103, D2096)</f>
        <v>0</v>
      </c>
    </row>
    <row r="2097" spans="1:22">
      <c r="A2097" s="18" t="s">
        <v>4855</v>
      </c>
      <c r="B2097" s="18" t="s">
        <v>1578</v>
      </c>
      <c r="C2097" s="18" t="s">
        <v>196</v>
      </c>
      <c r="D2097" s="18" t="s">
        <v>137</v>
      </c>
      <c r="E2097" s="26">
        <v>45383</v>
      </c>
      <c r="F2097" s="18" t="s">
        <v>4856</v>
      </c>
      <c r="G2097" s="18" t="s">
        <v>176</v>
      </c>
      <c r="H2097" s="18">
        <v>3.4</v>
      </c>
      <c r="I2097" s="18">
        <v>599</v>
      </c>
      <c r="J2097" s="18">
        <v>30</v>
      </c>
      <c r="K2097" s="18">
        <v>1425.62</v>
      </c>
      <c r="L2097" s="18" t="s">
        <v>139</v>
      </c>
      <c r="M2097" s="18" t="s">
        <v>119</v>
      </c>
      <c r="N2097" s="28">
        <v>45383.731249999997</v>
      </c>
      <c r="O2097" s="28">
        <v>45384.070833333331</v>
      </c>
      <c r="P2097" s="18">
        <v>3.3</v>
      </c>
      <c r="Q2097" s="18" t="b">
        <f>FALSE()</f>
        <v>0</v>
      </c>
      <c r="R2097" s="18" t="b">
        <f>FALSE()</f>
        <v>0</v>
      </c>
      <c r="S2097" s="19">
        <f t="shared" si="32"/>
        <v>8.1999999999999993</v>
      </c>
      <c r="T2097">
        <f>COUNTIF('👤 Customers'!$A:$A, B2097)</f>
        <v>1</v>
      </c>
      <c r="U2097">
        <f>COUNTIF('🚴 Riders'!A2096:A2156, C2097)</f>
        <v>0</v>
      </c>
      <c r="V2097">
        <f>COUNTIF('🏭 Facilities'!A2096:A2104, D2097)</f>
        <v>0</v>
      </c>
    </row>
    <row r="2098" spans="1:22">
      <c r="A2098" s="16" t="s">
        <v>4857</v>
      </c>
      <c r="B2098" s="16" t="s">
        <v>1361</v>
      </c>
      <c r="C2098" s="16" t="s">
        <v>179</v>
      </c>
      <c r="D2098" s="16" t="s">
        <v>130</v>
      </c>
      <c r="E2098" s="25">
        <v>45466</v>
      </c>
      <c r="F2098" s="16" t="s">
        <v>4858</v>
      </c>
      <c r="G2098" s="16" t="s">
        <v>117</v>
      </c>
      <c r="H2098" s="16">
        <v>6.7</v>
      </c>
      <c r="I2098" s="16">
        <v>149</v>
      </c>
      <c r="J2098" s="16">
        <v>0</v>
      </c>
      <c r="K2098" s="16">
        <v>998.3</v>
      </c>
      <c r="L2098" s="16" t="s">
        <v>118</v>
      </c>
      <c r="M2098" s="16" t="s">
        <v>119</v>
      </c>
      <c r="N2098" s="27">
        <v>45466.365277777775</v>
      </c>
      <c r="O2098" s="27">
        <v>45467.106944444444</v>
      </c>
      <c r="P2098" s="16">
        <v>3.7</v>
      </c>
      <c r="Q2098" s="16" t="b">
        <f>TRUE()</f>
        <v>1</v>
      </c>
      <c r="R2098" s="16" t="b">
        <f>FALSE()</f>
        <v>0</v>
      </c>
      <c r="S2098" s="17">
        <f t="shared" si="32"/>
        <v>17.8</v>
      </c>
      <c r="T2098">
        <f>COUNTIF('👤 Customers'!$A:$A, B2098)</f>
        <v>1</v>
      </c>
      <c r="U2098">
        <f>COUNTIF('🚴 Riders'!A2097:A2157, C2098)</f>
        <v>0</v>
      </c>
      <c r="V2098">
        <f>COUNTIF('🏭 Facilities'!A2097:A2105, D2098)</f>
        <v>0</v>
      </c>
    </row>
    <row r="2099" spans="1:22">
      <c r="A2099" s="18" t="s">
        <v>4859</v>
      </c>
      <c r="B2099" s="18" t="s">
        <v>1011</v>
      </c>
      <c r="C2099" s="18" t="s">
        <v>170</v>
      </c>
      <c r="D2099" s="18" t="s">
        <v>137</v>
      </c>
      <c r="E2099" s="26">
        <v>45402</v>
      </c>
      <c r="F2099" s="18" t="s">
        <v>4860</v>
      </c>
      <c r="G2099" s="18" t="s">
        <v>117</v>
      </c>
      <c r="H2099" s="18">
        <v>7.2</v>
      </c>
      <c r="I2099" s="18">
        <v>149</v>
      </c>
      <c r="J2099" s="18">
        <v>0</v>
      </c>
      <c r="K2099" s="18">
        <v>1072.8</v>
      </c>
      <c r="L2099" s="18" t="s">
        <v>126</v>
      </c>
      <c r="M2099" s="18" t="s">
        <v>140</v>
      </c>
      <c r="N2099" s="28">
        <v>45402.717361111114</v>
      </c>
      <c r="O2099" s="28">
        <v>45403.343055555553</v>
      </c>
      <c r="P2099" s="20"/>
      <c r="Q2099" s="18" t="b">
        <f>TRUE()</f>
        <v>1</v>
      </c>
      <c r="R2099" s="18" t="b">
        <f>TRUE()</f>
        <v>1</v>
      </c>
      <c r="S2099" s="19">
        <f t="shared" si="32"/>
        <v>15</v>
      </c>
      <c r="T2099">
        <f>COUNTIF('👤 Customers'!$A:$A, B2099)</f>
        <v>1</v>
      </c>
      <c r="U2099">
        <f>COUNTIF('🚴 Riders'!A2098:A2158, C2099)</f>
        <v>0</v>
      </c>
      <c r="V2099">
        <f>COUNTIF('🏭 Facilities'!A2098:A2106, D2099)</f>
        <v>0</v>
      </c>
    </row>
    <row r="2100" spans="1:22">
      <c r="A2100" s="16" t="s">
        <v>4861</v>
      </c>
      <c r="B2100" s="16" t="s">
        <v>2446</v>
      </c>
      <c r="C2100" s="16" t="s">
        <v>213</v>
      </c>
      <c r="D2100" s="16" t="s">
        <v>158</v>
      </c>
      <c r="E2100" s="25">
        <v>45122</v>
      </c>
      <c r="F2100" s="16" t="s">
        <v>4862</v>
      </c>
      <c r="G2100" s="16" t="s">
        <v>125</v>
      </c>
      <c r="H2100" s="16">
        <v>2.4</v>
      </c>
      <c r="I2100" s="16">
        <v>199</v>
      </c>
      <c r="J2100" s="16">
        <v>30</v>
      </c>
      <c r="K2100" s="16">
        <v>334.32</v>
      </c>
      <c r="L2100" s="16" t="s">
        <v>126</v>
      </c>
      <c r="M2100" s="16" t="s">
        <v>119</v>
      </c>
      <c r="N2100" s="27">
        <v>45122.484722222223</v>
      </c>
      <c r="O2100" s="27">
        <v>45123.418055555558</v>
      </c>
      <c r="P2100" s="16">
        <v>4.4000000000000004</v>
      </c>
      <c r="Q2100" s="16" t="b">
        <f>TRUE()</f>
        <v>1</v>
      </c>
      <c r="R2100" s="16" t="b">
        <f>FALSE()</f>
        <v>0</v>
      </c>
      <c r="S2100" s="17">
        <f t="shared" si="32"/>
        <v>22.4</v>
      </c>
      <c r="T2100">
        <f>COUNTIF('👤 Customers'!$A:$A, B2100)</f>
        <v>1</v>
      </c>
      <c r="U2100">
        <f>COUNTIF('🚴 Riders'!A2099:A2159, C2100)</f>
        <v>0</v>
      </c>
      <c r="V2100">
        <f>COUNTIF('🏭 Facilities'!A2099:A2107, D2100)</f>
        <v>0</v>
      </c>
    </row>
    <row r="2101" spans="1:22">
      <c r="A2101" s="18" t="s">
        <v>4863</v>
      </c>
      <c r="B2101" s="18" t="s">
        <v>562</v>
      </c>
      <c r="C2101" s="18" t="s">
        <v>114</v>
      </c>
      <c r="D2101" s="18" t="s">
        <v>184</v>
      </c>
      <c r="E2101" s="26">
        <v>45647</v>
      </c>
      <c r="F2101" s="18" t="s">
        <v>4864</v>
      </c>
      <c r="G2101" s="18" t="s">
        <v>176</v>
      </c>
      <c r="H2101" s="18">
        <v>1.7</v>
      </c>
      <c r="I2101" s="18">
        <v>599</v>
      </c>
      <c r="J2101" s="18">
        <v>10</v>
      </c>
      <c r="K2101" s="18">
        <v>916.47</v>
      </c>
      <c r="L2101" s="18" t="s">
        <v>139</v>
      </c>
      <c r="M2101" s="18" t="s">
        <v>119</v>
      </c>
      <c r="N2101" s="28">
        <v>45647.274305555555</v>
      </c>
      <c r="O2101" s="28">
        <v>45648.134027777778</v>
      </c>
      <c r="P2101" s="18">
        <v>4.3</v>
      </c>
      <c r="Q2101" s="18" t="b">
        <f>TRUE()</f>
        <v>1</v>
      </c>
      <c r="R2101" s="18" t="b">
        <f>TRUE()</f>
        <v>1</v>
      </c>
      <c r="S2101" s="19">
        <f t="shared" si="32"/>
        <v>20.6</v>
      </c>
      <c r="T2101">
        <f>COUNTIF('👤 Customers'!$A:$A, B2101)</f>
        <v>1</v>
      </c>
      <c r="U2101">
        <f>COUNTIF('🚴 Riders'!A2100:A2160, C2101)</f>
        <v>0</v>
      </c>
      <c r="V2101">
        <f>COUNTIF('🏭 Facilities'!A2100:A2108, D2101)</f>
        <v>0</v>
      </c>
    </row>
    <row r="2102" spans="1:22">
      <c r="A2102" s="16" t="s">
        <v>4865</v>
      </c>
      <c r="B2102" s="16" t="s">
        <v>1081</v>
      </c>
      <c r="C2102" s="16" t="s">
        <v>413</v>
      </c>
      <c r="D2102" s="16" t="s">
        <v>158</v>
      </c>
      <c r="E2102" s="25">
        <v>45602</v>
      </c>
      <c r="F2102" s="16" t="s">
        <v>4866</v>
      </c>
      <c r="G2102" s="16" t="s">
        <v>132</v>
      </c>
      <c r="H2102" s="16">
        <v>7.3</v>
      </c>
      <c r="I2102" s="16">
        <v>399</v>
      </c>
      <c r="J2102" s="16">
        <v>0</v>
      </c>
      <c r="K2102" s="16">
        <v>2912.7</v>
      </c>
      <c r="L2102" s="16" t="s">
        <v>146</v>
      </c>
      <c r="M2102" s="16" t="s">
        <v>119</v>
      </c>
      <c r="N2102" s="27">
        <v>45602.324305555558</v>
      </c>
      <c r="O2102" s="27">
        <v>45603.120833333334</v>
      </c>
      <c r="P2102" s="16">
        <v>4.2</v>
      </c>
      <c r="Q2102" s="16" t="b">
        <f>FALSE()</f>
        <v>0</v>
      </c>
      <c r="R2102" s="16" t="b">
        <f>TRUE()</f>
        <v>1</v>
      </c>
      <c r="S2102" s="17">
        <f t="shared" si="32"/>
        <v>19.100000000000001</v>
      </c>
      <c r="T2102">
        <f>COUNTIF('👤 Customers'!$A:$A, B2102)</f>
        <v>1</v>
      </c>
      <c r="U2102">
        <f>COUNTIF('🚴 Riders'!A2101:A2161, C2102)</f>
        <v>0</v>
      </c>
      <c r="V2102">
        <f>COUNTIF('🏭 Facilities'!A2101:A2109, D2102)</f>
        <v>0</v>
      </c>
    </row>
    <row r="2103" spans="1:22">
      <c r="A2103" s="18" t="s">
        <v>4867</v>
      </c>
      <c r="B2103" s="18" t="s">
        <v>1724</v>
      </c>
      <c r="C2103" s="18" t="s">
        <v>166</v>
      </c>
      <c r="D2103" s="18" t="s">
        <v>205</v>
      </c>
      <c r="E2103" s="26">
        <v>45126</v>
      </c>
      <c r="F2103" s="18" t="s">
        <v>4868</v>
      </c>
      <c r="G2103" s="18" t="s">
        <v>117</v>
      </c>
      <c r="H2103" s="18">
        <v>3.6</v>
      </c>
      <c r="I2103" s="18">
        <v>149</v>
      </c>
      <c r="J2103" s="18">
        <v>20</v>
      </c>
      <c r="K2103" s="18">
        <v>429.12</v>
      </c>
      <c r="L2103" s="18" t="s">
        <v>139</v>
      </c>
      <c r="M2103" s="18" t="s">
        <v>119</v>
      </c>
      <c r="N2103" s="28">
        <v>45126.466666666667</v>
      </c>
      <c r="O2103" s="28">
        <v>45126.877083333333</v>
      </c>
      <c r="P2103" s="18">
        <v>2.5</v>
      </c>
      <c r="Q2103" s="18" t="b">
        <f>FALSE()</f>
        <v>0</v>
      </c>
      <c r="R2103" s="18" t="b">
        <f>FALSE()</f>
        <v>0</v>
      </c>
      <c r="S2103" s="19">
        <f t="shared" si="32"/>
        <v>9.8000000000000007</v>
      </c>
      <c r="T2103">
        <f>COUNTIF('👤 Customers'!$A:$A, B2103)</f>
        <v>1</v>
      </c>
      <c r="U2103">
        <f>COUNTIF('🚴 Riders'!A2102:A2162, C2103)</f>
        <v>0</v>
      </c>
      <c r="V2103">
        <f>COUNTIF('🏭 Facilities'!A2102:A2110, D2103)</f>
        <v>0</v>
      </c>
    </row>
    <row r="2104" spans="1:22">
      <c r="A2104" s="16" t="s">
        <v>4869</v>
      </c>
      <c r="B2104" s="16" t="s">
        <v>990</v>
      </c>
      <c r="C2104" s="16" t="s">
        <v>283</v>
      </c>
      <c r="D2104" s="16" t="s">
        <v>184</v>
      </c>
      <c r="E2104" s="25">
        <v>45397</v>
      </c>
      <c r="F2104" s="16" t="s">
        <v>4870</v>
      </c>
      <c r="G2104" s="16" t="s">
        <v>117</v>
      </c>
      <c r="H2104" s="16">
        <v>7.5</v>
      </c>
      <c r="I2104" s="16">
        <v>149</v>
      </c>
      <c r="J2104" s="16">
        <v>0</v>
      </c>
      <c r="K2104" s="16">
        <v>1117.5</v>
      </c>
      <c r="L2104" s="16" t="s">
        <v>118</v>
      </c>
      <c r="M2104" s="16" t="s">
        <v>140</v>
      </c>
      <c r="N2104" s="27">
        <v>45397.513194444444</v>
      </c>
      <c r="O2104" s="27">
        <v>45398.194444444445</v>
      </c>
      <c r="P2104" s="20"/>
      <c r="Q2104" s="16" t="b">
        <f>FALSE()</f>
        <v>0</v>
      </c>
      <c r="R2104" s="16" t="b">
        <f>FALSE()</f>
        <v>0</v>
      </c>
      <c r="S2104" s="17">
        <f t="shared" si="32"/>
        <v>16.399999999999999</v>
      </c>
      <c r="T2104">
        <f>COUNTIF('👤 Customers'!$A:$A, B2104)</f>
        <v>1</v>
      </c>
      <c r="U2104">
        <f>COUNTIF('🚴 Riders'!A2103:A2163, C2104)</f>
        <v>0</v>
      </c>
      <c r="V2104">
        <f>COUNTIF('🏭 Facilities'!A2103:A2111, D2104)</f>
        <v>0</v>
      </c>
    </row>
    <row r="2105" spans="1:22">
      <c r="A2105" s="18" t="s">
        <v>4871</v>
      </c>
      <c r="B2105" s="18" t="s">
        <v>1802</v>
      </c>
      <c r="C2105" s="18" t="s">
        <v>563</v>
      </c>
      <c r="D2105" s="18" t="s">
        <v>137</v>
      </c>
      <c r="E2105" s="26">
        <v>44949</v>
      </c>
      <c r="F2105" s="18" t="s">
        <v>4872</v>
      </c>
      <c r="G2105" s="18" t="s">
        <v>176</v>
      </c>
      <c r="H2105" s="18">
        <v>2.2000000000000002</v>
      </c>
      <c r="I2105" s="18">
        <v>599</v>
      </c>
      <c r="J2105" s="18">
        <v>10</v>
      </c>
      <c r="K2105" s="18">
        <v>1186.02</v>
      </c>
      <c r="L2105" s="18" t="s">
        <v>139</v>
      </c>
      <c r="M2105" s="18" t="s">
        <v>119</v>
      </c>
      <c r="N2105" s="28">
        <v>44949.78402777778</v>
      </c>
      <c r="O2105" s="28">
        <v>44950.413194444445</v>
      </c>
      <c r="P2105" s="18">
        <v>4.7</v>
      </c>
      <c r="Q2105" s="18" t="b">
        <f>FALSE()</f>
        <v>0</v>
      </c>
      <c r="R2105" s="18" t="b">
        <f>TRUE()</f>
        <v>1</v>
      </c>
      <c r="S2105" s="19">
        <f t="shared" si="32"/>
        <v>15.1</v>
      </c>
      <c r="T2105">
        <f>COUNTIF('👤 Customers'!$A:$A, B2105)</f>
        <v>1</v>
      </c>
      <c r="U2105">
        <f>COUNTIF('🚴 Riders'!A2104:A2164, C2105)</f>
        <v>0</v>
      </c>
      <c r="V2105">
        <f>COUNTIF('🏭 Facilities'!A2104:A2112, D2105)</f>
        <v>0</v>
      </c>
    </row>
    <row r="2106" spans="1:22">
      <c r="A2106" s="16" t="s">
        <v>4873</v>
      </c>
      <c r="B2106" s="16" t="s">
        <v>1477</v>
      </c>
      <c r="C2106" s="16" t="s">
        <v>204</v>
      </c>
      <c r="D2106" s="16" t="s">
        <v>184</v>
      </c>
      <c r="E2106" s="25">
        <v>45459</v>
      </c>
      <c r="F2106" s="16" t="s">
        <v>4874</v>
      </c>
      <c r="G2106" s="16" t="s">
        <v>132</v>
      </c>
      <c r="H2106" s="16">
        <v>2</v>
      </c>
      <c r="I2106" s="16">
        <v>399</v>
      </c>
      <c r="J2106" s="16">
        <v>0</v>
      </c>
      <c r="K2106" s="16">
        <v>798</v>
      </c>
      <c r="L2106" s="16" t="s">
        <v>139</v>
      </c>
      <c r="M2106" s="16" t="s">
        <v>119</v>
      </c>
      <c r="N2106" s="27">
        <v>45459.720138888886</v>
      </c>
      <c r="O2106" s="27">
        <v>45460.552777777775</v>
      </c>
      <c r="P2106" s="16">
        <v>4.0999999999999996</v>
      </c>
      <c r="Q2106" s="16" t="b">
        <f>FALSE()</f>
        <v>0</v>
      </c>
      <c r="R2106" s="16" t="b">
        <f>TRUE()</f>
        <v>1</v>
      </c>
      <c r="S2106" s="17">
        <f t="shared" si="32"/>
        <v>20</v>
      </c>
      <c r="T2106">
        <f>COUNTIF('👤 Customers'!$A:$A, B2106)</f>
        <v>1</v>
      </c>
      <c r="U2106">
        <f>COUNTIF('🚴 Riders'!A2105:A2165, C2106)</f>
        <v>0</v>
      </c>
      <c r="V2106">
        <f>COUNTIF('🏭 Facilities'!A2105:A2113, D2106)</f>
        <v>0</v>
      </c>
    </row>
    <row r="2107" spans="1:22">
      <c r="A2107" s="18" t="s">
        <v>4875</v>
      </c>
      <c r="B2107" s="18" t="s">
        <v>525</v>
      </c>
      <c r="C2107" s="18" t="s">
        <v>261</v>
      </c>
      <c r="D2107" s="18" t="s">
        <v>184</v>
      </c>
      <c r="E2107" s="26">
        <v>45487</v>
      </c>
      <c r="F2107" s="18" t="s">
        <v>4876</v>
      </c>
      <c r="G2107" s="18" t="s">
        <v>125</v>
      </c>
      <c r="H2107" s="18">
        <v>7.7</v>
      </c>
      <c r="I2107" s="18">
        <v>199</v>
      </c>
      <c r="J2107" s="18">
        <v>10</v>
      </c>
      <c r="K2107" s="18">
        <v>1379.07</v>
      </c>
      <c r="L2107" s="18" t="s">
        <v>139</v>
      </c>
      <c r="M2107" s="18" t="s">
        <v>119</v>
      </c>
      <c r="N2107" s="28">
        <v>45487.277777777781</v>
      </c>
      <c r="O2107" s="28">
        <v>45487.79583333333</v>
      </c>
      <c r="P2107" s="18">
        <v>3.6</v>
      </c>
      <c r="Q2107" s="18" t="b">
        <f>FALSE()</f>
        <v>0</v>
      </c>
      <c r="R2107" s="18" t="b">
        <f>TRUE()</f>
        <v>1</v>
      </c>
      <c r="S2107" s="19">
        <f t="shared" si="32"/>
        <v>12.4</v>
      </c>
      <c r="T2107">
        <f>COUNTIF('👤 Customers'!$A:$A, B2107)</f>
        <v>1</v>
      </c>
      <c r="U2107">
        <f>COUNTIF('🚴 Riders'!A2106:A2166, C2107)</f>
        <v>0</v>
      </c>
      <c r="V2107">
        <f>COUNTIF('🏭 Facilities'!A2106:A2114, D2107)</f>
        <v>0</v>
      </c>
    </row>
    <row r="2108" spans="1:22">
      <c r="A2108" s="16" t="s">
        <v>4877</v>
      </c>
      <c r="B2108" s="16" t="s">
        <v>1948</v>
      </c>
      <c r="C2108" s="16" t="s">
        <v>220</v>
      </c>
      <c r="D2108" s="16" t="s">
        <v>197</v>
      </c>
      <c r="E2108" s="25">
        <v>45015</v>
      </c>
      <c r="F2108" s="16" t="s">
        <v>4878</v>
      </c>
      <c r="G2108" s="16" t="s">
        <v>145</v>
      </c>
      <c r="H2108" s="16">
        <v>2.2999999999999998</v>
      </c>
      <c r="I2108" s="16">
        <v>299</v>
      </c>
      <c r="J2108" s="16">
        <v>0</v>
      </c>
      <c r="K2108" s="16">
        <v>687.7</v>
      </c>
      <c r="L2108" s="16" t="s">
        <v>146</v>
      </c>
      <c r="M2108" s="16" t="s">
        <v>140</v>
      </c>
      <c r="N2108" s="27">
        <v>45015.987500000003</v>
      </c>
      <c r="O2108" s="27">
        <v>45016.51458333333</v>
      </c>
      <c r="P2108" s="20"/>
      <c r="Q2108" s="16" t="b">
        <f>FALSE()</f>
        <v>0</v>
      </c>
      <c r="R2108" s="16" t="b">
        <f>FALSE()</f>
        <v>0</v>
      </c>
      <c r="S2108" s="17">
        <f t="shared" si="32"/>
        <v>12.6</v>
      </c>
      <c r="T2108">
        <f>COUNTIF('👤 Customers'!$A:$A, B2108)</f>
        <v>1</v>
      </c>
      <c r="U2108">
        <f>COUNTIF('🚴 Riders'!A2107:A2167, C2108)</f>
        <v>0</v>
      </c>
      <c r="V2108">
        <f>COUNTIF('🏭 Facilities'!A2107:A2115, D2108)</f>
        <v>0</v>
      </c>
    </row>
    <row r="2109" spans="1:22">
      <c r="A2109" s="18" t="s">
        <v>4879</v>
      </c>
      <c r="B2109" s="18" t="s">
        <v>977</v>
      </c>
      <c r="C2109" s="18" t="s">
        <v>276</v>
      </c>
      <c r="D2109" s="18" t="s">
        <v>184</v>
      </c>
      <c r="E2109" s="26">
        <v>45535</v>
      </c>
      <c r="F2109" s="18" t="s">
        <v>4880</v>
      </c>
      <c r="G2109" s="18" t="s">
        <v>176</v>
      </c>
      <c r="H2109" s="18">
        <v>2</v>
      </c>
      <c r="I2109" s="18">
        <v>599</v>
      </c>
      <c r="J2109" s="18">
        <v>0</v>
      </c>
      <c r="K2109" s="18">
        <v>1198</v>
      </c>
      <c r="L2109" s="18" t="s">
        <v>126</v>
      </c>
      <c r="M2109" s="18" t="s">
        <v>119</v>
      </c>
      <c r="N2109" s="28">
        <v>45535.379861111112</v>
      </c>
      <c r="O2109" s="28">
        <v>45536.045138888891</v>
      </c>
      <c r="P2109" s="18">
        <v>4.7</v>
      </c>
      <c r="Q2109" s="18" t="b">
        <f>TRUE()</f>
        <v>1</v>
      </c>
      <c r="R2109" s="18" t="b">
        <f>TRUE()</f>
        <v>1</v>
      </c>
      <c r="S2109" s="19">
        <f t="shared" si="32"/>
        <v>16</v>
      </c>
      <c r="T2109">
        <f>COUNTIF('👤 Customers'!$A:$A, B2109)</f>
        <v>1</v>
      </c>
      <c r="U2109">
        <f>COUNTIF('🚴 Riders'!A2108:A2168, C2109)</f>
        <v>0</v>
      </c>
      <c r="V2109">
        <f>COUNTIF('🏭 Facilities'!A2108:A2116, D2109)</f>
        <v>0</v>
      </c>
    </row>
    <row r="2110" spans="1:22">
      <c r="A2110" s="16" t="s">
        <v>4881</v>
      </c>
      <c r="B2110" s="16" t="s">
        <v>3332</v>
      </c>
      <c r="C2110" s="16" t="s">
        <v>236</v>
      </c>
      <c r="D2110" s="16" t="s">
        <v>115</v>
      </c>
      <c r="E2110" s="25">
        <v>45108</v>
      </c>
      <c r="F2110" s="16" t="s">
        <v>4882</v>
      </c>
      <c r="G2110" s="16" t="s">
        <v>145</v>
      </c>
      <c r="H2110" s="16">
        <v>4.0999999999999996</v>
      </c>
      <c r="I2110" s="16">
        <v>299</v>
      </c>
      <c r="J2110" s="16">
        <v>0</v>
      </c>
      <c r="K2110" s="16">
        <v>1225.9000000000001</v>
      </c>
      <c r="L2110" s="16" t="s">
        <v>207</v>
      </c>
      <c r="M2110" s="16" t="s">
        <v>119</v>
      </c>
      <c r="N2110" s="27">
        <v>45108.245138888888</v>
      </c>
      <c r="O2110" s="27">
        <v>45108.825694444444</v>
      </c>
      <c r="P2110" s="16">
        <v>4.7</v>
      </c>
      <c r="Q2110" s="16" t="b">
        <f>FALSE()</f>
        <v>0</v>
      </c>
      <c r="R2110" s="16" t="b">
        <f>TRUE()</f>
        <v>1</v>
      </c>
      <c r="S2110" s="17">
        <f t="shared" si="32"/>
        <v>13.9</v>
      </c>
      <c r="T2110">
        <f>COUNTIF('👤 Customers'!$A:$A, B2110)</f>
        <v>1</v>
      </c>
      <c r="U2110">
        <f>COUNTIF('🚴 Riders'!A2109:A2169, C2110)</f>
        <v>0</v>
      </c>
      <c r="V2110">
        <f>COUNTIF('🏭 Facilities'!A2109:A2117, D2110)</f>
        <v>0</v>
      </c>
    </row>
    <row r="2111" spans="1:22">
      <c r="A2111" s="18" t="s">
        <v>4883</v>
      </c>
      <c r="B2111" s="18" t="s">
        <v>643</v>
      </c>
      <c r="C2111" s="18" t="s">
        <v>276</v>
      </c>
      <c r="D2111" s="18" t="s">
        <v>184</v>
      </c>
      <c r="E2111" s="26">
        <v>45077</v>
      </c>
      <c r="F2111" s="18" t="s">
        <v>4884</v>
      </c>
      <c r="G2111" s="18" t="s">
        <v>132</v>
      </c>
      <c r="H2111" s="18">
        <v>2.1</v>
      </c>
      <c r="I2111" s="18">
        <v>399</v>
      </c>
      <c r="J2111" s="18">
        <v>10</v>
      </c>
      <c r="K2111" s="18">
        <v>754.11</v>
      </c>
      <c r="L2111" s="18" t="s">
        <v>118</v>
      </c>
      <c r="M2111" s="18" t="s">
        <v>140</v>
      </c>
      <c r="N2111" s="28">
        <v>45077.4375</v>
      </c>
      <c r="O2111" s="28">
        <v>45077.754861111112</v>
      </c>
      <c r="P2111" s="20"/>
      <c r="Q2111" s="18" t="b">
        <f>FALSE()</f>
        <v>0</v>
      </c>
      <c r="R2111" s="18" t="b">
        <f>FALSE()</f>
        <v>0</v>
      </c>
      <c r="S2111" s="19">
        <f t="shared" si="32"/>
        <v>7.6</v>
      </c>
      <c r="T2111">
        <f>COUNTIF('👤 Customers'!$A:$A, B2111)</f>
        <v>1</v>
      </c>
      <c r="U2111">
        <f>COUNTIF('🚴 Riders'!A2110:A2170, C2111)</f>
        <v>0</v>
      </c>
      <c r="V2111">
        <f>COUNTIF('🏭 Facilities'!A2110:A2118, D2111)</f>
        <v>0</v>
      </c>
    </row>
    <row r="2112" spans="1:22">
      <c r="A2112" s="16" t="s">
        <v>4885</v>
      </c>
      <c r="B2112" s="16" t="s">
        <v>1802</v>
      </c>
      <c r="C2112" s="16" t="s">
        <v>224</v>
      </c>
      <c r="D2112" s="16" t="s">
        <v>184</v>
      </c>
      <c r="E2112" s="25">
        <v>45211</v>
      </c>
      <c r="F2112" s="16" t="s">
        <v>4886</v>
      </c>
      <c r="G2112" s="16" t="s">
        <v>176</v>
      </c>
      <c r="H2112" s="16">
        <v>5.0999999999999996</v>
      </c>
      <c r="I2112" s="16">
        <v>599</v>
      </c>
      <c r="J2112" s="16">
        <v>0</v>
      </c>
      <c r="K2112" s="16">
        <v>3054.9</v>
      </c>
      <c r="L2112" s="16" t="s">
        <v>139</v>
      </c>
      <c r="M2112" s="16" t="s">
        <v>119</v>
      </c>
      <c r="N2112" s="27">
        <v>45211.120138888888</v>
      </c>
      <c r="O2112" s="27">
        <v>45211.46875</v>
      </c>
      <c r="P2112" s="16">
        <v>4.7</v>
      </c>
      <c r="Q2112" s="16" t="b">
        <f>FALSE()</f>
        <v>0</v>
      </c>
      <c r="R2112" s="16" t="b">
        <f>FALSE()</f>
        <v>0</v>
      </c>
      <c r="S2112" s="17">
        <f t="shared" si="32"/>
        <v>8.4</v>
      </c>
      <c r="T2112">
        <f>COUNTIF('👤 Customers'!$A:$A, B2112)</f>
        <v>1</v>
      </c>
      <c r="U2112">
        <f>COUNTIF('🚴 Riders'!A2111:A2171, C2112)</f>
        <v>0</v>
      </c>
      <c r="V2112">
        <f>COUNTIF('🏭 Facilities'!A2111:A2119, D2112)</f>
        <v>0</v>
      </c>
    </row>
    <row r="2113" spans="1:22">
      <c r="A2113" s="18" t="s">
        <v>4887</v>
      </c>
      <c r="B2113" s="18" t="s">
        <v>2050</v>
      </c>
      <c r="C2113" s="18" t="s">
        <v>343</v>
      </c>
      <c r="D2113" s="18" t="s">
        <v>115</v>
      </c>
      <c r="E2113" s="26">
        <v>45466</v>
      </c>
      <c r="F2113" s="18" t="s">
        <v>4888</v>
      </c>
      <c r="G2113" s="18" t="s">
        <v>117</v>
      </c>
      <c r="H2113" s="18">
        <v>7.4</v>
      </c>
      <c r="I2113" s="18">
        <v>149</v>
      </c>
      <c r="J2113" s="18">
        <v>30</v>
      </c>
      <c r="K2113" s="18">
        <v>771.82</v>
      </c>
      <c r="L2113" s="18" t="s">
        <v>139</v>
      </c>
      <c r="M2113" s="18" t="s">
        <v>119</v>
      </c>
      <c r="N2113" s="28">
        <v>45466.720833333333</v>
      </c>
      <c r="O2113" s="28">
        <v>45467.22152777778</v>
      </c>
      <c r="P2113" s="18">
        <v>3.9</v>
      </c>
      <c r="Q2113" s="18" t="b">
        <f>FALSE()</f>
        <v>0</v>
      </c>
      <c r="R2113" s="18" t="b">
        <f>TRUE()</f>
        <v>1</v>
      </c>
      <c r="S2113" s="19">
        <f t="shared" si="32"/>
        <v>12</v>
      </c>
      <c r="T2113">
        <f>COUNTIF('👤 Customers'!$A:$A, B2113)</f>
        <v>1</v>
      </c>
      <c r="U2113">
        <f>COUNTIF('🚴 Riders'!A2112:A2172, C2113)</f>
        <v>0</v>
      </c>
      <c r="V2113">
        <f>COUNTIF('🏭 Facilities'!A2112:A2120, D2113)</f>
        <v>0</v>
      </c>
    </row>
    <row r="2114" spans="1:22">
      <c r="A2114" s="16" t="s">
        <v>4889</v>
      </c>
      <c r="B2114" s="16" t="s">
        <v>1578</v>
      </c>
      <c r="C2114" s="16" t="s">
        <v>842</v>
      </c>
      <c r="D2114" s="16" t="s">
        <v>115</v>
      </c>
      <c r="E2114" s="25">
        <v>44929</v>
      </c>
      <c r="F2114" s="16" t="s">
        <v>4890</v>
      </c>
      <c r="G2114" s="16" t="s">
        <v>176</v>
      </c>
      <c r="H2114" s="16">
        <v>2.9</v>
      </c>
      <c r="I2114" s="16">
        <v>599</v>
      </c>
      <c r="J2114" s="16">
        <v>0</v>
      </c>
      <c r="K2114" s="16">
        <v>1737.1</v>
      </c>
      <c r="L2114" s="16" t="s">
        <v>207</v>
      </c>
      <c r="M2114" s="16" t="s">
        <v>119</v>
      </c>
      <c r="N2114" s="27">
        <v>44929.886111111111</v>
      </c>
      <c r="O2114" s="27">
        <v>44930.911111111112</v>
      </c>
      <c r="P2114" s="16">
        <v>3.9</v>
      </c>
      <c r="Q2114" s="16" t="b">
        <f>FALSE()</f>
        <v>0</v>
      </c>
      <c r="R2114" s="16" t="b">
        <f>FALSE()</f>
        <v>0</v>
      </c>
      <c r="S2114" s="17">
        <f t="shared" ref="S2114:S2177" si="33">IF(OR(N2114="",O2114=""),"N/A",ROUND(((O2114-N2114)*24),1))</f>
        <v>24.6</v>
      </c>
      <c r="T2114">
        <f>COUNTIF('👤 Customers'!$A:$A, B2114)</f>
        <v>1</v>
      </c>
      <c r="U2114">
        <f>COUNTIF('🚴 Riders'!A2113:A2173, C2114)</f>
        <v>0</v>
      </c>
      <c r="V2114">
        <f>COUNTIF('🏭 Facilities'!A2113:A2121, D2114)</f>
        <v>0</v>
      </c>
    </row>
    <row r="2115" spans="1:22">
      <c r="A2115" s="18" t="s">
        <v>4891</v>
      </c>
      <c r="B2115" s="18" t="s">
        <v>3105</v>
      </c>
      <c r="C2115" s="18" t="s">
        <v>196</v>
      </c>
      <c r="D2115" s="18" t="s">
        <v>158</v>
      </c>
      <c r="E2115" s="26">
        <v>45544</v>
      </c>
      <c r="F2115" s="18" t="s">
        <v>4892</v>
      </c>
      <c r="G2115" s="18" t="s">
        <v>176</v>
      </c>
      <c r="H2115" s="18">
        <v>2</v>
      </c>
      <c r="I2115" s="18">
        <v>599</v>
      </c>
      <c r="J2115" s="18">
        <v>10</v>
      </c>
      <c r="K2115" s="18">
        <v>1078.2</v>
      </c>
      <c r="L2115" s="18" t="s">
        <v>118</v>
      </c>
      <c r="M2115" s="18" t="s">
        <v>119</v>
      </c>
      <c r="N2115" s="28">
        <v>45545.084722222222</v>
      </c>
      <c r="O2115" s="28">
        <v>45545.897916666669</v>
      </c>
      <c r="P2115" s="18">
        <v>2.8</v>
      </c>
      <c r="Q2115" s="18" t="b">
        <f>TRUE()</f>
        <v>1</v>
      </c>
      <c r="R2115" s="18" t="b">
        <f>FALSE()</f>
        <v>0</v>
      </c>
      <c r="S2115" s="19">
        <f t="shared" si="33"/>
        <v>19.5</v>
      </c>
      <c r="T2115">
        <f>COUNTIF('👤 Customers'!$A:$A, B2115)</f>
        <v>1</v>
      </c>
      <c r="U2115">
        <f>COUNTIF('🚴 Riders'!A2114:A2174, C2115)</f>
        <v>0</v>
      </c>
      <c r="V2115">
        <f>COUNTIF('🏭 Facilities'!A2114:A2122, D2115)</f>
        <v>0</v>
      </c>
    </row>
    <row r="2116" spans="1:22">
      <c r="A2116" s="16" t="s">
        <v>4893</v>
      </c>
      <c r="B2116" s="16" t="s">
        <v>416</v>
      </c>
      <c r="C2116" s="16" t="s">
        <v>431</v>
      </c>
      <c r="D2116" s="16" t="s">
        <v>184</v>
      </c>
      <c r="E2116" s="25">
        <v>45599</v>
      </c>
      <c r="F2116" s="16" t="s">
        <v>4894</v>
      </c>
      <c r="G2116" s="16" t="s">
        <v>145</v>
      </c>
      <c r="H2116" s="16">
        <v>1.5</v>
      </c>
      <c r="I2116" s="16">
        <v>299</v>
      </c>
      <c r="J2116" s="16">
        <v>0</v>
      </c>
      <c r="K2116" s="16">
        <v>448.5</v>
      </c>
      <c r="L2116" s="16" t="s">
        <v>207</v>
      </c>
      <c r="M2116" s="16" t="s">
        <v>119</v>
      </c>
      <c r="N2116" s="27">
        <v>45599.424305555556</v>
      </c>
      <c r="O2116" s="27">
        <v>45600.065972222219</v>
      </c>
      <c r="P2116" s="16">
        <v>2.7</v>
      </c>
      <c r="Q2116" s="16" t="b">
        <f>FALSE()</f>
        <v>0</v>
      </c>
      <c r="R2116" s="16" t="b">
        <f>FALSE()</f>
        <v>0</v>
      </c>
      <c r="S2116" s="17">
        <f t="shared" si="33"/>
        <v>15.4</v>
      </c>
      <c r="T2116">
        <f>COUNTIF('👤 Customers'!$A:$A, B2116)</f>
        <v>1</v>
      </c>
      <c r="U2116">
        <f>COUNTIF('🚴 Riders'!A2115:A2175, C2116)</f>
        <v>0</v>
      </c>
      <c r="V2116">
        <f>COUNTIF('🏭 Facilities'!A2115:A2123, D2116)</f>
        <v>0</v>
      </c>
    </row>
    <row r="2117" spans="1:22">
      <c r="A2117" s="18" t="s">
        <v>4895</v>
      </c>
      <c r="B2117" s="18" t="s">
        <v>2497</v>
      </c>
      <c r="C2117" s="18" t="s">
        <v>750</v>
      </c>
      <c r="D2117" s="18" t="s">
        <v>130</v>
      </c>
      <c r="E2117" s="26">
        <v>45220</v>
      </c>
      <c r="F2117" s="18" t="s">
        <v>4194</v>
      </c>
      <c r="G2117" s="18" t="s">
        <v>117</v>
      </c>
      <c r="H2117" s="18">
        <v>8</v>
      </c>
      <c r="I2117" s="18">
        <v>149</v>
      </c>
      <c r="J2117" s="18">
        <v>30</v>
      </c>
      <c r="K2117" s="18">
        <v>834.4</v>
      </c>
      <c r="L2117" s="18" t="s">
        <v>126</v>
      </c>
      <c r="M2117" s="18" t="s">
        <v>133</v>
      </c>
      <c r="N2117" s="20"/>
      <c r="O2117" s="20"/>
      <c r="P2117" s="20"/>
      <c r="Q2117" s="18" t="b">
        <f>FALSE()</f>
        <v>0</v>
      </c>
      <c r="R2117" s="18" t="b">
        <f>FALSE()</f>
        <v>0</v>
      </c>
      <c r="S2117" s="19" t="str">
        <f t="shared" si="33"/>
        <v>N/A</v>
      </c>
      <c r="T2117">
        <f>COUNTIF('👤 Customers'!$A:$A, B2117)</f>
        <v>1</v>
      </c>
      <c r="U2117">
        <f>COUNTIF('🚴 Riders'!A2116:A2176, C2117)</f>
        <v>0</v>
      </c>
      <c r="V2117">
        <f>COUNTIF('🏭 Facilities'!A2116:A2124, D2117)</f>
        <v>0</v>
      </c>
    </row>
    <row r="2118" spans="1:22">
      <c r="A2118" s="16" t="s">
        <v>4896</v>
      </c>
      <c r="B2118" s="16" t="s">
        <v>460</v>
      </c>
      <c r="C2118" s="16" t="s">
        <v>308</v>
      </c>
      <c r="D2118" s="16" t="s">
        <v>197</v>
      </c>
      <c r="E2118" s="25">
        <v>45130</v>
      </c>
      <c r="F2118" s="16" t="s">
        <v>4897</v>
      </c>
      <c r="G2118" s="16" t="s">
        <v>132</v>
      </c>
      <c r="H2118" s="16">
        <v>4.9000000000000004</v>
      </c>
      <c r="I2118" s="16">
        <v>399</v>
      </c>
      <c r="J2118" s="16">
        <v>0</v>
      </c>
      <c r="K2118" s="16">
        <v>1955.1</v>
      </c>
      <c r="L2118" s="16" t="s">
        <v>146</v>
      </c>
      <c r="M2118" s="16" t="s">
        <v>119</v>
      </c>
      <c r="N2118" s="27">
        <v>45131.015277777777</v>
      </c>
      <c r="O2118" s="27">
        <v>45131.57916666667</v>
      </c>
      <c r="P2118" s="16">
        <v>4</v>
      </c>
      <c r="Q2118" s="16" t="b">
        <f>FALSE()</f>
        <v>0</v>
      </c>
      <c r="R2118" s="16" t="b">
        <f>FALSE()</f>
        <v>0</v>
      </c>
      <c r="S2118" s="17">
        <f t="shared" si="33"/>
        <v>13.5</v>
      </c>
      <c r="T2118">
        <f>COUNTIF('👤 Customers'!$A:$A, B2118)</f>
        <v>1</v>
      </c>
      <c r="U2118">
        <f>COUNTIF('🚴 Riders'!A2117:A2177, C2118)</f>
        <v>0</v>
      </c>
      <c r="V2118">
        <f>COUNTIF('🏭 Facilities'!A2117:A2125, D2118)</f>
        <v>0</v>
      </c>
    </row>
    <row r="2119" spans="1:22">
      <c r="A2119" s="18" t="s">
        <v>4898</v>
      </c>
      <c r="B2119" s="18" t="s">
        <v>583</v>
      </c>
      <c r="C2119" s="18" t="s">
        <v>257</v>
      </c>
      <c r="D2119" s="18" t="s">
        <v>158</v>
      </c>
      <c r="E2119" s="26">
        <v>45130</v>
      </c>
      <c r="F2119" s="18" t="s">
        <v>4899</v>
      </c>
      <c r="G2119" s="18" t="s">
        <v>176</v>
      </c>
      <c r="H2119" s="18">
        <v>1.1000000000000001</v>
      </c>
      <c r="I2119" s="18">
        <v>599</v>
      </c>
      <c r="J2119" s="18">
        <v>0</v>
      </c>
      <c r="K2119" s="18">
        <v>658.9</v>
      </c>
      <c r="L2119" s="18" t="s">
        <v>139</v>
      </c>
      <c r="M2119" s="18" t="s">
        <v>140</v>
      </c>
      <c r="N2119" s="28">
        <v>45130.299305555556</v>
      </c>
      <c r="O2119" s="28">
        <v>45130.634722222225</v>
      </c>
      <c r="P2119" s="20"/>
      <c r="Q2119" s="18" t="b">
        <f>FALSE()</f>
        <v>0</v>
      </c>
      <c r="R2119" s="18" t="b">
        <f>TRUE()</f>
        <v>1</v>
      </c>
      <c r="S2119" s="19">
        <f t="shared" si="33"/>
        <v>8.1</v>
      </c>
      <c r="T2119">
        <f>COUNTIF('👤 Customers'!$A:$A, B2119)</f>
        <v>1</v>
      </c>
      <c r="U2119">
        <f>COUNTIF('🚴 Riders'!A2118:A2178, C2119)</f>
        <v>0</v>
      </c>
      <c r="V2119">
        <f>COUNTIF('🏭 Facilities'!A2118:A2126, D2119)</f>
        <v>0</v>
      </c>
    </row>
    <row r="2120" spans="1:22">
      <c r="A2120" s="16" t="s">
        <v>4900</v>
      </c>
      <c r="B2120" s="16" t="s">
        <v>1988</v>
      </c>
      <c r="C2120" s="16" t="s">
        <v>192</v>
      </c>
      <c r="D2120" s="16" t="s">
        <v>130</v>
      </c>
      <c r="E2120" s="25">
        <v>45059</v>
      </c>
      <c r="F2120" s="16" t="s">
        <v>4901</v>
      </c>
      <c r="G2120" s="16" t="s">
        <v>125</v>
      </c>
      <c r="H2120" s="16">
        <v>4.4000000000000004</v>
      </c>
      <c r="I2120" s="16">
        <v>199</v>
      </c>
      <c r="J2120" s="16">
        <v>10</v>
      </c>
      <c r="K2120" s="16">
        <v>788.04</v>
      </c>
      <c r="L2120" s="16" t="s">
        <v>139</v>
      </c>
      <c r="M2120" s="16" t="s">
        <v>140</v>
      </c>
      <c r="N2120" s="27">
        <v>45059.629166666666</v>
      </c>
      <c r="O2120" s="27">
        <v>45060.29791666667</v>
      </c>
      <c r="P2120" s="20"/>
      <c r="Q2120" s="16" t="b">
        <f>FALSE()</f>
        <v>0</v>
      </c>
      <c r="R2120" s="16" t="b">
        <f>FALSE()</f>
        <v>0</v>
      </c>
      <c r="S2120" s="17">
        <f t="shared" si="33"/>
        <v>16.100000000000001</v>
      </c>
      <c r="T2120">
        <f>COUNTIF('👤 Customers'!$A:$A, B2120)</f>
        <v>1</v>
      </c>
      <c r="U2120">
        <f>COUNTIF('🚴 Riders'!A2119:A2179, C2120)</f>
        <v>0</v>
      </c>
      <c r="V2120">
        <f>COUNTIF('🏭 Facilities'!A2119:A2127, D2120)</f>
        <v>0</v>
      </c>
    </row>
    <row r="2121" spans="1:22">
      <c r="A2121" s="18" t="s">
        <v>4902</v>
      </c>
      <c r="B2121" s="18" t="s">
        <v>749</v>
      </c>
      <c r="C2121" s="18" t="s">
        <v>114</v>
      </c>
      <c r="D2121" s="18" t="s">
        <v>197</v>
      </c>
      <c r="E2121" s="26">
        <v>45495</v>
      </c>
      <c r="F2121" s="18" t="s">
        <v>4903</v>
      </c>
      <c r="G2121" s="18" t="s">
        <v>145</v>
      </c>
      <c r="H2121" s="18">
        <v>5.2</v>
      </c>
      <c r="I2121" s="18">
        <v>299</v>
      </c>
      <c r="J2121" s="18">
        <v>0</v>
      </c>
      <c r="K2121" s="18">
        <v>1554.8</v>
      </c>
      <c r="L2121" s="18" t="s">
        <v>126</v>
      </c>
      <c r="M2121" s="18" t="s">
        <v>119</v>
      </c>
      <c r="N2121" s="28">
        <v>45495.683333333334</v>
      </c>
      <c r="O2121" s="28">
        <v>45496.202777777777</v>
      </c>
      <c r="P2121" s="18">
        <v>2.6</v>
      </c>
      <c r="Q2121" s="18" t="b">
        <f>FALSE()</f>
        <v>0</v>
      </c>
      <c r="R2121" s="18" t="b">
        <f>FALSE()</f>
        <v>0</v>
      </c>
      <c r="S2121" s="19">
        <f t="shared" si="33"/>
        <v>12.5</v>
      </c>
      <c r="T2121">
        <f>COUNTIF('👤 Customers'!$A:$A, B2121)</f>
        <v>1</v>
      </c>
      <c r="U2121">
        <f>COUNTIF('🚴 Riders'!A2120:A2180, C2121)</f>
        <v>0</v>
      </c>
      <c r="V2121">
        <f>COUNTIF('🏭 Facilities'!A2120:A2128, D2121)</f>
        <v>0</v>
      </c>
    </row>
    <row r="2122" spans="1:22">
      <c r="A2122" s="16" t="s">
        <v>4904</v>
      </c>
      <c r="B2122" s="16" t="s">
        <v>944</v>
      </c>
      <c r="C2122" s="16" t="s">
        <v>174</v>
      </c>
      <c r="D2122" s="16" t="s">
        <v>137</v>
      </c>
      <c r="E2122" s="25">
        <v>44966</v>
      </c>
      <c r="F2122" s="16" t="s">
        <v>4905</v>
      </c>
      <c r="G2122" s="16" t="s">
        <v>145</v>
      </c>
      <c r="H2122" s="16">
        <v>1.4</v>
      </c>
      <c r="I2122" s="16">
        <v>299</v>
      </c>
      <c r="J2122" s="16">
        <v>0</v>
      </c>
      <c r="K2122" s="16">
        <v>418.6</v>
      </c>
      <c r="L2122" s="16" t="s">
        <v>118</v>
      </c>
      <c r="M2122" s="16" t="s">
        <v>133</v>
      </c>
      <c r="N2122" s="20"/>
      <c r="O2122" s="20"/>
      <c r="P2122" s="20"/>
      <c r="Q2122" s="16" t="b">
        <f>FALSE()</f>
        <v>0</v>
      </c>
      <c r="R2122" s="16" t="b">
        <f>FALSE()</f>
        <v>0</v>
      </c>
      <c r="S2122" s="17" t="str">
        <f t="shared" si="33"/>
        <v>N/A</v>
      </c>
      <c r="T2122">
        <f>COUNTIF('👤 Customers'!$A:$A, B2122)</f>
        <v>1</v>
      </c>
      <c r="U2122">
        <f>COUNTIF('🚴 Riders'!A2121:A2181, C2122)</f>
        <v>0</v>
      </c>
      <c r="V2122">
        <f>COUNTIF('🏭 Facilities'!A2121:A2129, D2122)</f>
        <v>0</v>
      </c>
    </row>
    <row r="2123" spans="1:22">
      <c r="A2123" s="18" t="s">
        <v>4906</v>
      </c>
      <c r="B2123" s="18" t="s">
        <v>554</v>
      </c>
      <c r="C2123" s="18" t="s">
        <v>479</v>
      </c>
      <c r="D2123" s="18" t="s">
        <v>115</v>
      </c>
      <c r="E2123" s="26">
        <v>45053</v>
      </c>
      <c r="F2123" s="18" t="s">
        <v>4907</v>
      </c>
      <c r="G2123" s="18" t="s">
        <v>132</v>
      </c>
      <c r="H2123" s="18">
        <v>5.9</v>
      </c>
      <c r="I2123" s="18">
        <v>399</v>
      </c>
      <c r="J2123" s="18">
        <v>10</v>
      </c>
      <c r="K2123" s="18">
        <v>2118.69</v>
      </c>
      <c r="L2123" s="18" t="s">
        <v>118</v>
      </c>
      <c r="M2123" s="18" t="s">
        <v>119</v>
      </c>
      <c r="N2123" s="28">
        <v>45054.004861111112</v>
      </c>
      <c r="O2123" s="28">
        <v>45055.053472222222</v>
      </c>
      <c r="P2123" s="18">
        <v>4.8</v>
      </c>
      <c r="Q2123" s="18" t="b">
        <f>FALSE()</f>
        <v>0</v>
      </c>
      <c r="R2123" s="18" t="b">
        <f>FALSE()</f>
        <v>0</v>
      </c>
      <c r="S2123" s="19">
        <f t="shared" si="33"/>
        <v>25.2</v>
      </c>
      <c r="T2123">
        <f>COUNTIF('👤 Customers'!$A:$A, B2123)</f>
        <v>1</v>
      </c>
      <c r="U2123">
        <f>COUNTIF('🚴 Riders'!A2122:A2182, C2123)</f>
        <v>0</v>
      </c>
      <c r="V2123">
        <f>COUNTIF('🏭 Facilities'!A2122:A2130, D2123)</f>
        <v>0</v>
      </c>
    </row>
    <row r="2124" spans="1:22">
      <c r="A2124" s="16" t="s">
        <v>4908</v>
      </c>
      <c r="B2124" s="16" t="s">
        <v>386</v>
      </c>
      <c r="C2124" s="16" t="s">
        <v>1092</v>
      </c>
      <c r="D2124" s="16" t="s">
        <v>115</v>
      </c>
      <c r="E2124" s="25">
        <v>45430</v>
      </c>
      <c r="F2124" s="16" t="s">
        <v>4909</v>
      </c>
      <c r="G2124" s="16" t="s">
        <v>145</v>
      </c>
      <c r="H2124" s="16">
        <v>5.7</v>
      </c>
      <c r="I2124" s="16">
        <v>299</v>
      </c>
      <c r="J2124" s="16">
        <v>10</v>
      </c>
      <c r="K2124" s="16">
        <v>1533.87</v>
      </c>
      <c r="L2124" s="16" t="s">
        <v>118</v>
      </c>
      <c r="M2124" s="16" t="s">
        <v>119</v>
      </c>
      <c r="N2124" s="27">
        <v>45430.758333333331</v>
      </c>
      <c r="O2124" s="27">
        <v>45431.736111111109</v>
      </c>
      <c r="P2124" s="16">
        <v>3.1</v>
      </c>
      <c r="Q2124" s="16" t="b">
        <f>FALSE()</f>
        <v>0</v>
      </c>
      <c r="R2124" s="16" t="b">
        <f>FALSE()</f>
        <v>0</v>
      </c>
      <c r="S2124" s="17">
        <f t="shared" si="33"/>
        <v>23.5</v>
      </c>
      <c r="T2124">
        <f>COUNTIF('👤 Customers'!$A:$A, B2124)</f>
        <v>1</v>
      </c>
      <c r="U2124">
        <f>COUNTIF('🚴 Riders'!A2123:A2183, C2124)</f>
        <v>0</v>
      </c>
      <c r="V2124">
        <f>COUNTIF('🏭 Facilities'!A2123:A2131, D2124)</f>
        <v>0</v>
      </c>
    </row>
    <row r="2125" spans="1:22">
      <c r="A2125" s="18" t="s">
        <v>4910</v>
      </c>
      <c r="B2125" s="18" t="s">
        <v>173</v>
      </c>
      <c r="C2125" s="18" t="s">
        <v>265</v>
      </c>
      <c r="D2125" s="18" t="s">
        <v>130</v>
      </c>
      <c r="E2125" s="26">
        <v>45224</v>
      </c>
      <c r="F2125" s="18" t="s">
        <v>4911</v>
      </c>
      <c r="G2125" s="18" t="s">
        <v>176</v>
      </c>
      <c r="H2125" s="18">
        <v>6.3</v>
      </c>
      <c r="I2125" s="18">
        <v>599</v>
      </c>
      <c r="J2125" s="18">
        <v>0</v>
      </c>
      <c r="K2125" s="18">
        <v>3773.7</v>
      </c>
      <c r="L2125" s="18" t="s">
        <v>139</v>
      </c>
      <c r="M2125" s="18" t="s">
        <v>140</v>
      </c>
      <c r="N2125" s="28">
        <v>45224.978472222225</v>
      </c>
      <c r="O2125" s="28">
        <v>45225.51458333333</v>
      </c>
      <c r="P2125" s="20"/>
      <c r="Q2125" s="18" t="b">
        <f>FALSE()</f>
        <v>0</v>
      </c>
      <c r="R2125" s="18" t="b">
        <f>FALSE()</f>
        <v>0</v>
      </c>
      <c r="S2125" s="19">
        <f t="shared" si="33"/>
        <v>12.9</v>
      </c>
      <c r="T2125">
        <f>COUNTIF('👤 Customers'!$A:$A, B2125)</f>
        <v>1</v>
      </c>
      <c r="U2125">
        <f>COUNTIF('🚴 Riders'!A2124:A2184, C2125)</f>
        <v>0</v>
      </c>
      <c r="V2125">
        <f>COUNTIF('🏭 Facilities'!A2124:A2132, D2125)</f>
        <v>0</v>
      </c>
    </row>
    <row r="2126" spans="1:22">
      <c r="A2126" s="16" t="s">
        <v>4912</v>
      </c>
      <c r="B2126" s="16" t="s">
        <v>707</v>
      </c>
      <c r="C2126" s="16" t="s">
        <v>192</v>
      </c>
      <c r="D2126" s="16" t="s">
        <v>115</v>
      </c>
      <c r="E2126" s="25">
        <v>45538</v>
      </c>
      <c r="F2126" s="16" t="s">
        <v>4913</v>
      </c>
      <c r="G2126" s="16" t="s">
        <v>117</v>
      </c>
      <c r="H2126" s="16">
        <v>1.7</v>
      </c>
      <c r="I2126" s="16">
        <v>149</v>
      </c>
      <c r="J2126" s="16">
        <v>20</v>
      </c>
      <c r="K2126" s="16">
        <v>202.64</v>
      </c>
      <c r="L2126" s="16" t="s">
        <v>139</v>
      </c>
      <c r="M2126" s="16" t="s">
        <v>119</v>
      </c>
      <c r="N2126" s="27">
        <v>45538.262499999997</v>
      </c>
      <c r="O2126" s="27">
        <v>45539.338888888888</v>
      </c>
      <c r="P2126" s="16">
        <v>4.5</v>
      </c>
      <c r="Q2126" s="16" t="b">
        <f>FALSE()</f>
        <v>0</v>
      </c>
      <c r="R2126" s="16" t="b">
        <f>FALSE()</f>
        <v>0</v>
      </c>
      <c r="S2126" s="17">
        <f t="shared" si="33"/>
        <v>25.8</v>
      </c>
      <c r="T2126">
        <f>COUNTIF('👤 Customers'!$A:$A, B2126)</f>
        <v>1</v>
      </c>
      <c r="U2126">
        <f>COUNTIF('🚴 Riders'!A2125:A2185, C2126)</f>
        <v>0</v>
      </c>
      <c r="V2126">
        <f>COUNTIF('🏭 Facilities'!A2125:A2133, D2126)</f>
        <v>0</v>
      </c>
    </row>
    <row r="2127" spans="1:22">
      <c r="A2127" s="18" t="s">
        <v>4914</v>
      </c>
      <c r="B2127" s="18" t="s">
        <v>513</v>
      </c>
      <c r="C2127" s="18" t="s">
        <v>750</v>
      </c>
      <c r="D2127" s="18" t="s">
        <v>205</v>
      </c>
      <c r="E2127" s="26">
        <v>45535</v>
      </c>
      <c r="F2127" s="18" t="s">
        <v>4915</v>
      </c>
      <c r="G2127" s="18" t="s">
        <v>176</v>
      </c>
      <c r="H2127" s="18">
        <v>4.0999999999999996</v>
      </c>
      <c r="I2127" s="18">
        <v>599</v>
      </c>
      <c r="J2127" s="18">
        <v>0</v>
      </c>
      <c r="K2127" s="18">
        <v>2455.9</v>
      </c>
      <c r="L2127" s="18" t="s">
        <v>118</v>
      </c>
      <c r="M2127" s="18" t="s">
        <v>140</v>
      </c>
      <c r="N2127" s="28">
        <v>45535.578472222223</v>
      </c>
      <c r="O2127" s="28">
        <v>45536.229166666664</v>
      </c>
      <c r="P2127" s="20"/>
      <c r="Q2127" s="18" t="b">
        <f>FALSE()</f>
        <v>0</v>
      </c>
      <c r="R2127" s="18" t="b">
        <f>TRUE()</f>
        <v>1</v>
      </c>
      <c r="S2127" s="19">
        <f t="shared" si="33"/>
        <v>15.6</v>
      </c>
      <c r="T2127">
        <f>COUNTIF('👤 Customers'!$A:$A, B2127)</f>
        <v>1</v>
      </c>
      <c r="U2127">
        <f>COUNTIF('🚴 Riders'!A2126:A2186, C2127)</f>
        <v>0</v>
      </c>
      <c r="V2127">
        <f>COUNTIF('🏭 Facilities'!A2126:A2134, D2127)</f>
        <v>0</v>
      </c>
    </row>
    <row r="2128" spans="1:22">
      <c r="A2128" s="16" t="s">
        <v>4916</v>
      </c>
      <c r="B2128" s="16" t="s">
        <v>987</v>
      </c>
      <c r="C2128" s="16" t="s">
        <v>300</v>
      </c>
      <c r="D2128" s="16" t="s">
        <v>123</v>
      </c>
      <c r="E2128" s="25">
        <v>45545</v>
      </c>
      <c r="F2128" s="16" t="s">
        <v>4917</v>
      </c>
      <c r="G2128" s="16" t="s">
        <v>145</v>
      </c>
      <c r="H2128" s="16">
        <v>3.1</v>
      </c>
      <c r="I2128" s="16">
        <v>299</v>
      </c>
      <c r="J2128" s="16">
        <v>10</v>
      </c>
      <c r="K2128" s="16">
        <v>834.21</v>
      </c>
      <c r="L2128" s="16" t="s">
        <v>118</v>
      </c>
      <c r="M2128" s="16" t="s">
        <v>119</v>
      </c>
      <c r="N2128" s="27">
        <v>45545.146527777775</v>
      </c>
      <c r="O2128" s="27">
        <v>45545.932638888888</v>
      </c>
      <c r="P2128" s="16">
        <v>4</v>
      </c>
      <c r="Q2128" s="16" t="b">
        <f>TRUE()</f>
        <v>1</v>
      </c>
      <c r="R2128" s="16" t="b">
        <f>TRUE()</f>
        <v>1</v>
      </c>
      <c r="S2128" s="17">
        <f t="shared" si="33"/>
        <v>18.899999999999999</v>
      </c>
      <c r="T2128">
        <f>COUNTIF('👤 Customers'!$A:$A, B2128)</f>
        <v>1</v>
      </c>
      <c r="U2128">
        <f>COUNTIF('🚴 Riders'!A2127:A2187, C2128)</f>
        <v>0</v>
      </c>
      <c r="V2128">
        <f>COUNTIF('🏭 Facilities'!A2127:A2135, D2128)</f>
        <v>0</v>
      </c>
    </row>
    <row r="2129" spans="1:22">
      <c r="A2129" s="18" t="s">
        <v>4918</v>
      </c>
      <c r="B2129" s="18" t="s">
        <v>216</v>
      </c>
      <c r="C2129" s="18" t="s">
        <v>308</v>
      </c>
      <c r="D2129" s="18" t="s">
        <v>158</v>
      </c>
      <c r="E2129" s="26">
        <v>45563</v>
      </c>
      <c r="F2129" s="18" t="s">
        <v>4919</v>
      </c>
      <c r="G2129" s="18" t="s">
        <v>117</v>
      </c>
      <c r="H2129" s="18">
        <v>4.5</v>
      </c>
      <c r="I2129" s="18">
        <v>149</v>
      </c>
      <c r="J2129" s="18">
        <v>0</v>
      </c>
      <c r="K2129" s="18">
        <v>670.5</v>
      </c>
      <c r="L2129" s="18" t="s">
        <v>207</v>
      </c>
      <c r="M2129" s="18" t="s">
        <v>140</v>
      </c>
      <c r="N2129" s="28">
        <v>45563.541666666664</v>
      </c>
      <c r="O2129" s="28">
        <v>45564.121527777781</v>
      </c>
      <c r="P2129" s="20"/>
      <c r="Q2129" s="18" t="b">
        <f>FALSE()</f>
        <v>0</v>
      </c>
      <c r="R2129" s="18" t="b">
        <f>FALSE()</f>
        <v>0</v>
      </c>
      <c r="S2129" s="19">
        <f t="shared" si="33"/>
        <v>13.9</v>
      </c>
      <c r="T2129">
        <f>COUNTIF('👤 Customers'!$A:$A, B2129)</f>
        <v>1</v>
      </c>
      <c r="U2129">
        <f>COUNTIF('🚴 Riders'!A2128:A2188, C2129)</f>
        <v>0</v>
      </c>
      <c r="V2129">
        <f>COUNTIF('🏭 Facilities'!A2128:A2136, D2129)</f>
        <v>0</v>
      </c>
    </row>
    <row r="2130" spans="1:22">
      <c r="A2130" s="16" t="s">
        <v>4920</v>
      </c>
      <c r="B2130" s="16" t="s">
        <v>900</v>
      </c>
      <c r="C2130" s="16" t="s">
        <v>174</v>
      </c>
      <c r="D2130" s="16" t="s">
        <v>205</v>
      </c>
      <c r="E2130" s="25">
        <v>45116</v>
      </c>
      <c r="F2130" s="16" t="s">
        <v>4921</v>
      </c>
      <c r="G2130" s="16" t="s">
        <v>117</v>
      </c>
      <c r="H2130" s="16">
        <v>2</v>
      </c>
      <c r="I2130" s="16">
        <v>149</v>
      </c>
      <c r="J2130" s="16">
        <v>0</v>
      </c>
      <c r="K2130" s="16">
        <v>298</v>
      </c>
      <c r="L2130" s="16" t="s">
        <v>126</v>
      </c>
      <c r="M2130" s="16" t="s">
        <v>133</v>
      </c>
      <c r="N2130" s="20"/>
      <c r="O2130" s="20"/>
      <c r="P2130" s="20"/>
      <c r="Q2130" s="16" t="b">
        <f>FALSE()</f>
        <v>0</v>
      </c>
      <c r="R2130" s="16" t="b">
        <f>FALSE()</f>
        <v>0</v>
      </c>
      <c r="S2130" s="17" t="str">
        <f t="shared" si="33"/>
        <v>N/A</v>
      </c>
      <c r="T2130">
        <f>COUNTIF('👤 Customers'!$A:$A, B2130)</f>
        <v>1</v>
      </c>
      <c r="U2130">
        <f>COUNTIF('🚴 Riders'!A2129:A2189, C2130)</f>
        <v>0</v>
      </c>
      <c r="V2130">
        <f>COUNTIF('🏭 Facilities'!A2129:A2137, D2130)</f>
        <v>0</v>
      </c>
    </row>
    <row r="2131" spans="1:22">
      <c r="A2131" s="18" t="s">
        <v>4922</v>
      </c>
      <c r="B2131" s="18" t="s">
        <v>346</v>
      </c>
      <c r="C2131" s="18" t="s">
        <v>183</v>
      </c>
      <c r="D2131" s="18" t="s">
        <v>130</v>
      </c>
      <c r="E2131" s="26">
        <v>45453</v>
      </c>
      <c r="F2131" s="18" t="s">
        <v>4923</v>
      </c>
      <c r="G2131" s="18" t="s">
        <v>145</v>
      </c>
      <c r="H2131" s="18">
        <v>7.3</v>
      </c>
      <c r="I2131" s="18">
        <v>299</v>
      </c>
      <c r="J2131" s="18">
        <v>10</v>
      </c>
      <c r="K2131" s="18">
        <v>1964.43</v>
      </c>
      <c r="L2131" s="18" t="s">
        <v>118</v>
      </c>
      <c r="M2131" s="18" t="s">
        <v>140</v>
      </c>
      <c r="N2131" s="28">
        <v>45453.339583333334</v>
      </c>
      <c r="O2131" s="28">
        <v>45453.890972222223</v>
      </c>
      <c r="P2131" s="20"/>
      <c r="Q2131" s="18" t="b">
        <f>FALSE()</f>
        <v>0</v>
      </c>
      <c r="R2131" s="18" t="b">
        <f>FALSE()</f>
        <v>0</v>
      </c>
      <c r="S2131" s="19">
        <f t="shared" si="33"/>
        <v>13.2</v>
      </c>
      <c r="T2131">
        <f>COUNTIF('👤 Customers'!$A:$A, B2131)</f>
        <v>1</v>
      </c>
      <c r="U2131">
        <f>COUNTIF('🚴 Riders'!A2130:A2190, C2131)</f>
        <v>0</v>
      </c>
      <c r="V2131">
        <f>COUNTIF('🏭 Facilities'!A2130:A2138, D2131)</f>
        <v>0</v>
      </c>
    </row>
    <row r="2132" spans="1:22">
      <c r="A2132" s="16" t="s">
        <v>4924</v>
      </c>
      <c r="B2132" s="16" t="s">
        <v>2096</v>
      </c>
      <c r="C2132" s="16" t="s">
        <v>339</v>
      </c>
      <c r="D2132" s="16" t="s">
        <v>184</v>
      </c>
      <c r="E2132" s="25">
        <v>45315</v>
      </c>
      <c r="F2132" s="16" t="s">
        <v>4925</v>
      </c>
      <c r="G2132" s="16" t="s">
        <v>132</v>
      </c>
      <c r="H2132" s="16">
        <v>1.4</v>
      </c>
      <c r="I2132" s="16">
        <v>399</v>
      </c>
      <c r="J2132" s="16">
        <v>10</v>
      </c>
      <c r="K2132" s="16">
        <v>502.74</v>
      </c>
      <c r="L2132" s="16" t="s">
        <v>126</v>
      </c>
      <c r="M2132" s="16" t="s">
        <v>140</v>
      </c>
      <c r="N2132" s="27">
        <v>45315.545138888891</v>
      </c>
      <c r="O2132" s="27">
        <v>45316.383333333331</v>
      </c>
      <c r="P2132" s="20"/>
      <c r="Q2132" s="16" t="b">
        <f>FALSE()</f>
        <v>0</v>
      </c>
      <c r="R2132" s="16" t="b">
        <f>TRUE()</f>
        <v>1</v>
      </c>
      <c r="S2132" s="17">
        <f t="shared" si="33"/>
        <v>20.100000000000001</v>
      </c>
      <c r="T2132">
        <f>COUNTIF('👤 Customers'!$A:$A, B2132)</f>
        <v>1</v>
      </c>
      <c r="U2132">
        <f>COUNTIF('🚴 Riders'!A2131:A2191, C2132)</f>
        <v>0</v>
      </c>
      <c r="V2132">
        <f>COUNTIF('🏭 Facilities'!A2131:A2139, D2132)</f>
        <v>0</v>
      </c>
    </row>
    <row r="2133" spans="1:22">
      <c r="A2133" s="18" t="s">
        <v>4926</v>
      </c>
      <c r="B2133" s="18" t="s">
        <v>216</v>
      </c>
      <c r="C2133" s="18" t="s">
        <v>413</v>
      </c>
      <c r="D2133" s="18" t="s">
        <v>137</v>
      </c>
      <c r="E2133" s="26">
        <v>45593</v>
      </c>
      <c r="F2133" s="18" t="s">
        <v>4927</v>
      </c>
      <c r="G2133" s="18" t="s">
        <v>145</v>
      </c>
      <c r="H2133" s="18">
        <v>2.9</v>
      </c>
      <c r="I2133" s="18">
        <v>299</v>
      </c>
      <c r="J2133" s="18">
        <v>0</v>
      </c>
      <c r="K2133" s="18">
        <v>867.1</v>
      </c>
      <c r="L2133" s="18" t="s">
        <v>146</v>
      </c>
      <c r="M2133" s="18" t="s">
        <v>119</v>
      </c>
      <c r="N2133" s="28">
        <v>45593.876388888886</v>
      </c>
      <c r="O2133" s="28">
        <v>45594.296527777777</v>
      </c>
      <c r="P2133" s="18">
        <v>3.8</v>
      </c>
      <c r="Q2133" s="18" t="b">
        <f>FALSE()</f>
        <v>0</v>
      </c>
      <c r="R2133" s="18" t="b">
        <f>FALSE()</f>
        <v>0</v>
      </c>
      <c r="S2133" s="19">
        <f t="shared" si="33"/>
        <v>10.1</v>
      </c>
      <c r="T2133">
        <f>COUNTIF('👤 Customers'!$A:$A, B2133)</f>
        <v>1</v>
      </c>
      <c r="U2133">
        <f>COUNTIF('🚴 Riders'!A2132:A2192, C2133)</f>
        <v>0</v>
      </c>
      <c r="V2133">
        <f>COUNTIF('🏭 Facilities'!A2132:A2140, D2133)</f>
        <v>0</v>
      </c>
    </row>
    <row r="2134" spans="1:22">
      <c r="A2134" s="16" t="s">
        <v>4928</v>
      </c>
      <c r="B2134" s="16" t="s">
        <v>1095</v>
      </c>
      <c r="C2134" s="16" t="s">
        <v>257</v>
      </c>
      <c r="D2134" s="16" t="s">
        <v>123</v>
      </c>
      <c r="E2134" s="25">
        <v>45541</v>
      </c>
      <c r="F2134" s="16" t="s">
        <v>4929</v>
      </c>
      <c r="G2134" s="16" t="s">
        <v>176</v>
      </c>
      <c r="H2134" s="16">
        <v>7.1</v>
      </c>
      <c r="I2134" s="16">
        <v>599</v>
      </c>
      <c r="J2134" s="16">
        <v>10</v>
      </c>
      <c r="K2134" s="16">
        <v>3827.61</v>
      </c>
      <c r="L2134" s="16" t="s">
        <v>146</v>
      </c>
      <c r="M2134" s="16" t="s">
        <v>119</v>
      </c>
      <c r="N2134" s="27">
        <v>45542.081250000003</v>
      </c>
      <c r="O2134" s="27">
        <v>45543.080555555556</v>
      </c>
      <c r="P2134" s="16">
        <v>4.3</v>
      </c>
      <c r="Q2134" s="16" t="b">
        <f>FALSE()</f>
        <v>0</v>
      </c>
      <c r="R2134" s="16" t="b">
        <f>FALSE()</f>
        <v>0</v>
      </c>
      <c r="S2134" s="17">
        <f t="shared" si="33"/>
        <v>24</v>
      </c>
      <c r="T2134">
        <f>COUNTIF('👤 Customers'!$A:$A, B2134)</f>
        <v>1</v>
      </c>
      <c r="U2134">
        <f>COUNTIF('🚴 Riders'!A2133:A2193, C2134)</f>
        <v>0</v>
      </c>
      <c r="V2134">
        <f>COUNTIF('🏭 Facilities'!A2133:A2141, D2134)</f>
        <v>0</v>
      </c>
    </row>
    <row r="2135" spans="1:22">
      <c r="A2135" s="18" t="s">
        <v>4930</v>
      </c>
      <c r="B2135" s="18" t="s">
        <v>525</v>
      </c>
      <c r="C2135" s="18" t="s">
        <v>257</v>
      </c>
      <c r="D2135" s="18" t="s">
        <v>115</v>
      </c>
      <c r="E2135" s="26">
        <v>44930</v>
      </c>
      <c r="F2135" s="18" t="s">
        <v>4931</v>
      </c>
      <c r="G2135" s="18" t="s">
        <v>117</v>
      </c>
      <c r="H2135" s="18">
        <v>2.2000000000000002</v>
      </c>
      <c r="I2135" s="18">
        <v>149</v>
      </c>
      <c r="J2135" s="18">
        <v>0</v>
      </c>
      <c r="K2135" s="18">
        <v>327.8</v>
      </c>
      <c r="L2135" s="18" t="s">
        <v>207</v>
      </c>
      <c r="M2135" s="18" t="s">
        <v>119</v>
      </c>
      <c r="N2135" s="28">
        <v>44930.981944444444</v>
      </c>
      <c r="O2135" s="28">
        <v>44931.680555555555</v>
      </c>
      <c r="P2135" s="18">
        <v>2.7</v>
      </c>
      <c r="Q2135" s="18" t="b">
        <f>FALSE()</f>
        <v>0</v>
      </c>
      <c r="R2135" s="18" t="b">
        <f>FALSE()</f>
        <v>0</v>
      </c>
      <c r="S2135" s="19">
        <f t="shared" si="33"/>
        <v>16.8</v>
      </c>
      <c r="T2135">
        <f>COUNTIF('👤 Customers'!$A:$A, B2135)</f>
        <v>1</v>
      </c>
      <c r="U2135">
        <f>COUNTIF('🚴 Riders'!A2134:A2194, C2135)</f>
        <v>0</v>
      </c>
      <c r="V2135">
        <f>COUNTIF('🏭 Facilities'!A2134:A2142, D2135)</f>
        <v>0</v>
      </c>
    </row>
    <row r="2136" spans="1:22">
      <c r="A2136" s="16" t="s">
        <v>4932</v>
      </c>
      <c r="B2136" s="16" t="s">
        <v>1356</v>
      </c>
      <c r="C2136" s="16" t="s">
        <v>717</v>
      </c>
      <c r="D2136" s="16" t="s">
        <v>158</v>
      </c>
      <c r="E2136" s="25">
        <v>45314</v>
      </c>
      <c r="F2136" s="16" t="s">
        <v>4933</v>
      </c>
      <c r="G2136" s="16" t="s">
        <v>117</v>
      </c>
      <c r="H2136" s="16">
        <v>4.7</v>
      </c>
      <c r="I2136" s="16">
        <v>149</v>
      </c>
      <c r="J2136" s="16">
        <v>20</v>
      </c>
      <c r="K2136" s="16">
        <v>560.24</v>
      </c>
      <c r="L2136" s="16" t="s">
        <v>146</v>
      </c>
      <c r="M2136" s="16" t="s">
        <v>119</v>
      </c>
      <c r="N2136" s="27">
        <v>45314.75</v>
      </c>
      <c r="O2136" s="27">
        <v>45315.582638888889</v>
      </c>
      <c r="P2136" s="16">
        <v>4.8</v>
      </c>
      <c r="Q2136" s="16" t="b">
        <f>FALSE()</f>
        <v>0</v>
      </c>
      <c r="R2136" s="16" t="b">
        <f>FALSE()</f>
        <v>0</v>
      </c>
      <c r="S2136" s="17">
        <f t="shared" si="33"/>
        <v>20</v>
      </c>
      <c r="T2136">
        <f>COUNTIF('👤 Customers'!$A:$A, B2136)</f>
        <v>1</v>
      </c>
      <c r="U2136">
        <f>COUNTIF('🚴 Riders'!A2135:A2195, C2136)</f>
        <v>0</v>
      </c>
      <c r="V2136">
        <f>COUNTIF('🏭 Facilities'!A2135:A2143, D2136)</f>
        <v>0</v>
      </c>
    </row>
    <row r="2137" spans="1:22">
      <c r="A2137" s="18" t="s">
        <v>4934</v>
      </c>
      <c r="B2137" s="18" t="s">
        <v>620</v>
      </c>
      <c r="C2137" s="18" t="s">
        <v>196</v>
      </c>
      <c r="D2137" s="18" t="s">
        <v>123</v>
      </c>
      <c r="E2137" s="26">
        <v>45385</v>
      </c>
      <c r="F2137" s="18" t="s">
        <v>4935</v>
      </c>
      <c r="G2137" s="18" t="s">
        <v>176</v>
      </c>
      <c r="H2137" s="18">
        <v>4.7</v>
      </c>
      <c r="I2137" s="18">
        <v>599</v>
      </c>
      <c r="J2137" s="18">
        <v>20</v>
      </c>
      <c r="K2137" s="18">
        <v>2252.2399999999998</v>
      </c>
      <c r="L2137" s="18" t="s">
        <v>126</v>
      </c>
      <c r="M2137" s="18" t="s">
        <v>119</v>
      </c>
      <c r="N2137" s="28">
        <v>45385.081250000003</v>
      </c>
      <c r="O2137" s="28">
        <v>45385.64166666667</v>
      </c>
      <c r="P2137" s="18">
        <v>3.1</v>
      </c>
      <c r="Q2137" s="18" t="b">
        <f>TRUE()</f>
        <v>1</v>
      </c>
      <c r="R2137" s="18" t="b">
        <f>FALSE()</f>
        <v>0</v>
      </c>
      <c r="S2137" s="19">
        <f t="shared" si="33"/>
        <v>13.5</v>
      </c>
      <c r="T2137">
        <f>COUNTIF('👤 Customers'!$A:$A, B2137)</f>
        <v>1</v>
      </c>
      <c r="U2137">
        <f>COUNTIF('🚴 Riders'!A2136:A2196, C2137)</f>
        <v>0</v>
      </c>
      <c r="V2137">
        <f>COUNTIF('🏭 Facilities'!A2136:A2144, D2137)</f>
        <v>0</v>
      </c>
    </row>
    <row r="2138" spans="1:22">
      <c r="A2138" s="16" t="s">
        <v>4936</v>
      </c>
      <c r="B2138" s="16" t="s">
        <v>1030</v>
      </c>
      <c r="C2138" s="16" t="s">
        <v>224</v>
      </c>
      <c r="D2138" s="16" t="s">
        <v>205</v>
      </c>
      <c r="E2138" s="25">
        <v>45646</v>
      </c>
      <c r="F2138" s="16" t="s">
        <v>4937</v>
      </c>
      <c r="G2138" s="16" t="s">
        <v>132</v>
      </c>
      <c r="H2138" s="16">
        <v>6.1</v>
      </c>
      <c r="I2138" s="16">
        <v>399</v>
      </c>
      <c r="J2138" s="16">
        <v>0</v>
      </c>
      <c r="K2138" s="16">
        <v>2433.9</v>
      </c>
      <c r="L2138" s="16" t="s">
        <v>146</v>
      </c>
      <c r="M2138" s="16" t="s">
        <v>140</v>
      </c>
      <c r="N2138" s="27">
        <v>45646.568055555559</v>
      </c>
      <c r="O2138" s="27">
        <v>45647.245833333334</v>
      </c>
      <c r="P2138" s="20"/>
      <c r="Q2138" s="16" t="b">
        <f>FALSE()</f>
        <v>0</v>
      </c>
      <c r="R2138" s="16" t="b">
        <f>FALSE()</f>
        <v>0</v>
      </c>
      <c r="S2138" s="17">
        <f t="shared" si="33"/>
        <v>16.3</v>
      </c>
      <c r="T2138">
        <f>COUNTIF('👤 Customers'!$A:$A, B2138)</f>
        <v>1</v>
      </c>
      <c r="U2138">
        <f>COUNTIF('🚴 Riders'!A2137:A2197, C2138)</f>
        <v>0</v>
      </c>
      <c r="V2138">
        <f>COUNTIF('🏭 Facilities'!A2137:A2145, D2138)</f>
        <v>0</v>
      </c>
    </row>
    <row r="2139" spans="1:22">
      <c r="A2139" s="18" t="s">
        <v>4938</v>
      </c>
      <c r="B2139" s="18" t="s">
        <v>1832</v>
      </c>
      <c r="C2139" s="18" t="s">
        <v>842</v>
      </c>
      <c r="D2139" s="18" t="s">
        <v>123</v>
      </c>
      <c r="E2139" s="26">
        <v>45185</v>
      </c>
      <c r="F2139" s="18" t="s">
        <v>4939</v>
      </c>
      <c r="G2139" s="18" t="s">
        <v>125</v>
      </c>
      <c r="H2139" s="18">
        <v>7.9</v>
      </c>
      <c r="I2139" s="18">
        <v>199</v>
      </c>
      <c r="J2139" s="18">
        <v>0</v>
      </c>
      <c r="K2139" s="18">
        <v>1572.1</v>
      </c>
      <c r="L2139" s="18" t="s">
        <v>146</v>
      </c>
      <c r="M2139" s="18" t="s">
        <v>119</v>
      </c>
      <c r="N2139" s="28">
        <v>45185.624305555553</v>
      </c>
      <c r="O2139" s="28">
        <v>45186.152777777781</v>
      </c>
      <c r="P2139" s="18">
        <v>3.2</v>
      </c>
      <c r="Q2139" s="18" t="b">
        <f>FALSE()</f>
        <v>0</v>
      </c>
      <c r="R2139" s="18" t="b">
        <f>FALSE()</f>
        <v>0</v>
      </c>
      <c r="S2139" s="19">
        <f t="shared" si="33"/>
        <v>12.7</v>
      </c>
      <c r="T2139">
        <f>COUNTIF('👤 Customers'!$A:$A, B2139)</f>
        <v>1</v>
      </c>
      <c r="U2139">
        <f>COUNTIF('🚴 Riders'!A2138:A2198, C2139)</f>
        <v>0</v>
      </c>
      <c r="V2139">
        <f>COUNTIF('🏭 Facilities'!A2138:A2146, D2139)</f>
        <v>0</v>
      </c>
    </row>
    <row r="2140" spans="1:22">
      <c r="A2140" s="16" t="s">
        <v>4940</v>
      </c>
      <c r="B2140" s="16" t="s">
        <v>785</v>
      </c>
      <c r="C2140" s="16" t="s">
        <v>166</v>
      </c>
      <c r="D2140" s="16" t="s">
        <v>137</v>
      </c>
      <c r="E2140" s="25">
        <v>45254</v>
      </c>
      <c r="F2140" s="16" t="s">
        <v>4941</v>
      </c>
      <c r="G2140" s="16" t="s">
        <v>117</v>
      </c>
      <c r="H2140" s="16">
        <v>3.8</v>
      </c>
      <c r="I2140" s="16">
        <v>149</v>
      </c>
      <c r="J2140" s="16">
        <v>20</v>
      </c>
      <c r="K2140" s="16">
        <v>452.96</v>
      </c>
      <c r="L2140" s="16" t="s">
        <v>207</v>
      </c>
      <c r="M2140" s="16" t="s">
        <v>119</v>
      </c>
      <c r="N2140" s="27">
        <v>45254.888194444444</v>
      </c>
      <c r="O2140" s="27">
        <v>45255.554166666669</v>
      </c>
      <c r="P2140" s="16">
        <v>4.7</v>
      </c>
      <c r="Q2140" s="16" t="b">
        <f>TRUE()</f>
        <v>1</v>
      </c>
      <c r="R2140" s="16" t="b">
        <f>FALSE()</f>
        <v>0</v>
      </c>
      <c r="S2140" s="17">
        <f t="shared" si="33"/>
        <v>16</v>
      </c>
      <c r="T2140">
        <f>COUNTIF('👤 Customers'!$A:$A, B2140)</f>
        <v>1</v>
      </c>
      <c r="U2140">
        <f>COUNTIF('🚴 Riders'!A2139:A2199, C2140)</f>
        <v>0</v>
      </c>
      <c r="V2140">
        <f>COUNTIF('🏭 Facilities'!A2139:A2147, D2140)</f>
        <v>0</v>
      </c>
    </row>
    <row r="2141" spans="1:22">
      <c r="A2141" s="18" t="s">
        <v>4942</v>
      </c>
      <c r="B2141" s="18" t="s">
        <v>592</v>
      </c>
      <c r="C2141" s="18" t="s">
        <v>188</v>
      </c>
      <c r="D2141" s="18" t="s">
        <v>184</v>
      </c>
      <c r="E2141" s="26">
        <v>45288</v>
      </c>
      <c r="F2141" s="18" t="s">
        <v>4943</v>
      </c>
      <c r="G2141" s="18" t="s">
        <v>125</v>
      </c>
      <c r="H2141" s="18">
        <v>5.6</v>
      </c>
      <c r="I2141" s="18">
        <v>199</v>
      </c>
      <c r="J2141" s="18">
        <v>0</v>
      </c>
      <c r="K2141" s="18">
        <v>1114.4000000000001</v>
      </c>
      <c r="L2141" s="18" t="s">
        <v>207</v>
      </c>
      <c r="M2141" s="18" t="s">
        <v>119</v>
      </c>
      <c r="N2141" s="28">
        <v>45288.531944444447</v>
      </c>
      <c r="O2141" s="28">
        <v>45289.553472222222</v>
      </c>
      <c r="P2141" s="18">
        <v>4.3</v>
      </c>
      <c r="Q2141" s="18" t="b">
        <f>FALSE()</f>
        <v>0</v>
      </c>
      <c r="R2141" s="18" t="b">
        <f>FALSE()</f>
        <v>0</v>
      </c>
      <c r="S2141" s="19">
        <f t="shared" si="33"/>
        <v>24.5</v>
      </c>
      <c r="T2141">
        <f>COUNTIF('👤 Customers'!$A:$A, B2141)</f>
        <v>1</v>
      </c>
      <c r="U2141">
        <f>COUNTIF('🚴 Riders'!A2140:A2200, C2141)</f>
        <v>0</v>
      </c>
      <c r="V2141">
        <f>COUNTIF('🏭 Facilities'!A2140:A2148, D2141)</f>
        <v>0</v>
      </c>
    </row>
    <row r="2142" spans="1:22">
      <c r="A2142" s="16" t="s">
        <v>4944</v>
      </c>
      <c r="B2142" s="16" t="s">
        <v>4945</v>
      </c>
      <c r="C2142" s="16" t="s">
        <v>170</v>
      </c>
      <c r="D2142" s="16" t="s">
        <v>115</v>
      </c>
      <c r="E2142" s="25">
        <v>45114</v>
      </c>
      <c r="F2142" s="16" t="s">
        <v>4946</v>
      </c>
      <c r="G2142" s="16" t="s">
        <v>132</v>
      </c>
      <c r="H2142" s="16">
        <v>1.4</v>
      </c>
      <c r="I2142" s="16">
        <v>399</v>
      </c>
      <c r="J2142" s="16">
        <v>20</v>
      </c>
      <c r="K2142" s="16">
        <v>446.88</v>
      </c>
      <c r="L2142" s="16" t="s">
        <v>126</v>
      </c>
      <c r="M2142" s="16" t="s">
        <v>140</v>
      </c>
      <c r="N2142" s="27">
        <v>45114.447916666664</v>
      </c>
      <c r="O2142" s="27">
        <v>45115.457638888889</v>
      </c>
      <c r="P2142" s="20"/>
      <c r="Q2142" s="16" t="b">
        <f>FALSE()</f>
        <v>0</v>
      </c>
      <c r="R2142" s="16" t="b">
        <f>FALSE()</f>
        <v>0</v>
      </c>
      <c r="S2142" s="17">
        <f t="shared" si="33"/>
        <v>24.2</v>
      </c>
      <c r="T2142">
        <f>COUNTIF('👤 Customers'!$A:$A, B2142)</f>
        <v>1</v>
      </c>
      <c r="U2142">
        <f>COUNTIF('🚴 Riders'!A2141:A2201, C2142)</f>
        <v>0</v>
      </c>
      <c r="V2142">
        <f>COUNTIF('🏭 Facilities'!A2141:A2149, D2142)</f>
        <v>0</v>
      </c>
    </row>
    <row r="2143" spans="1:22">
      <c r="A2143" s="18" t="s">
        <v>4947</v>
      </c>
      <c r="B2143" s="18" t="s">
        <v>1793</v>
      </c>
      <c r="C2143" s="18" t="s">
        <v>179</v>
      </c>
      <c r="D2143" s="18" t="s">
        <v>197</v>
      </c>
      <c r="E2143" s="26">
        <v>45052</v>
      </c>
      <c r="F2143" s="18" t="s">
        <v>4948</v>
      </c>
      <c r="G2143" s="18" t="s">
        <v>117</v>
      </c>
      <c r="H2143" s="18">
        <v>3.1</v>
      </c>
      <c r="I2143" s="18">
        <v>149</v>
      </c>
      <c r="J2143" s="18">
        <v>20</v>
      </c>
      <c r="K2143" s="18">
        <v>369.52</v>
      </c>
      <c r="L2143" s="18" t="s">
        <v>207</v>
      </c>
      <c r="M2143" s="18" t="s">
        <v>119</v>
      </c>
      <c r="N2143" s="28">
        <v>45052.872916666667</v>
      </c>
      <c r="O2143" s="28">
        <v>45053.877083333333</v>
      </c>
      <c r="P2143" s="18">
        <v>3.9</v>
      </c>
      <c r="Q2143" s="18" t="b">
        <f>TRUE()</f>
        <v>1</v>
      </c>
      <c r="R2143" s="18" t="b">
        <f>FALSE()</f>
        <v>0</v>
      </c>
      <c r="S2143" s="19">
        <f t="shared" si="33"/>
        <v>24.1</v>
      </c>
      <c r="T2143">
        <f>COUNTIF('👤 Customers'!$A:$A, B2143)</f>
        <v>1</v>
      </c>
      <c r="U2143">
        <f>COUNTIF('🚴 Riders'!A2142:A2202, C2143)</f>
        <v>0</v>
      </c>
      <c r="V2143">
        <f>COUNTIF('🏭 Facilities'!A2142:A2150, D2143)</f>
        <v>0</v>
      </c>
    </row>
    <row r="2144" spans="1:22">
      <c r="A2144" s="16" t="s">
        <v>4949</v>
      </c>
      <c r="B2144" s="16" t="s">
        <v>2865</v>
      </c>
      <c r="C2144" s="16" t="s">
        <v>261</v>
      </c>
      <c r="D2144" s="16" t="s">
        <v>205</v>
      </c>
      <c r="E2144" s="25">
        <v>45071</v>
      </c>
      <c r="F2144" s="16" t="s">
        <v>4950</v>
      </c>
      <c r="G2144" s="16" t="s">
        <v>176</v>
      </c>
      <c r="H2144" s="16">
        <v>7.3</v>
      </c>
      <c r="I2144" s="16">
        <v>599</v>
      </c>
      <c r="J2144" s="16">
        <v>0</v>
      </c>
      <c r="K2144" s="16">
        <v>4372.7</v>
      </c>
      <c r="L2144" s="16" t="s">
        <v>146</v>
      </c>
      <c r="M2144" s="16" t="s">
        <v>119</v>
      </c>
      <c r="N2144" s="27">
        <v>45071.629166666666</v>
      </c>
      <c r="O2144" s="27">
        <v>45072.259722222225</v>
      </c>
      <c r="P2144" s="16">
        <v>4.7</v>
      </c>
      <c r="Q2144" s="16" t="b">
        <f>FALSE()</f>
        <v>0</v>
      </c>
      <c r="R2144" s="16" t="b">
        <f>FALSE()</f>
        <v>0</v>
      </c>
      <c r="S2144" s="17">
        <f t="shared" si="33"/>
        <v>15.1</v>
      </c>
      <c r="T2144">
        <f>COUNTIF('👤 Customers'!$A:$A, B2144)</f>
        <v>1</v>
      </c>
      <c r="U2144">
        <f>COUNTIF('🚴 Riders'!A2143:A2203, C2144)</f>
        <v>0</v>
      </c>
      <c r="V2144">
        <f>COUNTIF('🏭 Facilities'!A2143:A2151, D2144)</f>
        <v>0</v>
      </c>
    </row>
    <row r="2145" spans="1:22">
      <c r="A2145" s="18" t="s">
        <v>4951</v>
      </c>
      <c r="B2145" s="18" t="s">
        <v>2082</v>
      </c>
      <c r="C2145" s="18" t="s">
        <v>136</v>
      </c>
      <c r="D2145" s="18" t="s">
        <v>137</v>
      </c>
      <c r="E2145" s="26">
        <v>45106</v>
      </c>
      <c r="F2145" s="18" t="s">
        <v>4952</v>
      </c>
      <c r="G2145" s="18" t="s">
        <v>117</v>
      </c>
      <c r="H2145" s="18">
        <v>4</v>
      </c>
      <c r="I2145" s="18">
        <v>149</v>
      </c>
      <c r="J2145" s="18">
        <v>10</v>
      </c>
      <c r="K2145" s="18">
        <v>536.4</v>
      </c>
      <c r="L2145" s="18" t="s">
        <v>118</v>
      </c>
      <c r="M2145" s="18" t="s">
        <v>119</v>
      </c>
      <c r="N2145" s="28">
        <v>45106.957638888889</v>
      </c>
      <c r="O2145" s="28">
        <v>45107.960416666669</v>
      </c>
      <c r="P2145" s="18">
        <v>2.8</v>
      </c>
      <c r="Q2145" s="18" t="b">
        <f>FALSE()</f>
        <v>0</v>
      </c>
      <c r="R2145" s="18" t="b">
        <f>FALSE()</f>
        <v>0</v>
      </c>
      <c r="S2145" s="19">
        <f t="shared" si="33"/>
        <v>24.1</v>
      </c>
      <c r="T2145">
        <f>COUNTIF('👤 Customers'!$A:$A, B2145)</f>
        <v>1</v>
      </c>
      <c r="U2145">
        <f>COUNTIF('🚴 Riders'!A2144:A2204, C2145)</f>
        <v>0</v>
      </c>
      <c r="V2145">
        <f>COUNTIF('🏭 Facilities'!A2144:A2152, D2145)</f>
        <v>0</v>
      </c>
    </row>
    <row r="2146" spans="1:22">
      <c r="A2146" s="16" t="s">
        <v>4953</v>
      </c>
      <c r="B2146" s="16" t="s">
        <v>935</v>
      </c>
      <c r="C2146" s="16" t="s">
        <v>166</v>
      </c>
      <c r="D2146" s="16" t="s">
        <v>123</v>
      </c>
      <c r="E2146" s="25">
        <v>45333</v>
      </c>
      <c r="F2146" s="16" t="s">
        <v>4954</v>
      </c>
      <c r="G2146" s="16" t="s">
        <v>176</v>
      </c>
      <c r="H2146" s="16">
        <v>3.7</v>
      </c>
      <c r="I2146" s="16">
        <v>599</v>
      </c>
      <c r="J2146" s="16">
        <v>0</v>
      </c>
      <c r="K2146" s="16">
        <v>2216.3000000000002</v>
      </c>
      <c r="L2146" s="16" t="s">
        <v>207</v>
      </c>
      <c r="M2146" s="16" t="s">
        <v>119</v>
      </c>
      <c r="N2146" s="27">
        <v>45333.61041666667</v>
      </c>
      <c r="O2146" s="27">
        <v>45334.394444444442</v>
      </c>
      <c r="P2146" s="16">
        <v>3.8</v>
      </c>
      <c r="Q2146" s="16" t="b">
        <f>FALSE()</f>
        <v>0</v>
      </c>
      <c r="R2146" s="16" t="b">
        <f>FALSE()</f>
        <v>0</v>
      </c>
      <c r="S2146" s="17">
        <f t="shared" si="33"/>
        <v>18.8</v>
      </c>
      <c r="T2146">
        <f>COUNTIF('👤 Customers'!$A:$A, B2146)</f>
        <v>1</v>
      </c>
      <c r="U2146">
        <f>COUNTIF('🚴 Riders'!A2145:A2205, C2146)</f>
        <v>0</v>
      </c>
      <c r="V2146">
        <f>COUNTIF('🏭 Facilities'!A2145:A2153, D2146)</f>
        <v>0</v>
      </c>
    </row>
    <row r="2147" spans="1:22">
      <c r="A2147" s="18" t="s">
        <v>4955</v>
      </c>
      <c r="B2147" s="18" t="s">
        <v>1058</v>
      </c>
      <c r="C2147" s="18" t="s">
        <v>563</v>
      </c>
      <c r="D2147" s="18" t="s">
        <v>137</v>
      </c>
      <c r="E2147" s="26">
        <v>45579</v>
      </c>
      <c r="F2147" s="18" t="s">
        <v>189</v>
      </c>
      <c r="G2147" s="18" t="s">
        <v>176</v>
      </c>
      <c r="H2147" s="18">
        <v>7.9</v>
      </c>
      <c r="I2147" s="18">
        <v>599</v>
      </c>
      <c r="J2147" s="18">
        <v>0</v>
      </c>
      <c r="K2147" s="18">
        <v>4732.1000000000004</v>
      </c>
      <c r="L2147" s="18" t="s">
        <v>146</v>
      </c>
      <c r="M2147" s="18" t="s">
        <v>119</v>
      </c>
      <c r="N2147" s="28">
        <v>45580.058333333334</v>
      </c>
      <c r="O2147" s="28">
        <v>45580.38958333333</v>
      </c>
      <c r="P2147" s="18">
        <v>3.9</v>
      </c>
      <c r="Q2147" s="18" t="b">
        <f>FALSE()</f>
        <v>0</v>
      </c>
      <c r="R2147" s="18" t="b">
        <f>FALSE()</f>
        <v>0</v>
      </c>
      <c r="S2147" s="19">
        <f t="shared" si="33"/>
        <v>7.9</v>
      </c>
      <c r="T2147">
        <f>COUNTIF('👤 Customers'!$A:$A, B2147)</f>
        <v>1</v>
      </c>
      <c r="U2147">
        <f>COUNTIF('🚴 Riders'!A2146:A2206, C2147)</f>
        <v>0</v>
      </c>
      <c r="V2147">
        <f>COUNTIF('🏭 Facilities'!A2146:A2154, D2147)</f>
        <v>0</v>
      </c>
    </row>
    <row r="2148" spans="1:22">
      <c r="A2148" s="16" t="s">
        <v>4956</v>
      </c>
      <c r="B2148" s="16" t="s">
        <v>1067</v>
      </c>
      <c r="C2148" s="16" t="s">
        <v>413</v>
      </c>
      <c r="D2148" s="16" t="s">
        <v>137</v>
      </c>
      <c r="E2148" s="25">
        <v>45542</v>
      </c>
      <c r="F2148" s="16" t="s">
        <v>4957</v>
      </c>
      <c r="G2148" s="16" t="s">
        <v>132</v>
      </c>
      <c r="H2148" s="16">
        <v>2.5</v>
      </c>
      <c r="I2148" s="16">
        <v>399</v>
      </c>
      <c r="J2148" s="16">
        <v>0</v>
      </c>
      <c r="K2148" s="16">
        <v>997.5</v>
      </c>
      <c r="L2148" s="16" t="s">
        <v>139</v>
      </c>
      <c r="M2148" s="16" t="s">
        <v>119</v>
      </c>
      <c r="N2148" s="27">
        <v>45542.73541666667</v>
      </c>
      <c r="O2148" s="27">
        <v>45543.383333333331</v>
      </c>
      <c r="P2148" s="16">
        <v>4.8</v>
      </c>
      <c r="Q2148" s="16" t="b">
        <f>FALSE()</f>
        <v>0</v>
      </c>
      <c r="R2148" s="16" t="b">
        <f>FALSE()</f>
        <v>0</v>
      </c>
      <c r="S2148" s="17">
        <f t="shared" si="33"/>
        <v>15.5</v>
      </c>
      <c r="T2148">
        <f>COUNTIF('👤 Customers'!$A:$A, B2148)</f>
        <v>1</v>
      </c>
      <c r="U2148">
        <f>COUNTIF('🚴 Riders'!A2147:A2207, C2148)</f>
        <v>0</v>
      </c>
      <c r="V2148">
        <f>COUNTIF('🏭 Facilities'!A2147:A2155, D2148)</f>
        <v>0</v>
      </c>
    </row>
    <row r="2149" spans="1:22">
      <c r="A2149" s="18" t="s">
        <v>4958</v>
      </c>
      <c r="B2149" s="18" t="s">
        <v>1226</v>
      </c>
      <c r="C2149" s="18" t="s">
        <v>308</v>
      </c>
      <c r="D2149" s="18" t="s">
        <v>130</v>
      </c>
      <c r="E2149" s="26">
        <v>45032</v>
      </c>
      <c r="F2149" s="18" t="s">
        <v>4959</v>
      </c>
      <c r="G2149" s="18" t="s">
        <v>145</v>
      </c>
      <c r="H2149" s="18">
        <v>7.6</v>
      </c>
      <c r="I2149" s="18">
        <v>299</v>
      </c>
      <c r="J2149" s="18">
        <v>10</v>
      </c>
      <c r="K2149" s="18">
        <v>2045.16</v>
      </c>
      <c r="L2149" s="18" t="s">
        <v>207</v>
      </c>
      <c r="M2149" s="18" t="s">
        <v>119</v>
      </c>
      <c r="N2149" s="28">
        <v>45032.824999999997</v>
      </c>
      <c r="O2149" s="28">
        <v>45033.263194444444</v>
      </c>
      <c r="P2149" s="18">
        <v>2.5</v>
      </c>
      <c r="Q2149" s="18" t="b">
        <f>FALSE()</f>
        <v>0</v>
      </c>
      <c r="R2149" s="18" t="b">
        <f>FALSE()</f>
        <v>0</v>
      </c>
      <c r="S2149" s="19">
        <f t="shared" si="33"/>
        <v>10.5</v>
      </c>
      <c r="T2149">
        <f>COUNTIF('👤 Customers'!$A:$A, B2149)</f>
        <v>1</v>
      </c>
      <c r="U2149">
        <f>COUNTIF('🚴 Riders'!A2148:A2208, C2149)</f>
        <v>0</v>
      </c>
      <c r="V2149">
        <f>COUNTIF('🏭 Facilities'!A2148:A2156, D2149)</f>
        <v>0</v>
      </c>
    </row>
    <row r="2150" spans="1:22">
      <c r="A2150" s="16" t="s">
        <v>4960</v>
      </c>
      <c r="B2150" s="16" t="s">
        <v>634</v>
      </c>
      <c r="C2150" s="16" t="s">
        <v>192</v>
      </c>
      <c r="D2150" s="16" t="s">
        <v>130</v>
      </c>
      <c r="E2150" s="25">
        <v>45362</v>
      </c>
      <c r="F2150" s="16" t="s">
        <v>4961</v>
      </c>
      <c r="G2150" s="16" t="s">
        <v>132</v>
      </c>
      <c r="H2150" s="16">
        <v>6.8</v>
      </c>
      <c r="I2150" s="16">
        <v>399</v>
      </c>
      <c r="J2150" s="16">
        <v>0</v>
      </c>
      <c r="K2150" s="16">
        <v>2713.2</v>
      </c>
      <c r="L2150" s="16" t="s">
        <v>118</v>
      </c>
      <c r="M2150" s="16" t="s">
        <v>119</v>
      </c>
      <c r="N2150" s="27">
        <v>45362.931250000001</v>
      </c>
      <c r="O2150" s="27">
        <v>45363.243750000001</v>
      </c>
      <c r="P2150" s="16">
        <v>4.0999999999999996</v>
      </c>
      <c r="Q2150" s="16" t="b">
        <f>FALSE()</f>
        <v>0</v>
      </c>
      <c r="R2150" s="16" t="b">
        <f>FALSE()</f>
        <v>0</v>
      </c>
      <c r="S2150" s="17">
        <f t="shared" si="33"/>
        <v>7.5</v>
      </c>
      <c r="T2150">
        <f>COUNTIF('👤 Customers'!$A:$A, B2150)</f>
        <v>1</v>
      </c>
      <c r="U2150">
        <f>COUNTIF('🚴 Riders'!A2149:A2209, C2150)</f>
        <v>0</v>
      </c>
      <c r="V2150">
        <f>COUNTIF('🏭 Facilities'!A2149:A2157, D2150)</f>
        <v>0</v>
      </c>
    </row>
    <row r="2151" spans="1:22">
      <c r="A2151" s="18" t="s">
        <v>4962</v>
      </c>
      <c r="B2151" s="18" t="s">
        <v>759</v>
      </c>
      <c r="C2151" s="18" t="s">
        <v>350</v>
      </c>
      <c r="D2151" s="18" t="s">
        <v>115</v>
      </c>
      <c r="E2151" s="26">
        <v>45514</v>
      </c>
      <c r="F2151" s="18" t="s">
        <v>4963</v>
      </c>
      <c r="G2151" s="18" t="s">
        <v>117</v>
      </c>
      <c r="H2151" s="18">
        <v>4.4000000000000004</v>
      </c>
      <c r="I2151" s="18">
        <v>149</v>
      </c>
      <c r="J2151" s="18">
        <v>0</v>
      </c>
      <c r="K2151" s="18">
        <v>655.6</v>
      </c>
      <c r="L2151" s="18" t="s">
        <v>139</v>
      </c>
      <c r="M2151" s="18" t="s">
        <v>119</v>
      </c>
      <c r="N2151" s="28">
        <v>45514.827777777777</v>
      </c>
      <c r="O2151" s="28">
        <v>45515.845833333333</v>
      </c>
      <c r="P2151" s="18">
        <v>4.0999999999999996</v>
      </c>
      <c r="Q2151" s="18" t="b">
        <f>FALSE()</f>
        <v>0</v>
      </c>
      <c r="R2151" s="18" t="b">
        <f>TRUE()</f>
        <v>1</v>
      </c>
      <c r="S2151" s="19">
        <f t="shared" si="33"/>
        <v>24.4</v>
      </c>
      <c r="T2151">
        <f>COUNTIF('👤 Customers'!$A:$A, B2151)</f>
        <v>1</v>
      </c>
      <c r="U2151">
        <f>COUNTIF('🚴 Riders'!A2150:A2210, C2151)</f>
        <v>0</v>
      </c>
      <c r="V2151">
        <f>COUNTIF('🏭 Facilities'!A2150:A2158, D2151)</f>
        <v>0</v>
      </c>
    </row>
    <row r="2152" spans="1:22">
      <c r="A2152" s="16" t="s">
        <v>4964</v>
      </c>
      <c r="B2152" s="16" t="s">
        <v>293</v>
      </c>
      <c r="C2152" s="16" t="s">
        <v>192</v>
      </c>
      <c r="D2152" s="16" t="s">
        <v>137</v>
      </c>
      <c r="E2152" s="25">
        <v>45183</v>
      </c>
      <c r="F2152" s="16" t="s">
        <v>4965</v>
      </c>
      <c r="G2152" s="16" t="s">
        <v>132</v>
      </c>
      <c r="H2152" s="16">
        <v>3.4</v>
      </c>
      <c r="I2152" s="16">
        <v>399</v>
      </c>
      <c r="J2152" s="16">
        <v>0</v>
      </c>
      <c r="K2152" s="16">
        <v>1356.6</v>
      </c>
      <c r="L2152" s="16" t="s">
        <v>207</v>
      </c>
      <c r="M2152" s="16" t="s">
        <v>133</v>
      </c>
      <c r="N2152" s="20"/>
      <c r="O2152" s="20"/>
      <c r="P2152" s="20"/>
      <c r="Q2152" s="16" t="b">
        <f>FALSE()</f>
        <v>0</v>
      </c>
      <c r="R2152" s="16" t="b">
        <f>FALSE()</f>
        <v>0</v>
      </c>
      <c r="S2152" s="17" t="str">
        <f t="shared" si="33"/>
        <v>N/A</v>
      </c>
      <c r="T2152">
        <f>COUNTIF('👤 Customers'!$A:$A, B2152)</f>
        <v>1</v>
      </c>
      <c r="U2152">
        <f>COUNTIF('🚴 Riders'!A2151:A2211, C2152)</f>
        <v>0</v>
      </c>
      <c r="V2152">
        <f>COUNTIF('🏭 Facilities'!A2151:A2159, D2152)</f>
        <v>0</v>
      </c>
    </row>
    <row r="2153" spans="1:22">
      <c r="A2153" s="18" t="s">
        <v>4966</v>
      </c>
      <c r="B2153" s="18" t="s">
        <v>1654</v>
      </c>
      <c r="C2153" s="18" t="s">
        <v>842</v>
      </c>
      <c r="D2153" s="18" t="s">
        <v>205</v>
      </c>
      <c r="E2153" s="26">
        <v>45556</v>
      </c>
      <c r="F2153" s="18" t="s">
        <v>4967</v>
      </c>
      <c r="G2153" s="18" t="s">
        <v>145</v>
      </c>
      <c r="H2153" s="18">
        <v>7.5</v>
      </c>
      <c r="I2153" s="18">
        <v>299</v>
      </c>
      <c r="J2153" s="18">
        <v>0</v>
      </c>
      <c r="K2153" s="18">
        <v>2242.5</v>
      </c>
      <c r="L2153" s="18" t="s">
        <v>118</v>
      </c>
      <c r="M2153" s="18" t="s">
        <v>140</v>
      </c>
      <c r="N2153" s="28">
        <v>45556.272916666669</v>
      </c>
      <c r="O2153" s="28">
        <v>45556.818749999999</v>
      </c>
      <c r="P2153" s="20"/>
      <c r="Q2153" s="18" t="b">
        <f>FALSE()</f>
        <v>0</v>
      </c>
      <c r="R2153" s="18" t="b">
        <f>FALSE()</f>
        <v>0</v>
      </c>
      <c r="S2153" s="19">
        <f t="shared" si="33"/>
        <v>13.1</v>
      </c>
      <c r="T2153">
        <f>COUNTIF('👤 Customers'!$A:$A, B2153)</f>
        <v>1</v>
      </c>
      <c r="U2153">
        <f>COUNTIF('🚴 Riders'!A2152:A2212, C2153)</f>
        <v>0</v>
      </c>
      <c r="V2153">
        <f>COUNTIF('🏭 Facilities'!A2152:A2160, D2153)</f>
        <v>0</v>
      </c>
    </row>
    <row r="2154" spans="1:22">
      <c r="A2154" s="16" t="s">
        <v>4968</v>
      </c>
      <c r="B2154" s="16" t="s">
        <v>1477</v>
      </c>
      <c r="C2154" s="16" t="s">
        <v>143</v>
      </c>
      <c r="D2154" s="16" t="s">
        <v>184</v>
      </c>
      <c r="E2154" s="25">
        <v>45331</v>
      </c>
      <c r="F2154" s="16" t="s">
        <v>3316</v>
      </c>
      <c r="G2154" s="16" t="s">
        <v>176</v>
      </c>
      <c r="H2154" s="16">
        <v>6.1</v>
      </c>
      <c r="I2154" s="16">
        <v>599</v>
      </c>
      <c r="J2154" s="16">
        <v>10</v>
      </c>
      <c r="K2154" s="16">
        <v>3288.51</v>
      </c>
      <c r="L2154" s="16" t="s">
        <v>118</v>
      </c>
      <c r="M2154" s="16" t="s">
        <v>119</v>
      </c>
      <c r="N2154" s="27">
        <v>45331.99722222222</v>
      </c>
      <c r="O2154" s="27">
        <v>45332.960416666669</v>
      </c>
      <c r="P2154" s="16">
        <v>2.8</v>
      </c>
      <c r="Q2154" s="16" t="b">
        <f>FALSE()</f>
        <v>0</v>
      </c>
      <c r="R2154" s="16" t="b">
        <f>FALSE()</f>
        <v>0</v>
      </c>
      <c r="S2154" s="17">
        <f t="shared" si="33"/>
        <v>23.1</v>
      </c>
      <c r="T2154">
        <f>COUNTIF('👤 Customers'!$A:$A, B2154)</f>
        <v>1</v>
      </c>
      <c r="U2154">
        <f>COUNTIF('🚴 Riders'!A2153:A2213, C2154)</f>
        <v>0</v>
      </c>
      <c r="V2154">
        <f>COUNTIF('🏭 Facilities'!A2153:A2161, D2154)</f>
        <v>0</v>
      </c>
    </row>
    <row r="2155" spans="1:22">
      <c r="A2155" s="18" t="s">
        <v>4969</v>
      </c>
      <c r="B2155" s="18" t="s">
        <v>2238</v>
      </c>
      <c r="C2155" s="18" t="s">
        <v>192</v>
      </c>
      <c r="D2155" s="18" t="s">
        <v>158</v>
      </c>
      <c r="E2155" s="26">
        <v>45344</v>
      </c>
      <c r="F2155" s="18" t="s">
        <v>4970</v>
      </c>
      <c r="G2155" s="18" t="s">
        <v>125</v>
      </c>
      <c r="H2155" s="18">
        <v>3.5</v>
      </c>
      <c r="I2155" s="18">
        <v>199</v>
      </c>
      <c r="J2155" s="18">
        <v>0</v>
      </c>
      <c r="K2155" s="18">
        <v>696.5</v>
      </c>
      <c r="L2155" s="18" t="s">
        <v>118</v>
      </c>
      <c r="M2155" s="18" t="s">
        <v>140</v>
      </c>
      <c r="N2155" s="28">
        <v>45344.574305555558</v>
      </c>
      <c r="O2155" s="28">
        <v>45345.152777777781</v>
      </c>
      <c r="P2155" s="20"/>
      <c r="Q2155" s="18" t="b">
        <f>FALSE()</f>
        <v>0</v>
      </c>
      <c r="R2155" s="18" t="b">
        <f>TRUE()</f>
        <v>1</v>
      </c>
      <c r="S2155" s="19">
        <f t="shared" si="33"/>
        <v>13.9</v>
      </c>
      <c r="T2155">
        <f>COUNTIF('👤 Customers'!$A:$A, B2155)</f>
        <v>1</v>
      </c>
      <c r="U2155">
        <f>COUNTIF('🚴 Riders'!A2154:A2214, C2155)</f>
        <v>0</v>
      </c>
      <c r="V2155">
        <f>COUNTIF('🏭 Facilities'!A2154:A2162, D2155)</f>
        <v>0</v>
      </c>
    </row>
    <row r="2156" spans="1:22">
      <c r="A2156" s="16" t="s">
        <v>4971</v>
      </c>
      <c r="B2156" s="16" t="s">
        <v>2580</v>
      </c>
      <c r="C2156" s="16" t="s">
        <v>166</v>
      </c>
      <c r="D2156" s="16" t="s">
        <v>137</v>
      </c>
      <c r="E2156" s="25">
        <v>45143</v>
      </c>
      <c r="F2156" s="16" t="s">
        <v>4972</v>
      </c>
      <c r="G2156" s="16" t="s">
        <v>176</v>
      </c>
      <c r="H2156" s="16">
        <v>5.7</v>
      </c>
      <c r="I2156" s="16">
        <v>599</v>
      </c>
      <c r="J2156" s="16">
        <v>20</v>
      </c>
      <c r="K2156" s="16">
        <v>2731.44</v>
      </c>
      <c r="L2156" s="16" t="s">
        <v>146</v>
      </c>
      <c r="M2156" s="16" t="s">
        <v>140</v>
      </c>
      <c r="N2156" s="27">
        <v>45143.464583333334</v>
      </c>
      <c r="O2156" s="27">
        <v>45144.15</v>
      </c>
      <c r="P2156" s="20"/>
      <c r="Q2156" s="16" t="b">
        <f>FALSE()</f>
        <v>0</v>
      </c>
      <c r="R2156" s="16" t="b">
        <f>FALSE()</f>
        <v>0</v>
      </c>
      <c r="S2156" s="17">
        <f t="shared" si="33"/>
        <v>16.5</v>
      </c>
      <c r="T2156">
        <f>COUNTIF('👤 Customers'!$A:$A, B2156)</f>
        <v>1</v>
      </c>
      <c r="U2156">
        <f>COUNTIF('🚴 Riders'!A2155:A2215, C2156)</f>
        <v>0</v>
      </c>
      <c r="V2156">
        <f>COUNTIF('🏭 Facilities'!A2155:A2163, D2156)</f>
        <v>0</v>
      </c>
    </row>
    <row r="2157" spans="1:22">
      <c r="A2157" s="18" t="s">
        <v>4973</v>
      </c>
      <c r="B2157" s="18" t="s">
        <v>1439</v>
      </c>
      <c r="C2157" s="18" t="s">
        <v>350</v>
      </c>
      <c r="D2157" s="18" t="s">
        <v>158</v>
      </c>
      <c r="E2157" s="26">
        <v>45053</v>
      </c>
      <c r="F2157" s="18" t="s">
        <v>4974</v>
      </c>
      <c r="G2157" s="18" t="s">
        <v>117</v>
      </c>
      <c r="H2157" s="18">
        <v>4.8</v>
      </c>
      <c r="I2157" s="18">
        <v>149</v>
      </c>
      <c r="J2157" s="18">
        <v>0</v>
      </c>
      <c r="K2157" s="18">
        <v>715.2</v>
      </c>
      <c r="L2157" s="18" t="s">
        <v>207</v>
      </c>
      <c r="M2157" s="18" t="s">
        <v>133</v>
      </c>
      <c r="N2157" s="20"/>
      <c r="O2157" s="20"/>
      <c r="P2157" s="20"/>
      <c r="Q2157" s="18" t="b">
        <f>FALSE()</f>
        <v>0</v>
      </c>
      <c r="R2157" s="18" t="b">
        <f>FALSE()</f>
        <v>0</v>
      </c>
      <c r="S2157" s="19" t="str">
        <f t="shared" si="33"/>
        <v>N/A</v>
      </c>
      <c r="T2157">
        <f>COUNTIF('👤 Customers'!$A:$A, B2157)</f>
        <v>1</v>
      </c>
      <c r="U2157">
        <f>COUNTIF('🚴 Riders'!A2156:A2216, C2157)</f>
        <v>0</v>
      </c>
      <c r="V2157">
        <f>COUNTIF('🏭 Facilities'!A2156:A2164, D2157)</f>
        <v>0</v>
      </c>
    </row>
    <row r="2158" spans="1:22">
      <c r="A2158" s="16" t="s">
        <v>4975</v>
      </c>
      <c r="B2158" s="16" t="s">
        <v>660</v>
      </c>
      <c r="C2158" s="16" t="s">
        <v>308</v>
      </c>
      <c r="D2158" s="16" t="s">
        <v>205</v>
      </c>
      <c r="E2158" s="25">
        <v>45169</v>
      </c>
      <c r="F2158" s="16" t="s">
        <v>4976</v>
      </c>
      <c r="G2158" s="16" t="s">
        <v>176</v>
      </c>
      <c r="H2158" s="16">
        <v>6.9</v>
      </c>
      <c r="I2158" s="16">
        <v>599</v>
      </c>
      <c r="J2158" s="16">
        <v>10</v>
      </c>
      <c r="K2158" s="16">
        <v>3719.79</v>
      </c>
      <c r="L2158" s="16" t="s">
        <v>207</v>
      </c>
      <c r="M2158" s="16" t="s">
        <v>119</v>
      </c>
      <c r="N2158" s="27">
        <v>45170.10833333333</v>
      </c>
      <c r="O2158" s="27">
        <v>45170.71875</v>
      </c>
      <c r="P2158" s="16">
        <v>2.6</v>
      </c>
      <c r="Q2158" s="16" t="b">
        <f>TRUE()</f>
        <v>1</v>
      </c>
      <c r="R2158" s="16" t="b">
        <f>FALSE()</f>
        <v>0</v>
      </c>
      <c r="S2158" s="17">
        <f t="shared" si="33"/>
        <v>14.7</v>
      </c>
      <c r="T2158">
        <f>COUNTIF('👤 Customers'!$A:$A, B2158)</f>
        <v>1</v>
      </c>
      <c r="U2158">
        <f>COUNTIF('🚴 Riders'!A2157:A2217, C2158)</f>
        <v>0</v>
      </c>
      <c r="V2158">
        <f>COUNTIF('🏭 Facilities'!A2157:A2165, D2158)</f>
        <v>0</v>
      </c>
    </row>
    <row r="2159" spans="1:22">
      <c r="A2159" s="18" t="s">
        <v>4977</v>
      </c>
      <c r="B2159" s="18" t="s">
        <v>4307</v>
      </c>
      <c r="C2159" s="18" t="s">
        <v>196</v>
      </c>
      <c r="D2159" s="18" t="s">
        <v>158</v>
      </c>
      <c r="E2159" s="26">
        <v>45102</v>
      </c>
      <c r="F2159" s="18" t="s">
        <v>4978</v>
      </c>
      <c r="G2159" s="18" t="s">
        <v>132</v>
      </c>
      <c r="H2159" s="18">
        <v>5</v>
      </c>
      <c r="I2159" s="18">
        <v>399</v>
      </c>
      <c r="J2159" s="18">
        <v>0</v>
      </c>
      <c r="K2159" s="18">
        <v>1995</v>
      </c>
      <c r="L2159" s="18" t="s">
        <v>207</v>
      </c>
      <c r="M2159" s="18" t="s">
        <v>119</v>
      </c>
      <c r="N2159" s="28">
        <v>45102.120138888888</v>
      </c>
      <c r="O2159" s="28">
        <v>45103.162499999999</v>
      </c>
      <c r="P2159" s="18">
        <v>3.9</v>
      </c>
      <c r="Q2159" s="18" t="b">
        <f>FALSE()</f>
        <v>0</v>
      </c>
      <c r="R2159" s="18" t="b">
        <f>FALSE()</f>
        <v>0</v>
      </c>
      <c r="S2159" s="19">
        <f t="shared" si="33"/>
        <v>25</v>
      </c>
      <c r="T2159">
        <f>COUNTIF('👤 Customers'!$A:$A, B2159)</f>
        <v>1</v>
      </c>
      <c r="U2159">
        <f>COUNTIF('🚴 Riders'!A2158:A2218, C2159)</f>
        <v>0</v>
      </c>
      <c r="V2159">
        <f>COUNTIF('🏭 Facilities'!A2158:A2166, D2159)</f>
        <v>0</v>
      </c>
    </row>
    <row r="2160" spans="1:22">
      <c r="A2160" s="16" t="s">
        <v>4979</v>
      </c>
      <c r="B2160" s="16" t="s">
        <v>557</v>
      </c>
      <c r="C2160" s="16" t="s">
        <v>240</v>
      </c>
      <c r="D2160" s="16" t="s">
        <v>130</v>
      </c>
      <c r="E2160" s="25">
        <v>45412</v>
      </c>
      <c r="F2160" s="16" t="s">
        <v>4980</v>
      </c>
      <c r="G2160" s="16" t="s">
        <v>125</v>
      </c>
      <c r="H2160" s="16">
        <v>3.2</v>
      </c>
      <c r="I2160" s="16">
        <v>199</v>
      </c>
      <c r="J2160" s="16">
        <v>20</v>
      </c>
      <c r="K2160" s="16">
        <v>509.44</v>
      </c>
      <c r="L2160" s="16" t="s">
        <v>207</v>
      </c>
      <c r="M2160" s="16" t="s">
        <v>119</v>
      </c>
      <c r="N2160" s="27">
        <v>45412.131944444445</v>
      </c>
      <c r="O2160" s="27">
        <v>45413.007638888892</v>
      </c>
      <c r="P2160" s="16">
        <v>3.6</v>
      </c>
      <c r="Q2160" s="16" t="b">
        <f>FALSE()</f>
        <v>0</v>
      </c>
      <c r="R2160" s="16" t="b">
        <f>TRUE()</f>
        <v>1</v>
      </c>
      <c r="S2160" s="17">
        <f t="shared" si="33"/>
        <v>21</v>
      </c>
      <c r="T2160">
        <f>COUNTIF('👤 Customers'!$A:$A, B2160)</f>
        <v>1</v>
      </c>
      <c r="U2160">
        <f>COUNTIF('🚴 Riders'!A2159:A2219, C2160)</f>
        <v>0</v>
      </c>
      <c r="V2160">
        <f>COUNTIF('🏭 Facilities'!A2159:A2167, D2160)</f>
        <v>0</v>
      </c>
    </row>
    <row r="2161" spans="1:22">
      <c r="A2161" s="18" t="s">
        <v>4981</v>
      </c>
      <c r="B2161" s="18" t="s">
        <v>2147</v>
      </c>
      <c r="C2161" s="18" t="s">
        <v>611</v>
      </c>
      <c r="D2161" s="18" t="s">
        <v>158</v>
      </c>
      <c r="E2161" s="26">
        <v>45240</v>
      </c>
      <c r="F2161" s="18" t="s">
        <v>4982</v>
      </c>
      <c r="G2161" s="18" t="s">
        <v>145</v>
      </c>
      <c r="H2161" s="18">
        <v>1.1000000000000001</v>
      </c>
      <c r="I2161" s="18">
        <v>299</v>
      </c>
      <c r="J2161" s="18">
        <v>10</v>
      </c>
      <c r="K2161" s="18">
        <v>296.01</v>
      </c>
      <c r="L2161" s="18" t="s">
        <v>118</v>
      </c>
      <c r="M2161" s="18" t="s">
        <v>119</v>
      </c>
      <c r="N2161" s="28">
        <v>45240.655555555553</v>
      </c>
      <c r="O2161" s="28">
        <v>45241.368750000001</v>
      </c>
      <c r="P2161" s="18">
        <v>4</v>
      </c>
      <c r="Q2161" s="18" t="b">
        <f>FALSE()</f>
        <v>0</v>
      </c>
      <c r="R2161" s="18" t="b">
        <f>FALSE()</f>
        <v>0</v>
      </c>
      <c r="S2161" s="19">
        <f t="shared" si="33"/>
        <v>17.100000000000001</v>
      </c>
      <c r="T2161">
        <f>COUNTIF('👤 Customers'!$A:$A, B2161)</f>
        <v>1</v>
      </c>
      <c r="U2161">
        <f>COUNTIF('🚴 Riders'!A2160:A2220, C2161)</f>
        <v>0</v>
      </c>
      <c r="V2161">
        <f>COUNTIF('🏭 Facilities'!A2160:A2168, D2161)</f>
        <v>0</v>
      </c>
    </row>
    <row r="2162" spans="1:22">
      <c r="A2162" s="16" t="s">
        <v>4983</v>
      </c>
      <c r="B2162" s="16" t="s">
        <v>2262</v>
      </c>
      <c r="C2162" s="16" t="s">
        <v>358</v>
      </c>
      <c r="D2162" s="16" t="s">
        <v>184</v>
      </c>
      <c r="E2162" s="25">
        <v>45468</v>
      </c>
      <c r="F2162" s="16" t="s">
        <v>4984</v>
      </c>
      <c r="G2162" s="16" t="s">
        <v>176</v>
      </c>
      <c r="H2162" s="16">
        <v>5.7</v>
      </c>
      <c r="I2162" s="16">
        <v>599</v>
      </c>
      <c r="J2162" s="16">
        <v>0</v>
      </c>
      <c r="K2162" s="16">
        <v>3414.3</v>
      </c>
      <c r="L2162" s="16" t="s">
        <v>118</v>
      </c>
      <c r="M2162" s="16" t="s">
        <v>119</v>
      </c>
      <c r="N2162" s="27">
        <v>45468.320138888892</v>
      </c>
      <c r="O2162" s="27">
        <v>45468.916666666664</v>
      </c>
      <c r="P2162" s="16">
        <v>3.3</v>
      </c>
      <c r="Q2162" s="16" t="b">
        <f>FALSE()</f>
        <v>0</v>
      </c>
      <c r="R2162" s="16" t="b">
        <f>FALSE()</f>
        <v>0</v>
      </c>
      <c r="S2162" s="17">
        <f t="shared" si="33"/>
        <v>14.3</v>
      </c>
      <c r="T2162">
        <f>COUNTIF('👤 Customers'!$A:$A, B2162)</f>
        <v>1</v>
      </c>
      <c r="U2162">
        <f>COUNTIF('🚴 Riders'!A2161:A2221, C2162)</f>
        <v>0</v>
      </c>
      <c r="V2162">
        <f>COUNTIF('🏭 Facilities'!A2161:A2169, D2162)</f>
        <v>0</v>
      </c>
    </row>
    <row r="2163" spans="1:22">
      <c r="A2163" s="18" t="s">
        <v>4985</v>
      </c>
      <c r="B2163" s="18" t="s">
        <v>1155</v>
      </c>
      <c r="C2163" s="18" t="s">
        <v>563</v>
      </c>
      <c r="D2163" s="18" t="s">
        <v>123</v>
      </c>
      <c r="E2163" s="26">
        <v>45227</v>
      </c>
      <c r="F2163" s="18" t="s">
        <v>4986</v>
      </c>
      <c r="G2163" s="18" t="s">
        <v>132</v>
      </c>
      <c r="H2163" s="18">
        <v>4.9000000000000004</v>
      </c>
      <c r="I2163" s="18">
        <v>399</v>
      </c>
      <c r="J2163" s="18">
        <v>10</v>
      </c>
      <c r="K2163" s="18">
        <v>1759.59</v>
      </c>
      <c r="L2163" s="18" t="s">
        <v>126</v>
      </c>
      <c r="M2163" s="18" t="s">
        <v>119</v>
      </c>
      <c r="N2163" s="28">
        <v>45227.413888888892</v>
      </c>
      <c r="O2163" s="28">
        <v>45228.163888888892</v>
      </c>
      <c r="P2163" s="18">
        <v>3.9</v>
      </c>
      <c r="Q2163" s="18" t="b">
        <f>FALSE()</f>
        <v>0</v>
      </c>
      <c r="R2163" s="18" t="b">
        <f>FALSE()</f>
        <v>0</v>
      </c>
      <c r="S2163" s="19">
        <f t="shared" si="33"/>
        <v>18</v>
      </c>
      <c r="T2163">
        <f>COUNTIF('👤 Customers'!$A:$A, B2163)</f>
        <v>1</v>
      </c>
      <c r="U2163">
        <f>COUNTIF('🚴 Riders'!A2162:A2222, C2163)</f>
        <v>0</v>
      </c>
      <c r="V2163">
        <f>COUNTIF('🏭 Facilities'!A2162:A2170, D2163)</f>
        <v>0</v>
      </c>
    </row>
    <row r="2164" spans="1:22">
      <c r="A2164" s="16" t="s">
        <v>4987</v>
      </c>
      <c r="B2164" s="16" t="s">
        <v>545</v>
      </c>
      <c r="C2164" s="16" t="s">
        <v>322</v>
      </c>
      <c r="D2164" s="16" t="s">
        <v>137</v>
      </c>
      <c r="E2164" s="25">
        <v>45462</v>
      </c>
      <c r="F2164" s="16" t="s">
        <v>4988</v>
      </c>
      <c r="G2164" s="16" t="s">
        <v>117</v>
      </c>
      <c r="H2164" s="16">
        <v>1.9</v>
      </c>
      <c r="I2164" s="16">
        <v>149</v>
      </c>
      <c r="J2164" s="16">
        <v>20</v>
      </c>
      <c r="K2164" s="16">
        <v>226.48</v>
      </c>
      <c r="L2164" s="16" t="s">
        <v>126</v>
      </c>
      <c r="M2164" s="16" t="s">
        <v>119</v>
      </c>
      <c r="N2164" s="27">
        <v>45462.730555555558</v>
      </c>
      <c r="O2164" s="27">
        <v>45463.800694444442</v>
      </c>
      <c r="P2164" s="16">
        <v>3.5</v>
      </c>
      <c r="Q2164" s="16" t="b">
        <f>FALSE()</f>
        <v>0</v>
      </c>
      <c r="R2164" s="16" t="b">
        <f>FALSE()</f>
        <v>0</v>
      </c>
      <c r="S2164" s="17">
        <f t="shared" si="33"/>
        <v>25.7</v>
      </c>
      <c r="T2164">
        <f>COUNTIF('👤 Customers'!$A:$A, B2164)</f>
        <v>1</v>
      </c>
      <c r="U2164">
        <f>COUNTIF('🚴 Riders'!A2163:A2223, C2164)</f>
        <v>0</v>
      </c>
      <c r="V2164">
        <f>COUNTIF('🏭 Facilities'!A2163:A2171, D2164)</f>
        <v>0</v>
      </c>
    </row>
    <row r="2165" spans="1:22">
      <c r="A2165" s="18" t="s">
        <v>4989</v>
      </c>
      <c r="B2165" s="18" t="s">
        <v>1317</v>
      </c>
      <c r="C2165" s="18" t="s">
        <v>326</v>
      </c>
      <c r="D2165" s="18" t="s">
        <v>130</v>
      </c>
      <c r="E2165" s="26">
        <v>45401</v>
      </c>
      <c r="F2165" s="18" t="s">
        <v>4990</v>
      </c>
      <c r="G2165" s="18" t="s">
        <v>132</v>
      </c>
      <c r="H2165" s="18">
        <v>1.6</v>
      </c>
      <c r="I2165" s="18">
        <v>399</v>
      </c>
      <c r="J2165" s="18">
        <v>20</v>
      </c>
      <c r="K2165" s="18">
        <v>510.72</v>
      </c>
      <c r="L2165" s="18" t="s">
        <v>126</v>
      </c>
      <c r="M2165" s="18" t="s">
        <v>119</v>
      </c>
      <c r="N2165" s="28">
        <v>45401.09375</v>
      </c>
      <c r="O2165" s="28">
        <v>45401.945138888892</v>
      </c>
      <c r="P2165" s="18">
        <v>4.5</v>
      </c>
      <c r="Q2165" s="18" t="b">
        <f>FALSE()</f>
        <v>0</v>
      </c>
      <c r="R2165" s="18" t="b">
        <f>FALSE()</f>
        <v>0</v>
      </c>
      <c r="S2165" s="19">
        <f t="shared" si="33"/>
        <v>20.399999999999999</v>
      </c>
      <c r="T2165">
        <f>COUNTIF('👤 Customers'!$A:$A, B2165)</f>
        <v>1</v>
      </c>
      <c r="U2165">
        <f>COUNTIF('🚴 Riders'!A2164:A2224, C2165)</f>
        <v>0</v>
      </c>
      <c r="V2165">
        <f>COUNTIF('🏭 Facilities'!A2164:A2172, D2165)</f>
        <v>0</v>
      </c>
    </row>
    <row r="2166" spans="1:22">
      <c r="A2166" s="16" t="s">
        <v>4991</v>
      </c>
      <c r="B2166" s="16" t="s">
        <v>2847</v>
      </c>
      <c r="C2166" s="16" t="s">
        <v>174</v>
      </c>
      <c r="D2166" s="16" t="s">
        <v>130</v>
      </c>
      <c r="E2166" s="25">
        <v>45226</v>
      </c>
      <c r="F2166" s="16" t="s">
        <v>4992</v>
      </c>
      <c r="G2166" s="16" t="s">
        <v>176</v>
      </c>
      <c r="H2166" s="16">
        <v>7.2</v>
      </c>
      <c r="I2166" s="16">
        <v>599</v>
      </c>
      <c r="J2166" s="16">
        <v>0</v>
      </c>
      <c r="K2166" s="16">
        <v>4312.8</v>
      </c>
      <c r="L2166" s="16" t="s">
        <v>118</v>
      </c>
      <c r="M2166" s="16" t="s">
        <v>119</v>
      </c>
      <c r="N2166" s="27">
        <v>45226.690972222219</v>
      </c>
      <c r="O2166" s="27">
        <v>45227.574999999997</v>
      </c>
      <c r="P2166" s="16">
        <v>4.2</v>
      </c>
      <c r="Q2166" s="16" t="b">
        <f>FALSE()</f>
        <v>0</v>
      </c>
      <c r="R2166" s="16" t="b">
        <f>FALSE()</f>
        <v>0</v>
      </c>
      <c r="S2166" s="17">
        <f t="shared" si="33"/>
        <v>21.2</v>
      </c>
      <c r="T2166">
        <f>COUNTIF('👤 Customers'!$A:$A, B2166)</f>
        <v>1</v>
      </c>
      <c r="U2166">
        <f>COUNTIF('🚴 Riders'!A2165:A2225, C2166)</f>
        <v>0</v>
      </c>
      <c r="V2166">
        <f>COUNTIF('🏭 Facilities'!A2165:A2173, D2166)</f>
        <v>0</v>
      </c>
    </row>
    <row r="2167" spans="1:22">
      <c r="A2167" s="18" t="s">
        <v>4993</v>
      </c>
      <c r="B2167" s="18" t="s">
        <v>2763</v>
      </c>
      <c r="C2167" s="18" t="s">
        <v>247</v>
      </c>
      <c r="D2167" s="18" t="s">
        <v>130</v>
      </c>
      <c r="E2167" s="26">
        <v>44998</v>
      </c>
      <c r="F2167" s="18" t="s">
        <v>4994</v>
      </c>
      <c r="G2167" s="18" t="s">
        <v>132</v>
      </c>
      <c r="H2167" s="18">
        <v>6.2</v>
      </c>
      <c r="I2167" s="18">
        <v>399</v>
      </c>
      <c r="J2167" s="18">
        <v>0</v>
      </c>
      <c r="K2167" s="18">
        <v>2473.8000000000002</v>
      </c>
      <c r="L2167" s="18" t="s">
        <v>118</v>
      </c>
      <c r="M2167" s="18" t="s">
        <v>119</v>
      </c>
      <c r="N2167" s="28">
        <v>44998.140277777777</v>
      </c>
      <c r="O2167" s="28">
        <v>44999.006944444445</v>
      </c>
      <c r="P2167" s="18">
        <v>4.0999999999999996</v>
      </c>
      <c r="Q2167" s="18" t="b">
        <f>FALSE()</f>
        <v>0</v>
      </c>
      <c r="R2167" s="18" t="b">
        <f>TRUE()</f>
        <v>1</v>
      </c>
      <c r="S2167" s="19">
        <f t="shared" si="33"/>
        <v>20.8</v>
      </c>
      <c r="T2167">
        <f>COUNTIF('👤 Customers'!$A:$A, B2167)</f>
        <v>1</v>
      </c>
      <c r="U2167">
        <f>COUNTIF('🚴 Riders'!A2166:A2226, C2167)</f>
        <v>0</v>
      </c>
      <c r="V2167">
        <f>COUNTIF('🏭 Facilities'!A2166:A2174, D2167)</f>
        <v>0</v>
      </c>
    </row>
    <row r="2168" spans="1:22">
      <c r="A2168" s="16" t="s">
        <v>4995</v>
      </c>
      <c r="B2168" s="16" t="s">
        <v>346</v>
      </c>
      <c r="C2168" s="16" t="s">
        <v>265</v>
      </c>
      <c r="D2168" s="16" t="s">
        <v>115</v>
      </c>
      <c r="E2168" s="25">
        <v>45121</v>
      </c>
      <c r="F2168" s="16" t="s">
        <v>4996</v>
      </c>
      <c r="G2168" s="16" t="s">
        <v>125</v>
      </c>
      <c r="H2168" s="16">
        <v>2.2000000000000002</v>
      </c>
      <c r="I2168" s="16">
        <v>199</v>
      </c>
      <c r="J2168" s="16">
        <v>10</v>
      </c>
      <c r="K2168" s="16">
        <v>394.02</v>
      </c>
      <c r="L2168" s="16" t="s">
        <v>146</v>
      </c>
      <c r="M2168" s="16" t="s">
        <v>133</v>
      </c>
      <c r="N2168" s="20"/>
      <c r="O2168" s="20"/>
      <c r="P2168" s="20"/>
      <c r="Q2168" s="16" t="b">
        <f>FALSE()</f>
        <v>0</v>
      </c>
      <c r="R2168" s="16" t="b">
        <f>FALSE()</f>
        <v>0</v>
      </c>
      <c r="S2168" s="17" t="str">
        <f t="shared" si="33"/>
        <v>N/A</v>
      </c>
      <c r="T2168">
        <f>COUNTIF('👤 Customers'!$A:$A, B2168)</f>
        <v>1</v>
      </c>
      <c r="U2168">
        <f>COUNTIF('🚴 Riders'!A2167:A2227, C2168)</f>
        <v>0</v>
      </c>
      <c r="V2168">
        <f>COUNTIF('🏭 Facilities'!A2167:A2175, D2168)</f>
        <v>0</v>
      </c>
    </row>
    <row r="2169" spans="1:22">
      <c r="A2169" s="18" t="s">
        <v>4997</v>
      </c>
      <c r="B2169" s="18" t="s">
        <v>710</v>
      </c>
      <c r="C2169" s="18" t="s">
        <v>129</v>
      </c>
      <c r="D2169" s="18" t="s">
        <v>137</v>
      </c>
      <c r="E2169" s="26">
        <v>45476</v>
      </c>
      <c r="F2169" s="18" t="s">
        <v>4998</v>
      </c>
      <c r="G2169" s="18" t="s">
        <v>125</v>
      </c>
      <c r="H2169" s="18">
        <v>3</v>
      </c>
      <c r="I2169" s="18">
        <v>199</v>
      </c>
      <c r="J2169" s="18">
        <v>20</v>
      </c>
      <c r="K2169" s="18">
        <v>477.6</v>
      </c>
      <c r="L2169" s="18" t="s">
        <v>118</v>
      </c>
      <c r="M2169" s="18" t="s">
        <v>133</v>
      </c>
      <c r="N2169" s="20"/>
      <c r="O2169" s="20"/>
      <c r="P2169" s="20"/>
      <c r="Q2169" s="18" t="b">
        <f>FALSE()</f>
        <v>0</v>
      </c>
      <c r="R2169" s="18" t="b">
        <f>TRUE()</f>
        <v>1</v>
      </c>
      <c r="S2169" s="19" t="str">
        <f t="shared" si="33"/>
        <v>N/A</v>
      </c>
      <c r="T2169">
        <f>COUNTIF('👤 Customers'!$A:$A, B2169)</f>
        <v>1</v>
      </c>
      <c r="U2169">
        <f>COUNTIF('🚴 Riders'!A2168:A2228, C2169)</f>
        <v>0</v>
      </c>
      <c r="V2169">
        <f>COUNTIF('🏭 Facilities'!A2168:A2176, D2169)</f>
        <v>0</v>
      </c>
    </row>
    <row r="2170" spans="1:22">
      <c r="A2170" s="16" t="s">
        <v>4999</v>
      </c>
      <c r="B2170" s="16" t="s">
        <v>1530</v>
      </c>
      <c r="C2170" s="16" t="s">
        <v>343</v>
      </c>
      <c r="D2170" s="16" t="s">
        <v>205</v>
      </c>
      <c r="E2170" s="25">
        <v>45357</v>
      </c>
      <c r="F2170" s="16" t="s">
        <v>5000</v>
      </c>
      <c r="G2170" s="16" t="s">
        <v>176</v>
      </c>
      <c r="H2170" s="16">
        <v>1.6</v>
      </c>
      <c r="I2170" s="16">
        <v>599</v>
      </c>
      <c r="J2170" s="16">
        <v>30</v>
      </c>
      <c r="K2170" s="16">
        <v>670.88</v>
      </c>
      <c r="L2170" s="16" t="s">
        <v>139</v>
      </c>
      <c r="M2170" s="16" t="s">
        <v>119</v>
      </c>
      <c r="N2170" s="27">
        <v>45357.112500000003</v>
      </c>
      <c r="O2170" s="27">
        <v>45357.711111111108</v>
      </c>
      <c r="P2170" s="16">
        <v>2.7</v>
      </c>
      <c r="Q2170" s="16" t="b">
        <f>FALSE()</f>
        <v>0</v>
      </c>
      <c r="R2170" s="16" t="b">
        <f>FALSE()</f>
        <v>0</v>
      </c>
      <c r="S2170" s="17">
        <f t="shared" si="33"/>
        <v>14.4</v>
      </c>
      <c r="T2170">
        <f>COUNTIF('👤 Customers'!$A:$A, B2170)</f>
        <v>1</v>
      </c>
      <c r="U2170">
        <f>COUNTIF('🚴 Riders'!A2169:A2229, C2170)</f>
        <v>0</v>
      </c>
      <c r="V2170">
        <f>COUNTIF('🏭 Facilities'!A2169:A2177, D2170)</f>
        <v>0</v>
      </c>
    </row>
    <row r="2171" spans="1:22">
      <c r="A2171" s="18" t="s">
        <v>5001</v>
      </c>
      <c r="B2171" s="18" t="s">
        <v>121</v>
      </c>
      <c r="C2171" s="18" t="s">
        <v>240</v>
      </c>
      <c r="D2171" s="18" t="s">
        <v>137</v>
      </c>
      <c r="E2171" s="26">
        <v>45411</v>
      </c>
      <c r="F2171" s="18" t="s">
        <v>5002</v>
      </c>
      <c r="G2171" s="18" t="s">
        <v>145</v>
      </c>
      <c r="H2171" s="18">
        <v>5.8</v>
      </c>
      <c r="I2171" s="18">
        <v>299</v>
      </c>
      <c r="J2171" s="18">
        <v>20</v>
      </c>
      <c r="K2171" s="18">
        <v>1387.36</v>
      </c>
      <c r="L2171" s="18" t="s">
        <v>126</v>
      </c>
      <c r="M2171" s="18" t="s">
        <v>119</v>
      </c>
      <c r="N2171" s="28">
        <v>45411.319444444445</v>
      </c>
      <c r="O2171" s="28">
        <v>45411.717361111114</v>
      </c>
      <c r="P2171" s="18">
        <v>4.4000000000000004</v>
      </c>
      <c r="Q2171" s="18" t="b">
        <f>FALSE()</f>
        <v>0</v>
      </c>
      <c r="R2171" s="18" t="b">
        <f>FALSE()</f>
        <v>0</v>
      </c>
      <c r="S2171" s="19">
        <f t="shared" si="33"/>
        <v>9.6</v>
      </c>
      <c r="T2171">
        <f>COUNTIF('👤 Customers'!$A:$A, B2171)</f>
        <v>1</v>
      </c>
      <c r="U2171">
        <f>COUNTIF('🚴 Riders'!A2170:A2230, C2171)</f>
        <v>0</v>
      </c>
      <c r="V2171">
        <f>COUNTIF('🏭 Facilities'!A2170:A2178, D2171)</f>
        <v>0</v>
      </c>
    </row>
    <row r="2172" spans="1:22">
      <c r="A2172" s="16" t="s">
        <v>5003</v>
      </c>
      <c r="B2172" s="16" t="s">
        <v>318</v>
      </c>
      <c r="C2172" s="16" t="s">
        <v>350</v>
      </c>
      <c r="D2172" s="16" t="s">
        <v>123</v>
      </c>
      <c r="E2172" s="25">
        <v>45407</v>
      </c>
      <c r="F2172" s="16" t="s">
        <v>5004</v>
      </c>
      <c r="G2172" s="16" t="s">
        <v>125</v>
      </c>
      <c r="H2172" s="16">
        <v>7.2</v>
      </c>
      <c r="I2172" s="16">
        <v>199</v>
      </c>
      <c r="J2172" s="16">
        <v>10</v>
      </c>
      <c r="K2172" s="16">
        <v>1289.52</v>
      </c>
      <c r="L2172" s="16" t="s">
        <v>146</v>
      </c>
      <c r="M2172" s="16" t="s">
        <v>133</v>
      </c>
      <c r="N2172" s="20"/>
      <c r="O2172" s="20"/>
      <c r="P2172" s="20"/>
      <c r="Q2172" s="16" t="b">
        <f>TRUE()</f>
        <v>1</v>
      </c>
      <c r="R2172" s="16" t="b">
        <f>FALSE()</f>
        <v>0</v>
      </c>
      <c r="S2172" s="17" t="str">
        <f t="shared" si="33"/>
        <v>N/A</v>
      </c>
      <c r="T2172">
        <f>COUNTIF('👤 Customers'!$A:$A, B2172)</f>
        <v>1</v>
      </c>
      <c r="U2172">
        <f>COUNTIF('🚴 Riders'!A2171:A2231, C2172)</f>
        <v>0</v>
      </c>
      <c r="V2172">
        <f>COUNTIF('🏭 Facilities'!A2171:A2179, D2172)</f>
        <v>0</v>
      </c>
    </row>
    <row r="2173" spans="1:22">
      <c r="A2173" s="18" t="s">
        <v>5005</v>
      </c>
      <c r="B2173" s="18" t="s">
        <v>447</v>
      </c>
      <c r="C2173" s="18" t="s">
        <v>358</v>
      </c>
      <c r="D2173" s="18" t="s">
        <v>137</v>
      </c>
      <c r="E2173" s="26">
        <v>45394</v>
      </c>
      <c r="F2173" s="18" t="s">
        <v>5006</v>
      </c>
      <c r="G2173" s="18" t="s">
        <v>125</v>
      </c>
      <c r="H2173" s="18">
        <v>4.9000000000000004</v>
      </c>
      <c r="I2173" s="18">
        <v>199</v>
      </c>
      <c r="J2173" s="18">
        <v>10</v>
      </c>
      <c r="K2173" s="18">
        <v>877.59</v>
      </c>
      <c r="L2173" s="18" t="s">
        <v>207</v>
      </c>
      <c r="M2173" s="18" t="s">
        <v>140</v>
      </c>
      <c r="N2173" s="28">
        <v>45394.883333333331</v>
      </c>
      <c r="O2173" s="28">
        <v>45395.494444444441</v>
      </c>
      <c r="P2173" s="20"/>
      <c r="Q2173" s="18" t="b">
        <f>TRUE()</f>
        <v>1</v>
      </c>
      <c r="R2173" s="18" t="b">
        <f>FALSE()</f>
        <v>0</v>
      </c>
      <c r="S2173" s="19">
        <f t="shared" si="33"/>
        <v>14.7</v>
      </c>
      <c r="T2173">
        <f>COUNTIF('👤 Customers'!$A:$A, B2173)</f>
        <v>1</v>
      </c>
      <c r="U2173">
        <f>COUNTIF('🚴 Riders'!A2172:A2232, C2173)</f>
        <v>0</v>
      </c>
      <c r="V2173">
        <f>COUNTIF('🏭 Facilities'!A2172:A2180, D2173)</f>
        <v>0</v>
      </c>
    </row>
    <row r="2174" spans="1:22">
      <c r="A2174" s="16" t="s">
        <v>5007</v>
      </c>
      <c r="B2174" s="16" t="s">
        <v>135</v>
      </c>
      <c r="C2174" s="16" t="s">
        <v>136</v>
      </c>
      <c r="D2174" s="16" t="s">
        <v>130</v>
      </c>
      <c r="E2174" s="25">
        <v>45452</v>
      </c>
      <c r="F2174" s="16" t="s">
        <v>5008</v>
      </c>
      <c r="G2174" s="16" t="s">
        <v>176</v>
      </c>
      <c r="H2174" s="16">
        <v>7.1</v>
      </c>
      <c r="I2174" s="16">
        <v>599</v>
      </c>
      <c r="J2174" s="16">
        <v>0</v>
      </c>
      <c r="K2174" s="16">
        <v>4252.8999999999996</v>
      </c>
      <c r="L2174" s="16" t="s">
        <v>126</v>
      </c>
      <c r="M2174" s="16" t="s">
        <v>119</v>
      </c>
      <c r="N2174" s="27">
        <v>45452.173611111109</v>
      </c>
      <c r="O2174" s="27">
        <v>45452.654861111114</v>
      </c>
      <c r="P2174" s="16">
        <v>3.6</v>
      </c>
      <c r="Q2174" s="16" t="b">
        <f>FALSE()</f>
        <v>0</v>
      </c>
      <c r="R2174" s="16" t="b">
        <f>FALSE()</f>
        <v>0</v>
      </c>
      <c r="S2174" s="17">
        <f t="shared" si="33"/>
        <v>11.6</v>
      </c>
      <c r="T2174">
        <f>COUNTIF('👤 Customers'!$A:$A, B2174)</f>
        <v>1</v>
      </c>
      <c r="U2174">
        <f>COUNTIF('🚴 Riders'!A2173:A2233, C2174)</f>
        <v>0</v>
      </c>
      <c r="V2174">
        <f>COUNTIF('🏭 Facilities'!A2173:A2181, D2174)</f>
        <v>0</v>
      </c>
    </row>
    <row r="2175" spans="1:22">
      <c r="A2175" s="18" t="s">
        <v>5009</v>
      </c>
      <c r="B2175" s="18" t="s">
        <v>1339</v>
      </c>
      <c r="C2175" s="18" t="s">
        <v>304</v>
      </c>
      <c r="D2175" s="18" t="s">
        <v>130</v>
      </c>
      <c r="E2175" s="26">
        <v>45611</v>
      </c>
      <c r="F2175" s="18" t="s">
        <v>5010</v>
      </c>
      <c r="G2175" s="18" t="s">
        <v>145</v>
      </c>
      <c r="H2175" s="18">
        <v>4.4000000000000004</v>
      </c>
      <c r="I2175" s="18">
        <v>299</v>
      </c>
      <c r="J2175" s="18">
        <v>30</v>
      </c>
      <c r="K2175" s="18">
        <v>920.92</v>
      </c>
      <c r="L2175" s="18" t="s">
        <v>146</v>
      </c>
      <c r="M2175" s="18" t="s">
        <v>140</v>
      </c>
      <c r="N2175" s="28">
        <v>45611.443055555559</v>
      </c>
      <c r="O2175" s="28">
        <v>45612.553472222222</v>
      </c>
      <c r="P2175" s="20"/>
      <c r="Q2175" s="18" t="b">
        <f>FALSE()</f>
        <v>0</v>
      </c>
      <c r="R2175" s="18" t="b">
        <f>TRUE()</f>
        <v>1</v>
      </c>
      <c r="S2175" s="19">
        <f t="shared" si="33"/>
        <v>26.6</v>
      </c>
      <c r="T2175">
        <f>COUNTIF('👤 Customers'!$A:$A, B2175)</f>
        <v>1</v>
      </c>
      <c r="U2175">
        <f>COUNTIF('🚴 Riders'!A2174:A2234, C2175)</f>
        <v>0</v>
      </c>
      <c r="V2175">
        <f>COUNTIF('🏭 Facilities'!A2174:A2182, D2175)</f>
        <v>0</v>
      </c>
    </row>
    <row r="2176" spans="1:22">
      <c r="A2176" s="16" t="s">
        <v>5011</v>
      </c>
      <c r="B2176" s="16" t="s">
        <v>311</v>
      </c>
      <c r="C2176" s="16" t="s">
        <v>362</v>
      </c>
      <c r="D2176" s="16" t="s">
        <v>137</v>
      </c>
      <c r="E2176" s="25">
        <v>45016</v>
      </c>
      <c r="F2176" s="16" t="s">
        <v>5012</v>
      </c>
      <c r="G2176" s="16" t="s">
        <v>176</v>
      </c>
      <c r="H2176" s="16">
        <v>6.6</v>
      </c>
      <c r="I2176" s="16">
        <v>599</v>
      </c>
      <c r="J2176" s="16">
        <v>0</v>
      </c>
      <c r="K2176" s="16">
        <v>3953.4</v>
      </c>
      <c r="L2176" s="16" t="s">
        <v>126</v>
      </c>
      <c r="M2176" s="16" t="s">
        <v>119</v>
      </c>
      <c r="N2176" s="27">
        <v>45016.508333333331</v>
      </c>
      <c r="O2176" s="27">
        <v>45017.459027777775</v>
      </c>
      <c r="P2176" s="16">
        <v>4.4000000000000004</v>
      </c>
      <c r="Q2176" s="16" t="b">
        <f>FALSE()</f>
        <v>0</v>
      </c>
      <c r="R2176" s="16" t="b">
        <f>FALSE()</f>
        <v>0</v>
      </c>
      <c r="S2176" s="17">
        <f t="shared" si="33"/>
        <v>22.8</v>
      </c>
      <c r="T2176">
        <f>COUNTIF('👤 Customers'!$A:$A, B2176)</f>
        <v>1</v>
      </c>
      <c r="U2176">
        <f>COUNTIF('🚴 Riders'!A2175:A2235, C2176)</f>
        <v>0</v>
      </c>
      <c r="V2176">
        <f>COUNTIF('🏭 Facilities'!A2175:A2183, D2176)</f>
        <v>0</v>
      </c>
    </row>
    <row r="2177" spans="1:22">
      <c r="A2177" s="18" t="s">
        <v>5013</v>
      </c>
      <c r="B2177" s="18" t="s">
        <v>3142</v>
      </c>
      <c r="C2177" s="18" t="s">
        <v>265</v>
      </c>
      <c r="D2177" s="18" t="s">
        <v>184</v>
      </c>
      <c r="E2177" s="26">
        <v>45547</v>
      </c>
      <c r="F2177" s="18" t="s">
        <v>5014</v>
      </c>
      <c r="G2177" s="18" t="s">
        <v>117</v>
      </c>
      <c r="H2177" s="18">
        <v>5.0999999999999996</v>
      </c>
      <c r="I2177" s="18">
        <v>149</v>
      </c>
      <c r="J2177" s="18">
        <v>0</v>
      </c>
      <c r="K2177" s="18">
        <v>759.9</v>
      </c>
      <c r="L2177" s="18" t="s">
        <v>139</v>
      </c>
      <c r="M2177" s="18" t="s">
        <v>119</v>
      </c>
      <c r="N2177" s="28">
        <v>45547.643055555556</v>
      </c>
      <c r="O2177" s="28">
        <v>45548.645138888889</v>
      </c>
      <c r="P2177" s="18">
        <v>3.6</v>
      </c>
      <c r="Q2177" s="18" t="b">
        <f>FALSE()</f>
        <v>0</v>
      </c>
      <c r="R2177" s="18" t="b">
        <f>TRUE()</f>
        <v>1</v>
      </c>
      <c r="S2177" s="19">
        <f t="shared" si="33"/>
        <v>24</v>
      </c>
      <c r="T2177">
        <f>COUNTIF('👤 Customers'!$A:$A, B2177)</f>
        <v>1</v>
      </c>
      <c r="U2177">
        <f>COUNTIF('🚴 Riders'!A2176:A2236, C2177)</f>
        <v>0</v>
      </c>
      <c r="V2177">
        <f>COUNTIF('🏭 Facilities'!A2176:A2184, D2177)</f>
        <v>0</v>
      </c>
    </row>
    <row r="2178" spans="1:22">
      <c r="A2178" s="16" t="s">
        <v>5015</v>
      </c>
      <c r="B2178" s="16" t="s">
        <v>3153</v>
      </c>
      <c r="C2178" s="16" t="s">
        <v>232</v>
      </c>
      <c r="D2178" s="16" t="s">
        <v>115</v>
      </c>
      <c r="E2178" s="25">
        <v>45476</v>
      </c>
      <c r="F2178" s="16" t="s">
        <v>5016</v>
      </c>
      <c r="G2178" s="16" t="s">
        <v>145</v>
      </c>
      <c r="H2178" s="16">
        <v>2.1</v>
      </c>
      <c r="I2178" s="16">
        <v>299</v>
      </c>
      <c r="J2178" s="16">
        <v>0</v>
      </c>
      <c r="K2178" s="16">
        <v>627.9</v>
      </c>
      <c r="L2178" s="16" t="s">
        <v>146</v>
      </c>
      <c r="M2178" s="16" t="s">
        <v>119</v>
      </c>
      <c r="N2178" s="27">
        <v>45476.651388888888</v>
      </c>
      <c r="O2178" s="27">
        <v>45477.132638888892</v>
      </c>
      <c r="P2178" s="16">
        <v>4.3</v>
      </c>
      <c r="Q2178" s="16" t="b">
        <f>TRUE()</f>
        <v>1</v>
      </c>
      <c r="R2178" s="16" t="b">
        <f>FALSE()</f>
        <v>0</v>
      </c>
      <c r="S2178" s="17">
        <f t="shared" ref="S2178:S2241" si="34">IF(OR(N2178="",O2178=""),"N/A",ROUND(((O2178-N2178)*24),1))</f>
        <v>11.6</v>
      </c>
      <c r="T2178">
        <f>COUNTIF('👤 Customers'!$A:$A, B2178)</f>
        <v>1</v>
      </c>
      <c r="U2178">
        <f>COUNTIF('🚴 Riders'!A2177:A2237, C2178)</f>
        <v>0</v>
      </c>
      <c r="V2178">
        <f>COUNTIF('🏭 Facilities'!A2177:A2185, D2178)</f>
        <v>0</v>
      </c>
    </row>
    <row r="2179" spans="1:22">
      <c r="A2179" s="18" t="s">
        <v>5017</v>
      </c>
      <c r="B2179" s="18" t="s">
        <v>952</v>
      </c>
      <c r="C2179" s="18" t="s">
        <v>350</v>
      </c>
      <c r="D2179" s="18" t="s">
        <v>158</v>
      </c>
      <c r="E2179" s="26">
        <v>45448</v>
      </c>
      <c r="F2179" s="18" t="s">
        <v>5018</v>
      </c>
      <c r="G2179" s="18" t="s">
        <v>125</v>
      </c>
      <c r="H2179" s="18">
        <v>3.2</v>
      </c>
      <c r="I2179" s="18">
        <v>199</v>
      </c>
      <c r="J2179" s="18">
        <v>20</v>
      </c>
      <c r="K2179" s="18">
        <v>509.44</v>
      </c>
      <c r="L2179" s="18" t="s">
        <v>207</v>
      </c>
      <c r="M2179" s="18" t="s">
        <v>119</v>
      </c>
      <c r="N2179" s="28">
        <v>45448.995138888888</v>
      </c>
      <c r="O2179" s="28">
        <v>45450.094444444447</v>
      </c>
      <c r="P2179" s="18">
        <v>2.7</v>
      </c>
      <c r="Q2179" s="18" t="b">
        <f>FALSE()</f>
        <v>0</v>
      </c>
      <c r="R2179" s="18" t="b">
        <f>FALSE()</f>
        <v>0</v>
      </c>
      <c r="S2179" s="19">
        <f t="shared" si="34"/>
        <v>26.4</v>
      </c>
      <c r="T2179">
        <f>COUNTIF('👤 Customers'!$A:$A, B2179)</f>
        <v>1</v>
      </c>
      <c r="U2179">
        <f>COUNTIF('🚴 Riders'!A2178:A2238, C2179)</f>
        <v>0</v>
      </c>
      <c r="V2179">
        <f>COUNTIF('🏭 Facilities'!A2178:A2186, D2179)</f>
        <v>0</v>
      </c>
    </row>
    <row r="2180" spans="1:22">
      <c r="A2180" s="16" t="s">
        <v>5019</v>
      </c>
      <c r="B2180" s="16" t="s">
        <v>2585</v>
      </c>
      <c r="C2180" s="16" t="s">
        <v>129</v>
      </c>
      <c r="D2180" s="16" t="s">
        <v>137</v>
      </c>
      <c r="E2180" s="25">
        <v>44937</v>
      </c>
      <c r="F2180" s="16" t="s">
        <v>5020</v>
      </c>
      <c r="G2180" s="16" t="s">
        <v>117</v>
      </c>
      <c r="H2180" s="16">
        <v>5.2</v>
      </c>
      <c r="I2180" s="16">
        <v>149</v>
      </c>
      <c r="J2180" s="16">
        <v>0</v>
      </c>
      <c r="K2180" s="16">
        <v>774.8</v>
      </c>
      <c r="L2180" s="16" t="s">
        <v>207</v>
      </c>
      <c r="M2180" s="16" t="s">
        <v>133</v>
      </c>
      <c r="N2180" s="20"/>
      <c r="O2180" s="20"/>
      <c r="P2180" s="20"/>
      <c r="Q2180" s="16" t="b">
        <f>FALSE()</f>
        <v>0</v>
      </c>
      <c r="R2180" s="16" t="b">
        <f>FALSE()</f>
        <v>0</v>
      </c>
      <c r="S2180" s="17" t="str">
        <f t="shared" si="34"/>
        <v>N/A</v>
      </c>
      <c r="T2180">
        <f>COUNTIF('👤 Customers'!$A:$A, B2180)</f>
        <v>1</v>
      </c>
      <c r="U2180">
        <f>COUNTIF('🚴 Riders'!A2179:A2239, C2180)</f>
        <v>0</v>
      </c>
      <c r="V2180">
        <f>COUNTIF('🏭 Facilities'!A2179:A2187, D2180)</f>
        <v>0</v>
      </c>
    </row>
    <row r="2181" spans="1:22">
      <c r="A2181" s="18" t="s">
        <v>5021</v>
      </c>
      <c r="B2181" s="18" t="s">
        <v>4307</v>
      </c>
      <c r="C2181" s="18" t="s">
        <v>170</v>
      </c>
      <c r="D2181" s="18" t="s">
        <v>197</v>
      </c>
      <c r="E2181" s="26">
        <v>44949</v>
      </c>
      <c r="F2181" s="18" t="s">
        <v>5022</v>
      </c>
      <c r="G2181" s="18" t="s">
        <v>145</v>
      </c>
      <c r="H2181" s="18">
        <v>1.8</v>
      </c>
      <c r="I2181" s="18">
        <v>299</v>
      </c>
      <c r="J2181" s="18">
        <v>10</v>
      </c>
      <c r="K2181" s="18">
        <v>484.38</v>
      </c>
      <c r="L2181" s="18" t="s">
        <v>118</v>
      </c>
      <c r="M2181" s="18" t="s">
        <v>133</v>
      </c>
      <c r="N2181" s="20"/>
      <c r="O2181" s="20"/>
      <c r="P2181" s="20"/>
      <c r="Q2181" s="18" t="b">
        <f>FALSE()</f>
        <v>0</v>
      </c>
      <c r="R2181" s="18" t="b">
        <f>FALSE()</f>
        <v>0</v>
      </c>
      <c r="S2181" s="19" t="str">
        <f t="shared" si="34"/>
        <v>N/A</v>
      </c>
      <c r="T2181">
        <f>COUNTIF('👤 Customers'!$A:$A, B2181)</f>
        <v>1</v>
      </c>
      <c r="U2181">
        <f>COUNTIF('🚴 Riders'!A2180:A2240, C2181)</f>
        <v>0</v>
      </c>
      <c r="V2181">
        <f>COUNTIF('🏭 Facilities'!A2180:A2188, D2181)</f>
        <v>0</v>
      </c>
    </row>
    <row r="2182" spans="1:22">
      <c r="A2182" s="16" t="s">
        <v>5023</v>
      </c>
      <c r="B2182" s="16" t="s">
        <v>1322</v>
      </c>
      <c r="C2182" s="16" t="s">
        <v>236</v>
      </c>
      <c r="D2182" s="16" t="s">
        <v>123</v>
      </c>
      <c r="E2182" s="25">
        <v>45080</v>
      </c>
      <c r="F2182" s="16" t="s">
        <v>5024</v>
      </c>
      <c r="G2182" s="16" t="s">
        <v>132</v>
      </c>
      <c r="H2182" s="16">
        <v>2.2999999999999998</v>
      </c>
      <c r="I2182" s="16">
        <v>399</v>
      </c>
      <c r="J2182" s="16">
        <v>0</v>
      </c>
      <c r="K2182" s="16">
        <v>917.7</v>
      </c>
      <c r="L2182" s="16" t="s">
        <v>118</v>
      </c>
      <c r="M2182" s="16" t="s">
        <v>119</v>
      </c>
      <c r="N2182" s="27">
        <v>45080.851388888892</v>
      </c>
      <c r="O2182" s="27">
        <v>45081.521527777775</v>
      </c>
      <c r="P2182" s="16">
        <v>4.7</v>
      </c>
      <c r="Q2182" s="16" t="b">
        <f>FALSE()</f>
        <v>0</v>
      </c>
      <c r="R2182" s="16" t="b">
        <f>FALSE()</f>
        <v>0</v>
      </c>
      <c r="S2182" s="17">
        <f t="shared" si="34"/>
        <v>16.100000000000001</v>
      </c>
      <c r="T2182">
        <f>COUNTIF('👤 Customers'!$A:$A, B2182)</f>
        <v>1</v>
      </c>
      <c r="U2182">
        <f>COUNTIF('🚴 Riders'!A2181:A2241, C2182)</f>
        <v>0</v>
      </c>
      <c r="V2182">
        <f>COUNTIF('🏭 Facilities'!A2181:A2189, D2182)</f>
        <v>0</v>
      </c>
    </row>
    <row r="2183" spans="1:22">
      <c r="A2183" s="18" t="s">
        <v>5025</v>
      </c>
      <c r="B2183" s="18" t="s">
        <v>2404</v>
      </c>
      <c r="C2183" s="18" t="s">
        <v>536</v>
      </c>
      <c r="D2183" s="18" t="s">
        <v>137</v>
      </c>
      <c r="E2183" s="26">
        <v>45076</v>
      </c>
      <c r="F2183" s="18" t="s">
        <v>5026</v>
      </c>
      <c r="G2183" s="18" t="s">
        <v>176</v>
      </c>
      <c r="H2183" s="18">
        <v>7.1</v>
      </c>
      <c r="I2183" s="18">
        <v>599</v>
      </c>
      <c r="J2183" s="18">
        <v>0</v>
      </c>
      <c r="K2183" s="18">
        <v>4252.8999999999996</v>
      </c>
      <c r="L2183" s="18" t="s">
        <v>146</v>
      </c>
      <c r="M2183" s="18" t="s">
        <v>119</v>
      </c>
      <c r="N2183" s="28">
        <v>45076.742361111108</v>
      </c>
      <c r="O2183" s="28">
        <v>45077.652777777781</v>
      </c>
      <c r="P2183" s="18">
        <v>4.5999999999999996</v>
      </c>
      <c r="Q2183" s="18" t="b">
        <f>FALSE()</f>
        <v>0</v>
      </c>
      <c r="R2183" s="18" t="b">
        <f>FALSE()</f>
        <v>0</v>
      </c>
      <c r="S2183" s="19">
        <f t="shared" si="34"/>
        <v>21.9</v>
      </c>
      <c r="T2183">
        <f>COUNTIF('👤 Customers'!$A:$A, B2183)</f>
        <v>1</v>
      </c>
      <c r="U2183">
        <f>COUNTIF('🚴 Riders'!A2182:A2242, C2183)</f>
        <v>0</v>
      </c>
      <c r="V2183">
        <f>COUNTIF('🏭 Facilities'!A2182:A2190, D2183)</f>
        <v>0</v>
      </c>
    </row>
    <row r="2184" spans="1:22">
      <c r="A2184" s="16" t="s">
        <v>5027</v>
      </c>
      <c r="B2184" s="16" t="s">
        <v>173</v>
      </c>
      <c r="C2184" s="16" t="s">
        <v>362</v>
      </c>
      <c r="D2184" s="16" t="s">
        <v>197</v>
      </c>
      <c r="E2184" s="25">
        <v>45464</v>
      </c>
      <c r="F2184" s="16" t="s">
        <v>5028</v>
      </c>
      <c r="G2184" s="16" t="s">
        <v>132</v>
      </c>
      <c r="H2184" s="16">
        <v>5.8</v>
      </c>
      <c r="I2184" s="16">
        <v>399</v>
      </c>
      <c r="J2184" s="16">
        <v>0</v>
      </c>
      <c r="K2184" s="16">
        <v>2314.1999999999998</v>
      </c>
      <c r="L2184" s="16" t="s">
        <v>146</v>
      </c>
      <c r="M2184" s="16" t="s">
        <v>119</v>
      </c>
      <c r="N2184" s="27">
        <v>45464.972222222219</v>
      </c>
      <c r="O2184" s="27">
        <v>45465.614583333336</v>
      </c>
      <c r="P2184" s="16">
        <v>4.9000000000000004</v>
      </c>
      <c r="Q2184" s="16" t="b">
        <f>FALSE()</f>
        <v>0</v>
      </c>
      <c r="R2184" s="16" t="b">
        <f>FALSE()</f>
        <v>0</v>
      </c>
      <c r="S2184" s="17">
        <f t="shared" si="34"/>
        <v>15.4</v>
      </c>
      <c r="T2184">
        <f>COUNTIF('👤 Customers'!$A:$A, B2184)</f>
        <v>1</v>
      </c>
      <c r="U2184">
        <f>COUNTIF('🚴 Riders'!A2183:A2243, C2184)</f>
        <v>0</v>
      </c>
      <c r="V2184">
        <f>COUNTIF('🏭 Facilities'!A2183:A2191, D2184)</f>
        <v>0</v>
      </c>
    </row>
    <row r="2185" spans="1:22">
      <c r="A2185" s="18" t="s">
        <v>5029</v>
      </c>
      <c r="B2185" s="18" t="s">
        <v>1557</v>
      </c>
      <c r="C2185" s="18" t="s">
        <v>166</v>
      </c>
      <c r="D2185" s="18" t="s">
        <v>115</v>
      </c>
      <c r="E2185" s="26">
        <v>45641</v>
      </c>
      <c r="F2185" s="18" t="s">
        <v>5030</v>
      </c>
      <c r="G2185" s="18" t="s">
        <v>117</v>
      </c>
      <c r="H2185" s="18">
        <v>4.5999999999999996</v>
      </c>
      <c r="I2185" s="18">
        <v>149</v>
      </c>
      <c r="J2185" s="18">
        <v>0</v>
      </c>
      <c r="K2185" s="18">
        <v>685.4</v>
      </c>
      <c r="L2185" s="18" t="s">
        <v>207</v>
      </c>
      <c r="M2185" s="18" t="s">
        <v>119</v>
      </c>
      <c r="N2185" s="28">
        <v>45641.15347222222</v>
      </c>
      <c r="O2185" s="28">
        <v>45641.928472222222</v>
      </c>
      <c r="P2185" s="18">
        <v>3.5</v>
      </c>
      <c r="Q2185" s="18" t="b">
        <f>FALSE()</f>
        <v>0</v>
      </c>
      <c r="R2185" s="18" t="b">
        <f>FALSE()</f>
        <v>0</v>
      </c>
      <c r="S2185" s="19">
        <f t="shared" si="34"/>
        <v>18.600000000000001</v>
      </c>
      <c r="T2185">
        <f>COUNTIF('👤 Customers'!$A:$A, B2185)</f>
        <v>1</v>
      </c>
      <c r="U2185">
        <f>COUNTIF('🚴 Riders'!A2184:A2244, C2185)</f>
        <v>0</v>
      </c>
      <c r="V2185">
        <f>COUNTIF('🏭 Facilities'!A2184:A2192, D2185)</f>
        <v>0</v>
      </c>
    </row>
    <row r="2186" spans="1:22">
      <c r="A2186" s="16" t="s">
        <v>5031</v>
      </c>
      <c r="B2186" s="16" t="s">
        <v>1182</v>
      </c>
      <c r="C2186" s="16" t="s">
        <v>276</v>
      </c>
      <c r="D2186" s="16" t="s">
        <v>158</v>
      </c>
      <c r="E2186" s="25">
        <v>45039</v>
      </c>
      <c r="F2186" s="16" t="s">
        <v>5032</v>
      </c>
      <c r="G2186" s="16" t="s">
        <v>132</v>
      </c>
      <c r="H2186" s="16">
        <v>4.7</v>
      </c>
      <c r="I2186" s="16">
        <v>399</v>
      </c>
      <c r="J2186" s="16">
        <v>0</v>
      </c>
      <c r="K2186" s="16">
        <v>1875.3</v>
      </c>
      <c r="L2186" s="16" t="s">
        <v>118</v>
      </c>
      <c r="M2186" s="16" t="s">
        <v>140</v>
      </c>
      <c r="N2186" s="27">
        <v>45039.967361111114</v>
      </c>
      <c r="O2186" s="27">
        <v>45040.480555555558</v>
      </c>
      <c r="P2186" s="20"/>
      <c r="Q2186" s="16" t="b">
        <f>FALSE()</f>
        <v>0</v>
      </c>
      <c r="R2186" s="16" t="b">
        <f>FALSE()</f>
        <v>0</v>
      </c>
      <c r="S2186" s="17">
        <f t="shared" si="34"/>
        <v>12.3</v>
      </c>
      <c r="T2186">
        <f>COUNTIF('👤 Customers'!$A:$A, B2186)</f>
        <v>1</v>
      </c>
      <c r="U2186">
        <f>COUNTIF('🚴 Riders'!A2185:A2245, C2186)</f>
        <v>0</v>
      </c>
      <c r="V2186">
        <f>COUNTIF('🏭 Facilities'!A2185:A2193, D2186)</f>
        <v>0</v>
      </c>
    </row>
    <row r="2187" spans="1:22">
      <c r="A2187" s="18" t="s">
        <v>5033</v>
      </c>
      <c r="B2187" s="18" t="s">
        <v>875</v>
      </c>
      <c r="C2187" s="18" t="s">
        <v>265</v>
      </c>
      <c r="D2187" s="18" t="s">
        <v>137</v>
      </c>
      <c r="E2187" s="26">
        <v>45479</v>
      </c>
      <c r="F2187" s="18" t="s">
        <v>5034</v>
      </c>
      <c r="G2187" s="18" t="s">
        <v>117</v>
      </c>
      <c r="H2187" s="18">
        <v>1.7</v>
      </c>
      <c r="I2187" s="18">
        <v>149</v>
      </c>
      <c r="J2187" s="18">
        <v>0</v>
      </c>
      <c r="K2187" s="18">
        <v>253.3</v>
      </c>
      <c r="L2187" s="18" t="s">
        <v>146</v>
      </c>
      <c r="M2187" s="18" t="s">
        <v>119</v>
      </c>
      <c r="N2187" s="28">
        <v>45479.841666666667</v>
      </c>
      <c r="O2187" s="28">
        <v>45480.442361111112</v>
      </c>
      <c r="P2187" s="18">
        <v>3.6</v>
      </c>
      <c r="Q2187" s="18" t="b">
        <f>FALSE()</f>
        <v>0</v>
      </c>
      <c r="R2187" s="18" t="b">
        <f>TRUE()</f>
        <v>1</v>
      </c>
      <c r="S2187" s="19">
        <f t="shared" si="34"/>
        <v>14.4</v>
      </c>
      <c r="T2187">
        <f>COUNTIF('👤 Customers'!$A:$A, B2187)</f>
        <v>1</v>
      </c>
      <c r="U2187">
        <f>COUNTIF('🚴 Riders'!A2186:A2246, C2187)</f>
        <v>0</v>
      </c>
      <c r="V2187">
        <f>COUNTIF('🏭 Facilities'!A2186:A2194, D2187)</f>
        <v>0</v>
      </c>
    </row>
    <row r="2188" spans="1:22">
      <c r="A2188" s="16" t="s">
        <v>5035</v>
      </c>
      <c r="B2188" s="16" t="s">
        <v>1410</v>
      </c>
      <c r="C2188" s="16" t="s">
        <v>717</v>
      </c>
      <c r="D2188" s="16" t="s">
        <v>137</v>
      </c>
      <c r="E2188" s="25">
        <v>45205</v>
      </c>
      <c r="F2188" s="16" t="s">
        <v>5036</v>
      </c>
      <c r="G2188" s="16" t="s">
        <v>176</v>
      </c>
      <c r="H2188" s="16">
        <v>3.1</v>
      </c>
      <c r="I2188" s="16">
        <v>599</v>
      </c>
      <c r="J2188" s="16">
        <v>0</v>
      </c>
      <c r="K2188" s="16">
        <v>1856.9</v>
      </c>
      <c r="L2188" s="16" t="s">
        <v>146</v>
      </c>
      <c r="M2188" s="16" t="s">
        <v>119</v>
      </c>
      <c r="N2188" s="27">
        <v>45205.46875</v>
      </c>
      <c r="O2188" s="27">
        <v>45206.029166666667</v>
      </c>
      <c r="P2188" s="16">
        <v>2.8</v>
      </c>
      <c r="Q2188" s="16" t="b">
        <f>FALSE()</f>
        <v>0</v>
      </c>
      <c r="R2188" s="16" t="b">
        <f>FALSE()</f>
        <v>0</v>
      </c>
      <c r="S2188" s="17">
        <f t="shared" si="34"/>
        <v>13.5</v>
      </c>
      <c r="T2188">
        <f>COUNTIF('👤 Customers'!$A:$A, B2188)</f>
        <v>1</v>
      </c>
      <c r="U2188">
        <f>COUNTIF('🚴 Riders'!A2187:A2247, C2188)</f>
        <v>0</v>
      </c>
      <c r="V2188">
        <f>COUNTIF('🏭 Facilities'!A2187:A2195, D2188)</f>
        <v>0</v>
      </c>
    </row>
    <row r="2189" spans="1:22">
      <c r="A2189" s="18" t="s">
        <v>5037</v>
      </c>
      <c r="B2189" s="18" t="s">
        <v>1064</v>
      </c>
      <c r="C2189" s="18" t="s">
        <v>479</v>
      </c>
      <c r="D2189" s="18" t="s">
        <v>158</v>
      </c>
      <c r="E2189" s="26">
        <v>45221</v>
      </c>
      <c r="F2189" s="18" t="s">
        <v>5038</v>
      </c>
      <c r="G2189" s="18" t="s">
        <v>125</v>
      </c>
      <c r="H2189" s="18">
        <v>1.5</v>
      </c>
      <c r="I2189" s="18">
        <v>199</v>
      </c>
      <c r="J2189" s="18">
        <v>0</v>
      </c>
      <c r="K2189" s="18">
        <v>298.5</v>
      </c>
      <c r="L2189" s="18" t="s">
        <v>126</v>
      </c>
      <c r="M2189" s="18" t="s">
        <v>119</v>
      </c>
      <c r="N2189" s="28">
        <v>45221.603472222225</v>
      </c>
      <c r="O2189" s="28">
        <v>45222.1875</v>
      </c>
      <c r="P2189" s="18">
        <v>2.7</v>
      </c>
      <c r="Q2189" s="18" t="b">
        <f>FALSE()</f>
        <v>0</v>
      </c>
      <c r="R2189" s="18" t="b">
        <f>FALSE()</f>
        <v>0</v>
      </c>
      <c r="S2189" s="19">
        <f t="shared" si="34"/>
        <v>14</v>
      </c>
      <c r="T2189">
        <f>COUNTIF('👤 Customers'!$A:$A, B2189)</f>
        <v>1</v>
      </c>
      <c r="U2189">
        <f>COUNTIF('🚴 Riders'!A2188:A2248, C2189)</f>
        <v>0</v>
      </c>
      <c r="V2189">
        <f>COUNTIF('🏭 Facilities'!A2188:A2196, D2189)</f>
        <v>0</v>
      </c>
    </row>
    <row r="2190" spans="1:22">
      <c r="A2190" s="16" t="s">
        <v>5039</v>
      </c>
      <c r="B2190" s="16" t="s">
        <v>737</v>
      </c>
      <c r="C2190" s="16" t="s">
        <v>536</v>
      </c>
      <c r="D2190" s="16" t="s">
        <v>158</v>
      </c>
      <c r="E2190" s="25">
        <v>45508</v>
      </c>
      <c r="F2190" s="16" t="s">
        <v>5040</v>
      </c>
      <c r="G2190" s="16" t="s">
        <v>125</v>
      </c>
      <c r="H2190" s="16">
        <v>6.5</v>
      </c>
      <c r="I2190" s="16">
        <v>199</v>
      </c>
      <c r="J2190" s="16">
        <v>0</v>
      </c>
      <c r="K2190" s="16">
        <v>1293.5</v>
      </c>
      <c r="L2190" s="16" t="s">
        <v>146</v>
      </c>
      <c r="M2190" s="16" t="s">
        <v>140</v>
      </c>
      <c r="N2190" s="27">
        <v>45508.367361111108</v>
      </c>
      <c r="O2190" s="27">
        <v>45508.972222222219</v>
      </c>
      <c r="P2190" s="20"/>
      <c r="Q2190" s="16" t="b">
        <f>FALSE()</f>
        <v>0</v>
      </c>
      <c r="R2190" s="16" t="b">
        <f>FALSE()</f>
        <v>0</v>
      </c>
      <c r="S2190" s="17">
        <f t="shared" si="34"/>
        <v>14.5</v>
      </c>
      <c r="T2190">
        <f>COUNTIF('👤 Customers'!$A:$A, B2190)</f>
        <v>1</v>
      </c>
      <c r="U2190">
        <f>COUNTIF('🚴 Riders'!A2189:A2249, C2190)</f>
        <v>0</v>
      </c>
      <c r="V2190">
        <f>COUNTIF('🏭 Facilities'!A2189:A2197, D2190)</f>
        <v>0</v>
      </c>
    </row>
    <row r="2191" spans="1:22">
      <c r="A2191" s="18" t="s">
        <v>5041</v>
      </c>
      <c r="B2191" s="18" t="s">
        <v>2398</v>
      </c>
      <c r="C2191" s="18" t="s">
        <v>232</v>
      </c>
      <c r="D2191" s="18" t="s">
        <v>123</v>
      </c>
      <c r="E2191" s="26">
        <v>45511</v>
      </c>
      <c r="F2191" s="18" t="s">
        <v>5042</v>
      </c>
      <c r="G2191" s="18" t="s">
        <v>117</v>
      </c>
      <c r="H2191" s="18">
        <v>7.5</v>
      </c>
      <c r="I2191" s="18">
        <v>149</v>
      </c>
      <c r="J2191" s="18">
        <v>20</v>
      </c>
      <c r="K2191" s="18">
        <v>894</v>
      </c>
      <c r="L2191" s="18" t="s">
        <v>118</v>
      </c>
      <c r="M2191" s="18" t="s">
        <v>119</v>
      </c>
      <c r="N2191" s="28">
        <v>45512.011805555558</v>
      </c>
      <c r="O2191" s="28">
        <v>45512.393055555556</v>
      </c>
      <c r="P2191" s="18">
        <v>4.0999999999999996</v>
      </c>
      <c r="Q2191" s="18" t="b">
        <f>FALSE()</f>
        <v>0</v>
      </c>
      <c r="R2191" s="18" t="b">
        <f>FALSE()</f>
        <v>0</v>
      </c>
      <c r="S2191" s="19">
        <f t="shared" si="34"/>
        <v>9.1</v>
      </c>
      <c r="T2191">
        <f>COUNTIF('👤 Customers'!$A:$A, B2191)</f>
        <v>1</v>
      </c>
      <c r="U2191">
        <f>COUNTIF('🚴 Riders'!A2190:A2250, C2191)</f>
        <v>0</v>
      </c>
      <c r="V2191">
        <f>COUNTIF('🏭 Facilities'!A2190:A2198, D2191)</f>
        <v>0</v>
      </c>
    </row>
    <row r="2192" spans="1:22">
      <c r="A2192" s="16" t="s">
        <v>5043</v>
      </c>
      <c r="B2192" s="16" t="s">
        <v>1578</v>
      </c>
      <c r="C2192" s="16" t="s">
        <v>300</v>
      </c>
      <c r="D2192" s="16" t="s">
        <v>158</v>
      </c>
      <c r="E2192" s="25">
        <v>45585</v>
      </c>
      <c r="F2192" s="16" t="s">
        <v>5044</v>
      </c>
      <c r="G2192" s="16" t="s">
        <v>176</v>
      </c>
      <c r="H2192" s="16">
        <v>3.5</v>
      </c>
      <c r="I2192" s="16">
        <v>599</v>
      </c>
      <c r="J2192" s="16">
        <v>0</v>
      </c>
      <c r="K2192" s="16">
        <v>2096.5</v>
      </c>
      <c r="L2192" s="16" t="s">
        <v>207</v>
      </c>
      <c r="M2192" s="16" t="s">
        <v>119</v>
      </c>
      <c r="N2192" s="27">
        <v>45585.375</v>
      </c>
      <c r="O2192" s="27">
        <v>45585.840277777781</v>
      </c>
      <c r="P2192" s="16">
        <v>2.9</v>
      </c>
      <c r="Q2192" s="16" t="b">
        <f>FALSE()</f>
        <v>0</v>
      </c>
      <c r="R2192" s="16" t="b">
        <f>FALSE()</f>
        <v>0</v>
      </c>
      <c r="S2192" s="17">
        <f t="shared" si="34"/>
        <v>11.2</v>
      </c>
      <c r="T2192">
        <f>COUNTIF('👤 Customers'!$A:$A, B2192)</f>
        <v>1</v>
      </c>
      <c r="U2192">
        <f>COUNTIF('🚴 Riders'!A2191:A2251, C2192)</f>
        <v>0</v>
      </c>
      <c r="V2192">
        <f>COUNTIF('🏭 Facilities'!A2191:A2199, D2192)</f>
        <v>0</v>
      </c>
    </row>
    <row r="2193" spans="1:22">
      <c r="A2193" s="18" t="s">
        <v>5045</v>
      </c>
      <c r="B2193" s="18" t="s">
        <v>191</v>
      </c>
      <c r="C2193" s="18" t="s">
        <v>204</v>
      </c>
      <c r="D2193" s="18" t="s">
        <v>115</v>
      </c>
      <c r="E2193" s="26">
        <v>45332</v>
      </c>
      <c r="F2193" s="18" t="s">
        <v>5046</v>
      </c>
      <c r="G2193" s="18" t="s">
        <v>145</v>
      </c>
      <c r="H2193" s="18">
        <v>6.6</v>
      </c>
      <c r="I2193" s="18">
        <v>299</v>
      </c>
      <c r="J2193" s="18">
        <v>0</v>
      </c>
      <c r="K2193" s="18">
        <v>1973.4</v>
      </c>
      <c r="L2193" s="18" t="s">
        <v>207</v>
      </c>
      <c r="M2193" s="18" t="s">
        <v>119</v>
      </c>
      <c r="N2193" s="28">
        <v>45333.081944444442</v>
      </c>
      <c r="O2193" s="28">
        <v>45333.945833333331</v>
      </c>
      <c r="P2193" s="18">
        <v>3.5</v>
      </c>
      <c r="Q2193" s="18" t="b">
        <f>FALSE()</f>
        <v>0</v>
      </c>
      <c r="R2193" s="18" t="b">
        <f>FALSE()</f>
        <v>0</v>
      </c>
      <c r="S2193" s="19">
        <f t="shared" si="34"/>
        <v>20.7</v>
      </c>
      <c r="T2193">
        <f>COUNTIF('👤 Customers'!$A:$A, B2193)</f>
        <v>1</v>
      </c>
      <c r="U2193">
        <f>COUNTIF('🚴 Riders'!A2192:A2252, C2193)</f>
        <v>0</v>
      </c>
      <c r="V2193">
        <f>COUNTIF('🏭 Facilities'!A2192:A2200, D2193)</f>
        <v>0</v>
      </c>
    </row>
    <row r="2194" spans="1:22">
      <c r="A2194" s="16" t="s">
        <v>5047</v>
      </c>
      <c r="B2194" s="16" t="s">
        <v>2549</v>
      </c>
      <c r="C2194" s="16" t="s">
        <v>343</v>
      </c>
      <c r="D2194" s="16" t="s">
        <v>184</v>
      </c>
      <c r="E2194" s="25">
        <v>45438</v>
      </c>
      <c r="F2194" s="16" t="s">
        <v>5048</v>
      </c>
      <c r="G2194" s="16" t="s">
        <v>125</v>
      </c>
      <c r="H2194" s="16">
        <v>7.6</v>
      </c>
      <c r="I2194" s="16">
        <v>199</v>
      </c>
      <c r="J2194" s="16">
        <v>0</v>
      </c>
      <c r="K2194" s="16">
        <v>1512.4</v>
      </c>
      <c r="L2194" s="16" t="s">
        <v>146</v>
      </c>
      <c r="M2194" s="16" t="s">
        <v>140</v>
      </c>
      <c r="N2194" s="27">
        <v>45438.289583333331</v>
      </c>
      <c r="O2194" s="27">
        <v>45438.663194444445</v>
      </c>
      <c r="P2194" s="20"/>
      <c r="Q2194" s="16" t="b">
        <f>FALSE()</f>
        <v>0</v>
      </c>
      <c r="R2194" s="16" t="b">
        <f>FALSE()</f>
        <v>0</v>
      </c>
      <c r="S2194" s="17">
        <f t="shared" si="34"/>
        <v>9</v>
      </c>
      <c r="T2194">
        <f>COUNTIF('👤 Customers'!$A:$A, B2194)</f>
        <v>1</v>
      </c>
      <c r="U2194">
        <f>COUNTIF('🚴 Riders'!A2193:A2253, C2194)</f>
        <v>0</v>
      </c>
      <c r="V2194">
        <f>COUNTIF('🏭 Facilities'!A2193:A2201, D2194)</f>
        <v>0</v>
      </c>
    </row>
    <row r="2195" spans="1:22">
      <c r="A2195" s="18" t="s">
        <v>5049</v>
      </c>
      <c r="B2195" s="18" t="s">
        <v>187</v>
      </c>
      <c r="C2195" s="18" t="s">
        <v>196</v>
      </c>
      <c r="D2195" s="18" t="s">
        <v>184</v>
      </c>
      <c r="E2195" s="26">
        <v>45640</v>
      </c>
      <c r="F2195" s="18" t="s">
        <v>5050</v>
      </c>
      <c r="G2195" s="18" t="s">
        <v>117</v>
      </c>
      <c r="H2195" s="18">
        <v>1.2</v>
      </c>
      <c r="I2195" s="18">
        <v>149</v>
      </c>
      <c r="J2195" s="18">
        <v>0</v>
      </c>
      <c r="K2195" s="18">
        <v>178.8</v>
      </c>
      <c r="L2195" s="18" t="s">
        <v>207</v>
      </c>
      <c r="M2195" s="18" t="s">
        <v>119</v>
      </c>
      <c r="N2195" s="28">
        <v>45640.67291666667</v>
      </c>
      <c r="O2195" s="28">
        <v>45641.506249999999</v>
      </c>
      <c r="P2195" s="18">
        <v>3.2</v>
      </c>
      <c r="Q2195" s="18" t="b">
        <f>FALSE()</f>
        <v>0</v>
      </c>
      <c r="R2195" s="18" t="b">
        <f>FALSE()</f>
        <v>0</v>
      </c>
      <c r="S2195" s="19">
        <f t="shared" si="34"/>
        <v>20</v>
      </c>
      <c r="T2195">
        <f>COUNTIF('👤 Customers'!$A:$A, B2195)</f>
        <v>1</v>
      </c>
      <c r="U2195">
        <f>COUNTIF('🚴 Riders'!A2194:A2254, C2195)</f>
        <v>0</v>
      </c>
      <c r="V2195">
        <f>COUNTIF('🏭 Facilities'!A2194:A2202, D2195)</f>
        <v>0</v>
      </c>
    </row>
    <row r="2196" spans="1:22">
      <c r="A2196" s="16" t="s">
        <v>5051</v>
      </c>
      <c r="B2196" s="16" t="s">
        <v>1615</v>
      </c>
      <c r="C2196" s="16" t="s">
        <v>611</v>
      </c>
      <c r="D2196" s="16" t="s">
        <v>205</v>
      </c>
      <c r="E2196" s="25">
        <v>45138</v>
      </c>
      <c r="F2196" s="16" t="s">
        <v>5052</v>
      </c>
      <c r="G2196" s="16" t="s">
        <v>132</v>
      </c>
      <c r="H2196" s="16">
        <v>7.1</v>
      </c>
      <c r="I2196" s="16">
        <v>399</v>
      </c>
      <c r="J2196" s="16">
        <v>30</v>
      </c>
      <c r="K2196" s="16">
        <v>1983.03</v>
      </c>
      <c r="L2196" s="16" t="s">
        <v>146</v>
      </c>
      <c r="M2196" s="16" t="s">
        <v>119</v>
      </c>
      <c r="N2196" s="27">
        <v>45138.302083333336</v>
      </c>
      <c r="O2196" s="27">
        <v>45139.126388888886</v>
      </c>
      <c r="P2196" s="16">
        <v>3.3</v>
      </c>
      <c r="Q2196" s="16" t="b">
        <f>FALSE()</f>
        <v>0</v>
      </c>
      <c r="R2196" s="16" t="b">
        <f>FALSE()</f>
        <v>0</v>
      </c>
      <c r="S2196" s="17">
        <f t="shared" si="34"/>
        <v>19.8</v>
      </c>
      <c r="T2196">
        <f>COUNTIF('👤 Customers'!$A:$A, B2196)</f>
        <v>1</v>
      </c>
      <c r="U2196">
        <f>COUNTIF('🚴 Riders'!A2195:A2255, C2196)</f>
        <v>0</v>
      </c>
      <c r="V2196">
        <f>COUNTIF('🏭 Facilities'!A2195:A2203, D2196)</f>
        <v>0</v>
      </c>
    </row>
    <row r="2197" spans="1:22">
      <c r="A2197" s="18" t="s">
        <v>5053</v>
      </c>
      <c r="B2197" s="18" t="s">
        <v>1431</v>
      </c>
      <c r="C2197" s="18" t="s">
        <v>563</v>
      </c>
      <c r="D2197" s="18" t="s">
        <v>197</v>
      </c>
      <c r="E2197" s="26">
        <v>45067</v>
      </c>
      <c r="F2197" s="18" t="s">
        <v>5054</v>
      </c>
      <c r="G2197" s="18" t="s">
        <v>176</v>
      </c>
      <c r="H2197" s="18">
        <v>7.7</v>
      </c>
      <c r="I2197" s="18">
        <v>599</v>
      </c>
      <c r="J2197" s="18">
        <v>0</v>
      </c>
      <c r="K2197" s="18">
        <v>4612.3</v>
      </c>
      <c r="L2197" s="18" t="s">
        <v>139</v>
      </c>
      <c r="M2197" s="18" t="s">
        <v>133</v>
      </c>
      <c r="N2197" s="20"/>
      <c r="O2197" s="20"/>
      <c r="P2197" s="20"/>
      <c r="Q2197" s="18" t="b">
        <f>FALSE()</f>
        <v>0</v>
      </c>
      <c r="R2197" s="18" t="b">
        <f>FALSE()</f>
        <v>0</v>
      </c>
      <c r="S2197" s="19" t="str">
        <f t="shared" si="34"/>
        <v>N/A</v>
      </c>
      <c r="T2197">
        <f>COUNTIF('👤 Customers'!$A:$A, B2197)</f>
        <v>1</v>
      </c>
      <c r="U2197">
        <f>COUNTIF('🚴 Riders'!A2196:A2256, C2197)</f>
        <v>0</v>
      </c>
      <c r="V2197">
        <f>COUNTIF('🏭 Facilities'!A2196:A2204, D2197)</f>
        <v>0</v>
      </c>
    </row>
    <row r="2198" spans="1:22">
      <c r="A2198" s="16" t="s">
        <v>5055</v>
      </c>
      <c r="B2198" s="16" t="s">
        <v>406</v>
      </c>
      <c r="C2198" s="16" t="s">
        <v>149</v>
      </c>
      <c r="D2198" s="16" t="s">
        <v>197</v>
      </c>
      <c r="E2198" s="25">
        <v>45201</v>
      </c>
      <c r="F2198" s="16" t="s">
        <v>5056</v>
      </c>
      <c r="G2198" s="16" t="s">
        <v>145</v>
      </c>
      <c r="H2198" s="16">
        <v>1.9</v>
      </c>
      <c r="I2198" s="16">
        <v>299</v>
      </c>
      <c r="J2198" s="16">
        <v>0</v>
      </c>
      <c r="K2198" s="16">
        <v>568.1</v>
      </c>
      <c r="L2198" s="16" t="s">
        <v>139</v>
      </c>
      <c r="M2198" s="16" t="s">
        <v>133</v>
      </c>
      <c r="N2198" s="20"/>
      <c r="O2198" s="20"/>
      <c r="P2198" s="20"/>
      <c r="Q2198" s="16" t="b">
        <f>FALSE()</f>
        <v>0</v>
      </c>
      <c r="R2198" s="16" t="b">
        <f>FALSE()</f>
        <v>0</v>
      </c>
      <c r="S2198" s="17" t="str">
        <f t="shared" si="34"/>
        <v>N/A</v>
      </c>
      <c r="T2198">
        <f>COUNTIF('👤 Customers'!$A:$A, B2198)</f>
        <v>1</v>
      </c>
      <c r="U2198">
        <f>COUNTIF('🚴 Riders'!A2197:A2257, C2198)</f>
        <v>0</v>
      </c>
      <c r="V2198">
        <f>COUNTIF('🏭 Facilities'!A2197:A2205, D2198)</f>
        <v>0</v>
      </c>
    </row>
    <row r="2199" spans="1:22">
      <c r="A2199" s="18" t="s">
        <v>5057</v>
      </c>
      <c r="B2199" s="18" t="s">
        <v>271</v>
      </c>
      <c r="C2199" s="18" t="s">
        <v>362</v>
      </c>
      <c r="D2199" s="18" t="s">
        <v>130</v>
      </c>
      <c r="E2199" s="26">
        <v>45377</v>
      </c>
      <c r="F2199" s="18" t="s">
        <v>5058</v>
      </c>
      <c r="G2199" s="18" t="s">
        <v>117</v>
      </c>
      <c r="H2199" s="18">
        <v>5.9</v>
      </c>
      <c r="I2199" s="18">
        <v>149</v>
      </c>
      <c r="J2199" s="18">
        <v>0</v>
      </c>
      <c r="K2199" s="18">
        <v>879.1</v>
      </c>
      <c r="L2199" s="18" t="s">
        <v>207</v>
      </c>
      <c r="M2199" s="18" t="s">
        <v>119</v>
      </c>
      <c r="N2199" s="28">
        <v>45377.521527777775</v>
      </c>
      <c r="O2199" s="28">
        <v>45378.386805555558</v>
      </c>
      <c r="P2199" s="18">
        <v>3.6</v>
      </c>
      <c r="Q2199" s="18" t="b">
        <f>FALSE()</f>
        <v>0</v>
      </c>
      <c r="R2199" s="18" t="b">
        <f>FALSE()</f>
        <v>0</v>
      </c>
      <c r="S2199" s="19">
        <f t="shared" si="34"/>
        <v>20.8</v>
      </c>
      <c r="T2199">
        <f>COUNTIF('👤 Customers'!$A:$A, B2199)</f>
        <v>1</v>
      </c>
      <c r="U2199">
        <f>COUNTIF('🚴 Riders'!A2198:A2258, C2199)</f>
        <v>0</v>
      </c>
      <c r="V2199">
        <f>COUNTIF('🏭 Facilities'!A2198:A2206, D2199)</f>
        <v>0</v>
      </c>
    </row>
    <row r="2200" spans="1:22">
      <c r="A2200" s="16" t="s">
        <v>5059</v>
      </c>
      <c r="B2200" s="16" t="s">
        <v>1551</v>
      </c>
      <c r="C2200" s="16" t="s">
        <v>228</v>
      </c>
      <c r="D2200" s="16" t="s">
        <v>137</v>
      </c>
      <c r="E2200" s="25">
        <v>45304</v>
      </c>
      <c r="F2200" s="16" t="s">
        <v>5060</v>
      </c>
      <c r="G2200" s="16" t="s">
        <v>125</v>
      </c>
      <c r="H2200" s="16">
        <v>5.8</v>
      </c>
      <c r="I2200" s="16">
        <v>199</v>
      </c>
      <c r="J2200" s="16">
        <v>10</v>
      </c>
      <c r="K2200" s="16">
        <v>1038.78</v>
      </c>
      <c r="L2200" s="16" t="s">
        <v>146</v>
      </c>
      <c r="M2200" s="16" t="s">
        <v>119</v>
      </c>
      <c r="N2200" s="27">
        <v>45304.836805555555</v>
      </c>
      <c r="O2200" s="27">
        <v>45305.500694444447</v>
      </c>
      <c r="P2200" s="16">
        <v>3.2</v>
      </c>
      <c r="Q2200" s="16" t="b">
        <f>FALSE()</f>
        <v>0</v>
      </c>
      <c r="R2200" s="16" t="b">
        <f>FALSE()</f>
        <v>0</v>
      </c>
      <c r="S2200" s="17">
        <f t="shared" si="34"/>
        <v>15.9</v>
      </c>
      <c r="T2200">
        <f>COUNTIF('👤 Customers'!$A:$A, B2200)</f>
        <v>1</v>
      </c>
      <c r="U2200">
        <f>COUNTIF('🚴 Riders'!A2199:A2259, C2200)</f>
        <v>0</v>
      </c>
      <c r="V2200">
        <f>COUNTIF('🏭 Facilities'!A2199:A2207, D2200)</f>
        <v>0</v>
      </c>
    </row>
    <row r="2201" spans="1:22">
      <c r="A2201" s="18" t="s">
        <v>5061</v>
      </c>
      <c r="B2201" s="18" t="s">
        <v>1033</v>
      </c>
      <c r="C2201" s="18" t="s">
        <v>413</v>
      </c>
      <c r="D2201" s="18" t="s">
        <v>137</v>
      </c>
      <c r="E2201" s="26">
        <v>44985</v>
      </c>
      <c r="F2201" s="18" t="s">
        <v>5062</v>
      </c>
      <c r="G2201" s="18" t="s">
        <v>132</v>
      </c>
      <c r="H2201" s="18">
        <v>1.3</v>
      </c>
      <c r="I2201" s="18">
        <v>399</v>
      </c>
      <c r="J2201" s="18">
        <v>0</v>
      </c>
      <c r="K2201" s="18">
        <v>518.70000000000005</v>
      </c>
      <c r="L2201" s="18" t="s">
        <v>207</v>
      </c>
      <c r="M2201" s="18" t="s">
        <v>133</v>
      </c>
      <c r="N2201" s="20"/>
      <c r="O2201" s="20"/>
      <c r="P2201" s="20"/>
      <c r="Q2201" s="18" t="b">
        <f>FALSE()</f>
        <v>0</v>
      </c>
      <c r="R2201" s="18" t="b">
        <f>FALSE()</f>
        <v>0</v>
      </c>
      <c r="S2201" s="19" t="str">
        <f t="shared" si="34"/>
        <v>N/A</v>
      </c>
      <c r="T2201">
        <f>COUNTIF('👤 Customers'!$A:$A, B2201)</f>
        <v>1</v>
      </c>
      <c r="U2201">
        <f>COUNTIF('🚴 Riders'!A2200:A2260, C2201)</f>
        <v>0</v>
      </c>
      <c r="V2201">
        <f>COUNTIF('🏭 Facilities'!A2200:A2208, D2201)</f>
        <v>0</v>
      </c>
    </row>
    <row r="2202" spans="1:22">
      <c r="A2202" s="16" t="s">
        <v>5063</v>
      </c>
      <c r="B2202" s="16" t="s">
        <v>4375</v>
      </c>
      <c r="C2202" s="16" t="s">
        <v>354</v>
      </c>
      <c r="D2202" s="16" t="s">
        <v>115</v>
      </c>
      <c r="E2202" s="25">
        <v>45043</v>
      </c>
      <c r="F2202" s="16" t="s">
        <v>5064</v>
      </c>
      <c r="G2202" s="16" t="s">
        <v>176</v>
      </c>
      <c r="H2202" s="16">
        <v>2.4</v>
      </c>
      <c r="I2202" s="16">
        <v>599</v>
      </c>
      <c r="J2202" s="16">
        <v>0</v>
      </c>
      <c r="K2202" s="16">
        <v>1437.6</v>
      </c>
      <c r="L2202" s="16" t="s">
        <v>146</v>
      </c>
      <c r="M2202" s="16" t="s">
        <v>119</v>
      </c>
      <c r="N2202" s="27">
        <v>45043.43472222222</v>
      </c>
      <c r="O2202" s="27">
        <v>45044.393055555556</v>
      </c>
      <c r="P2202" s="16">
        <v>5</v>
      </c>
      <c r="Q2202" s="16" t="b">
        <f>TRUE()</f>
        <v>1</v>
      </c>
      <c r="R2202" s="16" t="b">
        <f>FALSE()</f>
        <v>0</v>
      </c>
      <c r="S2202" s="17">
        <f t="shared" si="34"/>
        <v>23</v>
      </c>
      <c r="T2202">
        <f>COUNTIF('👤 Customers'!$A:$A, B2202)</f>
        <v>1</v>
      </c>
      <c r="U2202">
        <f>COUNTIF('🚴 Riders'!A2201:A2261, C2202)</f>
        <v>0</v>
      </c>
      <c r="V2202">
        <f>COUNTIF('🏭 Facilities'!A2201:A2209, D2202)</f>
        <v>0</v>
      </c>
    </row>
    <row r="2203" spans="1:22">
      <c r="A2203" s="18" t="s">
        <v>5065</v>
      </c>
      <c r="B2203" s="18" t="s">
        <v>1368</v>
      </c>
      <c r="C2203" s="18" t="s">
        <v>300</v>
      </c>
      <c r="D2203" s="18" t="s">
        <v>205</v>
      </c>
      <c r="E2203" s="26">
        <v>45640</v>
      </c>
      <c r="F2203" s="18" t="s">
        <v>5066</v>
      </c>
      <c r="G2203" s="18" t="s">
        <v>132</v>
      </c>
      <c r="H2203" s="18">
        <v>3.9</v>
      </c>
      <c r="I2203" s="18">
        <v>399</v>
      </c>
      <c r="J2203" s="18">
        <v>0</v>
      </c>
      <c r="K2203" s="18">
        <v>1556.1</v>
      </c>
      <c r="L2203" s="18" t="s">
        <v>146</v>
      </c>
      <c r="M2203" s="18" t="s">
        <v>119</v>
      </c>
      <c r="N2203" s="28">
        <v>45640.381249999999</v>
      </c>
      <c r="O2203" s="28">
        <v>45641.425000000003</v>
      </c>
      <c r="P2203" s="18">
        <v>3.9</v>
      </c>
      <c r="Q2203" s="18" t="b">
        <f>FALSE()</f>
        <v>0</v>
      </c>
      <c r="R2203" s="18" t="b">
        <f>FALSE()</f>
        <v>0</v>
      </c>
      <c r="S2203" s="19">
        <f t="shared" si="34"/>
        <v>25.1</v>
      </c>
      <c r="T2203">
        <f>COUNTIF('👤 Customers'!$A:$A, B2203)</f>
        <v>1</v>
      </c>
      <c r="U2203">
        <f>COUNTIF('🚴 Riders'!A2202:A2262, C2203)</f>
        <v>0</v>
      </c>
      <c r="V2203">
        <f>COUNTIF('🏭 Facilities'!A2202:A2210, D2203)</f>
        <v>0</v>
      </c>
    </row>
    <row r="2204" spans="1:22">
      <c r="A2204" s="16" t="s">
        <v>5067</v>
      </c>
      <c r="B2204" s="16" t="s">
        <v>475</v>
      </c>
      <c r="C2204" s="16" t="s">
        <v>611</v>
      </c>
      <c r="D2204" s="16" t="s">
        <v>184</v>
      </c>
      <c r="E2204" s="25">
        <v>44977</v>
      </c>
      <c r="F2204" s="16" t="s">
        <v>5068</v>
      </c>
      <c r="G2204" s="16" t="s">
        <v>176</v>
      </c>
      <c r="H2204" s="16">
        <v>7.1</v>
      </c>
      <c r="I2204" s="16">
        <v>599</v>
      </c>
      <c r="J2204" s="16">
        <v>30</v>
      </c>
      <c r="K2204" s="16">
        <v>2977.03</v>
      </c>
      <c r="L2204" s="16" t="s">
        <v>139</v>
      </c>
      <c r="M2204" s="16" t="s">
        <v>119</v>
      </c>
      <c r="N2204" s="27">
        <v>44977.411111111112</v>
      </c>
      <c r="O2204" s="27">
        <v>44978.143750000003</v>
      </c>
      <c r="P2204" s="16">
        <v>4.3</v>
      </c>
      <c r="Q2204" s="16" t="b">
        <f>TRUE()</f>
        <v>1</v>
      </c>
      <c r="R2204" s="16" t="b">
        <f>FALSE()</f>
        <v>0</v>
      </c>
      <c r="S2204" s="17">
        <f t="shared" si="34"/>
        <v>17.600000000000001</v>
      </c>
      <c r="T2204">
        <f>COUNTIF('👤 Customers'!$A:$A, B2204)</f>
        <v>1</v>
      </c>
      <c r="U2204">
        <f>COUNTIF('🚴 Riders'!A2203:A2263, C2204)</f>
        <v>0</v>
      </c>
      <c r="V2204">
        <f>COUNTIF('🏭 Facilities'!A2203:A2211, D2204)</f>
        <v>0</v>
      </c>
    </row>
    <row r="2205" spans="1:22">
      <c r="A2205" s="18" t="s">
        <v>5069</v>
      </c>
      <c r="B2205" s="18" t="s">
        <v>2497</v>
      </c>
      <c r="C2205" s="18" t="s">
        <v>350</v>
      </c>
      <c r="D2205" s="18" t="s">
        <v>130</v>
      </c>
      <c r="E2205" s="26">
        <v>45019</v>
      </c>
      <c r="F2205" s="18" t="s">
        <v>5070</v>
      </c>
      <c r="G2205" s="18" t="s">
        <v>125</v>
      </c>
      <c r="H2205" s="18">
        <v>3.1</v>
      </c>
      <c r="I2205" s="18">
        <v>199</v>
      </c>
      <c r="J2205" s="18">
        <v>0</v>
      </c>
      <c r="K2205" s="18">
        <v>616.9</v>
      </c>
      <c r="L2205" s="18" t="s">
        <v>126</v>
      </c>
      <c r="M2205" s="18" t="s">
        <v>119</v>
      </c>
      <c r="N2205" s="28">
        <v>45019.708333333336</v>
      </c>
      <c r="O2205" s="28">
        <v>45020.568055555559</v>
      </c>
      <c r="P2205" s="18">
        <v>4.4000000000000004</v>
      </c>
      <c r="Q2205" s="18" t="b">
        <f>FALSE()</f>
        <v>0</v>
      </c>
      <c r="R2205" s="18" t="b">
        <f>FALSE()</f>
        <v>0</v>
      </c>
      <c r="S2205" s="19">
        <f t="shared" si="34"/>
        <v>20.6</v>
      </c>
      <c r="T2205">
        <f>COUNTIF('👤 Customers'!$A:$A, B2205)</f>
        <v>1</v>
      </c>
      <c r="U2205">
        <f>COUNTIF('🚴 Riders'!A2204:A2264, C2205)</f>
        <v>0</v>
      </c>
      <c r="V2205">
        <f>COUNTIF('🏭 Facilities'!A2204:A2212, D2205)</f>
        <v>0</v>
      </c>
    </row>
    <row r="2206" spans="1:22">
      <c r="A2206" s="16" t="s">
        <v>5071</v>
      </c>
      <c r="B2206" s="16" t="s">
        <v>2681</v>
      </c>
      <c r="C2206" s="16" t="s">
        <v>143</v>
      </c>
      <c r="D2206" s="16" t="s">
        <v>205</v>
      </c>
      <c r="E2206" s="25">
        <v>45060</v>
      </c>
      <c r="F2206" s="16" t="s">
        <v>5072</v>
      </c>
      <c r="G2206" s="16" t="s">
        <v>117</v>
      </c>
      <c r="H2206" s="16">
        <v>7.1</v>
      </c>
      <c r="I2206" s="16">
        <v>149</v>
      </c>
      <c r="J2206" s="16">
        <v>0</v>
      </c>
      <c r="K2206" s="16">
        <v>1057.9000000000001</v>
      </c>
      <c r="L2206" s="16" t="s">
        <v>207</v>
      </c>
      <c r="M2206" s="16" t="s">
        <v>140</v>
      </c>
      <c r="N2206" s="27">
        <v>45061.094444444447</v>
      </c>
      <c r="O2206" s="27">
        <v>45061.965277777781</v>
      </c>
      <c r="P2206" s="20"/>
      <c r="Q2206" s="16" t="b">
        <f>FALSE()</f>
        <v>0</v>
      </c>
      <c r="R2206" s="16" t="b">
        <f>FALSE()</f>
        <v>0</v>
      </c>
      <c r="S2206" s="17">
        <f t="shared" si="34"/>
        <v>20.9</v>
      </c>
      <c r="T2206">
        <f>COUNTIF('👤 Customers'!$A:$A, B2206)</f>
        <v>1</v>
      </c>
      <c r="U2206">
        <f>COUNTIF('🚴 Riders'!A2205:A2265, C2206)</f>
        <v>0</v>
      </c>
      <c r="V2206">
        <f>COUNTIF('🏭 Facilities'!A2205:A2213, D2206)</f>
        <v>0</v>
      </c>
    </row>
    <row r="2207" spans="1:22">
      <c r="A2207" s="18" t="s">
        <v>5073</v>
      </c>
      <c r="B2207" s="18" t="s">
        <v>2265</v>
      </c>
      <c r="C2207" s="18" t="s">
        <v>479</v>
      </c>
      <c r="D2207" s="18" t="s">
        <v>197</v>
      </c>
      <c r="E2207" s="26">
        <v>45446</v>
      </c>
      <c r="F2207" s="18" t="s">
        <v>5074</v>
      </c>
      <c r="G2207" s="18" t="s">
        <v>145</v>
      </c>
      <c r="H2207" s="18">
        <v>7.8</v>
      </c>
      <c r="I2207" s="18">
        <v>299</v>
      </c>
      <c r="J2207" s="18">
        <v>0</v>
      </c>
      <c r="K2207" s="18">
        <v>2332.1999999999998</v>
      </c>
      <c r="L2207" s="18" t="s">
        <v>207</v>
      </c>
      <c r="M2207" s="18" t="s">
        <v>140</v>
      </c>
      <c r="N2207" s="28">
        <v>45446.802083333336</v>
      </c>
      <c r="O2207" s="28">
        <v>45447.136805555558</v>
      </c>
      <c r="P2207" s="20"/>
      <c r="Q2207" s="18" t="b">
        <f>FALSE()</f>
        <v>0</v>
      </c>
      <c r="R2207" s="18" t="b">
        <f>TRUE()</f>
        <v>1</v>
      </c>
      <c r="S2207" s="19">
        <f t="shared" si="34"/>
        <v>8</v>
      </c>
      <c r="T2207">
        <f>COUNTIF('👤 Customers'!$A:$A, B2207)</f>
        <v>1</v>
      </c>
      <c r="U2207">
        <f>COUNTIF('🚴 Riders'!A2206:A2266, C2207)</f>
        <v>0</v>
      </c>
      <c r="V2207">
        <f>COUNTIF('🏭 Facilities'!A2206:A2214, D2207)</f>
        <v>0</v>
      </c>
    </row>
    <row r="2208" spans="1:22">
      <c r="A2208" s="16" t="s">
        <v>5075</v>
      </c>
      <c r="B2208" s="16" t="s">
        <v>1743</v>
      </c>
      <c r="C2208" s="16" t="s">
        <v>196</v>
      </c>
      <c r="D2208" s="16" t="s">
        <v>137</v>
      </c>
      <c r="E2208" s="25">
        <v>45650</v>
      </c>
      <c r="F2208" s="16" t="s">
        <v>5076</v>
      </c>
      <c r="G2208" s="16" t="s">
        <v>125</v>
      </c>
      <c r="H2208" s="16">
        <v>2.1</v>
      </c>
      <c r="I2208" s="16">
        <v>199</v>
      </c>
      <c r="J2208" s="16">
        <v>10</v>
      </c>
      <c r="K2208" s="16">
        <v>376.11</v>
      </c>
      <c r="L2208" s="16" t="s">
        <v>139</v>
      </c>
      <c r="M2208" s="16" t="s">
        <v>140</v>
      </c>
      <c r="N2208" s="27">
        <v>45650.589583333334</v>
      </c>
      <c r="O2208" s="27">
        <v>45651.54791666667</v>
      </c>
      <c r="P2208" s="20"/>
      <c r="Q2208" s="16" t="b">
        <f>FALSE()</f>
        <v>0</v>
      </c>
      <c r="R2208" s="16" t="b">
        <f>FALSE()</f>
        <v>0</v>
      </c>
      <c r="S2208" s="17">
        <f t="shared" si="34"/>
        <v>23</v>
      </c>
      <c r="T2208">
        <f>COUNTIF('👤 Customers'!$A:$A, B2208)</f>
        <v>1</v>
      </c>
      <c r="U2208">
        <f>COUNTIF('🚴 Riders'!A2207:A2267, C2208)</f>
        <v>0</v>
      </c>
      <c r="V2208">
        <f>COUNTIF('🏭 Facilities'!A2207:A2215, D2208)</f>
        <v>0</v>
      </c>
    </row>
    <row r="2209" spans="1:22">
      <c r="A2209" s="18" t="s">
        <v>5077</v>
      </c>
      <c r="B2209" s="18" t="s">
        <v>1895</v>
      </c>
      <c r="C2209" s="18" t="s">
        <v>563</v>
      </c>
      <c r="D2209" s="18" t="s">
        <v>130</v>
      </c>
      <c r="E2209" s="26">
        <v>44973</v>
      </c>
      <c r="F2209" s="18" t="s">
        <v>5078</v>
      </c>
      <c r="G2209" s="18" t="s">
        <v>176</v>
      </c>
      <c r="H2209" s="18">
        <v>3.9</v>
      </c>
      <c r="I2209" s="18">
        <v>599</v>
      </c>
      <c r="J2209" s="18">
        <v>0</v>
      </c>
      <c r="K2209" s="18">
        <v>2336.1</v>
      </c>
      <c r="L2209" s="18" t="s">
        <v>146</v>
      </c>
      <c r="M2209" s="18" t="s">
        <v>140</v>
      </c>
      <c r="N2209" s="28">
        <v>44973.939583333333</v>
      </c>
      <c r="O2209" s="28">
        <v>44974.667361111111</v>
      </c>
      <c r="P2209" s="20"/>
      <c r="Q2209" s="18" t="b">
        <f>FALSE()</f>
        <v>0</v>
      </c>
      <c r="R2209" s="18" t="b">
        <f>FALSE()</f>
        <v>0</v>
      </c>
      <c r="S2209" s="19">
        <f t="shared" si="34"/>
        <v>17.5</v>
      </c>
      <c r="T2209">
        <f>COUNTIF('👤 Customers'!$A:$A, B2209)</f>
        <v>1</v>
      </c>
      <c r="U2209">
        <f>COUNTIF('🚴 Riders'!A2208:A2268, C2209)</f>
        <v>0</v>
      </c>
      <c r="V2209">
        <f>COUNTIF('🏭 Facilities'!A2208:A2216, D2209)</f>
        <v>0</v>
      </c>
    </row>
    <row r="2210" spans="1:22">
      <c r="A2210" s="16" t="s">
        <v>5079</v>
      </c>
      <c r="B2210" s="16" t="s">
        <v>5080</v>
      </c>
      <c r="C2210" s="16" t="s">
        <v>204</v>
      </c>
      <c r="D2210" s="16" t="s">
        <v>184</v>
      </c>
      <c r="E2210" s="25">
        <v>45429</v>
      </c>
      <c r="F2210" s="16" t="s">
        <v>2998</v>
      </c>
      <c r="G2210" s="16" t="s">
        <v>117</v>
      </c>
      <c r="H2210" s="16">
        <v>4.2</v>
      </c>
      <c r="I2210" s="16">
        <v>149</v>
      </c>
      <c r="J2210" s="16">
        <v>0</v>
      </c>
      <c r="K2210" s="16">
        <v>625.79999999999995</v>
      </c>
      <c r="L2210" s="16" t="s">
        <v>126</v>
      </c>
      <c r="M2210" s="16" t="s">
        <v>119</v>
      </c>
      <c r="N2210" s="27">
        <v>45429.35</v>
      </c>
      <c r="O2210" s="27">
        <v>45430.154166666667</v>
      </c>
      <c r="P2210" s="16">
        <v>3</v>
      </c>
      <c r="Q2210" s="16" t="b">
        <f>FALSE()</f>
        <v>0</v>
      </c>
      <c r="R2210" s="16" t="b">
        <f>FALSE()</f>
        <v>0</v>
      </c>
      <c r="S2210" s="17">
        <f t="shared" si="34"/>
        <v>19.3</v>
      </c>
      <c r="T2210">
        <f>COUNTIF('👤 Customers'!$A:$A, B2210)</f>
        <v>1</v>
      </c>
      <c r="U2210">
        <f>COUNTIF('🚴 Riders'!A2209:A2269, C2210)</f>
        <v>0</v>
      </c>
      <c r="V2210">
        <f>COUNTIF('🏭 Facilities'!A2209:A2217, D2210)</f>
        <v>0</v>
      </c>
    </row>
    <row r="2211" spans="1:22">
      <c r="A2211" s="18" t="s">
        <v>5081</v>
      </c>
      <c r="B2211" s="18" t="s">
        <v>2167</v>
      </c>
      <c r="C2211" s="18" t="s">
        <v>461</v>
      </c>
      <c r="D2211" s="18" t="s">
        <v>158</v>
      </c>
      <c r="E2211" s="26">
        <v>45573</v>
      </c>
      <c r="F2211" s="18" t="s">
        <v>5082</v>
      </c>
      <c r="G2211" s="18" t="s">
        <v>176</v>
      </c>
      <c r="H2211" s="18">
        <v>6.9</v>
      </c>
      <c r="I2211" s="18">
        <v>599</v>
      </c>
      <c r="J2211" s="18">
        <v>0</v>
      </c>
      <c r="K2211" s="18">
        <v>4133.1000000000004</v>
      </c>
      <c r="L2211" s="18" t="s">
        <v>139</v>
      </c>
      <c r="M2211" s="18" t="s">
        <v>119</v>
      </c>
      <c r="N2211" s="28">
        <v>45573.34652777778</v>
      </c>
      <c r="O2211" s="28">
        <v>45574.068055555559</v>
      </c>
      <c r="P2211" s="18">
        <v>4.4000000000000004</v>
      </c>
      <c r="Q2211" s="18" t="b">
        <f>FALSE()</f>
        <v>0</v>
      </c>
      <c r="R2211" s="18" t="b">
        <f>FALSE()</f>
        <v>0</v>
      </c>
      <c r="S2211" s="19">
        <f t="shared" si="34"/>
        <v>17.3</v>
      </c>
      <c r="T2211">
        <f>COUNTIF('👤 Customers'!$A:$A, B2211)</f>
        <v>1</v>
      </c>
      <c r="U2211">
        <f>COUNTIF('🚴 Riders'!A2210:A2270, C2211)</f>
        <v>0</v>
      </c>
      <c r="V2211">
        <f>COUNTIF('🏭 Facilities'!A2210:A2218, D2211)</f>
        <v>0</v>
      </c>
    </row>
    <row r="2212" spans="1:22">
      <c r="A2212" s="16" t="s">
        <v>5083</v>
      </c>
      <c r="B2212" s="16" t="s">
        <v>743</v>
      </c>
      <c r="C2212" s="16" t="s">
        <v>153</v>
      </c>
      <c r="D2212" s="16" t="s">
        <v>123</v>
      </c>
      <c r="E2212" s="25">
        <v>44955</v>
      </c>
      <c r="F2212" s="16" t="s">
        <v>5084</v>
      </c>
      <c r="G2212" s="16" t="s">
        <v>145</v>
      </c>
      <c r="H2212" s="16">
        <v>6.6</v>
      </c>
      <c r="I2212" s="16">
        <v>299</v>
      </c>
      <c r="J2212" s="16">
        <v>10</v>
      </c>
      <c r="K2212" s="16">
        <v>1776.06</v>
      </c>
      <c r="L2212" s="16" t="s">
        <v>146</v>
      </c>
      <c r="M2212" s="16" t="s">
        <v>140</v>
      </c>
      <c r="N2212" s="27">
        <v>44955.441666666666</v>
      </c>
      <c r="O2212" s="27">
        <v>44956.530555555553</v>
      </c>
      <c r="P2212" s="20"/>
      <c r="Q2212" s="16" t="b">
        <f>FALSE()</f>
        <v>0</v>
      </c>
      <c r="R2212" s="16" t="b">
        <f>FALSE()</f>
        <v>0</v>
      </c>
      <c r="S2212" s="17">
        <f t="shared" si="34"/>
        <v>26.1</v>
      </c>
      <c r="T2212">
        <f>COUNTIF('👤 Customers'!$A:$A, B2212)</f>
        <v>1</v>
      </c>
      <c r="U2212">
        <f>COUNTIF('🚴 Riders'!A2211:A2271, C2212)</f>
        <v>0</v>
      </c>
      <c r="V2212">
        <f>COUNTIF('🏭 Facilities'!A2211:A2219, D2212)</f>
        <v>0</v>
      </c>
    </row>
    <row r="2213" spans="1:22">
      <c r="A2213" s="18" t="s">
        <v>5085</v>
      </c>
      <c r="B2213" s="18" t="s">
        <v>1317</v>
      </c>
      <c r="C2213" s="18" t="s">
        <v>350</v>
      </c>
      <c r="D2213" s="18" t="s">
        <v>115</v>
      </c>
      <c r="E2213" s="26">
        <v>45265</v>
      </c>
      <c r="F2213" s="18" t="s">
        <v>5086</v>
      </c>
      <c r="G2213" s="18" t="s">
        <v>145</v>
      </c>
      <c r="H2213" s="18">
        <v>6.1</v>
      </c>
      <c r="I2213" s="18">
        <v>299</v>
      </c>
      <c r="J2213" s="18">
        <v>0</v>
      </c>
      <c r="K2213" s="18">
        <v>1823.9</v>
      </c>
      <c r="L2213" s="18" t="s">
        <v>118</v>
      </c>
      <c r="M2213" s="18" t="s">
        <v>119</v>
      </c>
      <c r="N2213" s="28">
        <v>45265.181944444441</v>
      </c>
      <c r="O2213" s="28">
        <v>45265.63958333333</v>
      </c>
      <c r="P2213" s="18">
        <v>4.2</v>
      </c>
      <c r="Q2213" s="18" t="b">
        <f>FALSE()</f>
        <v>0</v>
      </c>
      <c r="R2213" s="18" t="b">
        <f>FALSE()</f>
        <v>0</v>
      </c>
      <c r="S2213" s="19">
        <f t="shared" si="34"/>
        <v>11</v>
      </c>
      <c r="T2213">
        <f>COUNTIF('👤 Customers'!$A:$A, B2213)</f>
        <v>1</v>
      </c>
      <c r="U2213">
        <f>COUNTIF('🚴 Riders'!A2212:A2272, C2213)</f>
        <v>0</v>
      </c>
      <c r="V2213">
        <f>COUNTIF('🏭 Facilities'!A2212:A2220, D2213)</f>
        <v>0</v>
      </c>
    </row>
    <row r="2214" spans="1:22">
      <c r="A2214" s="16" t="s">
        <v>5087</v>
      </c>
      <c r="B2214" s="16" t="s">
        <v>692</v>
      </c>
      <c r="C2214" s="16" t="s">
        <v>431</v>
      </c>
      <c r="D2214" s="16" t="s">
        <v>197</v>
      </c>
      <c r="E2214" s="25">
        <v>45172</v>
      </c>
      <c r="F2214" s="16" t="s">
        <v>5088</v>
      </c>
      <c r="G2214" s="16" t="s">
        <v>145</v>
      </c>
      <c r="H2214" s="16">
        <v>1.9</v>
      </c>
      <c r="I2214" s="16">
        <v>299</v>
      </c>
      <c r="J2214" s="16">
        <v>0</v>
      </c>
      <c r="K2214" s="16">
        <v>568.1</v>
      </c>
      <c r="L2214" s="16" t="s">
        <v>139</v>
      </c>
      <c r="M2214" s="16" t="s">
        <v>119</v>
      </c>
      <c r="N2214" s="27">
        <v>45173.077777777777</v>
      </c>
      <c r="O2214" s="27">
        <v>45173.486805555556</v>
      </c>
      <c r="P2214" s="16">
        <v>5</v>
      </c>
      <c r="Q2214" s="16" t="b">
        <f>FALSE()</f>
        <v>0</v>
      </c>
      <c r="R2214" s="16" t="b">
        <f>FALSE()</f>
        <v>0</v>
      </c>
      <c r="S2214" s="17">
        <f t="shared" si="34"/>
        <v>9.8000000000000007</v>
      </c>
      <c r="T2214">
        <f>COUNTIF('👤 Customers'!$A:$A, B2214)</f>
        <v>1</v>
      </c>
      <c r="U2214">
        <f>COUNTIF('🚴 Riders'!A2213:A2273, C2214)</f>
        <v>0</v>
      </c>
      <c r="V2214">
        <f>COUNTIF('🏭 Facilities'!A2213:A2221, D2214)</f>
        <v>0</v>
      </c>
    </row>
    <row r="2215" spans="1:22">
      <c r="A2215" s="18" t="s">
        <v>5089</v>
      </c>
      <c r="B2215" s="18" t="s">
        <v>1886</v>
      </c>
      <c r="C2215" s="18" t="s">
        <v>536</v>
      </c>
      <c r="D2215" s="18" t="s">
        <v>158</v>
      </c>
      <c r="E2215" s="26">
        <v>45198</v>
      </c>
      <c r="F2215" s="18" t="s">
        <v>1838</v>
      </c>
      <c r="G2215" s="18" t="s">
        <v>125</v>
      </c>
      <c r="H2215" s="18">
        <v>7</v>
      </c>
      <c r="I2215" s="18">
        <v>199</v>
      </c>
      <c r="J2215" s="18">
        <v>20</v>
      </c>
      <c r="K2215" s="18">
        <v>1114.4000000000001</v>
      </c>
      <c r="L2215" s="18" t="s">
        <v>207</v>
      </c>
      <c r="M2215" s="18" t="s">
        <v>119</v>
      </c>
      <c r="N2215" s="28">
        <v>45198.9375</v>
      </c>
      <c r="O2215" s="28">
        <v>45199.865972222222</v>
      </c>
      <c r="P2215" s="18">
        <v>3.5</v>
      </c>
      <c r="Q2215" s="18" t="b">
        <f>FALSE()</f>
        <v>0</v>
      </c>
      <c r="R2215" s="18" t="b">
        <f>FALSE()</f>
        <v>0</v>
      </c>
      <c r="S2215" s="19">
        <f t="shared" si="34"/>
        <v>22.3</v>
      </c>
      <c r="T2215">
        <f>COUNTIF('👤 Customers'!$A:$A, B2215)</f>
        <v>1</v>
      </c>
      <c r="U2215">
        <f>COUNTIF('🚴 Riders'!A2214:A2274, C2215)</f>
        <v>0</v>
      </c>
      <c r="V2215">
        <f>COUNTIF('🏭 Facilities'!A2214:A2222, D2215)</f>
        <v>0</v>
      </c>
    </row>
    <row r="2216" spans="1:22">
      <c r="A2216" s="16" t="s">
        <v>5090</v>
      </c>
      <c r="B2216" s="16" t="s">
        <v>1311</v>
      </c>
      <c r="C2216" s="16" t="s">
        <v>192</v>
      </c>
      <c r="D2216" s="16" t="s">
        <v>130</v>
      </c>
      <c r="E2216" s="25">
        <v>45095</v>
      </c>
      <c r="F2216" s="16" t="s">
        <v>5091</v>
      </c>
      <c r="G2216" s="16" t="s">
        <v>132</v>
      </c>
      <c r="H2216" s="16">
        <v>6.9</v>
      </c>
      <c r="I2216" s="16">
        <v>399</v>
      </c>
      <c r="J2216" s="16">
        <v>0</v>
      </c>
      <c r="K2216" s="16">
        <v>2753.1</v>
      </c>
      <c r="L2216" s="16" t="s">
        <v>126</v>
      </c>
      <c r="M2216" s="16" t="s">
        <v>119</v>
      </c>
      <c r="N2216" s="27">
        <v>45095.39166666667</v>
      </c>
      <c r="O2216" s="27">
        <v>45096.429166666669</v>
      </c>
      <c r="P2216" s="16">
        <v>4</v>
      </c>
      <c r="Q2216" s="16" t="b">
        <f>FALSE()</f>
        <v>0</v>
      </c>
      <c r="R2216" s="16" t="b">
        <f>TRUE()</f>
        <v>1</v>
      </c>
      <c r="S2216" s="17">
        <f t="shared" si="34"/>
        <v>24.9</v>
      </c>
      <c r="T2216">
        <f>COUNTIF('👤 Customers'!$A:$A, B2216)</f>
        <v>1</v>
      </c>
      <c r="U2216">
        <f>COUNTIF('🚴 Riders'!A2215:A2275, C2216)</f>
        <v>0</v>
      </c>
      <c r="V2216">
        <f>COUNTIF('🏭 Facilities'!A2215:A2223, D2216)</f>
        <v>0</v>
      </c>
    </row>
    <row r="2217" spans="1:22">
      <c r="A2217" s="18" t="s">
        <v>5092</v>
      </c>
      <c r="B2217" s="18" t="s">
        <v>2792</v>
      </c>
      <c r="C2217" s="18" t="s">
        <v>143</v>
      </c>
      <c r="D2217" s="18" t="s">
        <v>137</v>
      </c>
      <c r="E2217" s="26">
        <v>45285</v>
      </c>
      <c r="F2217" s="18" t="s">
        <v>5093</v>
      </c>
      <c r="G2217" s="18" t="s">
        <v>117</v>
      </c>
      <c r="H2217" s="18">
        <v>6.4</v>
      </c>
      <c r="I2217" s="18">
        <v>149</v>
      </c>
      <c r="J2217" s="18">
        <v>0</v>
      </c>
      <c r="K2217" s="18">
        <v>953.6</v>
      </c>
      <c r="L2217" s="18" t="s">
        <v>118</v>
      </c>
      <c r="M2217" s="18" t="s">
        <v>119</v>
      </c>
      <c r="N2217" s="28">
        <v>45285.469444444447</v>
      </c>
      <c r="O2217" s="28">
        <v>45285.869444444441</v>
      </c>
      <c r="P2217" s="18">
        <v>3.7</v>
      </c>
      <c r="Q2217" s="18" t="b">
        <f>FALSE()</f>
        <v>0</v>
      </c>
      <c r="R2217" s="18" t="b">
        <f>FALSE()</f>
        <v>0</v>
      </c>
      <c r="S2217" s="19">
        <f t="shared" si="34"/>
        <v>9.6</v>
      </c>
      <c r="T2217">
        <f>COUNTIF('👤 Customers'!$A:$A, B2217)</f>
        <v>1</v>
      </c>
      <c r="U2217">
        <f>COUNTIF('🚴 Riders'!A2216:A2276, C2217)</f>
        <v>0</v>
      </c>
      <c r="V2217">
        <f>COUNTIF('🏭 Facilities'!A2216:A2224, D2217)</f>
        <v>0</v>
      </c>
    </row>
    <row r="2218" spans="1:22">
      <c r="A2218" s="16" t="s">
        <v>5094</v>
      </c>
      <c r="B2218" s="16" t="s">
        <v>1512</v>
      </c>
      <c r="C2218" s="16" t="s">
        <v>265</v>
      </c>
      <c r="D2218" s="16" t="s">
        <v>130</v>
      </c>
      <c r="E2218" s="25">
        <v>45024</v>
      </c>
      <c r="F2218" s="16" t="s">
        <v>5095</v>
      </c>
      <c r="G2218" s="16" t="s">
        <v>117</v>
      </c>
      <c r="H2218" s="16">
        <v>6</v>
      </c>
      <c r="I2218" s="16">
        <v>149</v>
      </c>
      <c r="J2218" s="16">
        <v>0</v>
      </c>
      <c r="K2218" s="16">
        <v>894</v>
      </c>
      <c r="L2218" s="16" t="s">
        <v>139</v>
      </c>
      <c r="M2218" s="16" t="s">
        <v>140</v>
      </c>
      <c r="N2218" s="27">
        <v>45024.306944444441</v>
      </c>
      <c r="O2218" s="27">
        <v>45025.34097222222</v>
      </c>
      <c r="P2218" s="20"/>
      <c r="Q2218" s="16" t="b">
        <f>FALSE()</f>
        <v>0</v>
      </c>
      <c r="R2218" s="16" t="b">
        <f>FALSE()</f>
        <v>0</v>
      </c>
      <c r="S2218" s="17">
        <f t="shared" si="34"/>
        <v>24.8</v>
      </c>
      <c r="T2218">
        <f>COUNTIF('👤 Customers'!$A:$A, B2218)</f>
        <v>1</v>
      </c>
      <c r="U2218">
        <f>COUNTIF('🚴 Riders'!A2217:A2277, C2218)</f>
        <v>0</v>
      </c>
      <c r="V2218">
        <f>COUNTIF('🏭 Facilities'!A2217:A2225, D2218)</f>
        <v>0</v>
      </c>
    </row>
    <row r="2219" spans="1:22">
      <c r="A2219" s="18" t="s">
        <v>5096</v>
      </c>
      <c r="B2219" s="18" t="s">
        <v>1679</v>
      </c>
      <c r="C2219" s="18" t="s">
        <v>265</v>
      </c>
      <c r="D2219" s="18" t="s">
        <v>158</v>
      </c>
      <c r="E2219" s="26">
        <v>45393</v>
      </c>
      <c r="F2219" s="18" t="s">
        <v>5097</v>
      </c>
      <c r="G2219" s="18" t="s">
        <v>132</v>
      </c>
      <c r="H2219" s="18">
        <v>2.4</v>
      </c>
      <c r="I2219" s="18">
        <v>399</v>
      </c>
      <c r="J2219" s="18">
        <v>0</v>
      </c>
      <c r="K2219" s="18">
        <v>957.6</v>
      </c>
      <c r="L2219" s="18" t="s">
        <v>207</v>
      </c>
      <c r="M2219" s="18" t="s">
        <v>119</v>
      </c>
      <c r="N2219" s="28">
        <v>45393.458333333336</v>
      </c>
      <c r="O2219" s="28">
        <v>45393.955555555556</v>
      </c>
      <c r="P2219" s="18">
        <v>4.4000000000000004</v>
      </c>
      <c r="Q2219" s="18" t="b">
        <f>FALSE()</f>
        <v>0</v>
      </c>
      <c r="R2219" s="18" t="b">
        <f>FALSE()</f>
        <v>0</v>
      </c>
      <c r="S2219" s="19">
        <f t="shared" si="34"/>
        <v>11.9</v>
      </c>
      <c r="T2219">
        <f>COUNTIF('👤 Customers'!$A:$A, B2219)</f>
        <v>1</v>
      </c>
      <c r="U2219">
        <f>COUNTIF('🚴 Riders'!A2218:A2278, C2219)</f>
        <v>0</v>
      </c>
      <c r="V2219">
        <f>COUNTIF('🏭 Facilities'!A2218:A2226, D2219)</f>
        <v>0</v>
      </c>
    </row>
    <row r="2220" spans="1:22">
      <c r="A2220" s="16" t="s">
        <v>5098</v>
      </c>
      <c r="B2220" s="16" t="s">
        <v>447</v>
      </c>
      <c r="C2220" s="16" t="s">
        <v>192</v>
      </c>
      <c r="D2220" s="16" t="s">
        <v>115</v>
      </c>
      <c r="E2220" s="25">
        <v>45035</v>
      </c>
      <c r="F2220" s="16" t="s">
        <v>5099</v>
      </c>
      <c r="G2220" s="16" t="s">
        <v>132</v>
      </c>
      <c r="H2220" s="16">
        <v>4.5</v>
      </c>
      <c r="I2220" s="16">
        <v>399</v>
      </c>
      <c r="J2220" s="16">
        <v>0</v>
      </c>
      <c r="K2220" s="16">
        <v>1795.5</v>
      </c>
      <c r="L2220" s="16" t="s">
        <v>126</v>
      </c>
      <c r="M2220" s="16" t="s">
        <v>119</v>
      </c>
      <c r="N2220" s="27">
        <v>45035.725694444445</v>
      </c>
      <c r="O2220" s="27">
        <v>45036.176388888889</v>
      </c>
      <c r="P2220" s="16">
        <v>2.5</v>
      </c>
      <c r="Q2220" s="16" t="b">
        <f>FALSE()</f>
        <v>0</v>
      </c>
      <c r="R2220" s="16" t="b">
        <f>FALSE()</f>
        <v>0</v>
      </c>
      <c r="S2220" s="17">
        <f t="shared" si="34"/>
        <v>10.8</v>
      </c>
      <c r="T2220">
        <f>COUNTIF('👤 Customers'!$A:$A, B2220)</f>
        <v>1</v>
      </c>
      <c r="U2220">
        <f>COUNTIF('🚴 Riders'!A2219:A2279, C2220)</f>
        <v>0</v>
      </c>
      <c r="V2220">
        <f>COUNTIF('🏭 Facilities'!A2219:A2227, D2220)</f>
        <v>0</v>
      </c>
    </row>
    <row r="2221" spans="1:22">
      <c r="A2221" s="18" t="s">
        <v>5100</v>
      </c>
      <c r="B2221" s="18" t="s">
        <v>1530</v>
      </c>
      <c r="C2221" s="18" t="s">
        <v>479</v>
      </c>
      <c r="D2221" s="18" t="s">
        <v>130</v>
      </c>
      <c r="E2221" s="26">
        <v>45435</v>
      </c>
      <c r="F2221" s="18" t="s">
        <v>5101</v>
      </c>
      <c r="G2221" s="18" t="s">
        <v>132</v>
      </c>
      <c r="H2221" s="18">
        <v>2.8</v>
      </c>
      <c r="I2221" s="18">
        <v>399</v>
      </c>
      <c r="J2221" s="18">
        <v>20</v>
      </c>
      <c r="K2221" s="18">
        <v>893.76</v>
      </c>
      <c r="L2221" s="18" t="s">
        <v>126</v>
      </c>
      <c r="M2221" s="18" t="s">
        <v>119</v>
      </c>
      <c r="N2221" s="28">
        <v>45435.866666666669</v>
      </c>
      <c r="O2221" s="28">
        <v>45436.183333333334</v>
      </c>
      <c r="P2221" s="18">
        <v>4.0999999999999996</v>
      </c>
      <c r="Q2221" s="18" t="b">
        <f>FALSE()</f>
        <v>0</v>
      </c>
      <c r="R2221" s="18" t="b">
        <f>FALSE()</f>
        <v>0</v>
      </c>
      <c r="S2221" s="19">
        <f t="shared" si="34"/>
        <v>7.6</v>
      </c>
      <c r="T2221">
        <f>COUNTIF('👤 Customers'!$A:$A, B2221)</f>
        <v>1</v>
      </c>
      <c r="U2221">
        <f>COUNTIF('🚴 Riders'!A2220:A2280, C2221)</f>
        <v>0</v>
      </c>
      <c r="V2221">
        <f>COUNTIF('🏭 Facilities'!A2220:A2228, D2221)</f>
        <v>0</v>
      </c>
    </row>
    <row r="2222" spans="1:22">
      <c r="A2222" s="16" t="s">
        <v>5102</v>
      </c>
      <c r="B2222" s="16" t="s">
        <v>830</v>
      </c>
      <c r="C2222" s="16" t="s">
        <v>611</v>
      </c>
      <c r="D2222" s="16" t="s">
        <v>184</v>
      </c>
      <c r="E2222" s="25">
        <v>45090</v>
      </c>
      <c r="F2222" s="16" t="s">
        <v>5103</v>
      </c>
      <c r="G2222" s="16" t="s">
        <v>176</v>
      </c>
      <c r="H2222" s="16">
        <v>3</v>
      </c>
      <c r="I2222" s="16">
        <v>599</v>
      </c>
      <c r="J2222" s="16">
        <v>0</v>
      </c>
      <c r="K2222" s="16">
        <v>1797</v>
      </c>
      <c r="L2222" s="16" t="s">
        <v>118</v>
      </c>
      <c r="M2222" s="16" t="s">
        <v>119</v>
      </c>
      <c r="N2222" s="27">
        <v>45090.572222222225</v>
      </c>
      <c r="O2222" s="27">
        <v>45091.422222222223</v>
      </c>
      <c r="P2222" s="16">
        <v>3.7</v>
      </c>
      <c r="Q2222" s="16" t="b">
        <f>FALSE()</f>
        <v>0</v>
      </c>
      <c r="R2222" s="16" t="b">
        <f>FALSE()</f>
        <v>0</v>
      </c>
      <c r="S2222" s="17">
        <f t="shared" si="34"/>
        <v>20.399999999999999</v>
      </c>
      <c r="T2222">
        <f>COUNTIF('👤 Customers'!$A:$A, B2222)</f>
        <v>1</v>
      </c>
      <c r="U2222">
        <f>COUNTIF('🚴 Riders'!A2221:A2281, C2222)</f>
        <v>0</v>
      </c>
      <c r="V2222">
        <f>COUNTIF('🏭 Facilities'!A2221:A2229, D2222)</f>
        <v>0</v>
      </c>
    </row>
    <row r="2223" spans="1:22">
      <c r="A2223" s="18" t="s">
        <v>5104</v>
      </c>
      <c r="B2223" s="18" t="s">
        <v>1336</v>
      </c>
      <c r="C2223" s="18" t="s">
        <v>308</v>
      </c>
      <c r="D2223" s="18" t="s">
        <v>158</v>
      </c>
      <c r="E2223" s="26">
        <v>45549</v>
      </c>
      <c r="F2223" s="18" t="s">
        <v>5105</v>
      </c>
      <c r="G2223" s="18" t="s">
        <v>117</v>
      </c>
      <c r="H2223" s="18">
        <v>6.3</v>
      </c>
      <c r="I2223" s="18">
        <v>149</v>
      </c>
      <c r="J2223" s="18">
        <v>10</v>
      </c>
      <c r="K2223" s="18">
        <v>844.83</v>
      </c>
      <c r="L2223" s="18" t="s">
        <v>118</v>
      </c>
      <c r="M2223" s="18" t="s">
        <v>119</v>
      </c>
      <c r="N2223" s="28">
        <v>45549.20416666667</v>
      </c>
      <c r="O2223" s="28">
        <v>45549.865972222222</v>
      </c>
      <c r="P2223" s="18">
        <v>3.4</v>
      </c>
      <c r="Q2223" s="18" t="b">
        <f>FALSE()</f>
        <v>0</v>
      </c>
      <c r="R2223" s="18" t="b">
        <f>FALSE()</f>
        <v>0</v>
      </c>
      <c r="S2223" s="19">
        <f t="shared" si="34"/>
        <v>15.9</v>
      </c>
      <c r="T2223">
        <f>COUNTIF('👤 Customers'!$A:$A, B2223)</f>
        <v>1</v>
      </c>
      <c r="U2223">
        <f>COUNTIF('🚴 Riders'!A2222:A2282, C2223)</f>
        <v>0</v>
      </c>
      <c r="V2223">
        <f>COUNTIF('🏭 Facilities'!A2222:A2230, D2223)</f>
        <v>0</v>
      </c>
    </row>
    <row r="2224" spans="1:22">
      <c r="A2224" s="16" t="s">
        <v>5106</v>
      </c>
      <c r="B2224" s="16" t="s">
        <v>654</v>
      </c>
      <c r="C2224" s="16" t="s">
        <v>247</v>
      </c>
      <c r="D2224" s="16" t="s">
        <v>123</v>
      </c>
      <c r="E2224" s="25">
        <v>45492</v>
      </c>
      <c r="F2224" s="16" t="s">
        <v>5107</v>
      </c>
      <c r="G2224" s="16" t="s">
        <v>132</v>
      </c>
      <c r="H2224" s="16">
        <v>1.7</v>
      </c>
      <c r="I2224" s="16">
        <v>399</v>
      </c>
      <c r="J2224" s="16">
        <v>0</v>
      </c>
      <c r="K2224" s="16">
        <v>678.3</v>
      </c>
      <c r="L2224" s="16" t="s">
        <v>126</v>
      </c>
      <c r="M2224" s="16" t="s">
        <v>140</v>
      </c>
      <c r="N2224" s="27">
        <v>45492.480555555558</v>
      </c>
      <c r="O2224" s="27">
        <v>45492.990972222222</v>
      </c>
      <c r="P2224" s="20"/>
      <c r="Q2224" s="16" t="b">
        <f>FALSE()</f>
        <v>0</v>
      </c>
      <c r="R2224" s="16" t="b">
        <f>FALSE()</f>
        <v>0</v>
      </c>
      <c r="S2224" s="17">
        <f t="shared" si="34"/>
        <v>12.2</v>
      </c>
      <c r="T2224">
        <f>COUNTIF('👤 Customers'!$A:$A, B2224)</f>
        <v>1</v>
      </c>
      <c r="U2224">
        <f>COUNTIF('🚴 Riders'!A2223:A2283, C2224)</f>
        <v>0</v>
      </c>
      <c r="V2224">
        <f>COUNTIF('🏭 Facilities'!A2223:A2231, D2224)</f>
        <v>0</v>
      </c>
    </row>
    <row r="2225" spans="1:22">
      <c r="A2225" s="18" t="s">
        <v>5108</v>
      </c>
      <c r="B2225" s="18" t="s">
        <v>321</v>
      </c>
      <c r="C2225" s="18" t="s">
        <v>283</v>
      </c>
      <c r="D2225" s="18" t="s">
        <v>137</v>
      </c>
      <c r="E2225" s="26">
        <v>45415</v>
      </c>
      <c r="F2225" s="18" t="s">
        <v>5109</v>
      </c>
      <c r="G2225" s="18" t="s">
        <v>145</v>
      </c>
      <c r="H2225" s="18">
        <v>2.4</v>
      </c>
      <c r="I2225" s="18">
        <v>299</v>
      </c>
      <c r="J2225" s="18">
        <v>30</v>
      </c>
      <c r="K2225" s="18">
        <v>502.32</v>
      </c>
      <c r="L2225" s="18" t="s">
        <v>146</v>
      </c>
      <c r="M2225" s="18" t="s">
        <v>133</v>
      </c>
      <c r="N2225" s="20"/>
      <c r="O2225" s="20"/>
      <c r="P2225" s="20"/>
      <c r="Q2225" s="18" t="b">
        <f>FALSE()</f>
        <v>0</v>
      </c>
      <c r="R2225" s="18" t="b">
        <f>FALSE()</f>
        <v>0</v>
      </c>
      <c r="S2225" s="19" t="str">
        <f t="shared" si="34"/>
        <v>N/A</v>
      </c>
      <c r="T2225">
        <f>COUNTIF('👤 Customers'!$A:$A, B2225)</f>
        <v>1</v>
      </c>
      <c r="U2225">
        <f>COUNTIF('🚴 Riders'!A2224:A2284, C2225)</f>
        <v>0</v>
      </c>
      <c r="V2225">
        <f>COUNTIF('🏭 Facilities'!A2224:A2232, D2225)</f>
        <v>0</v>
      </c>
    </row>
    <row r="2226" spans="1:22">
      <c r="A2226" s="16" t="s">
        <v>5110</v>
      </c>
      <c r="B2226" s="16" t="s">
        <v>3127</v>
      </c>
      <c r="C2226" s="16" t="s">
        <v>750</v>
      </c>
      <c r="D2226" s="16" t="s">
        <v>130</v>
      </c>
      <c r="E2226" s="25">
        <v>45550</v>
      </c>
      <c r="F2226" s="16" t="s">
        <v>5111</v>
      </c>
      <c r="G2226" s="16" t="s">
        <v>176</v>
      </c>
      <c r="H2226" s="16">
        <v>1.3</v>
      </c>
      <c r="I2226" s="16">
        <v>599</v>
      </c>
      <c r="J2226" s="16">
        <v>10</v>
      </c>
      <c r="K2226" s="16">
        <v>700.83</v>
      </c>
      <c r="L2226" s="16" t="s">
        <v>207</v>
      </c>
      <c r="M2226" s="16" t="s">
        <v>133</v>
      </c>
      <c r="N2226" s="20"/>
      <c r="O2226" s="20"/>
      <c r="P2226" s="20"/>
      <c r="Q2226" s="16" t="b">
        <f>TRUE()</f>
        <v>1</v>
      </c>
      <c r="R2226" s="16" t="b">
        <f>FALSE()</f>
        <v>0</v>
      </c>
      <c r="S2226" s="17" t="str">
        <f t="shared" si="34"/>
        <v>N/A</v>
      </c>
      <c r="T2226">
        <f>COUNTIF('👤 Customers'!$A:$A, B2226)</f>
        <v>1</v>
      </c>
      <c r="U2226">
        <f>COUNTIF('🚴 Riders'!A2225:A2285, C2226)</f>
        <v>0</v>
      </c>
      <c r="V2226">
        <f>COUNTIF('🏭 Facilities'!A2225:A2233, D2226)</f>
        <v>0</v>
      </c>
    </row>
    <row r="2227" spans="1:22">
      <c r="A2227" s="18" t="s">
        <v>5112</v>
      </c>
      <c r="B2227" s="18" t="s">
        <v>1137</v>
      </c>
      <c r="C2227" s="18" t="s">
        <v>204</v>
      </c>
      <c r="D2227" s="18" t="s">
        <v>197</v>
      </c>
      <c r="E2227" s="26">
        <v>45111</v>
      </c>
      <c r="F2227" s="18" t="s">
        <v>5113</v>
      </c>
      <c r="G2227" s="18" t="s">
        <v>132</v>
      </c>
      <c r="H2227" s="18">
        <v>1.7</v>
      </c>
      <c r="I2227" s="18">
        <v>399</v>
      </c>
      <c r="J2227" s="18">
        <v>0</v>
      </c>
      <c r="K2227" s="18">
        <v>678.3</v>
      </c>
      <c r="L2227" s="18" t="s">
        <v>126</v>
      </c>
      <c r="M2227" s="18" t="s">
        <v>133</v>
      </c>
      <c r="N2227" s="20"/>
      <c r="O2227" s="20"/>
      <c r="P2227" s="20"/>
      <c r="Q2227" s="18" t="b">
        <f>TRUE()</f>
        <v>1</v>
      </c>
      <c r="R2227" s="18" t="b">
        <f>TRUE()</f>
        <v>1</v>
      </c>
      <c r="S2227" s="19" t="str">
        <f t="shared" si="34"/>
        <v>N/A</v>
      </c>
      <c r="T2227">
        <f>COUNTIF('👤 Customers'!$A:$A, B2227)</f>
        <v>1</v>
      </c>
      <c r="U2227">
        <f>COUNTIF('🚴 Riders'!A2226:A2286, C2227)</f>
        <v>0</v>
      </c>
      <c r="V2227">
        <f>COUNTIF('🏭 Facilities'!A2226:A2234, D2227)</f>
        <v>0</v>
      </c>
    </row>
    <row r="2228" spans="1:22">
      <c r="A2228" s="16" t="s">
        <v>5114</v>
      </c>
      <c r="B2228" s="16" t="s">
        <v>5115</v>
      </c>
      <c r="C2228" s="16" t="s">
        <v>251</v>
      </c>
      <c r="D2228" s="16" t="s">
        <v>130</v>
      </c>
      <c r="E2228" s="25">
        <v>45265</v>
      </c>
      <c r="F2228" s="16" t="s">
        <v>5116</v>
      </c>
      <c r="G2228" s="16" t="s">
        <v>145</v>
      </c>
      <c r="H2228" s="16">
        <v>7.1</v>
      </c>
      <c r="I2228" s="16">
        <v>299</v>
      </c>
      <c r="J2228" s="16">
        <v>10</v>
      </c>
      <c r="K2228" s="16">
        <v>1910.61</v>
      </c>
      <c r="L2228" s="16" t="s">
        <v>118</v>
      </c>
      <c r="M2228" s="16" t="s">
        <v>133</v>
      </c>
      <c r="N2228" s="20"/>
      <c r="O2228" s="20"/>
      <c r="P2228" s="20"/>
      <c r="Q2228" s="16" t="b">
        <f>FALSE()</f>
        <v>0</v>
      </c>
      <c r="R2228" s="16" t="b">
        <f>FALSE()</f>
        <v>0</v>
      </c>
      <c r="S2228" s="17" t="str">
        <f t="shared" si="34"/>
        <v>N/A</v>
      </c>
      <c r="T2228">
        <f>COUNTIF('👤 Customers'!$A:$A, B2228)</f>
        <v>1</v>
      </c>
      <c r="U2228">
        <f>COUNTIF('🚴 Riders'!A2227:A2287, C2228)</f>
        <v>0</v>
      </c>
      <c r="V2228">
        <f>COUNTIF('🏭 Facilities'!A2227:A2235, D2228)</f>
        <v>0</v>
      </c>
    </row>
    <row r="2229" spans="1:22">
      <c r="A2229" s="18" t="s">
        <v>5117</v>
      </c>
      <c r="B2229" s="18" t="s">
        <v>583</v>
      </c>
      <c r="C2229" s="18" t="s">
        <v>157</v>
      </c>
      <c r="D2229" s="18" t="s">
        <v>197</v>
      </c>
      <c r="E2229" s="26">
        <v>45603</v>
      </c>
      <c r="F2229" s="18" t="s">
        <v>5118</v>
      </c>
      <c r="G2229" s="18" t="s">
        <v>117</v>
      </c>
      <c r="H2229" s="18">
        <v>6.8</v>
      </c>
      <c r="I2229" s="18">
        <v>149</v>
      </c>
      <c r="J2229" s="18">
        <v>0</v>
      </c>
      <c r="K2229" s="18">
        <v>1013.2</v>
      </c>
      <c r="L2229" s="18" t="s">
        <v>126</v>
      </c>
      <c r="M2229" s="18" t="s">
        <v>133</v>
      </c>
      <c r="N2229" s="20"/>
      <c r="O2229" s="20"/>
      <c r="P2229" s="20"/>
      <c r="Q2229" s="18" t="b">
        <f>FALSE()</f>
        <v>0</v>
      </c>
      <c r="R2229" s="18" t="b">
        <f>FALSE()</f>
        <v>0</v>
      </c>
      <c r="S2229" s="19" t="str">
        <f t="shared" si="34"/>
        <v>N/A</v>
      </c>
      <c r="T2229">
        <f>COUNTIF('👤 Customers'!$A:$A, B2229)</f>
        <v>1</v>
      </c>
      <c r="U2229">
        <f>COUNTIF('🚴 Riders'!A2228:A2288, C2229)</f>
        <v>0</v>
      </c>
      <c r="V2229">
        <f>COUNTIF('🏭 Facilities'!A2228:A2236, D2229)</f>
        <v>0</v>
      </c>
    </row>
    <row r="2230" spans="1:22">
      <c r="A2230" s="16" t="s">
        <v>5119</v>
      </c>
      <c r="B2230" s="16" t="s">
        <v>516</v>
      </c>
      <c r="C2230" s="16" t="s">
        <v>170</v>
      </c>
      <c r="D2230" s="16" t="s">
        <v>115</v>
      </c>
      <c r="E2230" s="25">
        <v>45168</v>
      </c>
      <c r="F2230" s="16" t="s">
        <v>5120</v>
      </c>
      <c r="G2230" s="16" t="s">
        <v>132</v>
      </c>
      <c r="H2230" s="16">
        <v>7</v>
      </c>
      <c r="I2230" s="16">
        <v>399</v>
      </c>
      <c r="J2230" s="16">
        <v>0</v>
      </c>
      <c r="K2230" s="16">
        <v>2793</v>
      </c>
      <c r="L2230" s="16" t="s">
        <v>118</v>
      </c>
      <c r="M2230" s="16" t="s">
        <v>119</v>
      </c>
      <c r="N2230" s="27">
        <v>45168.145833333336</v>
      </c>
      <c r="O2230" s="27">
        <v>45168.76458333333</v>
      </c>
      <c r="P2230" s="16">
        <v>3</v>
      </c>
      <c r="Q2230" s="16" t="b">
        <f>FALSE()</f>
        <v>0</v>
      </c>
      <c r="R2230" s="16" t="b">
        <f>FALSE()</f>
        <v>0</v>
      </c>
      <c r="S2230" s="17">
        <f t="shared" si="34"/>
        <v>14.8</v>
      </c>
      <c r="T2230">
        <f>COUNTIF('👤 Customers'!$A:$A, B2230)</f>
        <v>1</v>
      </c>
      <c r="U2230">
        <f>COUNTIF('🚴 Riders'!A2229:A2289, C2230)</f>
        <v>0</v>
      </c>
      <c r="V2230">
        <f>COUNTIF('🏭 Facilities'!A2229:A2237, D2230)</f>
        <v>0</v>
      </c>
    </row>
    <row r="2231" spans="1:22">
      <c r="A2231" s="18" t="s">
        <v>5121</v>
      </c>
      <c r="B2231" s="18" t="s">
        <v>2289</v>
      </c>
      <c r="C2231" s="18" t="s">
        <v>272</v>
      </c>
      <c r="D2231" s="18" t="s">
        <v>123</v>
      </c>
      <c r="E2231" s="26">
        <v>45390</v>
      </c>
      <c r="F2231" s="18" t="s">
        <v>5122</v>
      </c>
      <c r="G2231" s="18" t="s">
        <v>176</v>
      </c>
      <c r="H2231" s="18">
        <v>2.8</v>
      </c>
      <c r="I2231" s="18">
        <v>599</v>
      </c>
      <c r="J2231" s="18">
        <v>0</v>
      </c>
      <c r="K2231" s="18">
        <v>1677.2</v>
      </c>
      <c r="L2231" s="18" t="s">
        <v>139</v>
      </c>
      <c r="M2231" s="18" t="s">
        <v>133</v>
      </c>
      <c r="N2231" s="20"/>
      <c r="O2231" s="20"/>
      <c r="P2231" s="20"/>
      <c r="Q2231" s="18" t="b">
        <f>FALSE()</f>
        <v>0</v>
      </c>
      <c r="R2231" s="18" t="b">
        <f>FALSE()</f>
        <v>0</v>
      </c>
      <c r="S2231" s="19" t="str">
        <f t="shared" si="34"/>
        <v>N/A</v>
      </c>
      <c r="T2231">
        <f>COUNTIF('👤 Customers'!$A:$A, B2231)</f>
        <v>1</v>
      </c>
      <c r="U2231">
        <f>COUNTIF('🚴 Riders'!A2230:A2290, C2231)</f>
        <v>0</v>
      </c>
      <c r="V2231">
        <f>COUNTIF('🏭 Facilities'!A2230:A2238, D2231)</f>
        <v>0</v>
      </c>
    </row>
    <row r="2232" spans="1:22">
      <c r="A2232" s="16" t="s">
        <v>5123</v>
      </c>
      <c r="B2232" s="16" t="s">
        <v>1033</v>
      </c>
      <c r="C2232" s="16" t="s">
        <v>300</v>
      </c>
      <c r="D2232" s="16" t="s">
        <v>184</v>
      </c>
      <c r="E2232" s="25">
        <v>45434</v>
      </c>
      <c r="F2232" s="16" t="s">
        <v>5124</v>
      </c>
      <c r="G2232" s="16" t="s">
        <v>117</v>
      </c>
      <c r="H2232" s="16">
        <v>2.4</v>
      </c>
      <c r="I2232" s="16">
        <v>149</v>
      </c>
      <c r="J2232" s="16">
        <v>0</v>
      </c>
      <c r="K2232" s="16">
        <v>357.6</v>
      </c>
      <c r="L2232" s="16" t="s">
        <v>207</v>
      </c>
      <c r="M2232" s="16" t="s">
        <v>133</v>
      </c>
      <c r="N2232" s="20"/>
      <c r="O2232" s="20"/>
      <c r="P2232" s="20"/>
      <c r="Q2232" s="16" t="b">
        <f>FALSE()</f>
        <v>0</v>
      </c>
      <c r="R2232" s="16" t="b">
        <f>FALSE()</f>
        <v>0</v>
      </c>
      <c r="S2232" s="17" t="str">
        <f t="shared" si="34"/>
        <v>N/A</v>
      </c>
      <c r="T2232">
        <f>COUNTIF('👤 Customers'!$A:$A, B2232)</f>
        <v>1</v>
      </c>
      <c r="U2232">
        <f>COUNTIF('🚴 Riders'!A2231:A2291, C2232)</f>
        <v>0</v>
      </c>
      <c r="V2232">
        <f>COUNTIF('🏭 Facilities'!A2231:A2239, D2232)</f>
        <v>0</v>
      </c>
    </row>
    <row r="2233" spans="1:22">
      <c r="A2233" s="18" t="s">
        <v>5125</v>
      </c>
      <c r="B2233" s="18" t="s">
        <v>2741</v>
      </c>
      <c r="C2233" s="18" t="s">
        <v>251</v>
      </c>
      <c r="D2233" s="18" t="s">
        <v>130</v>
      </c>
      <c r="E2233" s="26">
        <v>45085</v>
      </c>
      <c r="F2233" s="18" t="s">
        <v>5126</v>
      </c>
      <c r="G2233" s="18" t="s">
        <v>145</v>
      </c>
      <c r="H2233" s="18">
        <v>5.7</v>
      </c>
      <c r="I2233" s="18">
        <v>299</v>
      </c>
      <c r="J2233" s="18">
        <v>0</v>
      </c>
      <c r="K2233" s="18">
        <v>1704.3</v>
      </c>
      <c r="L2233" s="18" t="s">
        <v>207</v>
      </c>
      <c r="M2233" s="18" t="s">
        <v>140</v>
      </c>
      <c r="N2233" s="28">
        <v>45085.632638888892</v>
      </c>
      <c r="O2233" s="28">
        <v>45086.220138888886</v>
      </c>
      <c r="P2233" s="20"/>
      <c r="Q2233" s="18" t="b">
        <f>FALSE()</f>
        <v>0</v>
      </c>
      <c r="R2233" s="18" t="b">
        <f>FALSE()</f>
        <v>0</v>
      </c>
      <c r="S2233" s="19">
        <f t="shared" si="34"/>
        <v>14.1</v>
      </c>
      <c r="T2233">
        <f>COUNTIF('👤 Customers'!$A:$A, B2233)</f>
        <v>1</v>
      </c>
      <c r="U2233">
        <f>COUNTIF('🚴 Riders'!A2232:A2292, C2233)</f>
        <v>0</v>
      </c>
      <c r="V2233">
        <f>COUNTIF('🏭 Facilities'!A2232:A2240, D2233)</f>
        <v>0</v>
      </c>
    </row>
    <row r="2234" spans="1:22">
      <c r="A2234" s="16" t="s">
        <v>5127</v>
      </c>
      <c r="B2234" s="16" t="s">
        <v>1512</v>
      </c>
      <c r="C2234" s="16" t="s">
        <v>228</v>
      </c>
      <c r="D2234" s="16" t="s">
        <v>197</v>
      </c>
      <c r="E2234" s="25">
        <v>45148</v>
      </c>
      <c r="F2234" s="16" t="s">
        <v>5128</v>
      </c>
      <c r="G2234" s="16" t="s">
        <v>176</v>
      </c>
      <c r="H2234" s="16">
        <v>4.2</v>
      </c>
      <c r="I2234" s="16">
        <v>599</v>
      </c>
      <c r="J2234" s="16">
        <v>0</v>
      </c>
      <c r="K2234" s="16">
        <v>2515.8000000000002</v>
      </c>
      <c r="L2234" s="16" t="s">
        <v>126</v>
      </c>
      <c r="M2234" s="16" t="s">
        <v>133</v>
      </c>
      <c r="N2234" s="20"/>
      <c r="O2234" s="20"/>
      <c r="P2234" s="20"/>
      <c r="Q2234" s="16" t="b">
        <f>FALSE()</f>
        <v>0</v>
      </c>
      <c r="R2234" s="16" t="b">
        <f>FALSE()</f>
        <v>0</v>
      </c>
      <c r="S2234" s="17" t="str">
        <f t="shared" si="34"/>
        <v>N/A</v>
      </c>
      <c r="T2234">
        <f>COUNTIF('👤 Customers'!$A:$A, B2234)</f>
        <v>1</v>
      </c>
      <c r="U2234">
        <f>COUNTIF('🚴 Riders'!A2233:A2293, C2234)</f>
        <v>0</v>
      </c>
      <c r="V2234">
        <f>COUNTIF('🏭 Facilities'!A2233:A2241, D2234)</f>
        <v>0</v>
      </c>
    </row>
    <row r="2235" spans="1:22">
      <c r="A2235" s="18" t="s">
        <v>5129</v>
      </c>
      <c r="B2235" s="18" t="s">
        <v>231</v>
      </c>
      <c r="C2235" s="18" t="s">
        <v>276</v>
      </c>
      <c r="D2235" s="18" t="s">
        <v>123</v>
      </c>
      <c r="E2235" s="26">
        <v>45330</v>
      </c>
      <c r="F2235" s="18" t="s">
        <v>5130</v>
      </c>
      <c r="G2235" s="18" t="s">
        <v>145</v>
      </c>
      <c r="H2235" s="18">
        <v>3.8</v>
      </c>
      <c r="I2235" s="18">
        <v>299</v>
      </c>
      <c r="J2235" s="18">
        <v>30</v>
      </c>
      <c r="K2235" s="18">
        <v>795.34</v>
      </c>
      <c r="L2235" s="18" t="s">
        <v>118</v>
      </c>
      <c r="M2235" s="18" t="s">
        <v>119</v>
      </c>
      <c r="N2235" s="28">
        <v>45330.557638888888</v>
      </c>
      <c r="O2235" s="28">
        <v>45331.076388888891</v>
      </c>
      <c r="P2235" s="18">
        <v>4.8</v>
      </c>
      <c r="Q2235" s="18" t="b">
        <f>FALSE()</f>
        <v>0</v>
      </c>
      <c r="R2235" s="18" t="b">
        <f>FALSE()</f>
        <v>0</v>
      </c>
      <c r="S2235" s="19">
        <f t="shared" si="34"/>
        <v>12.5</v>
      </c>
      <c r="T2235">
        <f>COUNTIF('👤 Customers'!$A:$A, B2235)</f>
        <v>1</v>
      </c>
      <c r="U2235">
        <f>COUNTIF('🚴 Riders'!A2234:A2294, C2235)</f>
        <v>0</v>
      </c>
      <c r="V2235">
        <f>COUNTIF('🏭 Facilities'!A2234:A2242, D2235)</f>
        <v>0</v>
      </c>
    </row>
    <row r="2236" spans="1:22">
      <c r="A2236" s="16" t="s">
        <v>5131</v>
      </c>
      <c r="B2236" s="16" t="s">
        <v>1070</v>
      </c>
      <c r="C2236" s="16" t="s">
        <v>300</v>
      </c>
      <c r="D2236" s="16" t="s">
        <v>115</v>
      </c>
      <c r="E2236" s="25">
        <v>45615</v>
      </c>
      <c r="F2236" s="16" t="s">
        <v>5132</v>
      </c>
      <c r="G2236" s="16" t="s">
        <v>176</v>
      </c>
      <c r="H2236" s="16">
        <v>5.4</v>
      </c>
      <c r="I2236" s="16">
        <v>599</v>
      </c>
      <c r="J2236" s="16">
        <v>0</v>
      </c>
      <c r="K2236" s="16">
        <v>3234.6</v>
      </c>
      <c r="L2236" s="16" t="s">
        <v>139</v>
      </c>
      <c r="M2236" s="16" t="s">
        <v>119</v>
      </c>
      <c r="N2236" s="27">
        <v>45615.713194444441</v>
      </c>
      <c r="O2236" s="27">
        <v>45616.518055555556</v>
      </c>
      <c r="P2236" s="16">
        <v>4.5</v>
      </c>
      <c r="Q2236" s="16" t="b">
        <f>FALSE()</f>
        <v>0</v>
      </c>
      <c r="R2236" s="16" t="b">
        <f>FALSE()</f>
        <v>0</v>
      </c>
      <c r="S2236" s="17">
        <f t="shared" si="34"/>
        <v>19.3</v>
      </c>
      <c r="T2236">
        <f>COUNTIF('👤 Customers'!$A:$A, B2236)</f>
        <v>1</v>
      </c>
      <c r="U2236">
        <f>COUNTIF('🚴 Riders'!A2235:A2295, C2236)</f>
        <v>0</v>
      </c>
      <c r="V2236">
        <f>COUNTIF('🏭 Facilities'!A2235:A2243, D2236)</f>
        <v>0</v>
      </c>
    </row>
    <row r="2237" spans="1:22">
      <c r="A2237" s="18" t="s">
        <v>5133</v>
      </c>
      <c r="B2237" s="18" t="s">
        <v>631</v>
      </c>
      <c r="C2237" s="18" t="s">
        <v>358</v>
      </c>
      <c r="D2237" s="18" t="s">
        <v>197</v>
      </c>
      <c r="E2237" s="26">
        <v>44945</v>
      </c>
      <c r="F2237" s="18" t="s">
        <v>5134</v>
      </c>
      <c r="G2237" s="18" t="s">
        <v>176</v>
      </c>
      <c r="H2237" s="18">
        <v>2.4</v>
      </c>
      <c r="I2237" s="18">
        <v>599</v>
      </c>
      <c r="J2237" s="18">
        <v>0</v>
      </c>
      <c r="K2237" s="18">
        <v>1437.6</v>
      </c>
      <c r="L2237" s="18" t="s">
        <v>126</v>
      </c>
      <c r="M2237" s="18" t="s">
        <v>119</v>
      </c>
      <c r="N2237" s="28">
        <v>44945.090277777781</v>
      </c>
      <c r="O2237" s="28">
        <v>44946.143750000003</v>
      </c>
      <c r="P2237" s="18">
        <v>3.2</v>
      </c>
      <c r="Q2237" s="18" t="b">
        <f>FALSE()</f>
        <v>0</v>
      </c>
      <c r="R2237" s="18" t="b">
        <f>FALSE()</f>
        <v>0</v>
      </c>
      <c r="S2237" s="19">
        <f t="shared" si="34"/>
        <v>25.3</v>
      </c>
      <c r="T2237">
        <f>COUNTIF('👤 Customers'!$A:$A, B2237)</f>
        <v>1</v>
      </c>
      <c r="U2237">
        <f>COUNTIF('🚴 Riders'!A2236:A2296, C2237)</f>
        <v>0</v>
      </c>
      <c r="V2237">
        <f>COUNTIF('🏭 Facilities'!A2236:A2244, D2237)</f>
        <v>0</v>
      </c>
    </row>
    <row r="2238" spans="1:22">
      <c r="A2238" s="16" t="s">
        <v>5135</v>
      </c>
      <c r="B2238" s="16" t="s">
        <v>1396</v>
      </c>
      <c r="C2238" s="16" t="s">
        <v>192</v>
      </c>
      <c r="D2238" s="16" t="s">
        <v>115</v>
      </c>
      <c r="E2238" s="25">
        <v>45482</v>
      </c>
      <c r="F2238" s="16" t="s">
        <v>5136</v>
      </c>
      <c r="G2238" s="16" t="s">
        <v>117</v>
      </c>
      <c r="H2238" s="16">
        <v>3.9</v>
      </c>
      <c r="I2238" s="16">
        <v>149</v>
      </c>
      <c r="J2238" s="16">
        <v>30</v>
      </c>
      <c r="K2238" s="16">
        <v>406.77</v>
      </c>
      <c r="L2238" s="16" t="s">
        <v>146</v>
      </c>
      <c r="M2238" s="16" t="s">
        <v>119</v>
      </c>
      <c r="N2238" s="27">
        <v>45483.01458333333</v>
      </c>
      <c r="O2238" s="27">
        <v>45483.694444444445</v>
      </c>
      <c r="P2238" s="16">
        <v>4.7</v>
      </c>
      <c r="Q2238" s="16" t="b">
        <f>FALSE()</f>
        <v>0</v>
      </c>
      <c r="R2238" s="16" t="b">
        <f>FALSE()</f>
        <v>0</v>
      </c>
      <c r="S2238" s="17">
        <f t="shared" si="34"/>
        <v>16.3</v>
      </c>
      <c r="T2238">
        <f>COUNTIF('👤 Customers'!$A:$A, B2238)</f>
        <v>1</v>
      </c>
      <c r="U2238">
        <f>COUNTIF('🚴 Riders'!A2237:A2297, C2238)</f>
        <v>0</v>
      </c>
      <c r="V2238">
        <f>COUNTIF('🏭 Facilities'!A2237:A2245, D2238)</f>
        <v>0</v>
      </c>
    </row>
    <row r="2239" spans="1:22">
      <c r="A2239" s="18" t="s">
        <v>5137</v>
      </c>
      <c r="B2239" s="18" t="s">
        <v>1578</v>
      </c>
      <c r="C2239" s="18" t="s">
        <v>136</v>
      </c>
      <c r="D2239" s="18" t="s">
        <v>130</v>
      </c>
      <c r="E2239" s="26">
        <v>45479</v>
      </c>
      <c r="F2239" s="18" t="s">
        <v>5138</v>
      </c>
      <c r="G2239" s="18" t="s">
        <v>117</v>
      </c>
      <c r="H2239" s="18">
        <v>1.9</v>
      </c>
      <c r="I2239" s="18">
        <v>149</v>
      </c>
      <c r="J2239" s="18">
        <v>20</v>
      </c>
      <c r="K2239" s="18">
        <v>226.48</v>
      </c>
      <c r="L2239" s="18" t="s">
        <v>139</v>
      </c>
      <c r="M2239" s="18" t="s">
        <v>119</v>
      </c>
      <c r="N2239" s="28">
        <v>45479.785416666666</v>
      </c>
      <c r="O2239" s="28">
        <v>45480.397916666669</v>
      </c>
      <c r="P2239" s="18">
        <v>3.9</v>
      </c>
      <c r="Q2239" s="18" t="b">
        <f>FALSE()</f>
        <v>0</v>
      </c>
      <c r="R2239" s="18" t="b">
        <f>FALSE()</f>
        <v>0</v>
      </c>
      <c r="S2239" s="19">
        <f t="shared" si="34"/>
        <v>14.7</v>
      </c>
      <c r="T2239">
        <f>COUNTIF('👤 Customers'!$A:$A, B2239)</f>
        <v>1</v>
      </c>
      <c r="U2239">
        <f>COUNTIF('🚴 Riders'!A2238:A2298, C2239)</f>
        <v>0</v>
      </c>
      <c r="V2239">
        <f>COUNTIF('🏭 Facilities'!A2238:A2246, D2239)</f>
        <v>0</v>
      </c>
    </row>
    <row r="2240" spans="1:22">
      <c r="A2240" s="16" t="s">
        <v>5139</v>
      </c>
      <c r="B2240" s="16" t="s">
        <v>1554</v>
      </c>
      <c r="C2240" s="16" t="s">
        <v>343</v>
      </c>
      <c r="D2240" s="16" t="s">
        <v>205</v>
      </c>
      <c r="E2240" s="25">
        <v>45270</v>
      </c>
      <c r="F2240" s="16" t="s">
        <v>5140</v>
      </c>
      <c r="G2240" s="16" t="s">
        <v>125</v>
      </c>
      <c r="H2240" s="16">
        <v>5.2</v>
      </c>
      <c r="I2240" s="16">
        <v>199</v>
      </c>
      <c r="J2240" s="16">
        <v>20</v>
      </c>
      <c r="K2240" s="16">
        <v>827.84</v>
      </c>
      <c r="L2240" s="16" t="s">
        <v>126</v>
      </c>
      <c r="M2240" s="16" t="s">
        <v>133</v>
      </c>
      <c r="N2240" s="20"/>
      <c r="O2240" s="20"/>
      <c r="P2240" s="20"/>
      <c r="Q2240" s="16" t="b">
        <f>FALSE()</f>
        <v>0</v>
      </c>
      <c r="R2240" s="16" t="b">
        <f>FALSE()</f>
        <v>0</v>
      </c>
      <c r="S2240" s="17" t="str">
        <f t="shared" si="34"/>
        <v>N/A</v>
      </c>
      <c r="T2240">
        <f>COUNTIF('👤 Customers'!$A:$A, B2240)</f>
        <v>1</v>
      </c>
      <c r="U2240">
        <f>COUNTIF('🚴 Riders'!A2239:A2299, C2240)</f>
        <v>0</v>
      </c>
      <c r="V2240">
        <f>COUNTIF('🏭 Facilities'!A2239:A2247, D2240)</f>
        <v>0</v>
      </c>
    </row>
    <row r="2241" spans="1:22">
      <c r="A2241" s="18" t="s">
        <v>5141</v>
      </c>
      <c r="B2241" s="18" t="s">
        <v>1314</v>
      </c>
      <c r="C2241" s="18" t="s">
        <v>1092</v>
      </c>
      <c r="D2241" s="18" t="s">
        <v>158</v>
      </c>
      <c r="E2241" s="26">
        <v>45174</v>
      </c>
      <c r="F2241" s="18" t="s">
        <v>5142</v>
      </c>
      <c r="G2241" s="18" t="s">
        <v>176</v>
      </c>
      <c r="H2241" s="18">
        <v>2.5</v>
      </c>
      <c r="I2241" s="18">
        <v>599</v>
      </c>
      <c r="J2241" s="18">
        <v>0</v>
      </c>
      <c r="K2241" s="18">
        <v>1497.5</v>
      </c>
      <c r="L2241" s="18" t="s">
        <v>118</v>
      </c>
      <c r="M2241" s="18" t="s">
        <v>119</v>
      </c>
      <c r="N2241" s="28">
        <v>45174.835416666669</v>
      </c>
      <c r="O2241" s="28">
        <v>45175.19027777778</v>
      </c>
      <c r="P2241" s="18">
        <v>3.5</v>
      </c>
      <c r="Q2241" s="18" t="b">
        <f>FALSE()</f>
        <v>0</v>
      </c>
      <c r="R2241" s="18" t="b">
        <f>FALSE()</f>
        <v>0</v>
      </c>
      <c r="S2241" s="19">
        <f t="shared" si="34"/>
        <v>8.5</v>
      </c>
      <c r="T2241">
        <f>COUNTIF('👤 Customers'!$A:$A, B2241)</f>
        <v>1</v>
      </c>
      <c r="U2241">
        <f>COUNTIF('🚴 Riders'!A2240:A2300, C2241)</f>
        <v>0</v>
      </c>
      <c r="V2241">
        <f>COUNTIF('🏭 Facilities'!A2240:A2248, D2241)</f>
        <v>0</v>
      </c>
    </row>
    <row r="2242" spans="1:22">
      <c r="A2242" s="16" t="s">
        <v>5143</v>
      </c>
      <c r="B2242" s="16" t="s">
        <v>173</v>
      </c>
      <c r="C2242" s="16" t="s">
        <v>536</v>
      </c>
      <c r="D2242" s="16" t="s">
        <v>197</v>
      </c>
      <c r="E2242" s="25">
        <v>45133</v>
      </c>
      <c r="F2242" s="16" t="s">
        <v>5144</v>
      </c>
      <c r="G2242" s="16" t="s">
        <v>132</v>
      </c>
      <c r="H2242" s="16">
        <v>3.1</v>
      </c>
      <c r="I2242" s="16">
        <v>399</v>
      </c>
      <c r="J2242" s="16">
        <v>20</v>
      </c>
      <c r="K2242" s="16">
        <v>989.52</v>
      </c>
      <c r="L2242" s="16" t="s">
        <v>118</v>
      </c>
      <c r="M2242" s="16" t="s">
        <v>119</v>
      </c>
      <c r="N2242" s="27">
        <v>45133.057638888888</v>
      </c>
      <c r="O2242" s="27">
        <v>45133.681250000001</v>
      </c>
      <c r="P2242" s="16">
        <v>3.5</v>
      </c>
      <c r="Q2242" s="16" t="b">
        <f>FALSE()</f>
        <v>0</v>
      </c>
      <c r="R2242" s="16" t="b">
        <f>FALSE()</f>
        <v>0</v>
      </c>
      <c r="S2242" s="17">
        <f t="shared" ref="S2242:S2305" si="35">IF(OR(N2242="",O2242=""),"N/A",ROUND(((O2242-N2242)*24),1))</f>
        <v>15</v>
      </c>
      <c r="T2242">
        <f>COUNTIF('👤 Customers'!$A:$A, B2242)</f>
        <v>1</v>
      </c>
      <c r="U2242">
        <f>COUNTIF('🚴 Riders'!A2241:A2301, C2242)</f>
        <v>0</v>
      </c>
      <c r="V2242">
        <f>COUNTIF('🏭 Facilities'!A2241:A2249, D2242)</f>
        <v>0</v>
      </c>
    </row>
    <row r="2243" spans="1:22">
      <c r="A2243" s="18" t="s">
        <v>5145</v>
      </c>
      <c r="B2243" s="18" t="s">
        <v>209</v>
      </c>
      <c r="C2243" s="18" t="s">
        <v>304</v>
      </c>
      <c r="D2243" s="18" t="s">
        <v>123</v>
      </c>
      <c r="E2243" s="26">
        <v>44976</v>
      </c>
      <c r="F2243" s="18" t="s">
        <v>5146</v>
      </c>
      <c r="G2243" s="18" t="s">
        <v>125</v>
      </c>
      <c r="H2243" s="18">
        <v>4.5999999999999996</v>
      </c>
      <c r="I2243" s="18">
        <v>199</v>
      </c>
      <c r="J2243" s="18">
        <v>0</v>
      </c>
      <c r="K2243" s="18">
        <v>915.4</v>
      </c>
      <c r="L2243" s="18" t="s">
        <v>146</v>
      </c>
      <c r="M2243" s="18" t="s">
        <v>119</v>
      </c>
      <c r="N2243" s="28">
        <v>44976.467361111114</v>
      </c>
      <c r="O2243" s="28">
        <v>44977.097916666666</v>
      </c>
      <c r="P2243" s="18">
        <v>4.5</v>
      </c>
      <c r="Q2243" s="18" t="b">
        <f>FALSE()</f>
        <v>0</v>
      </c>
      <c r="R2243" s="18" t="b">
        <f>FALSE()</f>
        <v>0</v>
      </c>
      <c r="S2243" s="19">
        <f t="shared" si="35"/>
        <v>15.1</v>
      </c>
      <c r="T2243">
        <f>COUNTIF('👤 Customers'!$A:$A, B2243)</f>
        <v>1</v>
      </c>
      <c r="U2243">
        <f>COUNTIF('🚴 Riders'!A2242:A2302, C2243)</f>
        <v>0</v>
      </c>
      <c r="V2243">
        <f>COUNTIF('🏭 Facilities'!A2242:A2250, D2243)</f>
        <v>0</v>
      </c>
    </row>
    <row r="2244" spans="1:22">
      <c r="A2244" s="16" t="s">
        <v>5147</v>
      </c>
      <c r="B2244" s="16" t="s">
        <v>670</v>
      </c>
      <c r="C2244" s="16" t="s">
        <v>536</v>
      </c>
      <c r="D2244" s="16" t="s">
        <v>137</v>
      </c>
      <c r="E2244" s="25">
        <v>45269</v>
      </c>
      <c r="F2244" s="16" t="s">
        <v>5148</v>
      </c>
      <c r="G2244" s="16" t="s">
        <v>117</v>
      </c>
      <c r="H2244" s="16">
        <v>4.2</v>
      </c>
      <c r="I2244" s="16">
        <v>149</v>
      </c>
      <c r="J2244" s="16">
        <v>10</v>
      </c>
      <c r="K2244" s="16">
        <v>563.22</v>
      </c>
      <c r="L2244" s="16" t="s">
        <v>126</v>
      </c>
      <c r="M2244" s="16" t="s">
        <v>133</v>
      </c>
      <c r="N2244" s="20"/>
      <c r="O2244" s="20"/>
      <c r="P2244" s="20"/>
      <c r="Q2244" s="16" t="b">
        <f>FALSE()</f>
        <v>0</v>
      </c>
      <c r="R2244" s="16" t="b">
        <f>TRUE()</f>
        <v>1</v>
      </c>
      <c r="S2244" s="17" t="str">
        <f t="shared" si="35"/>
        <v>N/A</v>
      </c>
      <c r="T2244">
        <f>COUNTIF('👤 Customers'!$A:$A, B2244)</f>
        <v>1</v>
      </c>
      <c r="U2244">
        <f>COUNTIF('🚴 Riders'!A2243:A2303, C2244)</f>
        <v>0</v>
      </c>
      <c r="V2244">
        <f>COUNTIF('🏭 Facilities'!A2243:A2251, D2244)</f>
        <v>0</v>
      </c>
    </row>
    <row r="2245" spans="1:22">
      <c r="A2245" s="18" t="s">
        <v>5149</v>
      </c>
      <c r="B2245" s="18" t="s">
        <v>566</v>
      </c>
      <c r="C2245" s="18" t="s">
        <v>166</v>
      </c>
      <c r="D2245" s="18" t="s">
        <v>197</v>
      </c>
      <c r="E2245" s="26">
        <v>45513</v>
      </c>
      <c r="F2245" s="18" t="s">
        <v>5150</v>
      </c>
      <c r="G2245" s="18" t="s">
        <v>132</v>
      </c>
      <c r="H2245" s="18">
        <v>6.1</v>
      </c>
      <c r="I2245" s="18">
        <v>399</v>
      </c>
      <c r="J2245" s="18">
        <v>20</v>
      </c>
      <c r="K2245" s="18">
        <v>1947.12</v>
      </c>
      <c r="L2245" s="18" t="s">
        <v>146</v>
      </c>
      <c r="M2245" s="18" t="s">
        <v>119</v>
      </c>
      <c r="N2245" s="28">
        <v>45513.205555555556</v>
      </c>
      <c r="O2245" s="28">
        <v>45514.277083333334</v>
      </c>
      <c r="P2245" s="18">
        <v>4.8</v>
      </c>
      <c r="Q2245" s="18" t="b">
        <f>TRUE()</f>
        <v>1</v>
      </c>
      <c r="R2245" s="18" t="b">
        <f>FALSE()</f>
        <v>0</v>
      </c>
      <c r="S2245" s="19">
        <f t="shared" si="35"/>
        <v>25.7</v>
      </c>
      <c r="T2245">
        <f>COUNTIF('👤 Customers'!$A:$A, B2245)</f>
        <v>1</v>
      </c>
      <c r="U2245">
        <f>COUNTIF('🚴 Riders'!A2244:A2304, C2245)</f>
        <v>0</v>
      </c>
      <c r="V2245">
        <f>COUNTIF('🏭 Facilities'!A2244:A2252, D2245)</f>
        <v>0</v>
      </c>
    </row>
    <row r="2246" spans="1:22">
      <c r="A2246" s="16" t="s">
        <v>5151</v>
      </c>
      <c r="B2246" s="16" t="s">
        <v>3475</v>
      </c>
      <c r="C2246" s="16" t="s">
        <v>166</v>
      </c>
      <c r="D2246" s="16" t="s">
        <v>158</v>
      </c>
      <c r="E2246" s="25">
        <v>45162</v>
      </c>
      <c r="F2246" s="16" t="s">
        <v>5152</v>
      </c>
      <c r="G2246" s="16" t="s">
        <v>125</v>
      </c>
      <c r="H2246" s="16">
        <v>3.2</v>
      </c>
      <c r="I2246" s="16">
        <v>199</v>
      </c>
      <c r="J2246" s="16">
        <v>10</v>
      </c>
      <c r="K2246" s="16">
        <v>573.12</v>
      </c>
      <c r="L2246" s="16" t="s">
        <v>126</v>
      </c>
      <c r="M2246" s="16" t="s">
        <v>119</v>
      </c>
      <c r="N2246" s="27">
        <v>45162.164583333331</v>
      </c>
      <c r="O2246" s="27">
        <v>45162.6</v>
      </c>
      <c r="P2246" s="16">
        <v>2.8</v>
      </c>
      <c r="Q2246" s="16" t="b">
        <f>FALSE()</f>
        <v>0</v>
      </c>
      <c r="R2246" s="16" t="b">
        <f>FALSE()</f>
        <v>0</v>
      </c>
      <c r="S2246" s="17">
        <f t="shared" si="35"/>
        <v>10.5</v>
      </c>
      <c r="T2246">
        <f>COUNTIF('👤 Customers'!$A:$A, B2246)</f>
        <v>1</v>
      </c>
      <c r="U2246">
        <f>COUNTIF('🚴 Riders'!A2245:A2305, C2246)</f>
        <v>0</v>
      </c>
      <c r="V2246">
        <f>COUNTIF('🏭 Facilities'!A2245:A2253, D2246)</f>
        <v>0</v>
      </c>
    </row>
    <row r="2247" spans="1:22">
      <c r="A2247" s="18" t="s">
        <v>5153</v>
      </c>
      <c r="B2247" s="18" t="s">
        <v>3703</v>
      </c>
      <c r="C2247" s="18" t="s">
        <v>304</v>
      </c>
      <c r="D2247" s="18" t="s">
        <v>197</v>
      </c>
      <c r="E2247" s="26">
        <v>45508</v>
      </c>
      <c r="F2247" s="18" t="s">
        <v>5154</v>
      </c>
      <c r="G2247" s="18" t="s">
        <v>125</v>
      </c>
      <c r="H2247" s="18">
        <v>6.4</v>
      </c>
      <c r="I2247" s="18">
        <v>199</v>
      </c>
      <c r="J2247" s="18">
        <v>0</v>
      </c>
      <c r="K2247" s="18">
        <v>1273.5999999999999</v>
      </c>
      <c r="L2247" s="18" t="s">
        <v>126</v>
      </c>
      <c r="M2247" s="18" t="s">
        <v>133</v>
      </c>
      <c r="N2247" s="20"/>
      <c r="O2247" s="20"/>
      <c r="P2247" s="20"/>
      <c r="Q2247" s="18" t="b">
        <f>TRUE()</f>
        <v>1</v>
      </c>
      <c r="R2247" s="18" t="b">
        <f>FALSE()</f>
        <v>0</v>
      </c>
      <c r="S2247" s="19" t="str">
        <f t="shared" si="35"/>
        <v>N/A</v>
      </c>
      <c r="T2247">
        <f>COUNTIF('👤 Customers'!$A:$A, B2247)</f>
        <v>1</v>
      </c>
      <c r="U2247">
        <f>COUNTIF('🚴 Riders'!A2246:A2306, C2247)</f>
        <v>0</v>
      </c>
      <c r="V2247">
        <f>COUNTIF('🏭 Facilities'!A2246:A2254, D2247)</f>
        <v>0</v>
      </c>
    </row>
    <row r="2248" spans="1:22">
      <c r="A2248" s="16" t="s">
        <v>5155</v>
      </c>
      <c r="B2248" s="16" t="s">
        <v>4215</v>
      </c>
      <c r="C2248" s="16" t="s">
        <v>170</v>
      </c>
      <c r="D2248" s="16" t="s">
        <v>197</v>
      </c>
      <c r="E2248" s="25">
        <v>45556</v>
      </c>
      <c r="F2248" s="16" t="s">
        <v>5156</v>
      </c>
      <c r="G2248" s="16" t="s">
        <v>117</v>
      </c>
      <c r="H2248" s="16">
        <v>7</v>
      </c>
      <c r="I2248" s="16">
        <v>149</v>
      </c>
      <c r="J2248" s="16">
        <v>0</v>
      </c>
      <c r="K2248" s="16">
        <v>1043</v>
      </c>
      <c r="L2248" s="16" t="s">
        <v>146</v>
      </c>
      <c r="M2248" s="16" t="s">
        <v>133</v>
      </c>
      <c r="N2248" s="20"/>
      <c r="O2248" s="20"/>
      <c r="P2248" s="20"/>
      <c r="Q2248" s="16" t="b">
        <f>FALSE()</f>
        <v>0</v>
      </c>
      <c r="R2248" s="16" t="b">
        <f>FALSE()</f>
        <v>0</v>
      </c>
      <c r="S2248" s="17" t="str">
        <f t="shared" si="35"/>
        <v>N/A</v>
      </c>
      <c r="T2248">
        <f>COUNTIF('👤 Customers'!$A:$A, B2248)</f>
        <v>1</v>
      </c>
      <c r="U2248">
        <f>COUNTIF('🚴 Riders'!A2247:A2307, C2248)</f>
        <v>0</v>
      </c>
      <c r="V2248">
        <f>COUNTIF('🏭 Facilities'!A2247:A2255, D2248)</f>
        <v>0</v>
      </c>
    </row>
    <row r="2249" spans="1:22">
      <c r="A2249" s="18" t="s">
        <v>5157</v>
      </c>
      <c r="B2249" s="18" t="s">
        <v>734</v>
      </c>
      <c r="C2249" s="18" t="s">
        <v>228</v>
      </c>
      <c r="D2249" s="18" t="s">
        <v>130</v>
      </c>
      <c r="E2249" s="26">
        <v>45376</v>
      </c>
      <c r="F2249" s="18" t="s">
        <v>5158</v>
      </c>
      <c r="G2249" s="18" t="s">
        <v>125</v>
      </c>
      <c r="H2249" s="18">
        <v>2.2999999999999998</v>
      </c>
      <c r="I2249" s="18">
        <v>199</v>
      </c>
      <c r="J2249" s="18">
        <v>0</v>
      </c>
      <c r="K2249" s="18">
        <v>457.7</v>
      </c>
      <c r="L2249" s="18" t="s">
        <v>146</v>
      </c>
      <c r="M2249" s="18" t="s">
        <v>140</v>
      </c>
      <c r="N2249" s="28">
        <v>45376.330555555556</v>
      </c>
      <c r="O2249" s="28">
        <v>45377.307638888888</v>
      </c>
      <c r="P2249" s="20"/>
      <c r="Q2249" s="18" t="b">
        <f>FALSE()</f>
        <v>0</v>
      </c>
      <c r="R2249" s="18" t="b">
        <f>FALSE()</f>
        <v>0</v>
      </c>
      <c r="S2249" s="19">
        <f t="shared" si="35"/>
        <v>23.4</v>
      </c>
      <c r="T2249">
        <f>COUNTIF('👤 Customers'!$A:$A, B2249)</f>
        <v>1</v>
      </c>
      <c r="U2249">
        <f>COUNTIF('🚴 Riders'!A2248:A2308, C2249)</f>
        <v>0</v>
      </c>
      <c r="V2249">
        <f>COUNTIF('🏭 Facilities'!A2248:A2256, D2249)</f>
        <v>0</v>
      </c>
    </row>
    <row r="2250" spans="1:22">
      <c r="A2250" s="16" t="s">
        <v>5159</v>
      </c>
      <c r="B2250" s="16" t="s">
        <v>5160</v>
      </c>
      <c r="C2250" s="16" t="s">
        <v>842</v>
      </c>
      <c r="D2250" s="16" t="s">
        <v>130</v>
      </c>
      <c r="E2250" s="25">
        <v>45316</v>
      </c>
      <c r="F2250" s="16" t="s">
        <v>5161</v>
      </c>
      <c r="G2250" s="16" t="s">
        <v>145</v>
      </c>
      <c r="H2250" s="16">
        <v>6.6</v>
      </c>
      <c r="I2250" s="16">
        <v>299</v>
      </c>
      <c r="J2250" s="16">
        <v>0</v>
      </c>
      <c r="K2250" s="16">
        <v>1973.4</v>
      </c>
      <c r="L2250" s="16" t="s">
        <v>207</v>
      </c>
      <c r="M2250" s="16" t="s">
        <v>119</v>
      </c>
      <c r="N2250" s="27">
        <v>45316.677083333336</v>
      </c>
      <c r="O2250" s="27">
        <v>45317.003472222219</v>
      </c>
      <c r="P2250" s="16">
        <v>4.4000000000000004</v>
      </c>
      <c r="Q2250" s="16" t="b">
        <f>FALSE()</f>
        <v>0</v>
      </c>
      <c r="R2250" s="16" t="b">
        <f>FALSE()</f>
        <v>0</v>
      </c>
      <c r="S2250" s="17">
        <f t="shared" si="35"/>
        <v>7.8</v>
      </c>
      <c r="T2250">
        <f>COUNTIF('👤 Customers'!$A:$A, B2250)</f>
        <v>1</v>
      </c>
      <c r="U2250">
        <f>COUNTIF('🚴 Riders'!A2249:A2309, C2250)</f>
        <v>0</v>
      </c>
      <c r="V2250">
        <f>COUNTIF('🏭 Facilities'!A2249:A2257, D2250)</f>
        <v>0</v>
      </c>
    </row>
    <row r="2251" spans="1:22">
      <c r="A2251" s="18" t="s">
        <v>5162</v>
      </c>
      <c r="B2251" s="18" t="s">
        <v>2673</v>
      </c>
      <c r="C2251" s="18" t="s">
        <v>192</v>
      </c>
      <c r="D2251" s="18" t="s">
        <v>130</v>
      </c>
      <c r="E2251" s="26">
        <v>45631</v>
      </c>
      <c r="F2251" s="18" t="s">
        <v>5163</v>
      </c>
      <c r="G2251" s="18" t="s">
        <v>117</v>
      </c>
      <c r="H2251" s="18">
        <v>1.1000000000000001</v>
      </c>
      <c r="I2251" s="18">
        <v>149</v>
      </c>
      <c r="J2251" s="18">
        <v>20</v>
      </c>
      <c r="K2251" s="18">
        <v>131.12</v>
      </c>
      <c r="L2251" s="18" t="s">
        <v>207</v>
      </c>
      <c r="M2251" s="18" t="s">
        <v>140</v>
      </c>
      <c r="N2251" s="28">
        <v>45631.656944444447</v>
      </c>
      <c r="O2251" s="28">
        <v>45632.27847222222</v>
      </c>
      <c r="P2251" s="20"/>
      <c r="Q2251" s="18" t="b">
        <f>TRUE()</f>
        <v>1</v>
      </c>
      <c r="R2251" s="18" t="b">
        <f>TRUE()</f>
        <v>1</v>
      </c>
      <c r="S2251" s="19">
        <f t="shared" si="35"/>
        <v>14.9</v>
      </c>
      <c r="T2251">
        <f>COUNTIF('👤 Customers'!$A:$A, B2251)</f>
        <v>1</v>
      </c>
      <c r="U2251">
        <f>COUNTIF('🚴 Riders'!A2250:A2310, C2251)</f>
        <v>0</v>
      </c>
      <c r="V2251">
        <f>COUNTIF('🏭 Facilities'!A2250:A2258, D2251)</f>
        <v>0</v>
      </c>
    </row>
    <row r="2252" spans="1:22">
      <c r="A2252" s="16" t="s">
        <v>5164</v>
      </c>
      <c r="B2252" s="16" t="s">
        <v>1011</v>
      </c>
      <c r="C2252" s="16" t="s">
        <v>322</v>
      </c>
      <c r="D2252" s="16" t="s">
        <v>184</v>
      </c>
      <c r="E2252" s="25">
        <v>45374</v>
      </c>
      <c r="F2252" s="16" t="s">
        <v>5165</v>
      </c>
      <c r="G2252" s="16" t="s">
        <v>117</v>
      </c>
      <c r="H2252" s="16">
        <v>2.1</v>
      </c>
      <c r="I2252" s="16">
        <v>149</v>
      </c>
      <c r="J2252" s="16">
        <v>0</v>
      </c>
      <c r="K2252" s="16">
        <v>312.89999999999998</v>
      </c>
      <c r="L2252" s="16" t="s">
        <v>207</v>
      </c>
      <c r="M2252" s="16" t="s">
        <v>133</v>
      </c>
      <c r="N2252" s="20"/>
      <c r="O2252" s="20"/>
      <c r="P2252" s="20"/>
      <c r="Q2252" s="16" t="b">
        <f>FALSE()</f>
        <v>0</v>
      </c>
      <c r="R2252" s="16" t="b">
        <f>FALSE()</f>
        <v>0</v>
      </c>
      <c r="S2252" s="17" t="str">
        <f t="shared" si="35"/>
        <v>N/A</v>
      </c>
      <c r="T2252">
        <f>COUNTIF('👤 Customers'!$A:$A, B2252)</f>
        <v>1</v>
      </c>
      <c r="U2252">
        <f>COUNTIF('🚴 Riders'!A2251:A2311, C2252)</f>
        <v>0</v>
      </c>
      <c r="V2252">
        <f>COUNTIF('🏭 Facilities'!A2251:A2259, D2252)</f>
        <v>0</v>
      </c>
    </row>
    <row r="2253" spans="1:22">
      <c r="A2253" s="18" t="s">
        <v>5166</v>
      </c>
      <c r="B2253" s="18" t="s">
        <v>838</v>
      </c>
      <c r="C2253" s="18" t="s">
        <v>188</v>
      </c>
      <c r="D2253" s="18" t="s">
        <v>158</v>
      </c>
      <c r="E2253" s="26">
        <v>45653</v>
      </c>
      <c r="F2253" s="18" t="s">
        <v>5167</v>
      </c>
      <c r="G2253" s="18" t="s">
        <v>145</v>
      </c>
      <c r="H2253" s="18">
        <v>4.5</v>
      </c>
      <c r="I2253" s="18">
        <v>299</v>
      </c>
      <c r="J2253" s="18">
        <v>0</v>
      </c>
      <c r="K2253" s="18">
        <v>1345.5</v>
      </c>
      <c r="L2253" s="18" t="s">
        <v>126</v>
      </c>
      <c r="M2253" s="18" t="s">
        <v>119</v>
      </c>
      <c r="N2253" s="28">
        <v>45653.804861111108</v>
      </c>
      <c r="O2253" s="28">
        <v>45654.654861111114</v>
      </c>
      <c r="P2253" s="18">
        <v>2.7</v>
      </c>
      <c r="Q2253" s="18" t="b">
        <f>FALSE()</f>
        <v>0</v>
      </c>
      <c r="R2253" s="18" t="b">
        <f>FALSE()</f>
        <v>0</v>
      </c>
      <c r="S2253" s="19">
        <f t="shared" si="35"/>
        <v>20.399999999999999</v>
      </c>
      <c r="T2253">
        <f>COUNTIF('👤 Customers'!$A:$A, B2253)</f>
        <v>1</v>
      </c>
      <c r="U2253">
        <f>COUNTIF('🚴 Riders'!A2252:A2312, C2253)</f>
        <v>0</v>
      </c>
      <c r="V2253">
        <f>COUNTIF('🏭 Facilities'!A2252:A2260, D2253)</f>
        <v>0</v>
      </c>
    </row>
    <row r="2254" spans="1:22">
      <c r="A2254" s="16" t="s">
        <v>5168</v>
      </c>
      <c r="B2254" s="16" t="s">
        <v>878</v>
      </c>
      <c r="C2254" s="16" t="s">
        <v>220</v>
      </c>
      <c r="D2254" s="16" t="s">
        <v>205</v>
      </c>
      <c r="E2254" s="25">
        <v>45067</v>
      </c>
      <c r="F2254" s="16" t="s">
        <v>5169</v>
      </c>
      <c r="G2254" s="16" t="s">
        <v>145</v>
      </c>
      <c r="H2254" s="16">
        <v>6.5</v>
      </c>
      <c r="I2254" s="16">
        <v>299</v>
      </c>
      <c r="J2254" s="16">
        <v>10</v>
      </c>
      <c r="K2254" s="16">
        <v>1749.15</v>
      </c>
      <c r="L2254" s="16" t="s">
        <v>126</v>
      </c>
      <c r="M2254" s="16" t="s">
        <v>140</v>
      </c>
      <c r="N2254" s="27">
        <v>45067.855555555558</v>
      </c>
      <c r="O2254" s="27">
        <v>45068.324305555558</v>
      </c>
      <c r="P2254" s="20"/>
      <c r="Q2254" s="16" t="b">
        <f>FALSE()</f>
        <v>0</v>
      </c>
      <c r="R2254" s="16" t="b">
        <f>FALSE()</f>
        <v>0</v>
      </c>
      <c r="S2254" s="17">
        <f t="shared" si="35"/>
        <v>11.3</v>
      </c>
      <c r="T2254">
        <f>COUNTIF('👤 Customers'!$A:$A, B2254)</f>
        <v>1</v>
      </c>
      <c r="U2254">
        <f>COUNTIF('🚴 Riders'!A2253:A2313, C2254)</f>
        <v>0</v>
      </c>
      <c r="V2254">
        <f>COUNTIF('🏭 Facilities'!A2253:A2261, D2254)</f>
        <v>0</v>
      </c>
    </row>
    <row r="2255" spans="1:22">
      <c r="A2255" s="18" t="s">
        <v>5170</v>
      </c>
      <c r="B2255" s="18" t="s">
        <v>2604</v>
      </c>
      <c r="C2255" s="18" t="s">
        <v>322</v>
      </c>
      <c r="D2255" s="18" t="s">
        <v>137</v>
      </c>
      <c r="E2255" s="26">
        <v>44999</v>
      </c>
      <c r="F2255" s="18" t="s">
        <v>2318</v>
      </c>
      <c r="G2255" s="18" t="s">
        <v>132</v>
      </c>
      <c r="H2255" s="18">
        <v>1.8</v>
      </c>
      <c r="I2255" s="18">
        <v>399</v>
      </c>
      <c r="J2255" s="18">
        <v>0</v>
      </c>
      <c r="K2255" s="18">
        <v>718.2</v>
      </c>
      <c r="L2255" s="18" t="s">
        <v>207</v>
      </c>
      <c r="M2255" s="18" t="s">
        <v>119</v>
      </c>
      <c r="N2255" s="28">
        <v>44999.611805555556</v>
      </c>
      <c r="O2255" s="28">
        <v>44999.957638888889</v>
      </c>
      <c r="P2255" s="18">
        <v>4.7</v>
      </c>
      <c r="Q2255" s="18" t="b">
        <f>FALSE()</f>
        <v>0</v>
      </c>
      <c r="R2255" s="18" t="b">
        <f>FALSE()</f>
        <v>0</v>
      </c>
      <c r="S2255" s="19">
        <f t="shared" si="35"/>
        <v>8.3000000000000007</v>
      </c>
      <c r="T2255">
        <f>COUNTIF('👤 Customers'!$A:$A, B2255)</f>
        <v>1</v>
      </c>
      <c r="U2255">
        <f>COUNTIF('🚴 Riders'!A2254:A2314, C2255)</f>
        <v>0</v>
      </c>
      <c r="V2255">
        <f>COUNTIF('🏭 Facilities'!A2254:A2262, D2255)</f>
        <v>0</v>
      </c>
    </row>
    <row r="2256" spans="1:22">
      <c r="A2256" s="16" t="s">
        <v>5171</v>
      </c>
      <c r="B2256" s="16" t="s">
        <v>1895</v>
      </c>
      <c r="C2256" s="16" t="s">
        <v>170</v>
      </c>
      <c r="D2256" s="16" t="s">
        <v>137</v>
      </c>
      <c r="E2256" s="25">
        <v>45099</v>
      </c>
      <c r="F2256" s="16" t="s">
        <v>5172</v>
      </c>
      <c r="G2256" s="16" t="s">
        <v>132</v>
      </c>
      <c r="H2256" s="16">
        <v>1.4</v>
      </c>
      <c r="I2256" s="16">
        <v>399</v>
      </c>
      <c r="J2256" s="16">
        <v>0</v>
      </c>
      <c r="K2256" s="16">
        <v>558.6</v>
      </c>
      <c r="L2256" s="16" t="s">
        <v>126</v>
      </c>
      <c r="M2256" s="16" t="s">
        <v>133</v>
      </c>
      <c r="N2256" s="20"/>
      <c r="O2256" s="20"/>
      <c r="P2256" s="20"/>
      <c r="Q2256" s="16" t="b">
        <f>FALSE()</f>
        <v>0</v>
      </c>
      <c r="R2256" s="16" t="b">
        <f>TRUE()</f>
        <v>1</v>
      </c>
      <c r="S2256" s="17" t="str">
        <f t="shared" si="35"/>
        <v>N/A</v>
      </c>
      <c r="T2256">
        <f>COUNTIF('👤 Customers'!$A:$A, B2256)</f>
        <v>1</v>
      </c>
      <c r="U2256">
        <f>COUNTIF('🚴 Riders'!A2255:A2315, C2256)</f>
        <v>0</v>
      </c>
      <c r="V2256">
        <f>COUNTIF('🏭 Facilities'!A2255:A2263, D2256)</f>
        <v>0</v>
      </c>
    </row>
    <row r="2257" spans="1:22">
      <c r="A2257" s="18" t="s">
        <v>5173</v>
      </c>
      <c r="B2257" s="18" t="s">
        <v>450</v>
      </c>
      <c r="C2257" s="18" t="s">
        <v>240</v>
      </c>
      <c r="D2257" s="18" t="s">
        <v>197</v>
      </c>
      <c r="E2257" s="26">
        <v>45016</v>
      </c>
      <c r="F2257" s="18" t="s">
        <v>5174</v>
      </c>
      <c r="G2257" s="18" t="s">
        <v>117</v>
      </c>
      <c r="H2257" s="18">
        <v>6.7</v>
      </c>
      <c r="I2257" s="18">
        <v>149</v>
      </c>
      <c r="J2257" s="18">
        <v>0</v>
      </c>
      <c r="K2257" s="18">
        <v>998.3</v>
      </c>
      <c r="L2257" s="18" t="s">
        <v>126</v>
      </c>
      <c r="M2257" s="18" t="s">
        <v>119</v>
      </c>
      <c r="N2257" s="28">
        <v>45016.441666666666</v>
      </c>
      <c r="O2257" s="28">
        <v>45017.307638888888</v>
      </c>
      <c r="P2257" s="18">
        <v>4.7</v>
      </c>
      <c r="Q2257" s="18" t="b">
        <f>FALSE()</f>
        <v>0</v>
      </c>
      <c r="R2257" s="18" t="b">
        <f>FALSE()</f>
        <v>0</v>
      </c>
      <c r="S2257" s="19">
        <f t="shared" si="35"/>
        <v>20.8</v>
      </c>
      <c r="T2257">
        <f>COUNTIF('👤 Customers'!$A:$A, B2257)</f>
        <v>1</v>
      </c>
      <c r="U2257">
        <f>COUNTIF('🚴 Riders'!A2256:A2316, C2257)</f>
        <v>0</v>
      </c>
      <c r="V2257">
        <f>COUNTIF('🏭 Facilities'!A2256:A2264, D2257)</f>
        <v>0</v>
      </c>
    </row>
    <row r="2258" spans="1:22">
      <c r="A2258" s="16" t="s">
        <v>5175</v>
      </c>
      <c r="B2258" s="16" t="s">
        <v>419</v>
      </c>
      <c r="C2258" s="16" t="s">
        <v>196</v>
      </c>
      <c r="D2258" s="16" t="s">
        <v>184</v>
      </c>
      <c r="E2258" s="25">
        <v>45370</v>
      </c>
      <c r="F2258" s="16" t="s">
        <v>5176</v>
      </c>
      <c r="G2258" s="16" t="s">
        <v>145</v>
      </c>
      <c r="H2258" s="16">
        <v>7</v>
      </c>
      <c r="I2258" s="16">
        <v>299</v>
      </c>
      <c r="J2258" s="16">
        <v>0</v>
      </c>
      <c r="K2258" s="16">
        <v>2093</v>
      </c>
      <c r="L2258" s="16" t="s">
        <v>207</v>
      </c>
      <c r="M2258" s="16" t="s">
        <v>119</v>
      </c>
      <c r="N2258" s="27">
        <v>45370.364583333336</v>
      </c>
      <c r="O2258" s="27">
        <v>45370.921527777777</v>
      </c>
      <c r="P2258" s="16">
        <v>4.5</v>
      </c>
      <c r="Q2258" s="16" t="b">
        <f>TRUE()</f>
        <v>1</v>
      </c>
      <c r="R2258" s="16" t="b">
        <f>TRUE()</f>
        <v>1</v>
      </c>
      <c r="S2258" s="17">
        <f t="shared" si="35"/>
        <v>13.4</v>
      </c>
      <c r="T2258">
        <f>COUNTIF('👤 Customers'!$A:$A, B2258)</f>
        <v>1</v>
      </c>
      <c r="U2258">
        <f>COUNTIF('🚴 Riders'!A2257:A2317, C2258)</f>
        <v>0</v>
      </c>
      <c r="V2258">
        <f>COUNTIF('🏭 Facilities'!A2257:A2265, D2258)</f>
        <v>0</v>
      </c>
    </row>
    <row r="2259" spans="1:22">
      <c r="A2259" s="18" t="s">
        <v>5177</v>
      </c>
      <c r="B2259" s="18" t="s">
        <v>791</v>
      </c>
      <c r="C2259" s="18" t="s">
        <v>276</v>
      </c>
      <c r="D2259" s="18" t="s">
        <v>184</v>
      </c>
      <c r="E2259" s="26">
        <v>45537</v>
      </c>
      <c r="F2259" s="18" t="s">
        <v>5178</v>
      </c>
      <c r="G2259" s="18" t="s">
        <v>117</v>
      </c>
      <c r="H2259" s="18">
        <v>6.4</v>
      </c>
      <c r="I2259" s="18">
        <v>149</v>
      </c>
      <c r="J2259" s="18">
        <v>20</v>
      </c>
      <c r="K2259" s="18">
        <v>762.88</v>
      </c>
      <c r="L2259" s="18" t="s">
        <v>146</v>
      </c>
      <c r="M2259" s="18" t="s">
        <v>133</v>
      </c>
      <c r="N2259" s="20"/>
      <c r="O2259" s="20"/>
      <c r="P2259" s="20"/>
      <c r="Q2259" s="18" t="b">
        <f>FALSE()</f>
        <v>0</v>
      </c>
      <c r="R2259" s="18" t="b">
        <f>FALSE()</f>
        <v>0</v>
      </c>
      <c r="S2259" s="19" t="str">
        <f t="shared" si="35"/>
        <v>N/A</v>
      </c>
      <c r="T2259">
        <f>COUNTIF('👤 Customers'!$A:$A, B2259)</f>
        <v>1</v>
      </c>
      <c r="U2259">
        <f>COUNTIF('🚴 Riders'!A2258:A2318, C2259)</f>
        <v>0</v>
      </c>
      <c r="V2259">
        <f>COUNTIF('🏭 Facilities'!A2258:A2266, D2259)</f>
        <v>0</v>
      </c>
    </row>
    <row r="2260" spans="1:22">
      <c r="A2260" s="16" t="s">
        <v>5179</v>
      </c>
      <c r="B2260" s="16" t="s">
        <v>321</v>
      </c>
      <c r="C2260" s="16" t="s">
        <v>153</v>
      </c>
      <c r="D2260" s="16" t="s">
        <v>205</v>
      </c>
      <c r="E2260" s="25">
        <v>45315</v>
      </c>
      <c r="F2260" s="16" t="s">
        <v>5180</v>
      </c>
      <c r="G2260" s="16" t="s">
        <v>125</v>
      </c>
      <c r="H2260" s="16">
        <v>2.8</v>
      </c>
      <c r="I2260" s="16">
        <v>199</v>
      </c>
      <c r="J2260" s="16">
        <v>20</v>
      </c>
      <c r="K2260" s="16">
        <v>445.76</v>
      </c>
      <c r="L2260" s="16" t="s">
        <v>126</v>
      </c>
      <c r="M2260" s="16" t="s">
        <v>133</v>
      </c>
      <c r="N2260" s="20"/>
      <c r="O2260" s="20"/>
      <c r="P2260" s="20"/>
      <c r="Q2260" s="16" t="b">
        <f>FALSE()</f>
        <v>0</v>
      </c>
      <c r="R2260" s="16" t="b">
        <f>TRUE()</f>
        <v>1</v>
      </c>
      <c r="S2260" s="17" t="str">
        <f t="shared" si="35"/>
        <v>N/A</v>
      </c>
      <c r="T2260">
        <f>COUNTIF('👤 Customers'!$A:$A, B2260)</f>
        <v>1</v>
      </c>
      <c r="U2260">
        <f>COUNTIF('🚴 Riders'!A2259:A2319, C2260)</f>
        <v>0</v>
      </c>
      <c r="V2260">
        <f>COUNTIF('🏭 Facilities'!A2259:A2267, D2260)</f>
        <v>0</v>
      </c>
    </row>
    <row r="2261" spans="1:22">
      <c r="A2261" s="18" t="s">
        <v>5181</v>
      </c>
      <c r="B2261" s="18" t="s">
        <v>321</v>
      </c>
      <c r="C2261" s="18" t="s">
        <v>162</v>
      </c>
      <c r="D2261" s="18" t="s">
        <v>158</v>
      </c>
      <c r="E2261" s="26">
        <v>45455</v>
      </c>
      <c r="F2261" s="18" t="s">
        <v>5182</v>
      </c>
      <c r="G2261" s="18" t="s">
        <v>117</v>
      </c>
      <c r="H2261" s="18">
        <v>6.8</v>
      </c>
      <c r="I2261" s="18">
        <v>149</v>
      </c>
      <c r="J2261" s="18">
        <v>20</v>
      </c>
      <c r="K2261" s="18">
        <v>810.56</v>
      </c>
      <c r="L2261" s="18" t="s">
        <v>139</v>
      </c>
      <c r="M2261" s="18" t="s">
        <v>119</v>
      </c>
      <c r="N2261" s="28">
        <v>45455.333333333336</v>
      </c>
      <c r="O2261" s="28">
        <v>45455.802777777775</v>
      </c>
      <c r="P2261" s="18">
        <v>4</v>
      </c>
      <c r="Q2261" s="18" t="b">
        <f>FALSE()</f>
        <v>0</v>
      </c>
      <c r="R2261" s="18" t="b">
        <f>FALSE()</f>
        <v>0</v>
      </c>
      <c r="S2261" s="19">
        <f t="shared" si="35"/>
        <v>11.3</v>
      </c>
      <c r="T2261">
        <f>COUNTIF('👤 Customers'!$A:$A, B2261)</f>
        <v>1</v>
      </c>
      <c r="U2261">
        <f>COUNTIF('🚴 Riders'!A2260:A2320, C2261)</f>
        <v>0</v>
      </c>
      <c r="V2261">
        <f>COUNTIF('🏭 Facilities'!A2260:A2268, D2261)</f>
        <v>0</v>
      </c>
    </row>
    <row r="2262" spans="1:22">
      <c r="A2262" s="16" t="s">
        <v>5183</v>
      </c>
      <c r="B2262" s="16" t="s">
        <v>1533</v>
      </c>
      <c r="C2262" s="16" t="s">
        <v>322</v>
      </c>
      <c r="D2262" s="16" t="s">
        <v>184</v>
      </c>
      <c r="E2262" s="25">
        <v>45351</v>
      </c>
      <c r="F2262" s="16" t="s">
        <v>5184</v>
      </c>
      <c r="G2262" s="16" t="s">
        <v>117</v>
      </c>
      <c r="H2262" s="16">
        <v>5</v>
      </c>
      <c r="I2262" s="16">
        <v>149</v>
      </c>
      <c r="J2262" s="16">
        <v>0</v>
      </c>
      <c r="K2262" s="16">
        <v>745</v>
      </c>
      <c r="L2262" s="16" t="s">
        <v>118</v>
      </c>
      <c r="M2262" s="16" t="s">
        <v>119</v>
      </c>
      <c r="N2262" s="27">
        <v>45351.428472222222</v>
      </c>
      <c r="O2262" s="27">
        <v>45352.463888888888</v>
      </c>
      <c r="P2262" s="16">
        <v>4.0999999999999996</v>
      </c>
      <c r="Q2262" s="16" t="b">
        <f>FALSE()</f>
        <v>0</v>
      </c>
      <c r="R2262" s="16" t="b">
        <f>FALSE()</f>
        <v>0</v>
      </c>
      <c r="S2262" s="17">
        <f t="shared" si="35"/>
        <v>24.8</v>
      </c>
      <c r="T2262">
        <f>COUNTIF('👤 Customers'!$A:$A, B2262)</f>
        <v>1</v>
      </c>
      <c r="U2262">
        <f>COUNTIF('🚴 Riders'!A2261:A2321, C2262)</f>
        <v>0</v>
      </c>
      <c r="V2262">
        <f>COUNTIF('🏭 Facilities'!A2261:A2269, D2262)</f>
        <v>0</v>
      </c>
    </row>
    <row r="2263" spans="1:22">
      <c r="A2263" s="18" t="s">
        <v>5185</v>
      </c>
      <c r="B2263" s="18" t="s">
        <v>250</v>
      </c>
      <c r="C2263" s="18" t="s">
        <v>196</v>
      </c>
      <c r="D2263" s="18" t="s">
        <v>158</v>
      </c>
      <c r="E2263" s="26">
        <v>45432</v>
      </c>
      <c r="F2263" s="18" t="s">
        <v>5186</v>
      </c>
      <c r="G2263" s="18" t="s">
        <v>145</v>
      </c>
      <c r="H2263" s="18">
        <v>7.4</v>
      </c>
      <c r="I2263" s="18">
        <v>299</v>
      </c>
      <c r="J2263" s="18">
        <v>0</v>
      </c>
      <c r="K2263" s="18">
        <v>2212.6</v>
      </c>
      <c r="L2263" s="18" t="s">
        <v>146</v>
      </c>
      <c r="M2263" s="18" t="s">
        <v>119</v>
      </c>
      <c r="N2263" s="28">
        <v>45432.410416666666</v>
      </c>
      <c r="O2263" s="28">
        <v>45433.195833333331</v>
      </c>
      <c r="P2263" s="18">
        <v>2.7</v>
      </c>
      <c r="Q2263" s="18" t="b">
        <f>FALSE()</f>
        <v>0</v>
      </c>
      <c r="R2263" s="18" t="b">
        <f>FALSE()</f>
        <v>0</v>
      </c>
      <c r="S2263" s="19">
        <f t="shared" si="35"/>
        <v>18.8</v>
      </c>
      <c r="T2263">
        <f>COUNTIF('👤 Customers'!$A:$A, B2263)</f>
        <v>1</v>
      </c>
      <c r="U2263">
        <f>COUNTIF('🚴 Riders'!A2262:A2322, C2263)</f>
        <v>0</v>
      </c>
      <c r="V2263">
        <f>COUNTIF('🏭 Facilities'!A2262:A2270, D2263)</f>
        <v>0</v>
      </c>
    </row>
    <row r="2264" spans="1:22">
      <c r="A2264" s="16" t="s">
        <v>5187</v>
      </c>
      <c r="B2264" s="16" t="s">
        <v>1503</v>
      </c>
      <c r="C2264" s="16" t="s">
        <v>213</v>
      </c>
      <c r="D2264" s="16" t="s">
        <v>123</v>
      </c>
      <c r="E2264" s="25">
        <v>44961</v>
      </c>
      <c r="F2264" s="16" t="s">
        <v>5188</v>
      </c>
      <c r="G2264" s="16" t="s">
        <v>125</v>
      </c>
      <c r="H2264" s="16">
        <v>3.7</v>
      </c>
      <c r="I2264" s="16">
        <v>199</v>
      </c>
      <c r="J2264" s="16">
        <v>20</v>
      </c>
      <c r="K2264" s="16">
        <v>589.04</v>
      </c>
      <c r="L2264" s="16" t="s">
        <v>139</v>
      </c>
      <c r="M2264" s="16" t="s">
        <v>119</v>
      </c>
      <c r="N2264" s="27">
        <v>44961.964583333334</v>
      </c>
      <c r="O2264" s="27">
        <v>44962.70208333333</v>
      </c>
      <c r="P2264" s="16">
        <v>4.7</v>
      </c>
      <c r="Q2264" s="16" t="b">
        <f>FALSE()</f>
        <v>0</v>
      </c>
      <c r="R2264" s="16" t="b">
        <f>FALSE()</f>
        <v>0</v>
      </c>
      <c r="S2264" s="17">
        <f t="shared" si="35"/>
        <v>17.7</v>
      </c>
      <c r="T2264">
        <f>COUNTIF('👤 Customers'!$A:$A, B2264)</f>
        <v>1</v>
      </c>
      <c r="U2264">
        <f>COUNTIF('🚴 Riders'!A2263:A2323, C2264)</f>
        <v>0</v>
      </c>
      <c r="V2264">
        <f>COUNTIF('🏭 Facilities'!A2263:A2271, D2264)</f>
        <v>0</v>
      </c>
    </row>
    <row r="2265" spans="1:22">
      <c r="A2265" s="18" t="s">
        <v>5189</v>
      </c>
      <c r="B2265" s="18" t="s">
        <v>673</v>
      </c>
      <c r="C2265" s="18" t="s">
        <v>283</v>
      </c>
      <c r="D2265" s="18" t="s">
        <v>158</v>
      </c>
      <c r="E2265" s="26">
        <v>45031</v>
      </c>
      <c r="F2265" s="18" t="s">
        <v>5190</v>
      </c>
      <c r="G2265" s="18" t="s">
        <v>145</v>
      </c>
      <c r="H2265" s="18">
        <v>1.9</v>
      </c>
      <c r="I2265" s="18">
        <v>299</v>
      </c>
      <c r="J2265" s="18">
        <v>20</v>
      </c>
      <c r="K2265" s="18">
        <v>454.48</v>
      </c>
      <c r="L2265" s="18" t="s">
        <v>139</v>
      </c>
      <c r="M2265" s="18" t="s">
        <v>119</v>
      </c>
      <c r="N2265" s="28">
        <v>45031.696527777778</v>
      </c>
      <c r="O2265" s="28">
        <v>45032.589583333334</v>
      </c>
      <c r="P2265" s="18">
        <v>2.5</v>
      </c>
      <c r="Q2265" s="18" t="b">
        <f>FALSE()</f>
        <v>0</v>
      </c>
      <c r="R2265" s="18" t="b">
        <f>FALSE()</f>
        <v>0</v>
      </c>
      <c r="S2265" s="19">
        <f t="shared" si="35"/>
        <v>21.4</v>
      </c>
      <c r="T2265">
        <f>COUNTIF('👤 Customers'!$A:$A, B2265)</f>
        <v>1</v>
      </c>
      <c r="U2265">
        <f>COUNTIF('🚴 Riders'!A2264:A2324, C2265)</f>
        <v>0</v>
      </c>
      <c r="V2265">
        <f>COUNTIF('🏭 Facilities'!A2264:A2272, D2265)</f>
        <v>0</v>
      </c>
    </row>
    <row r="2266" spans="1:22">
      <c r="A2266" s="16" t="s">
        <v>5191</v>
      </c>
      <c r="B2266" s="16" t="s">
        <v>660</v>
      </c>
      <c r="C2266" s="16" t="s">
        <v>213</v>
      </c>
      <c r="D2266" s="16" t="s">
        <v>184</v>
      </c>
      <c r="E2266" s="25">
        <v>45026</v>
      </c>
      <c r="F2266" s="16" t="s">
        <v>5192</v>
      </c>
      <c r="G2266" s="16" t="s">
        <v>117</v>
      </c>
      <c r="H2266" s="16">
        <v>6.7</v>
      </c>
      <c r="I2266" s="16">
        <v>149</v>
      </c>
      <c r="J2266" s="16">
        <v>0</v>
      </c>
      <c r="K2266" s="16">
        <v>998.3</v>
      </c>
      <c r="L2266" s="16" t="s">
        <v>126</v>
      </c>
      <c r="M2266" s="16" t="s">
        <v>133</v>
      </c>
      <c r="N2266" s="20"/>
      <c r="O2266" s="20"/>
      <c r="P2266" s="20"/>
      <c r="Q2266" s="16" t="b">
        <f>FALSE()</f>
        <v>0</v>
      </c>
      <c r="R2266" s="16" t="b">
        <f>FALSE()</f>
        <v>0</v>
      </c>
      <c r="S2266" s="17" t="str">
        <f t="shared" si="35"/>
        <v>N/A</v>
      </c>
      <c r="T2266">
        <f>COUNTIF('👤 Customers'!$A:$A, B2266)</f>
        <v>1</v>
      </c>
      <c r="U2266">
        <f>COUNTIF('🚴 Riders'!A2265:A2325, C2266)</f>
        <v>0</v>
      </c>
      <c r="V2266">
        <f>COUNTIF('🏭 Facilities'!A2265:A2273, D2266)</f>
        <v>0</v>
      </c>
    </row>
    <row r="2267" spans="1:22">
      <c r="A2267" s="18" t="s">
        <v>5193</v>
      </c>
      <c r="B2267" s="18" t="s">
        <v>243</v>
      </c>
      <c r="C2267" s="18" t="s">
        <v>236</v>
      </c>
      <c r="D2267" s="18" t="s">
        <v>137</v>
      </c>
      <c r="E2267" s="26">
        <v>45578</v>
      </c>
      <c r="F2267" s="18" t="s">
        <v>5194</v>
      </c>
      <c r="G2267" s="18" t="s">
        <v>145</v>
      </c>
      <c r="H2267" s="18">
        <v>6.2</v>
      </c>
      <c r="I2267" s="18">
        <v>299</v>
      </c>
      <c r="J2267" s="18">
        <v>20</v>
      </c>
      <c r="K2267" s="18">
        <v>1483.04</v>
      </c>
      <c r="L2267" s="18" t="s">
        <v>207</v>
      </c>
      <c r="M2267" s="18" t="s">
        <v>119</v>
      </c>
      <c r="N2267" s="28">
        <v>45578.843055555553</v>
      </c>
      <c r="O2267" s="28">
        <v>45579.211805555555</v>
      </c>
      <c r="P2267" s="18">
        <v>2.7</v>
      </c>
      <c r="Q2267" s="18" t="b">
        <f>FALSE()</f>
        <v>0</v>
      </c>
      <c r="R2267" s="18" t="b">
        <f>FALSE()</f>
        <v>0</v>
      </c>
      <c r="S2267" s="19">
        <f t="shared" si="35"/>
        <v>8.9</v>
      </c>
      <c r="T2267">
        <f>COUNTIF('👤 Customers'!$A:$A, B2267)</f>
        <v>1</v>
      </c>
      <c r="U2267">
        <f>COUNTIF('🚴 Riders'!A2266:A2326, C2267)</f>
        <v>0</v>
      </c>
      <c r="V2267">
        <f>COUNTIF('🏭 Facilities'!A2266:A2274, D2267)</f>
        <v>0</v>
      </c>
    </row>
    <row r="2268" spans="1:22">
      <c r="A2268" s="16" t="s">
        <v>5195</v>
      </c>
      <c r="B2268" s="16" t="s">
        <v>3632</v>
      </c>
      <c r="C2268" s="16" t="s">
        <v>114</v>
      </c>
      <c r="D2268" s="16" t="s">
        <v>123</v>
      </c>
      <c r="E2268" s="25">
        <v>45139</v>
      </c>
      <c r="F2268" s="16" t="s">
        <v>5196</v>
      </c>
      <c r="G2268" s="16" t="s">
        <v>132</v>
      </c>
      <c r="H2268" s="16">
        <v>7.7</v>
      </c>
      <c r="I2268" s="16">
        <v>399</v>
      </c>
      <c r="J2268" s="16">
        <v>0</v>
      </c>
      <c r="K2268" s="16">
        <v>3072.3</v>
      </c>
      <c r="L2268" s="16" t="s">
        <v>146</v>
      </c>
      <c r="M2268" s="16" t="s">
        <v>119</v>
      </c>
      <c r="N2268" s="27">
        <v>45139.587500000001</v>
      </c>
      <c r="O2268" s="27">
        <v>45140.175000000003</v>
      </c>
      <c r="P2268" s="16">
        <v>3.5</v>
      </c>
      <c r="Q2268" s="16" t="b">
        <f>TRUE()</f>
        <v>1</v>
      </c>
      <c r="R2268" s="16" t="b">
        <f>TRUE()</f>
        <v>1</v>
      </c>
      <c r="S2268" s="17">
        <f t="shared" si="35"/>
        <v>14.1</v>
      </c>
      <c r="T2268">
        <f>COUNTIF('👤 Customers'!$A:$A, B2268)</f>
        <v>1</v>
      </c>
      <c r="U2268">
        <f>COUNTIF('🚴 Riders'!A2267:A2327, C2268)</f>
        <v>0</v>
      </c>
      <c r="V2268">
        <f>COUNTIF('🏭 Facilities'!A2267:A2275, D2268)</f>
        <v>0</v>
      </c>
    </row>
    <row r="2269" spans="1:22">
      <c r="A2269" s="18" t="s">
        <v>5197</v>
      </c>
      <c r="B2269" s="18" t="s">
        <v>1064</v>
      </c>
      <c r="C2269" s="18" t="s">
        <v>204</v>
      </c>
      <c r="D2269" s="18" t="s">
        <v>197</v>
      </c>
      <c r="E2269" s="26">
        <v>45208</v>
      </c>
      <c r="F2269" s="18" t="s">
        <v>5198</v>
      </c>
      <c r="G2269" s="18" t="s">
        <v>125</v>
      </c>
      <c r="H2269" s="18">
        <v>3.4</v>
      </c>
      <c r="I2269" s="18">
        <v>199</v>
      </c>
      <c r="J2269" s="18">
        <v>0</v>
      </c>
      <c r="K2269" s="18">
        <v>676.6</v>
      </c>
      <c r="L2269" s="18" t="s">
        <v>207</v>
      </c>
      <c r="M2269" s="18" t="s">
        <v>140</v>
      </c>
      <c r="N2269" s="28">
        <v>45208.220138888886</v>
      </c>
      <c r="O2269" s="28">
        <v>45209.079861111109</v>
      </c>
      <c r="P2269" s="20"/>
      <c r="Q2269" s="18" t="b">
        <f>FALSE()</f>
        <v>0</v>
      </c>
      <c r="R2269" s="18" t="b">
        <f>FALSE()</f>
        <v>0</v>
      </c>
      <c r="S2269" s="19">
        <f t="shared" si="35"/>
        <v>20.6</v>
      </c>
      <c r="T2269">
        <f>COUNTIF('👤 Customers'!$A:$A, B2269)</f>
        <v>1</v>
      </c>
      <c r="U2269">
        <f>COUNTIF('🚴 Riders'!A2268:A2328, C2269)</f>
        <v>0</v>
      </c>
      <c r="V2269">
        <f>COUNTIF('🏭 Facilities'!A2268:A2276, D2269)</f>
        <v>0</v>
      </c>
    </row>
    <row r="2270" spans="1:22">
      <c r="A2270" s="16" t="s">
        <v>5199</v>
      </c>
      <c r="B2270" s="16" t="s">
        <v>3098</v>
      </c>
      <c r="C2270" s="16" t="s">
        <v>283</v>
      </c>
      <c r="D2270" s="16" t="s">
        <v>197</v>
      </c>
      <c r="E2270" s="25">
        <v>45215</v>
      </c>
      <c r="F2270" s="16" t="s">
        <v>5200</v>
      </c>
      <c r="G2270" s="16" t="s">
        <v>145</v>
      </c>
      <c r="H2270" s="16">
        <v>1.1000000000000001</v>
      </c>
      <c r="I2270" s="16">
        <v>299</v>
      </c>
      <c r="J2270" s="16">
        <v>10</v>
      </c>
      <c r="K2270" s="16">
        <v>296.01</v>
      </c>
      <c r="L2270" s="16" t="s">
        <v>126</v>
      </c>
      <c r="M2270" s="16" t="s">
        <v>133</v>
      </c>
      <c r="N2270" s="20"/>
      <c r="O2270" s="20"/>
      <c r="P2270" s="20"/>
      <c r="Q2270" s="16" t="b">
        <f>FALSE()</f>
        <v>0</v>
      </c>
      <c r="R2270" s="16" t="b">
        <f>FALSE()</f>
        <v>0</v>
      </c>
      <c r="S2270" s="17" t="str">
        <f t="shared" si="35"/>
        <v>N/A</v>
      </c>
      <c r="T2270">
        <f>COUNTIF('👤 Customers'!$A:$A, B2270)</f>
        <v>1</v>
      </c>
      <c r="U2270">
        <f>COUNTIF('🚴 Riders'!A2269:A2329, C2270)</f>
        <v>0</v>
      </c>
      <c r="V2270">
        <f>COUNTIF('🏭 Facilities'!A2269:A2277, D2270)</f>
        <v>0</v>
      </c>
    </row>
    <row r="2271" spans="1:22">
      <c r="A2271" s="18" t="s">
        <v>5201</v>
      </c>
      <c r="B2271" s="18" t="s">
        <v>1214</v>
      </c>
      <c r="C2271" s="18" t="s">
        <v>224</v>
      </c>
      <c r="D2271" s="18" t="s">
        <v>197</v>
      </c>
      <c r="E2271" s="26">
        <v>45642</v>
      </c>
      <c r="F2271" s="18" t="s">
        <v>5202</v>
      </c>
      <c r="G2271" s="18" t="s">
        <v>176</v>
      </c>
      <c r="H2271" s="18">
        <v>2.9</v>
      </c>
      <c r="I2271" s="18">
        <v>599</v>
      </c>
      <c r="J2271" s="18">
        <v>0</v>
      </c>
      <c r="K2271" s="18">
        <v>1737.1</v>
      </c>
      <c r="L2271" s="18" t="s">
        <v>118</v>
      </c>
      <c r="M2271" s="18" t="s">
        <v>140</v>
      </c>
      <c r="N2271" s="28">
        <v>45642.692361111112</v>
      </c>
      <c r="O2271" s="28">
        <v>45643.134027777778</v>
      </c>
      <c r="P2271" s="20"/>
      <c r="Q2271" s="18" t="b">
        <f>FALSE()</f>
        <v>0</v>
      </c>
      <c r="R2271" s="18" t="b">
        <f>FALSE()</f>
        <v>0</v>
      </c>
      <c r="S2271" s="19">
        <f t="shared" si="35"/>
        <v>10.6</v>
      </c>
      <c r="T2271">
        <f>COUNTIF('👤 Customers'!$A:$A, B2271)</f>
        <v>1</v>
      </c>
      <c r="U2271">
        <f>COUNTIF('🚴 Riders'!A2270:A2330, C2271)</f>
        <v>0</v>
      </c>
      <c r="V2271">
        <f>COUNTIF('🏭 Facilities'!A2270:A2278, D2271)</f>
        <v>0</v>
      </c>
    </row>
    <row r="2272" spans="1:22">
      <c r="A2272" s="16" t="s">
        <v>5203</v>
      </c>
      <c r="B2272" s="16" t="s">
        <v>3580</v>
      </c>
      <c r="C2272" s="16" t="s">
        <v>220</v>
      </c>
      <c r="D2272" s="16" t="s">
        <v>137</v>
      </c>
      <c r="E2272" s="25">
        <v>45345</v>
      </c>
      <c r="F2272" s="16" t="s">
        <v>599</v>
      </c>
      <c r="G2272" s="16" t="s">
        <v>145</v>
      </c>
      <c r="H2272" s="16">
        <v>4.5999999999999996</v>
      </c>
      <c r="I2272" s="16">
        <v>299</v>
      </c>
      <c r="J2272" s="16">
        <v>0</v>
      </c>
      <c r="K2272" s="16">
        <v>1375.4</v>
      </c>
      <c r="L2272" s="16" t="s">
        <v>118</v>
      </c>
      <c r="M2272" s="16" t="s">
        <v>119</v>
      </c>
      <c r="N2272" s="27">
        <v>45345.189583333333</v>
      </c>
      <c r="O2272" s="27">
        <v>45346.030555555553</v>
      </c>
      <c r="P2272" s="16">
        <v>2.6</v>
      </c>
      <c r="Q2272" s="16" t="b">
        <f>TRUE()</f>
        <v>1</v>
      </c>
      <c r="R2272" s="16" t="b">
        <f>FALSE()</f>
        <v>0</v>
      </c>
      <c r="S2272" s="17">
        <f t="shared" si="35"/>
        <v>20.2</v>
      </c>
      <c r="T2272">
        <f>COUNTIF('👤 Customers'!$A:$A, B2272)</f>
        <v>1</v>
      </c>
      <c r="U2272">
        <f>COUNTIF('🚴 Riders'!A2271:A2331, C2272)</f>
        <v>0</v>
      </c>
      <c r="V2272">
        <f>COUNTIF('🏭 Facilities'!A2271:A2279, D2272)</f>
        <v>0</v>
      </c>
    </row>
    <row r="2273" spans="1:22">
      <c r="A2273" s="18" t="s">
        <v>5204</v>
      </c>
      <c r="B2273" s="18" t="s">
        <v>264</v>
      </c>
      <c r="C2273" s="18" t="s">
        <v>750</v>
      </c>
      <c r="D2273" s="18" t="s">
        <v>197</v>
      </c>
      <c r="E2273" s="26">
        <v>45258</v>
      </c>
      <c r="F2273" s="18" t="s">
        <v>5205</v>
      </c>
      <c r="G2273" s="18" t="s">
        <v>176</v>
      </c>
      <c r="H2273" s="18">
        <v>2</v>
      </c>
      <c r="I2273" s="18">
        <v>599</v>
      </c>
      <c r="J2273" s="18">
        <v>0</v>
      </c>
      <c r="K2273" s="18">
        <v>1198</v>
      </c>
      <c r="L2273" s="18" t="s">
        <v>146</v>
      </c>
      <c r="M2273" s="18" t="s">
        <v>119</v>
      </c>
      <c r="N2273" s="28">
        <v>45258.837500000001</v>
      </c>
      <c r="O2273" s="28">
        <v>45259.61041666667</v>
      </c>
      <c r="P2273" s="18">
        <v>2.8</v>
      </c>
      <c r="Q2273" s="18" t="b">
        <f>TRUE()</f>
        <v>1</v>
      </c>
      <c r="R2273" s="18" t="b">
        <f>TRUE()</f>
        <v>1</v>
      </c>
      <c r="S2273" s="19">
        <f t="shared" si="35"/>
        <v>18.600000000000001</v>
      </c>
      <c r="T2273">
        <f>COUNTIF('👤 Customers'!$A:$A, B2273)</f>
        <v>1</v>
      </c>
      <c r="U2273">
        <f>COUNTIF('🚴 Riders'!A2272:A2332, C2273)</f>
        <v>0</v>
      </c>
      <c r="V2273">
        <f>COUNTIF('🏭 Facilities'!A2272:A2280, D2273)</f>
        <v>0</v>
      </c>
    </row>
    <row r="2274" spans="1:22">
      <c r="A2274" s="16" t="s">
        <v>5206</v>
      </c>
      <c r="B2274" s="16" t="s">
        <v>2763</v>
      </c>
      <c r="C2274" s="16" t="s">
        <v>157</v>
      </c>
      <c r="D2274" s="16" t="s">
        <v>158</v>
      </c>
      <c r="E2274" s="25">
        <v>45455</v>
      </c>
      <c r="F2274" s="16" t="s">
        <v>5207</v>
      </c>
      <c r="G2274" s="16" t="s">
        <v>176</v>
      </c>
      <c r="H2274" s="16">
        <v>3.7</v>
      </c>
      <c r="I2274" s="16">
        <v>599</v>
      </c>
      <c r="J2274" s="16">
        <v>20</v>
      </c>
      <c r="K2274" s="16">
        <v>1773.04</v>
      </c>
      <c r="L2274" s="16" t="s">
        <v>207</v>
      </c>
      <c r="M2274" s="16" t="s">
        <v>119</v>
      </c>
      <c r="N2274" s="27">
        <v>45456.162499999999</v>
      </c>
      <c r="O2274" s="27">
        <v>45456.750694444447</v>
      </c>
      <c r="P2274" s="16">
        <v>4.2</v>
      </c>
      <c r="Q2274" s="16" t="b">
        <f>FALSE()</f>
        <v>0</v>
      </c>
      <c r="R2274" s="16" t="b">
        <f>FALSE()</f>
        <v>0</v>
      </c>
      <c r="S2274" s="17">
        <f t="shared" si="35"/>
        <v>14.1</v>
      </c>
      <c r="T2274">
        <f>COUNTIF('👤 Customers'!$A:$A, B2274)</f>
        <v>1</v>
      </c>
      <c r="U2274">
        <f>COUNTIF('🚴 Riders'!A2273:A2333, C2274)</f>
        <v>0</v>
      </c>
      <c r="V2274">
        <f>COUNTIF('🏭 Facilities'!A2273:A2281, D2274)</f>
        <v>0</v>
      </c>
    </row>
    <row r="2275" spans="1:22">
      <c r="A2275" s="18" t="s">
        <v>5208</v>
      </c>
      <c r="B2275" s="18" t="s">
        <v>3000</v>
      </c>
      <c r="C2275" s="18" t="s">
        <v>149</v>
      </c>
      <c r="D2275" s="18" t="s">
        <v>115</v>
      </c>
      <c r="E2275" s="26">
        <v>45146</v>
      </c>
      <c r="F2275" s="18" t="s">
        <v>5209</v>
      </c>
      <c r="G2275" s="18" t="s">
        <v>117</v>
      </c>
      <c r="H2275" s="18">
        <v>7.1</v>
      </c>
      <c r="I2275" s="18">
        <v>149</v>
      </c>
      <c r="J2275" s="18">
        <v>0</v>
      </c>
      <c r="K2275" s="18">
        <v>1057.9000000000001</v>
      </c>
      <c r="L2275" s="18" t="s">
        <v>207</v>
      </c>
      <c r="M2275" s="18" t="s">
        <v>140</v>
      </c>
      <c r="N2275" s="28">
        <v>45146.287499999999</v>
      </c>
      <c r="O2275" s="28">
        <v>45147.015277777777</v>
      </c>
      <c r="P2275" s="20"/>
      <c r="Q2275" s="18" t="b">
        <f>FALSE()</f>
        <v>0</v>
      </c>
      <c r="R2275" s="18" t="b">
        <f>FALSE()</f>
        <v>0</v>
      </c>
      <c r="S2275" s="19">
        <f t="shared" si="35"/>
        <v>17.5</v>
      </c>
      <c r="T2275">
        <f>COUNTIF('👤 Customers'!$A:$A, B2275)</f>
        <v>1</v>
      </c>
      <c r="U2275">
        <f>COUNTIF('🚴 Riders'!A2274:A2334, C2275)</f>
        <v>0</v>
      </c>
      <c r="V2275">
        <f>COUNTIF('🏭 Facilities'!A2274:A2282, D2275)</f>
        <v>0</v>
      </c>
    </row>
    <row r="2276" spans="1:22">
      <c r="A2276" s="16" t="s">
        <v>5210</v>
      </c>
      <c r="B2276" s="16" t="s">
        <v>535</v>
      </c>
      <c r="C2276" s="16" t="s">
        <v>196</v>
      </c>
      <c r="D2276" s="16" t="s">
        <v>137</v>
      </c>
      <c r="E2276" s="25">
        <v>45071</v>
      </c>
      <c r="F2276" s="16" t="s">
        <v>5211</v>
      </c>
      <c r="G2276" s="16" t="s">
        <v>132</v>
      </c>
      <c r="H2276" s="16">
        <v>5.5</v>
      </c>
      <c r="I2276" s="16">
        <v>399</v>
      </c>
      <c r="J2276" s="16">
        <v>0</v>
      </c>
      <c r="K2276" s="16">
        <v>2194.5</v>
      </c>
      <c r="L2276" s="16" t="s">
        <v>146</v>
      </c>
      <c r="M2276" s="16" t="s">
        <v>119</v>
      </c>
      <c r="N2276" s="27">
        <v>45071.252083333333</v>
      </c>
      <c r="O2276" s="27">
        <v>45071.936805555553</v>
      </c>
      <c r="P2276" s="16">
        <v>2.6</v>
      </c>
      <c r="Q2276" s="16" t="b">
        <f>TRUE()</f>
        <v>1</v>
      </c>
      <c r="R2276" s="16" t="b">
        <f>FALSE()</f>
        <v>0</v>
      </c>
      <c r="S2276" s="17">
        <f t="shared" si="35"/>
        <v>16.399999999999999</v>
      </c>
      <c r="T2276">
        <f>COUNTIF('👤 Customers'!$A:$A, B2276)</f>
        <v>1</v>
      </c>
      <c r="U2276">
        <f>COUNTIF('🚴 Riders'!A2275:A2335, C2276)</f>
        <v>0</v>
      </c>
      <c r="V2276">
        <f>COUNTIF('🏭 Facilities'!A2275:A2283, D2276)</f>
        <v>0</v>
      </c>
    </row>
    <row r="2277" spans="1:22">
      <c r="A2277" s="18" t="s">
        <v>5212</v>
      </c>
      <c r="B2277" s="18" t="s">
        <v>321</v>
      </c>
      <c r="C2277" s="18" t="s">
        <v>717</v>
      </c>
      <c r="D2277" s="18" t="s">
        <v>158</v>
      </c>
      <c r="E2277" s="26">
        <v>45188</v>
      </c>
      <c r="F2277" s="18" t="s">
        <v>5213</v>
      </c>
      <c r="G2277" s="18" t="s">
        <v>117</v>
      </c>
      <c r="H2277" s="18">
        <v>2.6</v>
      </c>
      <c r="I2277" s="18">
        <v>149</v>
      </c>
      <c r="J2277" s="18">
        <v>10</v>
      </c>
      <c r="K2277" s="18">
        <v>348.66</v>
      </c>
      <c r="L2277" s="18" t="s">
        <v>139</v>
      </c>
      <c r="M2277" s="18" t="s">
        <v>119</v>
      </c>
      <c r="N2277" s="28">
        <v>45188.39166666667</v>
      </c>
      <c r="O2277" s="28">
        <v>45189.038194444445</v>
      </c>
      <c r="P2277" s="18">
        <v>3.6</v>
      </c>
      <c r="Q2277" s="18" t="b">
        <f>FALSE()</f>
        <v>0</v>
      </c>
      <c r="R2277" s="18" t="b">
        <f>FALSE()</f>
        <v>0</v>
      </c>
      <c r="S2277" s="19">
        <f t="shared" si="35"/>
        <v>15.5</v>
      </c>
      <c r="T2277">
        <f>COUNTIF('👤 Customers'!$A:$A, B2277)</f>
        <v>1</v>
      </c>
      <c r="U2277">
        <f>COUNTIF('🚴 Riders'!A2276:A2336, C2277)</f>
        <v>0</v>
      </c>
      <c r="V2277">
        <f>COUNTIF('🏭 Facilities'!A2276:A2284, D2277)</f>
        <v>0</v>
      </c>
    </row>
    <row r="2278" spans="1:22">
      <c r="A2278" s="16" t="s">
        <v>5214</v>
      </c>
      <c r="B2278" s="16" t="s">
        <v>774</v>
      </c>
      <c r="C2278" s="16" t="s">
        <v>283</v>
      </c>
      <c r="D2278" s="16" t="s">
        <v>137</v>
      </c>
      <c r="E2278" s="25">
        <v>45340</v>
      </c>
      <c r="F2278" s="16" t="s">
        <v>5215</v>
      </c>
      <c r="G2278" s="16" t="s">
        <v>132</v>
      </c>
      <c r="H2278" s="16">
        <v>4.8</v>
      </c>
      <c r="I2278" s="16">
        <v>399</v>
      </c>
      <c r="J2278" s="16">
        <v>30</v>
      </c>
      <c r="K2278" s="16">
        <v>1340.64</v>
      </c>
      <c r="L2278" s="16" t="s">
        <v>126</v>
      </c>
      <c r="M2278" s="16" t="s">
        <v>119</v>
      </c>
      <c r="N2278" s="27">
        <v>45340.499305555553</v>
      </c>
      <c r="O2278" s="27">
        <v>45341.354861111111</v>
      </c>
      <c r="P2278" s="16">
        <v>4.0999999999999996</v>
      </c>
      <c r="Q2278" s="16" t="b">
        <f>FALSE()</f>
        <v>0</v>
      </c>
      <c r="R2278" s="16" t="b">
        <f>TRUE()</f>
        <v>1</v>
      </c>
      <c r="S2278" s="17">
        <f t="shared" si="35"/>
        <v>20.5</v>
      </c>
      <c r="T2278">
        <f>COUNTIF('👤 Customers'!$A:$A, B2278)</f>
        <v>1</v>
      </c>
      <c r="U2278">
        <f>COUNTIF('🚴 Riders'!A2277:A2337, C2278)</f>
        <v>0</v>
      </c>
      <c r="V2278">
        <f>COUNTIF('🏭 Facilities'!A2277:A2285, D2278)</f>
        <v>0</v>
      </c>
    </row>
    <row r="2279" spans="1:22">
      <c r="A2279" s="18" t="s">
        <v>5216</v>
      </c>
      <c r="B2279" s="18" t="s">
        <v>872</v>
      </c>
      <c r="C2279" s="18" t="s">
        <v>179</v>
      </c>
      <c r="D2279" s="18" t="s">
        <v>158</v>
      </c>
      <c r="E2279" s="26">
        <v>45581</v>
      </c>
      <c r="F2279" s="18" t="s">
        <v>5217</v>
      </c>
      <c r="G2279" s="18" t="s">
        <v>132</v>
      </c>
      <c r="H2279" s="18">
        <v>6</v>
      </c>
      <c r="I2279" s="18">
        <v>399</v>
      </c>
      <c r="J2279" s="18">
        <v>0</v>
      </c>
      <c r="K2279" s="18">
        <v>2394</v>
      </c>
      <c r="L2279" s="18" t="s">
        <v>207</v>
      </c>
      <c r="M2279" s="18" t="s">
        <v>119</v>
      </c>
      <c r="N2279" s="28">
        <v>45581.112500000003</v>
      </c>
      <c r="O2279" s="28">
        <v>45581.54583333333</v>
      </c>
      <c r="P2279" s="18">
        <v>2.7</v>
      </c>
      <c r="Q2279" s="18" t="b">
        <f>FALSE()</f>
        <v>0</v>
      </c>
      <c r="R2279" s="18" t="b">
        <f>FALSE()</f>
        <v>0</v>
      </c>
      <c r="S2279" s="19">
        <f t="shared" si="35"/>
        <v>10.4</v>
      </c>
      <c r="T2279">
        <f>COUNTIF('👤 Customers'!$A:$A, B2279)</f>
        <v>1</v>
      </c>
      <c r="U2279">
        <f>COUNTIF('🚴 Riders'!A2278:A2338, C2279)</f>
        <v>0</v>
      </c>
      <c r="V2279">
        <f>COUNTIF('🏭 Facilities'!A2278:A2286, D2279)</f>
        <v>0</v>
      </c>
    </row>
    <row r="2280" spans="1:22">
      <c r="A2280" s="16" t="s">
        <v>5218</v>
      </c>
      <c r="B2280" s="16" t="s">
        <v>878</v>
      </c>
      <c r="C2280" s="16" t="s">
        <v>300</v>
      </c>
      <c r="D2280" s="16" t="s">
        <v>123</v>
      </c>
      <c r="E2280" s="25">
        <v>45156</v>
      </c>
      <c r="F2280" s="16" t="s">
        <v>5219</v>
      </c>
      <c r="G2280" s="16" t="s">
        <v>125</v>
      </c>
      <c r="H2280" s="16">
        <v>2.8</v>
      </c>
      <c r="I2280" s="16">
        <v>199</v>
      </c>
      <c r="J2280" s="16">
        <v>30</v>
      </c>
      <c r="K2280" s="16">
        <v>390.04</v>
      </c>
      <c r="L2280" s="16" t="s">
        <v>118</v>
      </c>
      <c r="M2280" s="16" t="s">
        <v>119</v>
      </c>
      <c r="N2280" s="27">
        <v>45156.569444444445</v>
      </c>
      <c r="O2280" s="27">
        <v>45157.476388888892</v>
      </c>
      <c r="P2280" s="16">
        <v>3.4</v>
      </c>
      <c r="Q2280" s="16" t="b">
        <f>FALSE()</f>
        <v>0</v>
      </c>
      <c r="R2280" s="16" t="b">
        <f>FALSE()</f>
        <v>0</v>
      </c>
      <c r="S2280" s="17">
        <f t="shared" si="35"/>
        <v>21.8</v>
      </c>
      <c r="T2280">
        <f>COUNTIF('👤 Customers'!$A:$A, B2280)</f>
        <v>1</v>
      </c>
      <c r="U2280">
        <f>COUNTIF('🚴 Riders'!A2279:A2339, C2280)</f>
        <v>0</v>
      </c>
      <c r="V2280">
        <f>COUNTIF('🏭 Facilities'!A2279:A2287, D2280)</f>
        <v>0</v>
      </c>
    </row>
    <row r="2281" spans="1:22">
      <c r="A2281" s="18" t="s">
        <v>5220</v>
      </c>
      <c r="B2281" s="18" t="s">
        <v>925</v>
      </c>
      <c r="C2281" s="18" t="s">
        <v>350</v>
      </c>
      <c r="D2281" s="18" t="s">
        <v>115</v>
      </c>
      <c r="E2281" s="26">
        <v>45223</v>
      </c>
      <c r="F2281" s="18" t="s">
        <v>5221</v>
      </c>
      <c r="G2281" s="18" t="s">
        <v>117</v>
      </c>
      <c r="H2281" s="18">
        <v>3.5</v>
      </c>
      <c r="I2281" s="18">
        <v>149</v>
      </c>
      <c r="J2281" s="18">
        <v>0</v>
      </c>
      <c r="K2281" s="18">
        <v>521.5</v>
      </c>
      <c r="L2281" s="18" t="s">
        <v>126</v>
      </c>
      <c r="M2281" s="18" t="s">
        <v>119</v>
      </c>
      <c r="N2281" s="28">
        <v>45223.826388888891</v>
      </c>
      <c r="O2281" s="28">
        <v>45224.327777777777</v>
      </c>
      <c r="P2281" s="18">
        <v>4.5</v>
      </c>
      <c r="Q2281" s="18" t="b">
        <f>FALSE()</f>
        <v>0</v>
      </c>
      <c r="R2281" s="18" t="b">
        <f>FALSE()</f>
        <v>0</v>
      </c>
      <c r="S2281" s="19">
        <f t="shared" si="35"/>
        <v>12</v>
      </c>
      <c r="T2281">
        <f>COUNTIF('👤 Customers'!$A:$A, B2281)</f>
        <v>1</v>
      </c>
      <c r="U2281">
        <f>COUNTIF('🚴 Riders'!A2280:A2340, C2281)</f>
        <v>0</v>
      </c>
      <c r="V2281">
        <f>COUNTIF('🏭 Facilities'!A2280:A2288, D2281)</f>
        <v>0</v>
      </c>
    </row>
    <row r="2282" spans="1:22">
      <c r="A2282" s="16" t="s">
        <v>5222</v>
      </c>
      <c r="B2282" s="16" t="s">
        <v>1200</v>
      </c>
      <c r="C2282" s="16" t="s">
        <v>300</v>
      </c>
      <c r="D2282" s="16" t="s">
        <v>184</v>
      </c>
      <c r="E2282" s="25">
        <v>45103</v>
      </c>
      <c r="F2282" s="16" t="s">
        <v>5223</v>
      </c>
      <c r="G2282" s="16" t="s">
        <v>132</v>
      </c>
      <c r="H2282" s="16">
        <v>7.2</v>
      </c>
      <c r="I2282" s="16">
        <v>399</v>
      </c>
      <c r="J2282" s="16">
        <v>10</v>
      </c>
      <c r="K2282" s="16">
        <v>2585.52</v>
      </c>
      <c r="L2282" s="16" t="s">
        <v>126</v>
      </c>
      <c r="M2282" s="16" t="s">
        <v>119</v>
      </c>
      <c r="N2282" s="27">
        <v>45103.424305555556</v>
      </c>
      <c r="O2282" s="27">
        <v>45104.09097222222</v>
      </c>
      <c r="P2282" s="16">
        <v>4.4000000000000004</v>
      </c>
      <c r="Q2282" s="16" t="b">
        <f>FALSE()</f>
        <v>0</v>
      </c>
      <c r="R2282" s="16" t="b">
        <f>FALSE()</f>
        <v>0</v>
      </c>
      <c r="S2282" s="17">
        <f t="shared" si="35"/>
        <v>16</v>
      </c>
      <c r="T2282">
        <f>COUNTIF('👤 Customers'!$A:$A, B2282)</f>
        <v>1</v>
      </c>
      <c r="U2282">
        <f>COUNTIF('🚴 Riders'!A2281:A2341, C2282)</f>
        <v>0</v>
      </c>
      <c r="V2282">
        <f>COUNTIF('🏭 Facilities'!A2281:A2289, D2282)</f>
        <v>0</v>
      </c>
    </row>
    <row r="2283" spans="1:22">
      <c r="A2283" s="18" t="s">
        <v>5224</v>
      </c>
      <c r="B2283" s="18" t="s">
        <v>1850</v>
      </c>
      <c r="C2283" s="18" t="s">
        <v>276</v>
      </c>
      <c r="D2283" s="18" t="s">
        <v>197</v>
      </c>
      <c r="E2283" s="26">
        <v>45155</v>
      </c>
      <c r="F2283" s="18" t="s">
        <v>5225</v>
      </c>
      <c r="G2283" s="18" t="s">
        <v>117</v>
      </c>
      <c r="H2283" s="18">
        <v>5.2</v>
      </c>
      <c r="I2283" s="18">
        <v>149</v>
      </c>
      <c r="J2283" s="18">
        <v>0</v>
      </c>
      <c r="K2283" s="18">
        <v>774.8</v>
      </c>
      <c r="L2283" s="18" t="s">
        <v>146</v>
      </c>
      <c r="M2283" s="18" t="s">
        <v>140</v>
      </c>
      <c r="N2283" s="28">
        <v>45155.863888888889</v>
      </c>
      <c r="O2283" s="28">
        <v>45156.748611111114</v>
      </c>
      <c r="P2283" s="20"/>
      <c r="Q2283" s="18" t="b">
        <f>FALSE()</f>
        <v>0</v>
      </c>
      <c r="R2283" s="18" t="b">
        <f>TRUE()</f>
        <v>1</v>
      </c>
      <c r="S2283" s="19">
        <f t="shared" si="35"/>
        <v>21.2</v>
      </c>
      <c r="T2283">
        <f>COUNTIF('👤 Customers'!$A:$A, B2283)</f>
        <v>1</v>
      </c>
      <c r="U2283">
        <f>COUNTIF('🚴 Riders'!A2282:A2342, C2283)</f>
        <v>0</v>
      </c>
      <c r="V2283">
        <f>COUNTIF('🏭 Facilities'!A2282:A2290, D2283)</f>
        <v>0</v>
      </c>
    </row>
    <row r="2284" spans="1:22">
      <c r="A2284" s="16" t="s">
        <v>5226</v>
      </c>
      <c r="B2284" s="16" t="s">
        <v>557</v>
      </c>
      <c r="C2284" s="16" t="s">
        <v>483</v>
      </c>
      <c r="D2284" s="16" t="s">
        <v>137</v>
      </c>
      <c r="E2284" s="25">
        <v>45651</v>
      </c>
      <c r="F2284" s="16" t="s">
        <v>5227</v>
      </c>
      <c r="G2284" s="16" t="s">
        <v>145</v>
      </c>
      <c r="H2284" s="16">
        <v>4.5999999999999996</v>
      </c>
      <c r="I2284" s="16">
        <v>299</v>
      </c>
      <c r="J2284" s="16">
        <v>0</v>
      </c>
      <c r="K2284" s="16">
        <v>1375.4</v>
      </c>
      <c r="L2284" s="16" t="s">
        <v>139</v>
      </c>
      <c r="M2284" s="16" t="s">
        <v>140</v>
      </c>
      <c r="N2284" s="27">
        <v>45651.53125</v>
      </c>
      <c r="O2284" s="27">
        <v>45652.44027777778</v>
      </c>
      <c r="P2284" s="20"/>
      <c r="Q2284" s="16" t="b">
        <f>FALSE()</f>
        <v>0</v>
      </c>
      <c r="R2284" s="16" t="b">
        <f>FALSE()</f>
        <v>0</v>
      </c>
      <c r="S2284" s="17">
        <f t="shared" si="35"/>
        <v>21.8</v>
      </c>
      <c r="T2284">
        <f>COUNTIF('👤 Customers'!$A:$A, B2284)</f>
        <v>1</v>
      </c>
      <c r="U2284">
        <f>COUNTIF('🚴 Riders'!A2283:A2343, C2284)</f>
        <v>0</v>
      </c>
      <c r="V2284">
        <f>COUNTIF('🏭 Facilities'!A2283:A2291, D2284)</f>
        <v>0</v>
      </c>
    </row>
    <row r="2285" spans="1:22">
      <c r="A2285" s="18" t="s">
        <v>5228</v>
      </c>
      <c r="B2285" s="18" t="s">
        <v>1048</v>
      </c>
      <c r="C2285" s="18" t="s">
        <v>487</v>
      </c>
      <c r="D2285" s="18" t="s">
        <v>137</v>
      </c>
      <c r="E2285" s="26">
        <v>45266</v>
      </c>
      <c r="F2285" s="18" t="s">
        <v>5229</v>
      </c>
      <c r="G2285" s="18" t="s">
        <v>132</v>
      </c>
      <c r="H2285" s="18">
        <v>4.5999999999999996</v>
      </c>
      <c r="I2285" s="18">
        <v>399</v>
      </c>
      <c r="J2285" s="18">
        <v>0</v>
      </c>
      <c r="K2285" s="18">
        <v>1835.4</v>
      </c>
      <c r="L2285" s="18" t="s">
        <v>207</v>
      </c>
      <c r="M2285" s="18" t="s">
        <v>119</v>
      </c>
      <c r="N2285" s="28">
        <v>45266.615277777775</v>
      </c>
      <c r="O2285" s="28">
        <v>45267.017361111109</v>
      </c>
      <c r="P2285" s="18">
        <v>3</v>
      </c>
      <c r="Q2285" s="18" t="b">
        <f>FALSE()</f>
        <v>0</v>
      </c>
      <c r="R2285" s="18" t="b">
        <f>FALSE()</f>
        <v>0</v>
      </c>
      <c r="S2285" s="19">
        <f t="shared" si="35"/>
        <v>9.6999999999999993</v>
      </c>
      <c r="T2285">
        <f>COUNTIF('👤 Customers'!$A:$A, B2285)</f>
        <v>1</v>
      </c>
      <c r="U2285">
        <f>COUNTIF('🚴 Riders'!A2284:A2344, C2285)</f>
        <v>0</v>
      </c>
      <c r="V2285">
        <f>COUNTIF('🏭 Facilities'!A2284:A2292, D2285)</f>
        <v>0</v>
      </c>
    </row>
    <row r="2286" spans="1:22">
      <c r="A2286" s="16" t="s">
        <v>5230</v>
      </c>
      <c r="B2286" s="16" t="s">
        <v>2229</v>
      </c>
      <c r="C2286" s="16" t="s">
        <v>479</v>
      </c>
      <c r="D2286" s="16" t="s">
        <v>130</v>
      </c>
      <c r="E2286" s="25">
        <v>45359</v>
      </c>
      <c r="F2286" s="16" t="s">
        <v>5231</v>
      </c>
      <c r="G2286" s="16" t="s">
        <v>125</v>
      </c>
      <c r="H2286" s="16">
        <v>7.5</v>
      </c>
      <c r="I2286" s="16">
        <v>199</v>
      </c>
      <c r="J2286" s="16">
        <v>0</v>
      </c>
      <c r="K2286" s="16">
        <v>1492.5</v>
      </c>
      <c r="L2286" s="16" t="s">
        <v>139</v>
      </c>
      <c r="M2286" s="16" t="s">
        <v>119</v>
      </c>
      <c r="N2286" s="27">
        <v>45359.525000000001</v>
      </c>
      <c r="O2286" s="27">
        <v>45360.412499999999</v>
      </c>
      <c r="P2286" s="16">
        <v>3.9</v>
      </c>
      <c r="Q2286" s="16" t="b">
        <f>FALSE()</f>
        <v>0</v>
      </c>
      <c r="R2286" s="16" t="b">
        <f>FALSE()</f>
        <v>0</v>
      </c>
      <c r="S2286" s="17">
        <f t="shared" si="35"/>
        <v>21.3</v>
      </c>
      <c r="T2286">
        <f>COUNTIF('👤 Customers'!$A:$A, B2286)</f>
        <v>1</v>
      </c>
      <c r="U2286">
        <f>COUNTIF('🚴 Riders'!A2285:A2345, C2286)</f>
        <v>0</v>
      </c>
      <c r="V2286">
        <f>COUNTIF('🏭 Facilities'!A2285:A2293, D2286)</f>
        <v>0</v>
      </c>
    </row>
    <row r="2287" spans="1:22">
      <c r="A2287" s="18" t="s">
        <v>5232</v>
      </c>
      <c r="B2287" s="18" t="s">
        <v>1466</v>
      </c>
      <c r="C2287" s="18" t="s">
        <v>265</v>
      </c>
      <c r="D2287" s="18" t="s">
        <v>158</v>
      </c>
      <c r="E2287" s="26">
        <v>45593</v>
      </c>
      <c r="F2287" s="18" t="s">
        <v>5233</v>
      </c>
      <c r="G2287" s="18" t="s">
        <v>145</v>
      </c>
      <c r="H2287" s="18">
        <v>2.8</v>
      </c>
      <c r="I2287" s="18">
        <v>299</v>
      </c>
      <c r="J2287" s="18">
        <v>0</v>
      </c>
      <c r="K2287" s="18">
        <v>837.2</v>
      </c>
      <c r="L2287" s="18" t="s">
        <v>126</v>
      </c>
      <c r="M2287" s="18" t="s">
        <v>119</v>
      </c>
      <c r="N2287" s="28">
        <v>45593.897916666669</v>
      </c>
      <c r="O2287" s="28">
        <v>45594.581250000003</v>
      </c>
      <c r="P2287" s="18">
        <v>2.5</v>
      </c>
      <c r="Q2287" s="18" t="b">
        <f>FALSE()</f>
        <v>0</v>
      </c>
      <c r="R2287" s="18" t="b">
        <f>FALSE()</f>
        <v>0</v>
      </c>
      <c r="S2287" s="19">
        <f t="shared" si="35"/>
        <v>16.399999999999999</v>
      </c>
      <c r="T2287">
        <f>COUNTIF('👤 Customers'!$A:$A, B2287)</f>
        <v>1</v>
      </c>
      <c r="U2287">
        <f>COUNTIF('🚴 Riders'!A2286:A2346, C2287)</f>
        <v>0</v>
      </c>
      <c r="V2287">
        <f>COUNTIF('🏭 Facilities'!A2286:A2294, D2287)</f>
        <v>0</v>
      </c>
    </row>
    <row r="2288" spans="1:22">
      <c r="A2288" s="16" t="s">
        <v>5234</v>
      </c>
      <c r="B2288" s="16" t="s">
        <v>5115</v>
      </c>
      <c r="C2288" s="16" t="s">
        <v>339</v>
      </c>
      <c r="D2288" s="16" t="s">
        <v>137</v>
      </c>
      <c r="E2288" s="25">
        <v>45483</v>
      </c>
      <c r="F2288" s="16" t="s">
        <v>5235</v>
      </c>
      <c r="G2288" s="16" t="s">
        <v>132</v>
      </c>
      <c r="H2288" s="16">
        <v>2.1</v>
      </c>
      <c r="I2288" s="16">
        <v>399</v>
      </c>
      <c r="J2288" s="16">
        <v>30</v>
      </c>
      <c r="K2288" s="16">
        <v>586.53</v>
      </c>
      <c r="L2288" s="16" t="s">
        <v>126</v>
      </c>
      <c r="M2288" s="16" t="s">
        <v>119</v>
      </c>
      <c r="N2288" s="27">
        <v>45483.986111111109</v>
      </c>
      <c r="O2288" s="27">
        <v>45485.068749999999</v>
      </c>
      <c r="P2288" s="16">
        <v>4</v>
      </c>
      <c r="Q2288" s="16" t="b">
        <f>FALSE()</f>
        <v>0</v>
      </c>
      <c r="R2288" s="16" t="b">
        <f>FALSE()</f>
        <v>0</v>
      </c>
      <c r="S2288" s="17">
        <f t="shared" si="35"/>
        <v>26</v>
      </c>
      <c r="T2288">
        <f>COUNTIF('👤 Customers'!$A:$A, B2288)</f>
        <v>1</v>
      </c>
      <c r="U2288">
        <f>COUNTIF('🚴 Riders'!A2287:A2347, C2288)</f>
        <v>0</v>
      </c>
      <c r="V2288">
        <f>COUNTIF('🏭 Facilities'!A2287:A2295, D2288)</f>
        <v>0</v>
      </c>
    </row>
    <row r="2289" spans="1:22">
      <c r="A2289" s="18" t="s">
        <v>5236</v>
      </c>
      <c r="B2289" s="18" t="s">
        <v>209</v>
      </c>
      <c r="C2289" s="18" t="s">
        <v>343</v>
      </c>
      <c r="D2289" s="18" t="s">
        <v>130</v>
      </c>
      <c r="E2289" s="26">
        <v>45318</v>
      </c>
      <c r="F2289" s="18" t="s">
        <v>4199</v>
      </c>
      <c r="G2289" s="18" t="s">
        <v>145</v>
      </c>
      <c r="H2289" s="18">
        <v>7.1</v>
      </c>
      <c r="I2289" s="18">
        <v>299</v>
      </c>
      <c r="J2289" s="18">
        <v>0</v>
      </c>
      <c r="K2289" s="18">
        <v>2122.9</v>
      </c>
      <c r="L2289" s="18" t="s">
        <v>146</v>
      </c>
      <c r="M2289" s="18" t="s">
        <v>119</v>
      </c>
      <c r="N2289" s="28">
        <v>45318.138888888891</v>
      </c>
      <c r="O2289" s="28">
        <v>45318.663888888892</v>
      </c>
      <c r="P2289" s="18">
        <v>3</v>
      </c>
      <c r="Q2289" s="18" t="b">
        <f>FALSE()</f>
        <v>0</v>
      </c>
      <c r="R2289" s="18" t="b">
        <f>FALSE()</f>
        <v>0</v>
      </c>
      <c r="S2289" s="19">
        <f t="shared" si="35"/>
        <v>12.6</v>
      </c>
      <c r="T2289">
        <f>COUNTIF('👤 Customers'!$A:$A, B2289)</f>
        <v>1</v>
      </c>
      <c r="U2289">
        <f>COUNTIF('🚴 Riders'!A2288:A2348, C2289)</f>
        <v>0</v>
      </c>
      <c r="V2289">
        <f>COUNTIF('🏭 Facilities'!A2288:A2296, D2289)</f>
        <v>0</v>
      </c>
    </row>
    <row r="2290" spans="1:22">
      <c r="A2290" s="16" t="s">
        <v>5237</v>
      </c>
      <c r="B2290" s="16" t="s">
        <v>1162</v>
      </c>
      <c r="C2290" s="16" t="s">
        <v>354</v>
      </c>
      <c r="D2290" s="16" t="s">
        <v>158</v>
      </c>
      <c r="E2290" s="25">
        <v>45487</v>
      </c>
      <c r="F2290" s="16" t="s">
        <v>5238</v>
      </c>
      <c r="G2290" s="16" t="s">
        <v>117</v>
      </c>
      <c r="H2290" s="16">
        <v>5.5</v>
      </c>
      <c r="I2290" s="16">
        <v>149</v>
      </c>
      <c r="J2290" s="16">
        <v>30</v>
      </c>
      <c r="K2290" s="16">
        <v>573.65</v>
      </c>
      <c r="L2290" s="16" t="s">
        <v>126</v>
      </c>
      <c r="M2290" s="16" t="s">
        <v>119</v>
      </c>
      <c r="N2290" s="27">
        <v>45487.837500000001</v>
      </c>
      <c r="O2290" s="27">
        <v>45488.629166666666</v>
      </c>
      <c r="P2290" s="16">
        <v>4.7</v>
      </c>
      <c r="Q2290" s="16" t="b">
        <f>FALSE()</f>
        <v>0</v>
      </c>
      <c r="R2290" s="16" t="b">
        <f>FALSE()</f>
        <v>0</v>
      </c>
      <c r="S2290" s="17">
        <f t="shared" si="35"/>
        <v>19</v>
      </c>
      <c r="T2290">
        <f>COUNTIF('👤 Customers'!$A:$A, B2290)</f>
        <v>1</v>
      </c>
      <c r="U2290">
        <f>COUNTIF('🚴 Riders'!A2289:A2349, C2290)</f>
        <v>0</v>
      </c>
      <c r="V2290">
        <f>COUNTIF('🏭 Facilities'!A2289:A2297, D2290)</f>
        <v>0</v>
      </c>
    </row>
    <row r="2291" spans="1:22">
      <c r="A2291" s="18" t="s">
        <v>5239</v>
      </c>
      <c r="B2291" s="18" t="s">
        <v>1452</v>
      </c>
      <c r="C2291" s="18" t="s">
        <v>220</v>
      </c>
      <c r="D2291" s="18" t="s">
        <v>197</v>
      </c>
      <c r="E2291" s="26">
        <v>45000</v>
      </c>
      <c r="F2291" s="18" t="s">
        <v>5240</v>
      </c>
      <c r="G2291" s="18" t="s">
        <v>132</v>
      </c>
      <c r="H2291" s="18">
        <v>2.4</v>
      </c>
      <c r="I2291" s="18">
        <v>399</v>
      </c>
      <c r="J2291" s="18">
        <v>10</v>
      </c>
      <c r="K2291" s="18">
        <v>861.84</v>
      </c>
      <c r="L2291" s="18" t="s">
        <v>126</v>
      </c>
      <c r="M2291" s="18" t="s">
        <v>119</v>
      </c>
      <c r="N2291" s="28">
        <v>45000.451388888891</v>
      </c>
      <c r="O2291" s="28">
        <v>45001.065972222219</v>
      </c>
      <c r="P2291" s="18">
        <v>4.9000000000000004</v>
      </c>
      <c r="Q2291" s="18" t="b">
        <f>FALSE()</f>
        <v>0</v>
      </c>
      <c r="R2291" s="18" t="b">
        <f>FALSE()</f>
        <v>0</v>
      </c>
      <c r="S2291" s="19">
        <f t="shared" si="35"/>
        <v>14.7</v>
      </c>
      <c r="T2291">
        <f>COUNTIF('👤 Customers'!$A:$A, B2291)</f>
        <v>1</v>
      </c>
      <c r="U2291">
        <f>COUNTIF('🚴 Riders'!A2290:A2350, C2291)</f>
        <v>0</v>
      </c>
      <c r="V2291">
        <f>COUNTIF('🏭 Facilities'!A2290:A2298, D2291)</f>
        <v>0</v>
      </c>
    </row>
    <row r="2292" spans="1:22">
      <c r="A2292" s="16" t="s">
        <v>5241</v>
      </c>
      <c r="B2292" s="16" t="s">
        <v>743</v>
      </c>
      <c r="C2292" s="16" t="s">
        <v>251</v>
      </c>
      <c r="D2292" s="16" t="s">
        <v>197</v>
      </c>
      <c r="E2292" s="25">
        <v>45547</v>
      </c>
      <c r="F2292" s="16" t="s">
        <v>5242</v>
      </c>
      <c r="G2292" s="16" t="s">
        <v>145</v>
      </c>
      <c r="H2292" s="16">
        <v>3.5</v>
      </c>
      <c r="I2292" s="16">
        <v>299</v>
      </c>
      <c r="J2292" s="16">
        <v>0</v>
      </c>
      <c r="K2292" s="16">
        <v>1046.5</v>
      </c>
      <c r="L2292" s="16" t="s">
        <v>139</v>
      </c>
      <c r="M2292" s="16" t="s">
        <v>119</v>
      </c>
      <c r="N2292" s="27">
        <v>45547.134027777778</v>
      </c>
      <c r="O2292" s="27">
        <v>45547.479861111111</v>
      </c>
      <c r="P2292" s="16">
        <v>4.4000000000000004</v>
      </c>
      <c r="Q2292" s="16" t="b">
        <f>TRUE()</f>
        <v>1</v>
      </c>
      <c r="R2292" s="16" t="b">
        <f>FALSE()</f>
        <v>0</v>
      </c>
      <c r="S2292" s="17">
        <f t="shared" si="35"/>
        <v>8.3000000000000007</v>
      </c>
      <c r="T2292">
        <f>COUNTIF('👤 Customers'!$A:$A, B2292)</f>
        <v>1</v>
      </c>
      <c r="U2292">
        <f>COUNTIF('🚴 Riders'!A2291:A2351, C2292)</f>
        <v>0</v>
      </c>
      <c r="V2292">
        <f>COUNTIF('🏭 Facilities'!A2291:A2299, D2292)</f>
        <v>0</v>
      </c>
    </row>
    <row r="2293" spans="1:22">
      <c r="A2293" s="18" t="s">
        <v>5243</v>
      </c>
      <c r="B2293" s="18" t="s">
        <v>1282</v>
      </c>
      <c r="C2293" s="18" t="s">
        <v>265</v>
      </c>
      <c r="D2293" s="18" t="s">
        <v>205</v>
      </c>
      <c r="E2293" s="26">
        <v>45490</v>
      </c>
      <c r="F2293" s="18" t="s">
        <v>5244</v>
      </c>
      <c r="G2293" s="18" t="s">
        <v>132</v>
      </c>
      <c r="H2293" s="18">
        <v>6.5</v>
      </c>
      <c r="I2293" s="18">
        <v>399</v>
      </c>
      <c r="J2293" s="18">
        <v>0</v>
      </c>
      <c r="K2293" s="18">
        <v>2593.5</v>
      </c>
      <c r="L2293" s="18" t="s">
        <v>146</v>
      </c>
      <c r="M2293" s="18" t="s">
        <v>133</v>
      </c>
      <c r="N2293" s="20"/>
      <c r="O2293" s="20"/>
      <c r="P2293" s="20"/>
      <c r="Q2293" s="18" t="b">
        <f>FALSE()</f>
        <v>0</v>
      </c>
      <c r="R2293" s="18" t="b">
        <f>FALSE()</f>
        <v>0</v>
      </c>
      <c r="S2293" s="19" t="str">
        <f t="shared" si="35"/>
        <v>N/A</v>
      </c>
      <c r="T2293">
        <f>COUNTIF('👤 Customers'!$A:$A, B2293)</f>
        <v>1</v>
      </c>
      <c r="U2293">
        <f>COUNTIF('🚴 Riders'!A2292:A2352, C2293)</f>
        <v>0</v>
      </c>
      <c r="V2293">
        <f>COUNTIF('🏭 Facilities'!A2292:A2300, D2293)</f>
        <v>0</v>
      </c>
    </row>
    <row r="2294" spans="1:22">
      <c r="A2294" s="16" t="s">
        <v>5245</v>
      </c>
      <c r="B2294" s="16" t="s">
        <v>1466</v>
      </c>
      <c r="C2294" s="16" t="s">
        <v>350</v>
      </c>
      <c r="D2294" s="16" t="s">
        <v>158</v>
      </c>
      <c r="E2294" s="25">
        <v>45371</v>
      </c>
      <c r="F2294" s="16" t="s">
        <v>5246</v>
      </c>
      <c r="G2294" s="16" t="s">
        <v>117</v>
      </c>
      <c r="H2294" s="16">
        <v>2.2000000000000002</v>
      </c>
      <c r="I2294" s="16">
        <v>149</v>
      </c>
      <c r="J2294" s="16">
        <v>10</v>
      </c>
      <c r="K2294" s="16">
        <v>295.02</v>
      </c>
      <c r="L2294" s="16" t="s">
        <v>207</v>
      </c>
      <c r="M2294" s="16" t="s">
        <v>119</v>
      </c>
      <c r="N2294" s="27">
        <v>45371.945833333331</v>
      </c>
      <c r="O2294" s="27">
        <v>45372.394444444442</v>
      </c>
      <c r="P2294" s="16">
        <v>4.8</v>
      </c>
      <c r="Q2294" s="16" t="b">
        <f>FALSE()</f>
        <v>0</v>
      </c>
      <c r="R2294" s="16" t="b">
        <f>FALSE()</f>
        <v>0</v>
      </c>
      <c r="S2294" s="17">
        <f t="shared" si="35"/>
        <v>10.8</v>
      </c>
      <c r="T2294">
        <f>COUNTIF('👤 Customers'!$A:$A, B2294)</f>
        <v>1</v>
      </c>
      <c r="U2294">
        <f>COUNTIF('🚴 Riders'!A2293:A2353, C2294)</f>
        <v>0</v>
      </c>
      <c r="V2294">
        <f>COUNTIF('🏭 Facilities'!A2293:A2301, D2294)</f>
        <v>0</v>
      </c>
    </row>
    <row r="2295" spans="1:22">
      <c r="A2295" s="18" t="s">
        <v>5247</v>
      </c>
      <c r="B2295" s="18" t="s">
        <v>2858</v>
      </c>
      <c r="C2295" s="18" t="s">
        <v>136</v>
      </c>
      <c r="D2295" s="18" t="s">
        <v>158</v>
      </c>
      <c r="E2295" s="26">
        <v>45064</v>
      </c>
      <c r="F2295" s="18" t="s">
        <v>5248</v>
      </c>
      <c r="G2295" s="18" t="s">
        <v>145</v>
      </c>
      <c r="H2295" s="18">
        <v>3.8</v>
      </c>
      <c r="I2295" s="18">
        <v>299</v>
      </c>
      <c r="J2295" s="18">
        <v>0</v>
      </c>
      <c r="K2295" s="18">
        <v>1136.2</v>
      </c>
      <c r="L2295" s="18" t="s">
        <v>126</v>
      </c>
      <c r="M2295" s="18" t="s">
        <v>119</v>
      </c>
      <c r="N2295" s="28">
        <v>45064.776388888888</v>
      </c>
      <c r="O2295" s="28">
        <v>45065.36041666667</v>
      </c>
      <c r="P2295" s="18">
        <v>3</v>
      </c>
      <c r="Q2295" s="18" t="b">
        <f>FALSE()</f>
        <v>0</v>
      </c>
      <c r="R2295" s="18" t="b">
        <f>TRUE()</f>
        <v>1</v>
      </c>
      <c r="S2295" s="19">
        <f t="shared" si="35"/>
        <v>14</v>
      </c>
      <c r="T2295">
        <f>COUNTIF('👤 Customers'!$A:$A, B2295)</f>
        <v>1</v>
      </c>
      <c r="U2295">
        <f>COUNTIF('🚴 Riders'!A2294:A2354, C2295)</f>
        <v>0</v>
      </c>
      <c r="V2295">
        <f>COUNTIF('🏭 Facilities'!A2294:A2302, D2295)</f>
        <v>0</v>
      </c>
    </row>
    <row r="2296" spans="1:22">
      <c r="A2296" s="16" t="s">
        <v>5249</v>
      </c>
      <c r="B2296" s="16" t="s">
        <v>1612</v>
      </c>
      <c r="C2296" s="16" t="s">
        <v>536</v>
      </c>
      <c r="D2296" s="16" t="s">
        <v>158</v>
      </c>
      <c r="E2296" s="25">
        <v>45126</v>
      </c>
      <c r="F2296" s="16" t="s">
        <v>5250</v>
      </c>
      <c r="G2296" s="16" t="s">
        <v>176</v>
      </c>
      <c r="H2296" s="16">
        <v>1.5</v>
      </c>
      <c r="I2296" s="16">
        <v>599</v>
      </c>
      <c r="J2296" s="16">
        <v>0</v>
      </c>
      <c r="K2296" s="16">
        <v>898.5</v>
      </c>
      <c r="L2296" s="16" t="s">
        <v>139</v>
      </c>
      <c r="M2296" s="16" t="s">
        <v>133</v>
      </c>
      <c r="N2296" s="20"/>
      <c r="O2296" s="20"/>
      <c r="P2296" s="20"/>
      <c r="Q2296" s="16" t="b">
        <f>FALSE()</f>
        <v>0</v>
      </c>
      <c r="R2296" s="16" t="b">
        <f>TRUE()</f>
        <v>1</v>
      </c>
      <c r="S2296" s="17" t="str">
        <f t="shared" si="35"/>
        <v>N/A</v>
      </c>
      <c r="T2296">
        <f>COUNTIF('👤 Customers'!$A:$A, B2296)</f>
        <v>1</v>
      </c>
      <c r="U2296">
        <f>COUNTIF('🚴 Riders'!A2295:A2355, C2296)</f>
        <v>0</v>
      </c>
      <c r="V2296">
        <f>COUNTIF('🏭 Facilities'!A2295:A2303, D2296)</f>
        <v>0</v>
      </c>
    </row>
    <row r="2297" spans="1:22">
      <c r="A2297" s="18" t="s">
        <v>5251</v>
      </c>
      <c r="B2297" s="18" t="s">
        <v>239</v>
      </c>
      <c r="C2297" s="18" t="s">
        <v>300</v>
      </c>
      <c r="D2297" s="18" t="s">
        <v>130</v>
      </c>
      <c r="E2297" s="26">
        <v>45399</v>
      </c>
      <c r="F2297" s="18" t="s">
        <v>5252</v>
      </c>
      <c r="G2297" s="18" t="s">
        <v>176</v>
      </c>
      <c r="H2297" s="18">
        <v>1.1000000000000001</v>
      </c>
      <c r="I2297" s="18">
        <v>599</v>
      </c>
      <c r="J2297" s="18">
        <v>20</v>
      </c>
      <c r="K2297" s="18">
        <v>527.12</v>
      </c>
      <c r="L2297" s="18" t="s">
        <v>146</v>
      </c>
      <c r="M2297" s="18" t="s">
        <v>119</v>
      </c>
      <c r="N2297" s="28">
        <v>45399.134027777778</v>
      </c>
      <c r="O2297" s="28">
        <v>45400.077777777777</v>
      </c>
      <c r="P2297" s="18">
        <v>2.8</v>
      </c>
      <c r="Q2297" s="18" t="b">
        <f>FALSE()</f>
        <v>0</v>
      </c>
      <c r="R2297" s="18" t="b">
        <f>FALSE()</f>
        <v>0</v>
      </c>
      <c r="S2297" s="19">
        <f t="shared" si="35"/>
        <v>22.6</v>
      </c>
      <c r="T2297">
        <f>COUNTIF('👤 Customers'!$A:$A, B2297)</f>
        <v>1</v>
      </c>
      <c r="U2297">
        <f>COUNTIF('🚴 Riders'!A2296:A2356, C2297)</f>
        <v>0</v>
      </c>
      <c r="V2297">
        <f>COUNTIF('🏭 Facilities'!A2296:A2304, D2297)</f>
        <v>0</v>
      </c>
    </row>
    <row r="2298" spans="1:22">
      <c r="A2298" s="16" t="s">
        <v>5253</v>
      </c>
      <c r="B2298" s="16" t="s">
        <v>3585</v>
      </c>
      <c r="C2298" s="16" t="s">
        <v>287</v>
      </c>
      <c r="D2298" s="16" t="s">
        <v>184</v>
      </c>
      <c r="E2298" s="25">
        <v>45166</v>
      </c>
      <c r="F2298" s="16" t="s">
        <v>5254</v>
      </c>
      <c r="G2298" s="16" t="s">
        <v>117</v>
      </c>
      <c r="H2298" s="16">
        <v>2.2999999999999998</v>
      </c>
      <c r="I2298" s="16">
        <v>149</v>
      </c>
      <c r="J2298" s="16">
        <v>0</v>
      </c>
      <c r="K2298" s="16">
        <v>342.7</v>
      </c>
      <c r="L2298" s="16" t="s">
        <v>126</v>
      </c>
      <c r="M2298" s="16" t="s">
        <v>119</v>
      </c>
      <c r="N2298" s="27">
        <v>45166.182638888888</v>
      </c>
      <c r="O2298" s="27">
        <v>45166.597222222219</v>
      </c>
      <c r="P2298" s="16">
        <v>2.5</v>
      </c>
      <c r="Q2298" s="16" t="b">
        <f>FALSE()</f>
        <v>0</v>
      </c>
      <c r="R2298" s="16" t="b">
        <f>FALSE()</f>
        <v>0</v>
      </c>
      <c r="S2298" s="17">
        <f t="shared" si="35"/>
        <v>9.9</v>
      </c>
      <c r="T2298">
        <f>COUNTIF('👤 Customers'!$A:$A, B2298)</f>
        <v>1</v>
      </c>
      <c r="U2298">
        <f>COUNTIF('🚴 Riders'!A2297:A2357, C2298)</f>
        <v>0</v>
      </c>
      <c r="V2298">
        <f>COUNTIF('🏭 Facilities'!A2297:A2305, D2298)</f>
        <v>0</v>
      </c>
    </row>
    <row r="2299" spans="1:22">
      <c r="A2299" s="18" t="s">
        <v>5255</v>
      </c>
      <c r="B2299" s="18" t="s">
        <v>586</v>
      </c>
      <c r="C2299" s="18" t="s">
        <v>461</v>
      </c>
      <c r="D2299" s="18" t="s">
        <v>197</v>
      </c>
      <c r="E2299" s="26">
        <v>45002</v>
      </c>
      <c r="F2299" s="18" t="s">
        <v>5256</v>
      </c>
      <c r="G2299" s="18" t="s">
        <v>145</v>
      </c>
      <c r="H2299" s="18">
        <v>6.4</v>
      </c>
      <c r="I2299" s="18">
        <v>299</v>
      </c>
      <c r="J2299" s="18">
        <v>20</v>
      </c>
      <c r="K2299" s="18">
        <v>1530.88</v>
      </c>
      <c r="L2299" s="18" t="s">
        <v>118</v>
      </c>
      <c r="M2299" s="18" t="s">
        <v>119</v>
      </c>
      <c r="N2299" s="28">
        <v>45002.676388888889</v>
      </c>
      <c r="O2299" s="28">
        <v>45003.49722222222</v>
      </c>
      <c r="P2299" s="18">
        <v>5</v>
      </c>
      <c r="Q2299" s="18" t="b">
        <f>FALSE()</f>
        <v>0</v>
      </c>
      <c r="R2299" s="18" t="b">
        <f>FALSE()</f>
        <v>0</v>
      </c>
      <c r="S2299" s="19">
        <f t="shared" si="35"/>
        <v>19.7</v>
      </c>
      <c r="T2299">
        <f>COUNTIF('👤 Customers'!$A:$A, B2299)</f>
        <v>1</v>
      </c>
      <c r="U2299">
        <f>COUNTIF('🚴 Riders'!A2298:A2358, C2299)</f>
        <v>0</v>
      </c>
      <c r="V2299">
        <f>COUNTIF('🏭 Facilities'!A2298:A2306, D2299)</f>
        <v>0</v>
      </c>
    </row>
    <row r="2300" spans="1:22">
      <c r="A2300" s="16" t="s">
        <v>5257</v>
      </c>
      <c r="B2300" s="16" t="s">
        <v>1348</v>
      </c>
      <c r="C2300" s="16" t="s">
        <v>122</v>
      </c>
      <c r="D2300" s="16" t="s">
        <v>158</v>
      </c>
      <c r="E2300" s="25">
        <v>45643</v>
      </c>
      <c r="F2300" s="16" t="s">
        <v>5258</v>
      </c>
      <c r="G2300" s="16" t="s">
        <v>125</v>
      </c>
      <c r="H2300" s="16">
        <v>3.7</v>
      </c>
      <c r="I2300" s="16">
        <v>199</v>
      </c>
      <c r="J2300" s="16">
        <v>10</v>
      </c>
      <c r="K2300" s="16">
        <v>662.67</v>
      </c>
      <c r="L2300" s="16" t="s">
        <v>126</v>
      </c>
      <c r="M2300" s="16" t="s">
        <v>133</v>
      </c>
      <c r="N2300" s="20"/>
      <c r="O2300" s="20"/>
      <c r="P2300" s="20"/>
      <c r="Q2300" s="16" t="b">
        <f>TRUE()</f>
        <v>1</v>
      </c>
      <c r="R2300" s="16" t="b">
        <f>TRUE()</f>
        <v>1</v>
      </c>
      <c r="S2300" s="17" t="str">
        <f t="shared" si="35"/>
        <v>N/A</v>
      </c>
      <c r="T2300">
        <f>COUNTIF('👤 Customers'!$A:$A, B2300)</f>
        <v>1</v>
      </c>
      <c r="U2300">
        <f>COUNTIF('🚴 Riders'!A2299:A2359, C2300)</f>
        <v>0</v>
      </c>
      <c r="V2300">
        <f>COUNTIF('🏭 Facilities'!A2299:A2307, D2300)</f>
        <v>0</v>
      </c>
    </row>
    <row r="2301" spans="1:22">
      <c r="A2301" s="18" t="s">
        <v>5259</v>
      </c>
      <c r="B2301" s="18" t="s">
        <v>814</v>
      </c>
      <c r="C2301" s="18" t="s">
        <v>483</v>
      </c>
      <c r="D2301" s="18" t="s">
        <v>115</v>
      </c>
      <c r="E2301" s="26">
        <v>45077</v>
      </c>
      <c r="F2301" s="18" t="s">
        <v>5260</v>
      </c>
      <c r="G2301" s="18" t="s">
        <v>145</v>
      </c>
      <c r="H2301" s="18">
        <v>2.2999999999999998</v>
      </c>
      <c r="I2301" s="18">
        <v>299</v>
      </c>
      <c r="J2301" s="18">
        <v>0</v>
      </c>
      <c r="K2301" s="18">
        <v>687.7</v>
      </c>
      <c r="L2301" s="18" t="s">
        <v>207</v>
      </c>
      <c r="M2301" s="18" t="s">
        <v>140</v>
      </c>
      <c r="N2301" s="28">
        <v>45077.474999999999</v>
      </c>
      <c r="O2301" s="28">
        <v>45078.106249999997</v>
      </c>
      <c r="P2301" s="20"/>
      <c r="Q2301" s="18" t="b">
        <f>FALSE()</f>
        <v>0</v>
      </c>
      <c r="R2301" s="18" t="b">
        <f>FALSE()</f>
        <v>0</v>
      </c>
      <c r="S2301" s="19">
        <f t="shared" si="35"/>
        <v>15.1</v>
      </c>
      <c r="T2301">
        <f>COUNTIF('👤 Customers'!$A:$A, B2301)</f>
        <v>1</v>
      </c>
      <c r="U2301">
        <f>COUNTIF('🚴 Riders'!A2300:A2360, C2301)</f>
        <v>0</v>
      </c>
      <c r="V2301">
        <f>COUNTIF('🏭 Facilities'!A2300:A2308, D2301)</f>
        <v>0</v>
      </c>
    </row>
    <row r="2302" spans="1:22">
      <c r="A2302" s="16" t="s">
        <v>5261</v>
      </c>
      <c r="B2302" s="16" t="s">
        <v>3000</v>
      </c>
      <c r="C2302" s="16" t="s">
        <v>315</v>
      </c>
      <c r="D2302" s="16" t="s">
        <v>115</v>
      </c>
      <c r="E2302" s="25">
        <v>45408</v>
      </c>
      <c r="F2302" s="16" t="s">
        <v>5262</v>
      </c>
      <c r="G2302" s="16" t="s">
        <v>145</v>
      </c>
      <c r="H2302" s="16">
        <v>1.7</v>
      </c>
      <c r="I2302" s="16">
        <v>299</v>
      </c>
      <c r="J2302" s="16">
        <v>20</v>
      </c>
      <c r="K2302" s="16">
        <v>406.64</v>
      </c>
      <c r="L2302" s="16" t="s">
        <v>139</v>
      </c>
      <c r="M2302" s="16" t="s">
        <v>140</v>
      </c>
      <c r="N2302" s="27">
        <v>45408.990972222222</v>
      </c>
      <c r="O2302" s="27">
        <v>45410.006249999999</v>
      </c>
      <c r="P2302" s="20"/>
      <c r="Q2302" s="16" t="b">
        <f>TRUE()</f>
        <v>1</v>
      </c>
      <c r="R2302" s="16" t="b">
        <f>TRUE()</f>
        <v>1</v>
      </c>
      <c r="S2302" s="17">
        <f t="shared" si="35"/>
        <v>24.4</v>
      </c>
      <c r="T2302">
        <f>COUNTIF('👤 Customers'!$A:$A, B2302)</f>
        <v>1</v>
      </c>
      <c r="U2302">
        <f>COUNTIF('🚴 Riders'!A2301:A2361, C2302)</f>
        <v>0</v>
      </c>
      <c r="V2302">
        <f>COUNTIF('🏭 Facilities'!A2301:A2309, D2302)</f>
        <v>0</v>
      </c>
    </row>
    <row r="2303" spans="1:22">
      <c r="A2303" s="18" t="s">
        <v>5263</v>
      </c>
      <c r="B2303" s="18" t="s">
        <v>2995</v>
      </c>
      <c r="C2303" s="18" t="s">
        <v>563</v>
      </c>
      <c r="D2303" s="18" t="s">
        <v>158</v>
      </c>
      <c r="E2303" s="26">
        <v>45187</v>
      </c>
      <c r="F2303" s="18" t="s">
        <v>5264</v>
      </c>
      <c r="G2303" s="18" t="s">
        <v>117</v>
      </c>
      <c r="H2303" s="18">
        <v>5.7</v>
      </c>
      <c r="I2303" s="18">
        <v>149</v>
      </c>
      <c r="J2303" s="18">
        <v>0</v>
      </c>
      <c r="K2303" s="18">
        <v>849.3</v>
      </c>
      <c r="L2303" s="18" t="s">
        <v>126</v>
      </c>
      <c r="M2303" s="18" t="s">
        <v>119</v>
      </c>
      <c r="N2303" s="28">
        <v>45187.820833333331</v>
      </c>
      <c r="O2303" s="28">
        <v>45188.334027777775</v>
      </c>
      <c r="P2303" s="18">
        <v>4.5</v>
      </c>
      <c r="Q2303" s="18" t="b">
        <f>FALSE()</f>
        <v>0</v>
      </c>
      <c r="R2303" s="18" t="b">
        <f>FALSE()</f>
        <v>0</v>
      </c>
      <c r="S2303" s="19">
        <f t="shared" si="35"/>
        <v>12.3</v>
      </c>
      <c r="T2303">
        <f>COUNTIF('👤 Customers'!$A:$A, B2303)</f>
        <v>1</v>
      </c>
      <c r="U2303">
        <f>COUNTIF('🚴 Riders'!A2302:A2362, C2303)</f>
        <v>0</v>
      </c>
      <c r="V2303">
        <f>COUNTIF('🏭 Facilities'!A2302:A2310, D2303)</f>
        <v>0</v>
      </c>
    </row>
    <row r="2304" spans="1:22">
      <c r="A2304" s="16" t="s">
        <v>5265</v>
      </c>
      <c r="B2304" s="16" t="s">
        <v>1111</v>
      </c>
      <c r="C2304" s="16" t="s">
        <v>196</v>
      </c>
      <c r="D2304" s="16" t="s">
        <v>205</v>
      </c>
      <c r="E2304" s="25">
        <v>45242</v>
      </c>
      <c r="F2304" s="16" t="s">
        <v>5266</v>
      </c>
      <c r="G2304" s="16" t="s">
        <v>176</v>
      </c>
      <c r="H2304" s="16">
        <v>4.9000000000000004</v>
      </c>
      <c r="I2304" s="16">
        <v>599</v>
      </c>
      <c r="J2304" s="16">
        <v>0</v>
      </c>
      <c r="K2304" s="16">
        <v>2935.1</v>
      </c>
      <c r="L2304" s="16" t="s">
        <v>146</v>
      </c>
      <c r="M2304" s="16" t="s">
        <v>140</v>
      </c>
      <c r="N2304" s="27">
        <v>45242.70416666667</v>
      </c>
      <c r="O2304" s="27">
        <v>45243.315972222219</v>
      </c>
      <c r="P2304" s="20"/>
      <c r="Q2304" s="16" t="b">
        <f>FALSE()</f>
        <v>0</v>
      </c>
      <c r="R2304" s="16" t="b">
        <f>FALSE()</f>
        <v>0</v>
      </c>
      <c r="S2304" s="17">
        <f t="shared" si="35"/>
        <v>14.7</v>
      </c>
      <c r="T2304">
        <f>COUNTIF('👤 Customers'!$A:$A, B2304)</f>
        <v>1</v>
      </c>
      <c r="U2304">
        <f>COUNTIF('🚴 Riders'!A2303:A2363, C2304)</f>
        <v>0</v>
      </c>
      <c r="V2304">
        <f>COUNTIF('🏭 Facilities'!A2303:A2311, D2304)</f>
        <v>0</v>
      </c>
    </row>
    <row r="2305" spans="1:22">
      <c r="A2305" s="18" t="s">
        <v>5267</v>
      </c>
      <c r="B2305" s="18" t="s">
        <v>2549</v>
      </c>
      <c r="C2305" s="18" t="s">
        <v>350</v>
      </c>
      <c r="D2305" s="18" t="s">
        <v>158</v>
      </c>
      <c r="E2305" s="26">
        <v>45316</v>
      </c>
      <c r="F2305" s="18" t="s">
        <v>5268</v>
      </c>
      <c r="G2305" s="18" t="s">
        <v>145</v>
      </c>
      <c r="H2305" s="18">
        <v>7.9</v>
      </c>
      <c r="I2305" s="18">
        <v>299</v>
      </c>
      <c r="J2305" s="18">
        <v>0</v>
      </c>
      <c r="K2305" s="18">
        <v>2362.1</v>
      </c>
      <c r="L2305" s="18" t="s">
        <v>118</v>
      </c>
      <c r="M2305" s="18" t="s">
        <v>133</v>
      </c>
      <c r="N2305" s="20"/>
      <c r="O2305" s="20"/>
      <c r="P2305" s="20"/>
      <c r="Q2305" s="18" t="b">
        <f>FALSE()</f>
        <v>0</v>
      </c>
      <c r="R2305" s="18" t="b">
        <f>FALSE()</f>
        <v>0</v>
      </c>
      <c r="S2305" s="19" t="str">
        <f t="shared" si="35"/>
        <v>N/A</v>
      </c>
      <c r="T2305">
        <f>COUNTIF('👤 Customers'!$A:$A, B2305)</f>
        <v>1</v>
      </c>
      <c r="U2305">
        <f>COUNTIF('🚴 Riders'!A2304:A2364, C2305)</f>
        <v>0</v>
      </c>
      <c r="V2305">
        <f>COUNTIF('🏭 Facilities'!A2304:A2312, D2305)</f>
        <v>0</v>
      </c>
    </row>
    <row r="2306" spans="1:22">
      <c r="A2306" s="16" t="s">
        <v>5269</v>
      </c>
      <c r="B2306" s="16" t="s">
        <v>1120</v>
      </c>
      <c r="C2306" s="16" t="s">
        <v>287</v>
      </c>
      <c r="D2306" s="16" t="s">
        <v>158</v>
      </c>
      <c r="E2306" s="25">
        <v>45057</v>
      </c>
      <c r="F2306" s="16" t="s">
        <v>5270</v>
      </c>
      <c r="G2306" s="16" t="s">
        <v>145</v>
      </c>
      <c r="H2306" s="16">
        <v>2.4</v>
      </c>
      <c r="I2306" s="16">
        <v>299</v>
      </c>
      <c r="J2306" s="16">
        <v>0</v>
      </c>
      <c r="K2306" s="16">
        <v>717.6</v>
      </c>
      <c r="L2306" s="16" t="s">
        <v>118</v>
      </c>
      <c r="M2306" s="16" t="s">
        <v>119</v>
      </c>
      <c r="N2306" s="27">
        <v>45057.773611111108</v>
      </c>
      <c r="O2306" s="27">
        <v>45058.793055555558</v>
      </c>
      <c r="P2306" s="16">
        <v>4.3</v>
      </c>
      <c r="Q2306" s="16" t="b">
        <f>FALSE()</f>
        <v>0</v>
      </c>
      <c r="R2306" s="16" t="b">
        <f>FALSE()</f>
        <v>0</v>
      </c>
      <c r="S2306" s="17">
        <f t="shared" ref="S2306:S2369" si="36">IF(OR(N2306="",O2306=""),"N/A",ROUND(((O2306-N2306)*24),1))</f>
        <v>24.5</v>
      </c>
      <c r="T2306">
        <f>COUNTIF('👤 Customers'!$A:$A, B2306)</f>
        <v>1</v>
      </c>
      <c r="U2306">
        <f>COUNTIF('🚴 Riders'!A2305:A2365, C2306)</f>
        <v>0</v>
      </c>
      <c r="V2306">
        <f>COUNTIF('🏭 Facilities'!A2305:A2313, D2306)</f>
        <v>0</v>
      </c>
    </row>
    <row r="2307" spans="1:22">
      <c r="A2307" s="18" t="s">
        <v>5271</v>
      </c>
      <c r="B2307" s="18" t="s">
        <v>1598</v>
      </c>
      <c r="C2307" s="18" t="s">
        <v>563</v>
      </c>
      <c r="D2307" s="18" t="s">
        <v>130</v>
      </c>
      <c r="E2307" s="26">
        <v>45227</v>
      </c>
      <c r="F2307" s="18" t="s">
        <v>5272</v>
      </c>
      <c r="G2307" s="18" t="s">
        <v>145</v>
      </c>
      <c r="H2307" s="18">
        <v>5.3</v>
      </c>
      <c r="I2307" s="18">
        <v>299</v>
      </c>
      <c r="J2307" s="18">
        <v>20</v>
      </c>
      <c r="K2307" s="18">
        <v>1267.76</v>
      </c>
      <c r="L2307" s="18" t="s">
        <v>118</v>
      </c>
      <c r="M2307" s="18" t="s">
        <v>140</v>
      </c>
      <c r="N2307" s="28">
        <v>45227.841666666667</v>
      </c>
      <c r="O2307" s="28">
        <v>45228.472222222219</v>
      </c>
      <c r="P2307" s="20"/>
      <c r="Q2307" s="18" t="b">
        <f>FALSE()</f>
        <v>0</v>
      </c>
      <c r="R2307" s="18" t="b">
        <f>FALSE()</f>
        <v>0</v>
      </c>
      <c r="S2307" s="19">
        <f t="shared" si="36"/>
        <v>15.1</v>
      </c>
      <c r="T2307">
        <f>COUNTIF('👤 Customers'!$A:$A, B2307)</f>
        <v>1</v>
      </c>
      <c r="U2307">
        <f>COUNTIF('🚴 Riders'!A2306:A2366, C2307)</f>
        <v>0</v>
      </c>
      <c r="V2307">
        <f>COUNTIF('🏭 Facilities'!A2306:A2314, D2307)</f>
        <v>0</v>
      </c>
    </row>
    <row r="2308" spans="1:22">
      <c r="A2308" s="16" t="s">
        <v>5273</v>
      </c>
      <c r="B2308" s="16" t="s">
        <v>1920</v>
      </c>
      <c r="C2308" s="16" t="s">
        <v>315</v>
      </c>
      <c r="D2308" s="16" t="s">
        <v>184</v>
      </c>
      <c r="E2308" s="25">
        <v>45597</v>
      </c>
      <c r="F2308" s="16" t="s">
        <v>5274</v>
      </c>
      <c r="G2308" s="16" t="s">
        <v>117</v>
      </c>
      <c r="H2308" s="16">
        <v>5.5</v>
      </c>
      <c r="I2308" s="16">
        <v>149</v>
      </c>
      <c r="J2308" s="16">
        <v>10</v>
      </c>
      <c r="K2308" s="16">
        <v>737.55</v>
      </c>
      <c r="L2308" s="16" t="s">
        <v>146</v>
      </c>
      <c r="M2308" s="16" t="s">
        <v>119</v>
      </c>
      <c r="N2308" s="27">
        <v>45597.784722222219</v>
      </c>
      <c r="O2308" s="27">
        <v>45598.677083333336</v>
      </c>
      <c r="P2308" s="16">
        <v>4.3</v>
      </c>
      <c r="Q2308" s="16" t="b">
        <f>FALSE()</f>
        <v>0</v>
      </c>
      <c r="R2308" s="16" t="b">
        <f>FALSE()</f>
        <v>0</v>
      </c>
      <c r="S2308" s="17">
        <f t="shared" si="36"/>
        <v>21.4</v>
      </c>
      <c r="T2308">
        <f>COUNTIF('👤 Customers'!$A:$A, B2308)</f>
        <v>1</v>
      </c>
      <c r="U2308">
        <f>COUNTIF('🚴 Riders'!A2307:A2367, C2308)</f>
        <v>0</v>
      </c>
      <c r="V2308">
        <f>COUNTIF('🏭 Facilities'!A2307:A2315, D2308)</f>
        <v>0</v>
      </c>
    </row>
    <row r="2309" spans="1:22">
      <c r="A2309" s="18" t="s">
        <v>5275</v>
      </c>
      <c r="B2309" s="18" t="s">
        <v>3512</v>
      </c>
      <c r="C2309" s="18" t="s">
        <v>240</v>
      </c>
      <c r="D2309" s="18" t="s">
        <v>205</v>
      </c>
      <c r="E2309" s="26">
        <v>45401</v>
      </c>
      <c r="F2309" s="18" t="s">
        <v>5276</v>
      </c>
      <c r="G2309" s="18" t="s">
        <v>145</v>
      </c>
      <c r="H2309" s="18">
        <v>3.2</v>
      </c>
      <c r="I2309" s="18">
        <v>299</v>
      </c>
      <c r="J2309" s="18">
        <v>0</v>
      </c>
      <c r="K2309" s="18">
        <v>956.8</v>
      </c>
      <c r="L2309" s="18" t="s">
        <v>118</v>
      </c>
      <c r="M2309" s="18" t="s">
        <v>133</v>
      </c>
      <c r="N2309" s="20"/>
      <c r="O2309" s="20"/>
      <c r="P2309" s="20"/>
      <c r="Q2309" s="18" t="b">
        <f>FALSE()</f>
        <v>0</v>
      </c>
      <c r="R2309" s="18" t="b">
        <f>FALSE()</f>
        <v>0</v>
      </c>
      <c r="S2309" s="19" t="str">
        <f t="shared" si="36"/>
        <v>N/A</v>
      </c>
      <c r="T2309">
        <f>COUNTIF('👤 Customers'!$A:$A, B2309)</f>
        <v>1</v>
      </c>
      <c r="U2309">
        <f>COUNTIF('🚴 Riders'!A2308:A2368, C2309)</f>
        <v>0</v>
      </c>
      <c r="V2309">
        <f>COUNTIF('🏭 Facilities'!A2308:A2316, D2309)</f>
        <v>0</v>
      </c>
    </row>
    <row r="2310" spans="1:22">
      <c r="A2310" s="16" t="s">
        <v>5277</v>
      </c>
      <c r="B2310" s="16" t="s">
        <v>1788</v>
      </c>
      <c r="C2310" s="16" t="s">
        <v>220</v>
      </c>
      <c r="D2310" s="16" t="s">
        <v>130</v>
      </c>
      <c r="E2310" s="25">
        <v>45527</v>
      </c>
      <c r="F2310" s="16" t="s">
        <v>5278</v>
      </c>
      <c r="G2310" s="16" t="s">
        <v>145</v>
      </c>
      <c r="H2310" s="16">
        <v>4.7</v>
      </c>
      <c r="I2310" s="16">
        <v>299</v>
      </c>
      <c r="J2310" s="16">
        <v>0</v>
      </c>
      <c r="K2310" s="16">
        <v>1405.3</v>
      </c>
      <c r="L2310" s="16" t="s">
        <v>207</v>
      </c>
      <c r="M2310" s="16" t="s">
        <v>133</v>
      </c>
      <c r="N2310" s="20"/>
      <c r="O2310" s="20"/>
      <c r="P2310" s="20"/>
      <c r="Q2310" s="16" t="b">
        <f>FALSE()</f>
        <v>0</v>
      </c>
      <c r="R2310" s="16" t="b">
        <f>TRUE()</f>
        <v>1</v>
      </c>
      <c r="S2310" s="17" t="str">
        <f t="shared" si="36"/>
        <v>N/A</v>
      </c>
      <c r="T2310">
        <f>COUNTIF('👤 Customers'!$A:$A, B2310)</f>
        <v>1</v>
      </c>
      <c r="U2310">
        <f>COUNTIF('🚴 Riders'!A2309:A2369, C2310)</f>
        <v>0</v>
      </c>
      <c r="V2310">
        <f>COUNTIF('🏭 Facilities'!A2309:A2317, D2310)</f>
        <v>0</v>
      </c>
    </row>
    <row r="2311" spans="1:22">
      <c r="A2311" s="18" t="s">
        <v>5279</v>
      </c>
      <c r="B2311" s="18" t="s">
        <v>1200</v>
      </c>
      <c r="C2311" s="18" t="s">
        <v>213</v>
      </c>
      <c r="D2311" s="18" t="s">
        <v>130</v>
      </c>
      <c r="E2311" s="26">
        <v>45243</v>
      </c>
      <c r="F2311" s="18" t="s">
        <v>5280</v>
      </c>
      <c r="G2311" s="18" t="s">
        <v>176</v>
      </c>
      <c r="H2311" s="18">
        <v>3.7</v>
      </c>
      <c r="I2311" s="18">
        <v>599</v>
      </c>
      <c r="J2311" s="18">
        <v>30</v>
      </c>
      <c r="K2311" s="18">
        <v>1551.41</v>
      </c>
      <c r="L2311" s="18" t="s">
        <v>139</v>
      </c>
      <c r="M2311" s="18" t="s">
        <v>133</v>
      </c>
      <c r="N2311" s="20"/>
      <c r="O2311" s="20"/>
      <c r="P2311" s="20"/>
      <c r="Q2311" s="18" t="b">
        <f>FALSE()</f>
        <v>0</v>
      </c>
      <c r="R2311" s="18" t="b">
        <f>FALSE()</f>
        <v>0</v>
      </c>
      <c r="S2311" s="19" t="str">
        <f t="shared" si="36"/>
        <v>N/A</v>
      </c>
      <c r="T2311">
        <f>COUNTIF('👤 Customers'!$A:$A, B2311)</f>
        <v>1</v>
      </c>
      <c r="U2311">
        <f>COUNTIF('🚴 Riders'!A2310:A2370, C2311)</f>
        <v>0</v>
      </c>
      <c r="V2311">
        <f>COUNTIF('🏭 Facilities'!A2310:A2318, D2311)</f>
        <v>0</v>
      </c>
    </row>
    <row r="2312" spans="1:22">
      <c r="A2312" s="16" t="s">
        <v>5281</v>
      </c>
      <c r="B2312" s="16" t="s">
        <v>586</v>
      </c>
      <c r="C2312" s="16" t="s">
        <v>308</v>
      </c>
      <c r="D2312" s="16" t="s">
        <v>205</v>
      </c>
      <c r="E2312" s="25">
        <v>45607</v>
      </c>
      <c r="F2312" s="16" t="s">
        <v>5282</v>
      </c>
      <c r="G2312" s="16" t="s">
        <v>117</v>
      </c>
      <c r="H2312" s="16">
        <v>1.6</v>
      </c>
      <c r="I2312" s="16">
        <v>149</v>
      </c>
      <c r="J2312" s="16">
        <v>0</v>
      </c>
      <c r="K2312" s="16">
        <v>238.4</v>
      </c>
      <c r="L2312" s="16" t="s">
        <v>126</v>
      </c>
      <c r="M2312" s="16" t="s">
        <v>119</v>
      </c>
      <c r="N2312" s="27">
        <v>45607.052777777775</v>
      </c>
      <c r="O2312" s="27">
        <v>45608.011111111111</v>
      </c>
      <c r="P2312" s="16">
        <v>2.6</v>
      </c>
      <c r="Q2312" s="16" t="b">
        <f>FALSE()</f>
        <v>0</v>
      </c>
      <c r="R2312" s="16" t="b">
        <f>TRUE()</f>
        <v>1</v>
      </c>
      <c r="S2312" s="17">
        <f t="shared" si="36"/>
        <v>23</v>
      </c>
      <c r="T2312">
        <f>COUNTIF('👤 Customers'!$A:$A, B2312)</f>
        <v>1</v>
      </c>
      <c r="U2312">
        <f>COUNTIF('🚴 Riders'!A2311:A2371, C2312)</f>
        <v>0</v>
      </c>
      <c r="V2312">
        <f>COUNTIF('🏭 Facilities'!A2311:A2319, D2312)</f>
        <v>0</v>
      </c>
    </row>
    <row r="2313" spans="1:22">
      <c r="A2313" s="18" t="s">
        <v>5283</v>
      </c>
      <c r="B2313" s="18" t="s">
        <v>893</v>
      </c>
      <c r="C2313" s="18" t="s">
        <v>354</v>
      </c>
      <c r="D2313" s="18" t="s">
        <v>115</v>
      </c>
      <c r="E2313" s="26">
        <v>45207</v>
      </c>
      <c r="F2313" s="18" t="s">
        <v>5284</v>
      </c>
      <c r="G2313" s="18" t="s">
        <v>176</v>
      </c>
      <c r="H2313" s="18">
        <v>2.6</v>
      </c>
      <c r="I2313" s="18">
        <v>599</v>
      </c>
      <c r="J2313" s="18">
        <v>0</v>
      </c>
      <c r="K2313" s="18">
        <v>1557.4</v>
      </c>
      <c r="L2313" s="18" t="s">
        <v>118</v>
      </c>
      <c r="M2313" s="18" t="s">
        <v>140</v>
      </c>
      <c r="N2313" s="28">
        <v>45207.474305555559</v>
      </c>
      <c r="O2313" s="28">
        <v>45207.995138888888</v>
      </c>
      <c r="P2313" s="20"/>
      <c r="Q2313" s="18" t="b">
        <f>FALSE()</f>
        <v>0</v>
      </c>
      <c r="R2313" s="18" t="b">
        <f>FALSE()</f>
        <v>0</v>
      </c>
      <c r="S2313" s="19">
        <f t="shared" si="36"/>
        <v>12.5</v>
      </c>
      <c r="T2313">
        <f>COUNTIF('👤 Customers'!$A:$A, B2313)</f>
        <v>1</v>
      </c>
      <c r="U2313">
        <f>COUNTIF('🚴 Riders'!A2312:A2372, C2313)</f>
        <v>0</v>
      </c>
      <c r="V2313">
        <f>COUNTIF('🏭 Facilities'!A2312:A2320, D2313)</f>
        <v>0</v>
      </c>
    </row>
    <row r="2314" spans="1:22">
      <c r="A2314" s="16" t="s">
        <v>5285</v>
      </c>
      <c r="B2314" s="16" t="s">
        <v>2247</v>
      </c>
      <c r="C2314" s="16" t="s">
        <v>232</v>
      </c>
      <c r="D2314" s="16" t="s">
        <v>115</v>
      </c>
      <c r="E2314" s="25">
        <v>45539</v>
      </c>
      <c r="F2314" s="16" t="s">
        <v>5286</v>
      </c>
      <c r="G2314" s="16" t="s">
        <v>145</v>
      </c>
      <c r="H2314" s="16">
        <v>7</v>
      </c>
      <c r="I2314" s="16">
        <v>299</v>
      </c>
      <c r="J2314" s="16">
        <v>10</v>
      </c>
      <c r="K2314" s="16">
        <v>1883.7</v>
      </c>
      <c r="L2314" s="16" t="s">
        <v>118</v>
      </c>
      <c r="M2314" s="16" t="s">
        <v>119</v>
      </c>
      <c r="N2314" s="27">
        <v>45539.640277777777</v>
      </c>
      <c r="O2314" s="27">
        <v>45540.586111111108</v>
      </c>
      <c r="P2314" s="16">
        <v>2.8</v>
      </c>
      <c r="Q2314" s="16" t="b">
        <f>FALSE()</f>
        <v>0</v>
      </c>
      <c r="R2314" s="16" t="b">
        <f>FALSE()</f>
        <v>0</v>
      </c>
      <c r="S2314" s="17">
        <f t="shared" si="36"/>
        <v>22.7</v>
      </c>
      <c r="T2314">
        <f>COUNTIF('👤 Customers'!$A:$A, B2314)</f>
        <v>1</v>
      </c>
      <c r="U2314">
        <f>COUNTIF('🚴 Riders'!A2313:A2373, C2314)</f>
        <v>0</v>
      </c>
      <c r="V2314">
        <f>COUNTIF('🏭 Facilities'!A2313:A2321, D2314)</f>
        <v>0</v>
      </c>
    </row>
    <row r="2315" spans="1:22">
      <c r="A2315" s="18" t="s">
        <v>5287</v>
      </c>
      <c r="B2315" s="18" t="s">
        <v>1067</v>
      </c>
      <c r="C2315" s="18" t="s">
        <v>122</v>
      </c>
      <c r="D2315" s="18" t="s">
        <v>115</v>
      </c>
      <c r="E2315" s="26">
        <v>45477</v>
      </c>
      <c r="F2315" s="18" t="s">
        <v>5288</v>
      </c>
      <c r="G2315" s="18" t="s">
        <v>176</v>
      </c>
      <c r="H2315" s="18">
        <v>3</v>
      </c>
      <c r="I2315" s="18">
        <v>599</v>
      </c>
      <c r="J2315" s="18">
        <v>20</v>
      </c>
      <c r="K2315" s="18">
        <v>1437.6</v>
      </c>
      <c r="L2315" s="18" t="s">
        <v>146</v>
      </c>
      <c r="M2315" s="18" t="s">
        <v>119</v>
      </c>
      <c r="N2315" s="28">
        <v>45477.621527777781</v>
      </c>
      <c r="O2315" s="28">
        <v>45477.981249999997</v>
      </c>
      <c r="P2315" s="18">
        <v>2.8</v>
      </c>
      <c r="Q2315" s="18" t="b">
        <f>FALSE()</f>
        <v>0</v>
      </c>
      <c r="R2315" s="18" t="b">
        <f>FALSE()</f>
        <v>0</v>
      </c>
      <c r="S2315" s="19">
        <f t="shared" si="36"/>
        <v>8.6</v>
      </c>
      <c r="T2315">
        <f>COUNTIF('👤 Customers'!$A:$A, B2315)</f>
        <v>1</v>
      </c>
      <c r="U2315">
        <f>COUNTIF('🚴 Riders'!A2314:A2374, C2315)</f>
        <v>0</v>
      </c>
      <c r="V2315">
        <f>COUNTIF('🏭 Facilities'!A2314:A2322, D2315)</f>
        <v>0</v>
      </c>
    </row>
    <row r="2316" spans="1:22">
      <c r="A2316" s="16" t="s">
        <v>5289</v>
      </c>
      <c r="B2316" s="16" t="s">
        <v>3000</v>
      </c>
      <c r="C2316" s="16" t="s">
        <v>129</v>
      </c>
      <c r="D2316" s="16" t="s">
        <v>184</v>
      </c>
      <c r="E2316" s="25">
        <v>45231</v>
      </c>
      <c r="F2316" s="16" t="s">
        <v>5290</v>
      </c>
      <c r="G2316" s="16" t="s">
        <v>117</v>
      </c>
      <c r="H2316" s="16">
        <v>7.8</v>
      </c>
      <c r="I2316" s="16">
        <v>149</v>
      </c>
      <c r="J2316" s="16">
        <v>0</v>
      </c>
      <c r="K2316" s="16">
        <v>1162.2</v>
      </c>
      <c r="L2316" s="16" t="s">
        <v>139</v>
      </c>
      <c r="M2316" s="16" t="s">
        <v>119</v>
      </c>
      <c r="N2316" s="27">
        <v>45231.363194444442</v>
      </c>
      <c r="O2316" s="27">
        <v>45232.147222222222</v>
      </c>
      <c r="P2316" s="16">
        <v>2.7</v>
      </c>
      <c r="Q2316" s="16" t="b">
        <f>FALSE()</f>
        <v>0</v>
      </c>
      <c r="R2316" s="16" t="b">
        <f>FALSE()</f>
        <v>0</v>
      </c>
      <c r="S2316" s="17">
        <f t="shared" si="36"/>
        <v>18.8</v>
      </c>
      <c r="T2316">
        <f>COUNTIF('👤 Customers'!$A:$A, B2316)</f>
        <v>1</v>
      </c>
      <c r="U2316">
        <f>COUNTIF('🚴 Riders'!A2315:A2375, C2316)</f>
        <v>0</v>
      </c>
      <c r="V2316">
        <f>COUNTIF('🏭 Facilities'!A2315:A2323, D2316)</f>
        <v>0</v>
      </c>
    </row>
    <row r="2317" spans="1:22">
      <c r="A2317" s="18" t="s">
        <v>5291</v>
      </c>
      <c r="B2317" s="18" t="s">
        <v>791</v>
      </c>
      <c r="C2317" s="18" t="s">
        <v>170</v>
      </c>
      <c r="D2317" s="18" t="s">
        <v>205</v>
      </c>
      <c r="E2317" s="26">
        <v>45274</v>
      </c>
      <c r="F2317" s="18" t="s">
        <v>5292</v>
      </c>
      <c r="G2317" s="18" t="s">
        <v>117</v>
      </c>
      <c r="H2317" s="18">
        <v>2.9</v>
      </c>
      <c r="I2317" s="18">
        <v>149</v>
      </c>
      <c r="J2317" s="18">
        <v>20</v>
      </c>
      <c r="K2317" s="18">
        <v>345.68</v>
      </c>
      <c r="L2317" s="18" t="s">
        <v>207</v>
      </c>
      <c r="M2317" s="18" t="s">
        <v>133</v>
      </c>
      <c r="N2317" s="20"/>
      <c r="O2317" s="20"/>
      <c r="P2317" s="20"/>
      <c r="Q2317" s="18" t="b">
        <f>FALSE()</f>
        <v>0</v>
      </c>
      <c r="R2317" s="18" t="b">
        <f>TRUE()</f>
        <v>1</v>
      </c>
      <c r="S2317" s="19" t="str">
        <f t="shared" si="36"/>
        <v>N/A</v>
      </c>
      <c r="T2317">
        <f>COUNTIF('👤 Customers'!$A:$A, B2317)</f>
        <v>1</v>
      </c>
      <c r="U2317">
        <f>COUNTIF('🚴 Riders'!A2316:A2376, C2317)</f>
        <v>0</v>
      </c>
      <c r="V2317">
        <f>COUNTIF('🏭 Facilities'!A2316:A2324, D2317)</f>
        <v>0</v>
      </c>
    </row>
    <row r="2318" spans="1:22">
      <c r="A2318" s="16" t="s">
        <v>5293</v>
      </c>
      <c r="B2318" s="16" t="s">
        <v>1339</v>
      </c>
      <c r="C2318" s="16" t="s">
        <v>461</v>
      </c>
      <c r="D2318" s="16" t="s">
        <v>197</v>
      </c>
      <c r="E2318" s="25">
        <v>45289</v>
      </c>
      <c r="F2318" s="16" t="s">
        <v>5294</v>
      </c>
      <c r="G2318" s="16" t="s">
        <v>125</v>
      </c>
      <c r="H2318" s="16">
        <v>6.1</v>
      </c>
      <c r="I2318" s="16">
        <v>199</v>
      </c>
      <c r="J2318" s="16">
        <v>20</v>
      </c>
      <c r="K2318" s="16">
        <v>971.12</v>
      </c>
      <c r="L2318" s="16" t="s">
        <v>207</v>
      </c>
      <c r="M2318" s="16" t="s">
        <v>119</v>
      </c>
      <c r="N2318" s="27">
        <v>45290.064583333333</v>
      </c>
      <c r="O2318" s="27">
        <v>45290.928472222222</v>
      </c>
      <c r="P2318" s="16">
        <v>4</v>
      </c>
      <c r="Q2318" s="16" t="b">
        <f>FALSE()</f>
        <v>0</v>
      </c>
      <c r="R2318" s="16" t="b">
        <f>FALSE()</f>
        <v>0</v>
      </c>
      <c r="S2318" s="17">
        <f t="shared" si="36"/>
        <v>20.7</v>
      </c>
      <c r="T2318">
        <f>COUNTIF('👤 Customers'!$A:$A, B2318)</f>
        <v>1</v>
      </c>
      <c r="U2318">
        <f>COUNTIF('🚴 Riders'!A2317:A2377, C2318)</f>
        <v>0</v>
      </c>
      <c r="V2318">
        <f>COUNTIF('🏭 Facilities'!A2317:A2325, D2318)</f>
        <v>0</v>
      </c>
    </row>
    <row r="2319" spans="1:22">
      <c r="A2319" s="18" t="s">
        <v>5295</v>
      </c>
      <c r="B2319" s="18" t="s">
        <v>5115</v>
      </c>
      <c r="C2319" s="18" t="s">
        <v>220</v>
      </c>
      <c r="D2319" s="18" t="s">
        <v>123</v>
      </c>
      <c r="E2319" s="26">
        <v>45643</v>
      </c>
      <c r="F2319" s="18" t="s">
        <v>5296</v>
      </c>
      <c r="G2319" s="18" t="s">
        <v>125</v>
      </c>
      <c r="H2319" s="18">
        <v>7</v>
      </c>
      <c r="I2319" s="18">
        <v>199</v>
      </c>
      <c r="J2319" s="18">
        <v>0</v>
      </c>
      <c r="K2319" s="18">
        <v>1393</v>
      </c>
      <c r="L2319" s="18" t="s">
        <v>126</v>
      </c>
      <c r="M2319" s="18" t="s">
        <v>119</v>
      </c>
      <c r="N2319" s="28">
        <v>45643.52847222222</v>
      </c>
      <c r="O2319" s="28">
        <v>45644.196527777778</v>
      </c>
      <c r="P2319" s="18">
        <v>4.2</v>
      </c>
      <c r="Q2319" s="18" t="b">
        <f>FALSE()</f>
        <v>0</v>
      </c>
      <c r="R2319" s="18" t="b">
        <f>FALSE()</f>
        <v>0</v>
      </c>
      <c r="S2319" s="19">
        <f t="shared" si="36"/>
        <v>16</v>
      </c>
      <c r="T2319">
        <f>COUNTIF('👤 Customers'!$A:$A, B2319)</f>
        <v>1</v>
      </c>
      <c r="U2319">
        <f>COUNTIF('🚴 Riders'!A2318:A2378, C2319)</f>
        <v>0</v>
      </c>
      <c r="V2319">
        <f>COUNTIF('🏭 Facilities'!A2318:A2326, D2319)</f>
        <v>0</v>
      </c>
    </row>
    <row r="2320" spans="1:22">
      <c r="A2320" s="16" t="s">
        <v>5297</v>
      </c>
      <c r="B2320" s="16" t="s">
        <v>1567</v>
      </c>
      <c r="C2320" s="16" t="s">
        <v>236</v>
      </c>
      <c r="D2320" s="16" t="s">
        <v>197</v>
      </c>
      <c r="E2320" s="25">
        <v>45119</v>
      </c>
      <c r="F2320" s="16" t="s">
        <v>5298</v>
      </c>
      <c r="G2320" s="16" t="s">
        <v>145</v>
      </c>
      <c r="H2320" s="16">
        <v>3.9</v>
      </c>
      <c r="I2320" s="16">
        <v>299</v>
      </c>
      <c r="J2320" s="16">
        <v>0</v>
      </c>
      <c r="K2320" s="16">
        <v>1166.0999999999999</v>
      </c>
      <c r="L2320" s="16" t="s">
        <v>126</v>
      </c>
      <c r="M2320" s="16" t="s">
        <v>119</v>
      </c>
      <c r="N2320" s="27">
        <v>45120.054166666669</v>
      </c>
      <c r="O2320" s="27">
        <v>45120.930555555555</v>
      </c>
      <c r="P2320" s="16">
        <v>4.0999999999999996</v>
      </c>
      <c r="Q2320" s="16" t="b">
        <f>FALSE()</f>
        <v>0</v>
      </c>
      <c r="R2320" s="16" t="b">
        <f>FALSE()</f>
        <v>0</v>
      </c>
      <c r="S2320" s="17">
        <f t="shared" si="36"/>
        <v>21</v>
      </c>
      <c r="T2320">
        <f>COUNTIF('👤 Customers'!$A:$A, B2320)</f>
        <v>1</v>
      </c>
      <c r="U2320">
        <f>COUNTIF('🚴 Riders'!A2319:A2379, C2320)</f>
        <v>0</v>
      </c>
      <c r="V2320">
        <f>COUNTIF('🏭 Facilities'!A2319:A2327, D2320)</f>
        <v>0</v>
      </c>
    </row>
    <row r="2321" spans="1:22">
      <c r="A2321" s="18" t="s">
        <v>5299</v>
      </c>
      <c r="B2321" s="18" t="s">
        <v>713</v>
      </c>
      <c r="C2321" s="18" t="s">
        <v>196</v>
      </c>
      <c r="D2321" s="18" t="s">
        <v>123</v>
      </c>
      <c r="E2321" s="26">
        <v>45209</v>
      </c>
      <c r="F2321" s="18" t="s">
        <v>5300</v>
      </c>
      <c r="G2321" s="18" t="s">
        <v>125</v>
      </c>
      <c r="H2321" s="18">
        <v>7.2</v>
      </c>
      <c r="I2321" s="18">
        <v>199</v>
      </c>
      <c r="J2321" s="18">
        <v>20</v>
      </c>
      <c r="K2321" s="18">
        <v>1146.24</v>
      </c>
      <c r="L2321" s="18" t="s">
        <v>139</v>
      </c>
      <c r="M2321" s="18" t="s">
        <v>119</v>
      </c>
      <c r="N2321" s="28">
        <v>45209.260416666664</v>
      </c>
      <c r="O2321" s="28">
        <v>45209.616666666669</v>
      </c>
      <c r="P2321" s="18">
        <v>3.8</v>
      </c>
      <c r="Q2321" s="18" t="b">
        <f>FALSE()</f>
        <v>0</v>
      </c>
      <c r="R2321" s="18" t="b">
        <f>FALSE()</f>
        <v>0</v>
      </c>
      <c r="S2321" s="19">
        <f t="shared" si="36"/>
        <v>8.6</v>
      </c>
      <c r="T2321">
        <f>COUNTIF('👤 Customers'!$A:$A, B2321)</f>
        <v>1</v>
      </c>
      <c r="U2321">
        <f>COUNTIF('🚴 Riders'!A2320:A2380, C2321)</f>
        <v>0</v>
      </c>
      <c r="V2321">
        <f>COUNTIF('🏭 Facilities'!A2320:A2328, D2321)</f>
        <v>0</v>
      </c>
    </row>
    <row r="2322" spans="1:22">
      <c r="A2322" s="16" t="s">
        <v>5301</v>
      </c>
      <c r="B2322" s="16" t="s">
        <v>1439</v>
      </c>
      <c r="C2322" s="16" t="s">
        <v>413</v>
      </c>
      <c r="D2322" s="16" t="s">
        <v>184</v>
      </c>
      <c r="E2322" s="25">
        <v>45552</v>
      </c>
      <c r="F2322" s="16" t="s">
        <v>5302</v>
      </c>
      <c r="G2322" s="16" t="s">
        <v>125</v>
      </c>
      <c r="H2322" s="16">
        <v>2.6</v>
      </c>
      <c r="I2322" s="16">
        <v>199</v>
      </c>
      <c r="J2322" s="16">
        <v>0</v>
      </c>
      <c r="K2322" s="16">
        <v>517.4</v>
      </c>
      <c r="L2322" s="16" t="s">
        <v>118</v>
      </c>
      <c r="M2322" s="16" t="s">
        <v>119</v>
      </c>
      <c r="N2322" s="27">
        <v>45552.761805555558</v>
      </c>
      <c r="O2322" s="27">
        <v>45553.450694444444</v>
      </c>
      <c r="P2322" s="16">
        <v>4.7</v>
      </c>
      <c r="Q2322" s="16" t="b">
        <f>FALSE()</f>
        <v>0</v>
      </c>
      <c r="R2322" s="16" t="b">
        <f>FALSE()</f>
        <v>0</v>
      </c>
      <c r="S2322" s="17">
        <f t="shared" si="36"/>
        <v>16.5</v>
      </c>
      <c r="T2322">
        <f>COUNTIF('👤 Customers'!$A:$A, B2322)</f>
        <v>1</v>
      </c>
      <c r="U2322">
        <f>COUNTIF('🚴 Riders'!A2321:A2381, C2322)</f>
        <v>0</v>
      </c>
      <c r="V2322">
        <f>COUNTIF('🏭 Facilities'!A2321:A2329, D2322)</f>
        <v>0</v>
      </c>
    </row>
    <row r="2323" spans="1:22">
      <c r="A2323" s="18" t="s">
        <v>5303</v>
      </c>
      <c r="B2323" s="18" t="s">
        <v>2560</v>
      </c>
      <c r="C2323" s="18" t="s">
        <v>272</v>
      </c>
      <c r="D2323" s="18" t="s">
        <v>158</v>
      </c>
      <c r="E2323" s="26">
        <v>45326</v>
      </c>
      <c r="F2323" s="18" t="s">
        <v>5304</v>
      </c>
      <c r="G2323" s="18" t="s">
        <v>125</v>
      </c>
      <c r="H2323" s="18">
        <v>5.3</v>
      </c>
      <c r="I2323" s="18">
        <v>199</v>
      </c>
      <c r="J2323" s="18">
        <v>0</v>
      </c>
      <c r="K2323" s="18">
        <v>1054.7</v>
      </c>
      <c r="L2323" s="18" t="s">
        <v>118</v>
      </c>
      <c r="M2323" s="18" t="s">
        <v>119</v>
      </c>
      <c r="N2323" s="28">
        <v>45326.393055555556</v>
      </c>
      <c r="O2323" s="28">
        <v>45327.320138888892</v>
      </c>
      <c r="P2323" s="18">
        <v>3.1</v>
      </c>
      <c r="Q2323" s="18" t="b">
        <f>FALSE()</f>
        <v>0</v>
      </c>
      <c r="R2323" s="18" t="b">
        <f>FALSE()</f>
        <v>0</v>
      </c>
      <c r="S2323" s="19">
        <f t="shared" si="36"/>
        <v>22.3</v>
      </c>
      <c r="T2323">
        <f>COUNTIF('👤 Customers'!$A:$A, B2323)</f>
        <v>1</v>
      </c>
      <c r="U2323">
        <f>COUNTIF('🚴 Riders'!A2322:A2382, C2323)</f>
        <v>0</v>
      </c>
      <c r="V2323">
        <f>COUNTIF('🏭 Facilities'!A2322:A2330, D2323)</f>
        <v>0</v>
      </c>
    </row>
    <row r="2324" spans="1:22">
      <c r="A2324" s="16" t="s">
        <v>5305</v>
      </c>
      <c r="B2324" s="16" t="s">
        <v>314</v>
      </c>
      <c r="C2324" s="16" t="s">
        <v>136</v>
      </c>
      <c r="D2324" s="16" t="s">
        <v>205</v>
      </c>
      <c r="E2324" s="25">
        <v>45505</v>
      </c>
      <c r="F2324" s="16" t="s">
        <v>5306</v>
      </c>
      <c r="G2324" s="16" t="s">
        <v>176</v>
      </c>
      <c r="H2324" s="16">
        <v>3.3</v>
      </c>
      <c r="I2324" s="16">
        <v>599</v>
      </c>
      <c r="J2324" s="16">
        <v>10</v>
      </c>
      <c r="K2324" s="16">
        <v>1779.03</v>
      </c>
      <c r="L2324" s="16" t="s">
        <v>146</v>
      </c>
      <c r="M2324" s="16" t="s">
        <v>119</v>
      </c>
      <c r="N2324" s="27">
        <v>45505.200694444444</v>
      </c>
      <c r="O2324" s="27">
        <v>45506.311805555553</v>
      </c>
      <c r="P2324" s="16">
        <v>3</v>
      </c>
      <c r="Q2324" s="16" t="b">
        <f>FALSE()</f>
        <v>0</v>
      </c>
      <c r="R2324" s="16" t="b">
        <f>TRUE()</f>
        <v>1</v>
      </c>
      <c r="S2324" s="17">
        <f t="shared" si="36"/>
        <v>26.7</v>
      </c>
      <c r="T2324">
        <f>COUNTIF('👤 Customers'!$A:$A, B2324)</f>
        <v>1</v>
      </c>
      <c r="U2324">
        <f>COUNTIF('🚴 Riders'!A2323:A2383, C2324)</f>
        <v>0</v>
      </c>
      <c r="V2324">
        <f>COUNTIF('🏭 Facilities'!A2323:A2331, D2324)</f>
        <v>0</v>
      </c>
    </row>
    <row r="2325" spans="1:22">
      <c r="A2325" s="18" t="s">
        <v>5307</v>
      </c>
      <c r="B2325" s="18" t="s">
        <v>1356</v>
      </c>
      <c r="C2325" s="18" t="s">
        <v>157</v>
      </c>
      <c r="D2325" s="18" t="s">
        <v>184</v>
      </c>
      <c r="E2325" s="26">
        <v>45412</v>
      </c>
      <c r="F2325" s="18" t="s">
        <v>5308</v>
      </c>
      <c r="G2325" s="18" t="s">
        <v>125</v>
      </c>
      <c r="H2325" s="18">
        <v>4.2</v>
      </c>
      <c r="I2325" s="18">
        <v>199</v>
      </c>
      <c r="J2325" s="18">
        <v>20</v>
      </c>
      <c r="K2325" s="18">
        <v>668.64</v>
      </c>
      <c r="L2325" s="18" t="s">
        <v>126</v>
      </c>
      <c r="M2325" s="18" t="s">
        <v>119</v>
      </c>
      <c r="N2325" s="28">
        <v>45412.95208333333</v>
      </c>
      <c r="O2325" s="28">
        <v>45413.806944444441</v>
      </c>
      <c r="P2325" s="18">
        <v>4.4000000000000004</v>
      </c>
      <c r="Q2325" s="18" t="b">
        <f>FALSE()</f>
        <v>0</v>
      </c>
      <c r="R2325" s="18" t="b">
        <f>FALSE()</f>
        <v>0</v>
      </c>
      <c r="S2325" s="19">
        <f t="shared" si="36"/>
        <v>20.5</v>
      </c>
      <c r="T2325">
        <f>COUNTIF('👤 Customers'!$A:$A, B2325)</f>
        <v>1</v>
      </c>
      <c r="U2325">
        <f>COUNTIF('🚴 Riders'!A2324:A2384, C2325)</f>
        <v>0</v>
      </c>
      <c r="V2325">
        <f>COUNTIF('🏭 Facilities'!A2324:A2332, D2325)</f>
        <v>0</v>
      </c>
    </row>
    <row r="2326" spans="1:22">
      <c r="A2326" s="16" t="s">
        <v>5309</v>
      </c>
      <c r="B2326" s="16" t="s">
        <v>1279</v>
      </c>
      <c r="C2326" s="16" t="s">
        <v>287</v>
      </c>
      <c r="D2326" s="16" t="s">
        <v>137</v>
      </c>
      <c r="E2326" s="25">
        <v>45431</v>
      </c>
      <c r="F2326" s="16" t="s">
        <v>5310</v>
      </c>
      <c r="G2326" s="16" t="s">
        <v>125</v>
      </c>
      <c r="H2326" s="16">
        <v>7.3</v>
      </c>
      <c r="I2326" s="16">
        <v>199</v>
      </c>
      <c r="J2326" s="16">
        <v>10</v>
      </c>
      <c r="K2326" s="16">
        <v>1307.43</v>
      </c>
      <c r="L2326" s="16" t="s">
        <v>207</v>
      </c>
      <c r="M2326" s="16" t="s">
        <v>133</v>
      </c>
      <c r="N2326" s="20"/>
      <c r="O2326" s="20"/>
      <c r="P2326" s="20"/>
      <c r="Q2326" s="16" t="b">
        <f>FALSE()</f>
        <v>0</v>
      </c>
      <c r="R2326" s="16" t="b">
        <f>FALSE()</f>
        <v>0</v>
      </c>
      <c r="S2326" s="17" t="str">
        <f t="shared" si="36"/>
        <v>N/A</v>
      </c>
      <c r="T2326">
        <f>COUNTIF('👤 Customers'!$A:$A, B2326)</f>
        <v>1</v>
      </c>
      <c r="U2326">
        <f>COUNTIF('🚴 Riders'!A2325:A2385, C2326)</f>
        <v>0</v>
      </c>
      <c r="V2326">
        <f>COUNTIF('🏭 Facilities'!A2325:A2333, D2326)</f>
        <v>0</v>
      </c>
    </row>
    <row r="2327" spans="1:22">
      <c r="A2327" s="18" t="s">
        <v>5311</v>
      </c>
      <c r="B2327" s="18" t="s">
        <v>1776</v>
      </c>
      <c r="C2327" s="18" t="s">
        <v>153</v>
      </c>
      <c r="D2327" s="18" t="s">
        <v>184</v>
      </c>
      <c r="E2327" s="26">
        <v>45200</v>
      </c>
      <c r="F2327" s="18" t="s">
        <v>5312</v>
      </c>
      <c r="G2327" s="18" t="s">
        <v>117</v>
      </c>
      <c r="H2327" s="18">
        <v>7.8</v>
      </c>
      <c r="I2327" s="18">
        <v>149</v>
      </c>
      <c r="J2327" s="18">
        <v>30</v>
      </c>
      <c r="K2327" s="18">
        <v>813.54</v>
      </c>
      <c r="L2327" s="18" t="s">
        <v>207</v>
      </c>
      <c r="M2327" s="18" t="s">
        <v>119</v>
      </c>
      <c r="N2327" s="28">
        <v>45200.975694444445</v>
      </c>
      <c r="O2327" s="28">
        <v>45201.759722222225</v>
      </c>
      <c r="P2327" s="18">
        <v>4.2</v>
      </c>
      <c r="Q2327" s="18" t="b">
        <f>FALSE()</f>
        <v>0</v>
      </c>
      <c r="R2327" s="18" t="b">
        <f>TRUE()</f>
        <v>1</v>
      </c>
      <c r="S2327" s="19">
        <f t="shared" si="36"/>
        <v>18.8</v>
      </c>
      <c r="T2327">
        <f>COUNTIF('👤 Customers'!$A:$A, B2327)</f>
        <v>1</v>
      </c>
      <c r="U2327">
        <f>COUNTIF('🚴 Riders'!A2326:A2386, C2327)</f>
        <v>0</v>
      </c>
      <c r="V2327">
        <f>COUNTIF('🏭 Facilities'!A2326:A2334, D2327)</f>
        <v>0</v>
      </c>
    </row>
    <row r="2328" spans="1:22">
      <c r="A2328" s="16" t="s">
        <v>5313</v>
      </c>
      <c r="B2328" s="16" t="s">
        <v>731</v>
      </c>
      <c r="C2328" s="16" t="s">
        <v>308</v>
      </c>
      <c r="D2328" s="16" t="s">
        <v>123</v>
      </c>
      <c r="E2328" s="25">
        <v>45018</v>
      </c>
      <c r="F2328" s="16" t="s">
        <v>5314</v>
      </c>
      <c r="G2328" s="16" t="s">
        <v>132</v>
      </c>
      <c r="H2328" s="16">
        <v>7.1</v>
      </c>
      <c r="I2328" s="16">
        <v>399</v>
      </c>
      <c r="J2328" s="16">
        <v>10</v>
      </c>
      <c r="K2328" s="16">
        <v>2549.61</v>
      </c>
      <c r="L2328" s="16" t="s">
        <v>207</v>
      </c>
      <c r="M2328" s="16" t="s">
        <v>119</v>
      </c>
      <c r="N2328" s="27">
        <v>45018.297222222223</v>
      </c>
      <c r="O2328" s="27">
        <v>45019.084722222222</v>
      </c>
      <c r="P2328" s="16">
        <v>3</v>
      </c>
      <c r="Q2328" s="16" t="b">
        <f>FALSE()</f>
        <v>0</v>
      </c>
      <c r="R2328" s="16" t="b">
        <f>FALSE()</f>
        <v>0</v>
      </c>
      <c r="S2328" s="17">
        <f t="shared" si="36"/>
        <v>18.899999999999999</v>
      </c>
      <c r="T2328">
        <f>COUNTIF('👤 Customers'!$A:$A, B2328)</f>
        <v>1</v>
      </c>
      <c r="U2328">
        <f>COUNTIF('🚴 Riders'!A2327:A2387, C2328)</f>
        <v>0</v>
      </c>
      <c r="V2328">
        <f>COUNTIF('🏭 Facilities'!A2327:A2335, D2328)</f>
        <v>0</v>
      </c>
    </row>
    <row r="2329" spans="1:22">
      <c r="A2329" s="18" t="s">
        <v>5315</v>
      </c>
      <c r="B2329" s="18" t="s">
        <v>3454</v>
      </c>
      <c r="C2329" s="18" t="s">
        <v>750</v>
      </c>
      <c r="D2329" s="18" t="s">
        <v>197</v>
      </c>
      <c r="E2329" s="26">
        <v>45470</v>
      </c>
      <c r="F2329" s="18" t="s">
        <v>5316</v>
      </c>
      <c r="G2329" s="18" t="s">
        <v>125</v>
      </c>
      <c r="H2329" s="18">
        <v>6.3</v>
      </c>
      <c r="I2329" s="18">
        <v>199</v>
      </c>
      <c r="J2329" s="18">
        <v>10</v>
      </c>
      <c r="K2329" s="18">
        <v>1128.33</v>
      </c>
      <c r="L2329" s="18" t="s">
        <v>126</v>
      </c>
      <c r="M2329" s="18" t="s">
        <v>119</v>
      </c>
      <c r="N2329" s="28">
        <v>45470.694444444445</v>
      </c>
      <c r="O2329" s="28">
        <v>45471.15625</v>
      </c>
      <c r="P2329" s="18">
        <v>3.9</v>
      </c>
      <c r="Q2329" s="18" t="b">
        <f>FALSE()</f>
        <v>0</v>
      </c>
      <c r="R2329" s="18" t="b">
        <f>TRUE()</f>
        <v>1</v>
      </c>
      <c r="S2329" s="19">
        <f t="shared" si="36"/>
        <v>11.1</v>
      </c>
      <c r="T2329">
        <f>COUNTIF('👤 Customers'!$A:$A, B2329)</f>
        <v>1</v>
      </c>
      <c r="U2329">
        <f>COUNTIF('🚴 Riders'!A2328:A2388, C2329)</f>
        <v>0</v>
      </c>
      <c r="V2329">
        <f>COUNTIF('🏭 Facilities'!A2328:A2336, D2329)</f>
        <v>0</v>
      </c>
    </row>
    <row r="2330" spans="1:22">
      <c r="A2330" s="16" t="s">
        <v>5317</v>
      </c>
      <c r="B2330" s="16" t="s">
        <v>2247</v>
      </c>
      <c r="C2330" s="16" t="s">
        <v>287</v>
      </c>
      <c r="D2330" s="16" t="s">
        <v>115</v>
      </c>
      <c r="E2330" s="25">
        <v>45196</v>
      </c>
      <c r="F2330" s="16" t="s">
        <v>5318</v>
      </c>
      <c r="G2330" s="16" t="s">
        <v>117</v>
      </c>
      <c r="H2330" s="16">
        <v>4.7</v>
      </c>
      <c r="I2330" s="16">
        <v>149</v>
      </c>
      <c r="J2330" s="16">
        <v>10</v>
      </c>
      <c r="K2330" s="16">
        <v>630.27</v>
      </c>
      <c r="L2330" s="16" t="s">
        <v>207</v>
      </c>
      <c r="M2330" s="16" t="s">
        <v>119</v>
      </c>
      <c r="N2330" s="27">
        <v>45196.35833333333</v>
      </c>
      <c r="O2330" s="27">
        <v>45196.982638888891</v>
      </c>
      <c r="P2330" s="16">
        <v>4</v>
      </c>
      <c r="Q2330" s="16" t="b">
        <f>FALSE()</f>
        <v>0</v>
      </c>
      <c r="R2330" s="16" t="b">
        <f>FALSE()</f>
        <v>0</v>
      </c>
      <c r="S2330" s="17">
        <f t="shared" si="36"/>
        <v>15</v>
      </c>
      <c r="T2330">
        <f>COUNTIF('👤 Customers'!$A:$A, B2330)</f>
        <v>1</v>
      </c>
      <c r="U2330">
        <f>COUNTIF('🚴 Riders'!A2329:A2389, C2330)</f>
        <v>0</v>
      </c>
      <c r="V2330">
        <f>COUNTIF('🏭 Facilities'!A2329:A2337, D2330)</f>
        <v>0</v>
      </c>
    </row>
    <row r="2331" spans="1:22">
      <c r="A2331" s="18" t="s">
        <v>5319</v>
      </c>
      <c r="B2331" s="18" t="s">
        <v>654</v>
      </c>
      <c r="C2331" s="18" t="s">
        <v>236</v>
      </c>
      <c r="D2331" s="18" t="s">
        <v>137</v>
      </c>
      <c r="E2331" s="26">
        <v>45137</v>
      </c>
      <c r="F2331" s="18" t="s">
        <v>5320</v>
      </c>
      <c r="G2331" s="18" t="s">
        <v>117</v>
      </c>
      <c r="H2331" s="18">
        <v>5.5</v>
      </c>
      <c r="I2331" s="18">
        <v>149</v>
      </c>
      <c r="J2331" s="18">
        <v>0</v>
      </c>
      <c r="K2331" s="18">
        <v>819.5</v>
      </c>
      <c r="L2331" s="18" t="s">
        <v>207</v>
      </c>
      <c r="M2331" s="18" t="s">
        <v>133</v>
      </c>
      <c r="N2331" s="20"/>
      <c r="O2331" s="20"/>
      <c r="P2331" s="20"/>
      <c r="Q2331" s="18" t="b">
        <f>FALSE()</f>
        <v>0</v>
      </c>
      <c r="R2331" s="18" t="b">
        <f>FALSE()</f>
        <v>0</v>
      </c>
      <c r="S2331" s="19" t="str">
        <f t="shared" si="36"/>
        <v>N/A</v>
      </c>
      <c r="T2331">
        <f>COUNTIF('👤 Customers'!$A:$A, B2331)</f>
        <v>1</v>
      </c>
      <c r="U2331">
        <f>COUNTIF('🚴 Riders'!A2330:A2390, C2331)</f>
        <v>0</v>
      </c>
      <c r="V2331">
        <f>COUNTIF('🏭 Facilities'!A2330:A2338, D2331)</f>
        <v>0</v>
      </c>
    </row>
    <row r="2332" spans="1:22">
      <c r="A2332" s="16" t="s">
        <v>5321</v>
      </c>
      <c r="B2332" s="16" t="s">
        <v>3828</v>
      </c>
      <c r="C2332" s="16" t="s">
        <v>251</v>
      </c>
      <c r="D2332" s="16" t="s">
        <v>158</v>
      </c>
      <c r="E2332" s="25">
        <v>45266</v>
      </c>
      <c r="F2332" s="16" t="s">
        <v>5322</v>
      </c>
      <c r="G2332" s="16" t="s">
        <v>117</v>
      </c>
      <c r="H2332" s="16">
        <v>7</v>
      </c>
      <c r="I2332" s="16">
        <v>149</v>
      </c>
      <c r="J2332" s="16">
        <v>0</v>
      </c>
      <c r="K2332" s="16">
        <v>1043</v>
      </c>
      <c r="L2332" s="16" t="s">
        <v>146</v>
      </c>
      <c r="M2332" s="16" t="s">
        <v>119</v>
      </c>
      <c r="N2332" s="27">
        <v>45266.20416666667</v>
      </c>
      <c r="O2332" s="27">
        <v>45266.664583333331</v>
      </c>
      <c r="P2332" s="16">
        <v>4.5</v>
      </c>
      <c r="Q2332" s="16" t="b">
        <f>FALSE()</f>
        <v>0</v>
      </c>
      <c r="R2332" s="16" t="b">
        <f>TRUE()</f>
        <v>1</v>
      </c>
      <c r="S2332" s="17">
        <f t="shared" si="36"/>
        <v>11</v>
      </c>
      <c r="T2332">
        <f>COUNTIF('👤 Customers'!$A:$A, B2332)</f>
        <v>1</v>
      </c>
      <c r="U2332">
        <f>COUNTIF('🚴 Riders'!A2331:A2391, C2332)</f>
        <v>0</v>
      </c>
      <c r="V2332">
        <f>COUNTIF('🏭 Facilities'!A2331:A2339, D2332)</f>
        <v>0</v>
      </c>
    </row>
    <row r="2333" spans="1:22">
      <c r="A2333" s="18" t="s">
        <v>5323</v>
      </c>
      <c r="B2333" s="18" t="s">
        <v>3267</v>
      </c>
      <c r="C2333" s="18" t="s">
        <v>157</v>
      </c>
      <c r="D2333" s="18" t="s">
        <v>205</v>
      </c>
      <c r="E2333" s="26">
        <v>45630</v>
      </c>
      <c r="F2333" s="18" t="s">
        <v>5324</v>
      </c>
      <c r="G2333" s="18" t="s">
        <v>117</v>
      </c>
      <c r="H2333" s="18">
        <v>5.0999999999999996</v>
      </c>
      <c r="I2333" s="18">
        <v>149</v>
      </c>
      <c r="J2333" s="18">
        <v>0</v>
      </c>
      <c r="K2333" s="18">
        <v>759.9</v>
      </c>
      <c r="L2333" s="18" t="s">
        <v>118</v>
      </c>
      <c r="M2333" s="18" t="s">
        <v>133</v>
      </c>
      <c r="N2333" s="20"/>
      <c r="O2333" s="20"/>
      <c r="P2333" s="20"/>
      <c r="Q2333" s="18" t="b">
        <f>FALSE()</f>
        <v>0</v>
      </c>
      <c r="R2333" s="18" t="b">
        <f>FALSE()</f>
        <v>0</v>
      </c>
      <c r="S2333" s="19" t="str">
        <f t="shared" si="36"/>
        <v>N/A</v>
      </c>
      <c r="T2333">
        <f>COUNTIF('👤 Customers'!$A:$A, B2333)</f>
        <v>1</v>
      </c>
      <c r="U2333">
        <f>COUNTIF('🚴 Riders'!A2332:A2392, C2333)</f>
        <v>0</v>
      </c>
      <c r="V2333">
        <f>COUNTIF('🏭 Facilities'!A2332:A2340, D2333)</f>
        <v>0</v>
      </c>
    </row>
    <row r="2334" spans="1:22">
      <c r="A2334" s="16" t="s">
        <v>5325</v>
      </c>
      <c r="B2334" s="16" t="s">
        <v>235</v>
      </c>
      <c r="C2334" s="16" t="s">
        <v>487</v>
      </c>
      <c r="D2334" s="16" t="s">
        <v>205</v>
      </c>
      <c r="E2334" s="25">
        <v>45228</v>
      </c>
      <c r="F2334" s="16" t="s">
        <v>5326</v>
      </c>
      <c r="G2334" s="16" t="s">
        <v>125</v>
      </c>
      <c r="H2334" s="16">
        <v>5.7</v>
      </c>
      <c r="I2334" s="16">
        <v>199</v>
      </c>
      <c r="J2334" s="16">
        <v>0</v>
      </c>
      <c r="K2334" s="16">
        <v>1134.3</v>
      </c>
      <c r="L2334" s="16" t="s">
        <v>126</v>
      </c>
      <c r="M2334" s="16" t="s">
        <v>140</v>
      </c>
      <c r="N2334" s="27">
        <v>45228.252083333333</v>
      </c>
      <c r="O2334" s="27">
        <v>45228.951388888891</v>
      </c>
      <c r="P2334" s="20"/>
      <c r="Q2334" s="16" t="b">
        <f>FALSE()</f>
        <v>0</v>
      </c>
      <c r="R2334" s="16" t="b">
        <f>TRUE()</f>
        <v>1</v>
      </c>
      <c r="S2334" s="17">
        <f t="shared" si="36"/>
        <v>16.8</v>
      </c>
      <c r="T2334">
        <f>COUNTIF('👤 Customers'!$A:$A, B2334)</f>
        <v>1</v>
      </c>
      <c r="U2334">
        <f>COUNTIF('🚴 Riders'!A2333:A2393, C2334)</f>
        <v>0</v>
      </c>
      <c r="V2334">
        <f>COUNTIF('🏭 Facilities'!A2333:A2341, D2334)</f>
        <v>0</v>
      </c>
    </row>
    <row r="2335" spans="1:22">
      <c r="A2335" s="18" t="s">
        <v>5327</v>
      </c>
      <c r="B2335" s="18" t="s">
        <v>660</v>
      </c>
      <c r="C2335" s="18" t="s">
        <v>287</v>
      </c>
      <c r="D2335" s="18" t="s">
        <v>205</v>
      </c>
      <c r="E2335" s="26">
        <v>45125</v>
      </c>
      <c r="F2335" s="18" t="s">
        <v>5328</v>
      </c>
      <c r="G2335" s="18" t="s">
        <v>117</v>
      </c>
      <c r="H2335" s="18">
        <v>3.9</v>
      </c>
      <c r="I2335" s="18">
        <v>149</v>
      </c>
      <c r="J2335" s="18">
        <v>0</v>
      </c>
      <c r="K2335" s="18">
        <v>581.1</v>
      </c>
      <c r="L2335" s="18" t="s">
        <v>118</v>
      </c>
      <c r="M2335" s="18" t="s">
        <v>119</v>
      </c>
      <c r="N2335" s="28">
        <v>45125.457638888889</v>
      </c>
      <c r="O2335" s="28">
        <v>45125.847222222219</v>
      </c>
      <c r="P2335" s="18">
        <v>4.5</v>
      </c>
      <c r="Q2335" s="18" t="b">
        <f>FALSE()</f>
        <v>0</v>
      </c>
      <c r="R2335" s="18" t="b">
        <f>FALSE()</f>
        <v>0</v>
      </c>
      <c r="S2335" s="19">
        <f t="shared" si="36"/>
        <v>9.3000000000000007</v>
      </c>
      <c r="T2335">
        <f>COUNTIF('👤 Customers'!$A:$A, B2335)</f>
        <v>1</v>
      </c>
      <c r="U2335">
        <f>COUNTIF('🚴 Riders'!A2334:A2394, C2335)</f>
        <v>0</v>
      </c>
      <c r="V2335">
        <f>COUNTIF('🏭 Facilities'!A2334:A2342, D2335)</f>
        <v>0</v>
      </c>
    </row>
    <row r="2336" spans="1:22">
      <c r="A2336" s="16" t="s">
        <v>5329</v>
      </c>
      <c r="B2336" s="16" t="s">
        <v>1423</v>
      </c>
      <c r="C2336" s="16" t="s">
        <v>322</v>
      </c>
      <c r="D2336" s="16" t="s">
        <v>137</v>
      </c>
      <c r="E2336" s="25">
        <v>45652</v>
      </c>
      <c r="F2336" s="16" t="s">
        <v>5330</v>
      </c>
      <c r="G2336" s="16" t="s">
        <v>132</v>
      </c>
      <c r="H2336" s="16">
        <v>3.6</v>
      </c>
      <c r="I2336" s="16">
        <v>399</v>
      </c>
      <c r="J2336" s="16">
        <v>0</v>
      </c>
      <c r="K2336" s="16">
        <v>1436.4</v>
      </c>
      <c r="L2336" s="16" t="s">
        <v>139</v>
      </c>
      <c r="M2336" s="16" t="s">
        <v>133</v>
      </c>
      <c r="N2336" s="20"/>
      <c r="O2336" s="20"/>
      <c r="P2336" s="20"/>
      <c r="Q2336" s="16" t="b">
        <f>FALSE()</f>
        <v>0</v>
      </c>
      <c r="R2336" s="16" t="b">
        <f>FALSE()</f>
        <v>0</v>
      </c>
      <c r="S2336" s="17" t="str">
        <f t="shared" si="36"/>
        <v>N/A</v>
      </c>
      <c r="T2336">
        <f>COUNTIF('👤 Customers'!$A:$A, B2336)</f>
        <v>1</v>
      </c>
      <c r="U2336">
        <f>COUNTIF('🚴 Riders'!A2335:A2395, C2336)</f>
        <v>0</v>
      </c>
      <c r="V2336">
        <f>COUNTIF('🏭 Facilities'!A2335:A2343, D2336)</f>
        <v>0</v>
      </c>
    </row>
    <row r="2337" spans="1:22">
      <c r="A2337" s="18" t="s">
        <v>5331</v>
      </c>
      <c r="B2337" s="18" t="s">
        <v>1173</v>
      </c>
      <c r="C2337" s="18" t="s">
        <v>166</v>
      </c>
      <c r="D2337" s="18" t="s">
        <v>197</v>
      </c>
      <c r="E2337" s="26">
        <v>45274</v>
      </c>
      <c r="F2337" s="18" t="s">
        <v>5332</v>
      </c>
      <c r="G2337" s="18" t="s">
        <v>145</v>
      </c>
      <c r="H2337" s="18">
        <v>5.4</v>
      </c>
      <c r="I2337" s="18">
        <v>299</v>
      </c>
      <c r="J2337" s="18">
        <v>20</v>
      </c>
      <c r="K2337" s="18">
        <v>1291.68</v>
      </c>
      <c r="L2337" s="18" t="s">
        <v>207</v>
      </c>
      <c r="M2337" s="18" t="s">
        <v>119</v>
      </c>
      <c r="N2337" s="28">
        <v>45274.291666666664</v>
      </c>
      <c r="O2337" s="28">
        <v>45275.269444444442</v>
      </c>
      <c r="P2337" s="18">
        <v>3</v>
      </c>
      <c r="Q2337" s="18" t="b">
        <f>FALSE()</f>
        <v>0</v>
      </c>
      <c r="R2337" s="18" t="b">
        <f>FALSE()</f>
        <v>0</v>
      </c>
      <c r="S2337" s="19">
        <f t="shared" si="36"/>
        <v>23.5</v>
      </c>
      <c r="T2337">
        <f>COUNTIF('👤 Customers'!$A:$A, B2337)</f>
        <v>1</v>
      </c>
      <c r="U2337">
        <f>COUNTIF('🚴 Riders'!A2336:A2396, C2337)</f>
        <v>0</v>
      </c>
      <c r="V2337">
        <f>COUNTIF('🏭 Facilities'!A2336:A2344, D2337)</f>
        <v>0</v>
      </c>
    </row>
    <row r="2338" spans="1:22">
      <c r="A2338" s="16" t="s">
        <v>5333</v>
      </c>
      <c r="B2338" s="16" t="s">
        <v>872</v>
      </c>
      <c r="C2338" s="16" t="s">
        <v>413</v>
      </c>
      <c r="D2338" s="16" t="s">
        <v>205</v>
      </c>
      <c r="E2338" s="25">
        <v>45499</v>
      </c>
      <c r="F2338" s="16" t="s">
        <v>5334</v>
      </c>
      <c r="G2338" s="16" t="s">
        <v>176</v>
      </c>
      <c r="H2338" s="16">
        <v>6.7</v>
      </c>
      <c r="I2338" s="16">
        <v>599</v>
      </c>
      <c r="J2338" s="16">
        <v>0</v>
      </c>
      <c r="K2338" s="16">
        <v>4013.3</v>
      </c>
      <c r="L2338" s="16" t="s">
        <v>118</v>
      </c>
      <c r="M2338" s="16" t="s">
        <v>133</v>
      </c>
      <c r="N2338" s="20"/>
      <c r="O2338" s="20"/>
      <c r="P2338" s="20"/>
      <c r="Q2338" s="16" t="b">
        <f>FALSE()</f>
        <v>0</v>
      </c>
      <c r="R2338" s="16" t="b">
        <f>FALSE()</f>
        <v>0</v>
      </c>
      <c r="S2338" s="17" t="str">
        <f t="shared" si="36"/>
        <v>N/A</v>
      </c>
      <c r="T2338">
        <f>COUNTIF('👤 Customers'!$A:$A, B2338)</f>
        <v>1</v>
      </c>
      <c r="U2338">
        <f>COUNTIF('🚴 Riders'!A2337:A2397, C2338)</f>
        <v>0</v>
      </c>
      <c r="V2338">
        <f>COUNTIF('🏭 Facilities'!A2337:A2345, D2338)</f>
        <v>0</v>
      </c>
    </row>
    <row r="2339" spans="1:22">
      <c r="A2339" s="18" t="s">
        <v>5335</v>
      </c>
      <c r="B2339" s="18" t="s">
        <v>303</v>
      </c>
      <c r="C2339" s="18" t="s">
        <v>247</v>
      </c>
      <c r="D2339" s="18" t="s">
        <v>158</v>
      </c>
      <c r="E2339" s="26">
        <v>45573</v>
      </c>
      <c r="F2339" s="18" t="s">
        <v>5336</v>
      </c>
      <c r="G2339" s="18" t="s">
        <v>117</v>
      </c>
      <c r="H2339" s="18">
        <v>5</v>
      </c>
      <c r="I2339" s="18">
        <v>149</v>
      </c>
      <c r="J2339" s="18">
        <v>10</v>
      </c>
      <c r="K2339" s="18">
        <v>670.5</v>
      </c>
      <c r="L2339" s="18" t="s">
        <v>207</v>
      </c>
      <c r="M2339" s="18" t="s">
        <v>119</v>
      </c>
      <c r="N2339" s="28">
        <v>45573.484027777777</v>
      </c>
      <c r="O2339" s="28">
        <v>45574.537499999999</v>
      </c>
      <c r="P2339" s="18">
        <v>3</v>
      </c>
      <c r="Q2339" s="18" t="b">
        <f>FALSE()</f>
        <v>0</v>
      </c>
      <c r="R2339" s="18" t="b">
        <f>FALSE()</f>
        <v>0</v>
      </c>
      <c r="S2339" s="19">
        <f t="shared" si="36"/>
        <v>25.3</v>
      </c>
      <c r="T2339">
        <f>COUNTIF('👤 Customers'!$A:$A, B2339)</f>
        <v>1</v>
      </c>
      <c r="U2339">
        <f>COUNTIF('🚴 Riders'!A2338:A2398, C2339)</f>
        <v>0</v>
      </c>
      <c r="V2339">
        <f>COUNTIF('🏭 Facilities'!A2338:A2346, D2339)</f>
        <v>0</v>
      </c>
    </row>
    <row r="2340" spans="1:22">
      <c r="A2340" s="16" t="s">
        <v>5337</v>
      </c>
      <c r="B2340" s="16" t="s">
        <v>799</v>
      </c>
      <c r="C2340" s="16" t="s">
        <v>717</v>
      </c>
      <c r="D2340" s="16" t="s">
        <v>158</v>
      </c>
      <c r="E2340" s="25">
        <v>45438</v>
      </c>
      <c r="F2340" s="16" t="s">
        <v>5338</v>
      </c>
      <c r="G2340" s="16" t="s">
        <v>145</v>
      </c>
      <c r="H2340" s="16">
        <v>1.8</v>
      </c>
      <c r="I2340" s="16">
        <v>299</v>
      </c>
      <c r="J2340" s="16">
        <v>0</v>
      </c>
      <c r="K2340" s="16">
        <v>538.20000000000005</v>
      </c>
      <c r="L2340" s="16" t="s">
        <v>139</v>
      </c>
      <c r="M2340" s="16" t="s">
        <v>133</v>
      </c>
      <c r="N2340" s="20"/>
      <c r="O2340" s="20"/>
      <c r="P2340" s="20"/>
      <c r="Q2340" s="16" t="b">
        <f>FALSE()</f>
        <v>0</v>
      </c>
      <c r="R2340" s="16" t="b">
        <f>FALSE()</f>
        <v>0</v>
      </c>
      <c r="S2340" s="17" t="str">
        <f t="shared" si="36"/>
        <v>N/A</v>
      </c>
      <c r="T2340">
        <f>COUNTIF('👤 Customers'!$A:$A, B2340)</f>
        <v>1</v>
      </c>
      <c r="U2340">
        <f>COUNTIF('🚴 Riders'!A2339:A2399, C2340)</f>
        <v>0</v>
      </c>
      <c r="V2340">
        <f>COUNTIF('🏭 Facilities'!A2339:A2347, D2340)</f>
        <v>0</v>
      </c>
    </row>
    <row r="2341" spans="1:22">
      <c r="A2341" s="18" t="s">
        <v>5339</v>
      </c>
      <c r="B2341" s="18" t="s">
        <v>1064</v>
      </c>
      <c r="C2341" s="18" t="s">
        <v>326</v>
      </c>
      <c r="D2341" s="18" t="s">
        <v>197</v>
      </c>
      <c r="E2341" s="26">
        <v>44943</v>
      </c>
      <c r="F2341" s="18" t="s">
        <v>5340</v>
      </c>
      <c r="G2341" s="18" t="s">
        <v>145</v>
      </c>
      <c r="H2341" s="18">
        <v>3.1</v>
      </c>
      <c r="I2341" s="18">
        <v>299</v>
      </c>
      <c r="J2341" s="18">
        <v>10</v>
      </c>
      <c r="K2341" s="18">
        <v>834.21</v>
      </c>
      <c r="L2341" s="18" t="s">
        <v>118</v>
      </c>
      <c r="M2341" s="18" t="s">
        <v>119</v>
      </c>
      <c r="N2341" s="28">
        <v>44943.26458333333</v>
      </c>
      <c r="O2341" s="28">
        <v>44944.099305555559</v>
      </c>
      <c r="P2341" s="18">
        <v>4.5</v>
      </c>
      <c r="Q2341" s="18" t="b">
        <f>FALSE()</f>
        <v>0</v>
      </c>
      <c r="R2341" s="18" t="b">
        <f>FALSE()</f>
        <v>0</v>
      </c>
      <c r="S2341" s="19">
        <f t="shared" si="36"/>
        <v>20</v>
      </c>
      <c r="T2341">
        <f>COUNTIF('👤 Customers'!$A:$A, B2341)</f>
        <v>1</v>
      </c>
      <c r="U2341">
        <f>COUNTIF('🚴 Riders'!A2340:A2400, C2341)</f>
        <v>0</v>
      </c>
      <c r="V2341">
        <f>COUNTIF('🏭 Facilities'!A2340:A2348, D2341)</f>
        <v>0</v>
      </c>
    </row>
    <row r="2342" spans="1:22">
      <c r="A2342" s="16" t="s">
        <v>5341</v>
      </c>
      <c r="B2342" s="16" t="s">
        <v>595</v>
      </c>
      <c r="C2342" s="16" t="s">
        <v>162</v>
      </c>
      <c r="D2342" s="16" t="s">
        <v>130</v>
      </c>
      <c r="E2342" s="25">
        <v>45083</v>
      </c>
      <c r="F2342" s="16" t="s">
        <v>5342</v>
      </c>
      <c r="G2342" s="16" t="s">
        <v>117</v>
      </c>
      <c r="H2342" s="16">
        <v>1.7</v>
      </c>
      <c r="I2342" s="16">
        <v>149</v>
      </c>
      <c r="J2342" s="16">
        <v>20</v>
      </c>
      <c r="K2342" s="16">
        <v>202.64</v>
      </c>
      <c r="L2342" s="16" t="s">
        <v>118</v>
      </c>
      <c r="M2342" s="16" t="s">
        <v>140</v>
      </c>
      <c r="N2342" s="27">
        <v>45084.005555555559</v>
      </c>
      <c r="O2342" s="27">
        <v>45084.362500000003</v>
      </c>
      <c r="P2342" s="20"/>
      <c r="Q2342" s="16" t="b">
        <f>FALSE()</f>
        <v>0</v>
      </c>
      <c r="R2342" s="16" t="b">
        <f>FALSE()</f>
        <v>0</v>
      </c>
      <c r="S2342" s="17">
        <f t="shared" si="36"/>
        <v>8.6</v>
      </c>
      <c r="T2342">
        <f>COUNTIF('👤 Customers'!$A:$A, B2342)</f>
        <v>1</v>
      </c>
      <c r="U2342">
        <f>COUNTIF('🚴 Riders'!A2341:A2401, C2342)</f>
        <v>0</v>
      </c>
      <c r="V2342">
        <f>COUNTIF('🏭 Facilities'!A2341:A2349, D2342)</f>
        <v>0</v>
      </c>
    </row>
    <row r="2343" spans="1:22">
      <c r="A2343" s="18" t="s">
        <v>5343</v>
      </c>
      <c r="B2343" s="18" t="s">
        <v>1048</v>
      </c>
      <c r="C2343" s="18" t="s">
        <v>362</v>
      </c>
      <c r="D2343" s="18" t="s">
        <v>205</v>
      </c>
      <c r="E2343" s="26">
        <v>45188</v>
      </c>
      <c r="F2343" s="18" t="s">
        <v>5344</v>
      </c>
      <c r="G2343" s="18" t="s">
        <v>117</v>
      </c>
      <c r="H2343" s="18">
        <v>7.5</v>
      </c>
      <c r="I2343" s="18">
        <v>149</v>
      </c>
      <c r="J2343" s="18">
        <v>20</v>
      </c>
      <c r="K2343" s="18">
        <v>894</v>
      </c>
      <c r="L2343" s="18" t="s">
        <v>139</v>
      </c>
      <c r="M2343" s="18" t="s">
        <v>119</v>
      </c>
      <c r="N2343" s="28">
        <v>45188.225694444445</v>
      </c>
      <c r="O2343" s="28">
        <v>45189.01666666667</v>
      </c>
      <c r="P2343" s="18">
        <v>4.2</v>
      </c>
      <c r="Q2343" s="18" t="b">
        <f>FALSE()</f>
        <v>0</v>
      </c>
      <c r="R2343" s="18" t="b">
        <f>FALSE()</f>
        <v>0</v>
      </c>
      <c r="S2343" s="19">
        <f t="shared" si="36"/>
        <v>19</v>
      </c>
      <c r="T2343">
        <f>COUNTIF('👤 Customers'!$A:$A, B2343)</f>
        <v>1</v>
      </c>
      <c r="U2343">
        <f>COUNTIF('🚴 Riders'!A2342:A2402, C2343)</f>
        <v>0</v>
      </c>
      <c r="V2343">
        <f>COUNTIF('🏭 Facilities'!A2342:A2350, D2343)</f>
        <v>0</v>
      </c>
    </row>
    <row r="2344" spans="1:22">
      <c r="A2344" s="16" t="s">
        <v>5345</v>
      </c>
      <c r="B2344" s="16" t="s">
        <v>1091</v>
      </c>
      <c r="C2344" s="16" t="s">
        <v>300</v>
      </c>
      <c r="D2344" s="16" t="s">
        <v>184</v>
      </c>
      <c r="E2344" s="25">
        <v>45322</v>
      </c>
      <c r="F2344" s="16" t="s">
        <v>5346</v>
      </c>
      <c r="G2344" s="16" t="s">
        <v>125</v>
      </c>
      <c r="H2344" s="16">
        <v>4.9000000000000004</v>
      </c>
      <c r="I2344" s="16">
        <v>199</v>
      </c>
      <c r="J2344" s="16">
        <v>10</v>
      </c>
      <c r="K2344" s="16">
        <v>877.59</v>
      </c>
      <c r="L2344" s="16" t="s">
        <v>146</v>
      </c>
      <c r="M2344" s="16" t="s">
        <v>119</v>
      </c>
      <c r="N2344" s="27">
        <v>45322.463194444441</v>
      </c>
      <c r="O2344" s="27">
        <v>45323.04791666667</v>
      </c>
      <c r="P2344" s="16">
        <v>3.5</v>
      </c>
      <c r="Q2344" s="16" t="b">
        <f>FALSE()</f>
        <v>0</v>
      </c>
      <c r="R2344" s="16" t="b">
        <f>FALSE()</f>
        <v>0</v>
      </c>
      <c r="S2344" s="17">
        <f t="shared" si="36"/>
        <v>14</v>
      </c>
      <c r="T2344">
        <f>COUNTIF('👤 Customers'!$A:$A, B2344)</f>
        <v>1</v>
      </c>
      <c r="U2344">
        <f>COUNTIF('🚴 Riders'!A2343:A2403, C2344)</f>
        <v>0</v>
      </c>
      <c r="V2344">
        <f>COUNTIF('🏭 Facilities'!A2343:A2351, D2344)</f>
        <v>0</v>
      </c>
    </row>
    <row r="2345" spans="1:22">
      <c r="A2345" s="18" t="s">
        <v>5347</v>
      </c>
      <c r="B2345" s="18" t="s">
        <v>830</v>
      </c>
      <c r="C2345" s="18" t="s">
        <v>166</v>
      </c>
      <c r="D2345" s="18" t="s">
        <v>115</v>
      </c>
      <c r="E2345" s="26">
        <v>44988</v>
      </c>
      <c r="F2345" s="18" t="s">
        <v>5348</v>
      </c>
      <c r="G2345" s="18" t="s">
        <v>145</v>
      </c>
      <c r="H2345" s="18">
        <v>1.6</v>
      </c>
      <c r="I2345" s="18">
        <v>299</v>
      </c>
      <c r="J2345" s="18">
        <v>20</v>
      </c>
      <c r="K2345" s="18">
        <v>382.72</v>
      </c>
      <c r="L2345" s="18" t="s">
        <v>146</v>
      </c>
      <c r="M2345" s="18" t="s">
        <v>140</v>
      </c>
      <c r="N2345" s="28">
        <v>44988.805555555555</v>
      </c>
      <c r="O2345" s="28">
        <v>44989.351388888892</v>
      </c>
      <c r="P2345" s="20"/>
      <c r="Q2345" s="18" t="b">
        <f>FALSE()</f>
        <v>0</v>
      </c>
      <c r="R2345" s="18" t="b">
        <f>FALSE()</f>
        <v>0</v>
      </c>
      <c r="S2345" s="19">
        <f t="shared" si="36"/>
        <v>13.1</v>
      </c>
      <c r="T2345">
        <f>COUNTIF('👤 Customers'!$A:$A, B2345)</f>
        <v>1</v>
      </c>
      <c r="U2345">
        <f>COUNTIF('🚴 Riders'!A2344:A2404, C2345)</f>
        <v>0</v>
      </c>
      <c r="V2345">
        <f>COUNTIF('🏭 Facilities'!A2344:A2352, D2345)</f>
        <v>0</v>
      </c>
    </row>
    <row r="2346" spans="1:22">
      <c r="A2346" s="16" t="s">
        <v>5349</v>
      </c>
      <c r="B2346" s="16" t="s">
        <v>1515</v>
      </c>
      <c r="C2346" s="16" t="s">
        <v>483</v>
      </c>
      <c r="D2346" s="16" t="s">
        <v>205</v>
      </c>
      <c r="E2346" s="25">
        <v>45225</v>
      </c>
      <c r="F2346" s="16" t="s">
        <v>5350</v>
      </c>
      <c r="G2346" s="16" t="s">
        <v>125</v>
      </c>
      <c r="H2346" s="16">
        <v>6.4</v>
      </c>
      <c r="I2346" s="16">
        <v>199</v>
      </c>
      <c r="J2346" s="16">
        <v>10</v>
      </c>
      <c r="K2346" s="16">
        <v>1146.24</v>
      </c>
      <c r="L2346" s="16" t="s">
        <v>126</v>
      </c>
      <c r="M2346" s="16" t="s">
        <v>119</v>
      </c>
      <c r="N2346" s="27">
        <v>45225.188194444447</v>
      </c>
      <c r="O2346" s="27">
        <v>45226.015972222223</v>
      </c>
      <c r="P2346" s="16">
        <v>4.9000000000000004</v>
      </c>
      <c r="Q2346" s="16" t="b">
        <f>TRUE()</f>
        <v>1</v>
      </c>
      <c r="R2346" s="16" t="b">
        <f>FALSE()</f>
        <v>0</v>
      </c>
      <c r="S2346" s="17">
        <f t="shared" si="36"/>
        <v>19.899999999999999</v>
      </c>
      <c r="T2346">
        <f>COUNTIF('👤 Customers'!$A:$A, B2346)</f>
        <v>1</v>
      </c>
      <c r="U2346">
        <f>COUNTIF('🚴 Riders'!A2345:A2405, C2346)</f>
        <v>0</v>
      </c>
      <c r="V2346">
        <f>COUNTIF('🏭 Facilities'!A2345:A2353, D2346)</f>
        <v>0</v>
      </c>
    </row>
    <row r="2347" spans="1:22">
      <c r="A2347" s="18" t="s">
        <v>5351</v>
      </c>
      <c r="B2347" s="18" t="s">
        <v>250</v>
      </c>
      <c r="C2347" s="18" t="s">
        <v>413</v>
      </c>
      <c r="D2347" s="18" t="s">
        <v>184</v>
      </c>
      <c r="E2347" s="26">
        <v>45519</v>
      </c>
      <c r="F2347" s="18" t="s">
        <v>5352</v>
      </c>
      <c r="G2347" s="18" t="s">
        <v>176</v>
      </c>
      <c r="H2347" s="18">
        <v>2.4</v>
      </c>
      <c r="I2347" s="18">
        <v>599</v>
      </c>
      <c r="J2347" s="18">
        <v>0</v>
      </c>
      <c r="K2347" s="18">
        <v>1437.6</v>
      </c>
      <c r="L2347" s="18" t="s">
        <v>126</v>
      </c>
      <c r="M2347" s="18" t="s">
        <v>119</v>
      </c>
      <c r="N2347" s="28">
        <v>45519.303472222222</v>
      </c>
      <c r="O2347" s="28">
        <v>45519.752083333333</v>
      </c>
      <c r="P2347" s="18">
        <v>4</v>
      </c>
      <c r="Q2347" s="18" t="b">
        <f>FALSE()</f>
        <v>0</v>
      </c>
      <c r="R2347" s="18" t="b">
        <f>FALSE()</f>
        <v>0</v>
      </c>
      <c r="S2347" s="19">
        <f t="shared" si="36"/>
        <v>10.8</v>
      </c>
      <c r="T2347">
        <f>COUNTIF('👤 Customers'!$A:$A, B2347)</f>
        <v>1</v>
      </c>
      <c r="U2347">
        <f>COUNTIF('🚴 Riders'!A2346:A2406, C2347)</f>
        <v>0</v>
      </c>
      <c r="V2347">
        <f>COUNTIF('🏭 Facilities'!A2346:A2354, D2347)</f>
        <v>0</v>
      </c>
    </row>
    <row r="2348" spans="1:22">
      <c r="A2348" s="16" t="s">
        <v>5353</v>
      </c>
      <c r="B2348" s="16" t="s">
        <v>2577</v>
      </c>
      <c r="C2348" s="16" t="s">
        <v>479</v>
      </c>
      <c r="D2348" s="16" t="s">
        <v>130</v>
      </c>
      <c r="E2348" s="25">
        <v>45111</v>
      </c>
      <c r="F2348" s="16" t="s">
        <v>5354</v>
      </c>
      <c r="G2348" s="16" t="s">
        <v>132</v>
      </c>
      <c r="H2348" s="16">
        <v>7.6</v>
      </c>
      <c r="I2348" s="16">
        <v>399</v>
      </c>
      <c r="J2348" s="16">
        <v>0</v>
      </c>
      <c r="K2348" s="16">
        <v>3032.4</v>
      </c>
      <c r="L2348" s="16" t="s">
        <v>146</v>
      </c>
      <c r="M2348" s="16" t="s">
        <v>119</v>
      </c>
      <c r="N2348" s="27">
        <v>45111.472222222219</v>
      </c>
      <c r="O2348" s="27">
        <v>45111.902777777781</v>
      </c>
      <c r="P2348" s="16">
        <v>3.9</v>
      </c>
      <c r="Q2348" s="16" t="b">
        <f>FALSE()</f>
        <v>0</v>
      </c>
      <c r="R2348" s="16" t="b">
        <f>TRUE()</f>
        <v>1</v>
      </c>
      <c r="S2348" s="17">
        <f t="shared" si="36"/>
        <v>10.3</v>
      </c>
      <c r="T2348">
        <f>COUNTIF('👤 Customers'!$A:$A, B2348)</f>
        <v>1</v>
      </c>
      <c r="U2348">
        <f>COUNTIF('🚴 Riders'!A2347:A2407, C2348)</f>
        <v>0</v>
      </c>
      <c r="V2348">
        <f>COUNTIF('🏭 Facilities'!A2347:A2355, D2348)</f>
        <v>0</v>
      </c>
    </row>
    <row r="2349" spans="1:22">
      <c r="A2349" s="18" t="s">
        <v>5355</v>
      </c>
      <c r="B2349" s="18" t="s">
        <v>1428</v>
      </c>
      <c r="C2349" s="18" t="s">
        <v>196</v>
      </c>
      <c r="D2349" s="18" t="s">
        <v>158</v>
      </c>
      <c r="E2349" s="26">
        <v>45435</v>
      </c>
      <c r="F2349" s="18" t="s">
        <v>5356</v>
      </c>
      <c r="G2349" s="18" t="s">
        <v>125</v>
      </c>
      <c r="H2349" s="18">
        <v>4.9000000000000004</v>
      </c>
      <c r="I2349" s="18">
        <v>199</v>
      </c>
      <c r="J2349" s="18">
        <v>10</v>
      </c>
      <c r="K2349" s="18">
        <v>877.59</v>
      </c>
      <c r="L2349" s="18" t="s">
        <v>139</v>
      </c>
      <c r="M2349" s="18" t="s">
        <v>133</v>
      </c>
      <c r="N2349" s="20"/>
      <c r="O2349" s="20"/>
      <c r="P2349" s="20"/>
      <c r="Q2349" s="18" t="b">
        <f>FALSE()</f>
        <v>0</v>
      </c>
      <c r="R2349" s="18" t="b">
        <f>FALSE()</f>
        <v>0</v>
      </c>
      <c r="S2349" s="19" t="str">
        <f t="shared" si="36"/>
        <v>N/A</v>
      </c>
      <c r="T2349">
        <f>COUNTIF('👤 Customers'!$A:$A, B2349)</f>
        <v>1</v>
      </c>
      <c r="U2349">
        <f>COUNTIF('🚴 Riders'!A2348:A2408, C2349)</f>
        <v>0</v>
      </c>
      <c r="V2349">
        <f>COUNTIF('🏭 Facilities'!A2348:A2356, D2349)</f>
        <v>0</v>
      </c>
    </row>
    <row r="2350" spans="1:22">
      <c r="A2350" s="16" t="s">
        <v>5357</v>
      </c>
      <c r="B2350" s="16" t="s">
        <v>2170</v>
      </c>
      <c r="C2350" s="16" t="s">
        <v>536</v>
      </c>
      <c r="D2350" s="16" t="s">
        <v>123</v>
      </c>
      <c r="E2350" s="25">
        <v>45612</v>
      </c>
      <c r="F2350" s="16" t="s">
        <v>5358</v>
      </c>
      <c r="G2350" s="16" t="s">
        <v>117</v>
      </c>
      <c r="H2350" s="16">
        <v>7.2</v>
      </c>
      <c r="I2350" s="16">
        <v>149</v>
      </c>
      <c r="J2350" s="16">
        <v>20</v>
      </c>
      <c r="K2350" s="16">
        <v>858.24</v>
      </c>
      <c r="L2350" s="16" t="s">
        <v>207</v>
      </c>
      <c r="M2350" s="16" t="s">
        <v>140</v>
      </c>
      <c r="N2350" s="27">
        <v>45612.068055555559</v>
      </c>
      <c r="O2350" s="27">
        <v>45612.57708333333</v>
      </c>
      <c r="P2350" s="20"/>
      <c r="Q2350" s="16" t="b">
        <f>FALSE()</f>
        <v>0</v>
      </c>
      <c r="R2350" s="16" t="b">
        <f>FALSE()</f>
        <v>0</v>
      </c>
      <c r="S2350" s="17">
        <f t="shared" si="36"/>
        <v>12.2</v>
      </c>
      <c r="T2350">
        <f>COUNTIF('👤 Customers'!$A:$A, B2350)</f>
        <v>1</v>
      </c>
      <c r="U2350">
        <f>COUNTIF('🚴 Riders'!A2349:A2409, C2350)</f>
        <v>0</v>
      </c>
      <c r="V2350">
        <f>COUNTIF('🏭 Facilities'!A2349:A2357, D2350)</f>
        <v>0</v>
      </c>
    </row>
    <row r="2351" spans="1:22">
      <c r="A2351" s="18" t="s">
        <v>5359</v>
      </c>
      <c r="B2351" s="18" t="s">
        <v>3828</v>
      </c>
      <c r="C2351" s="18" t="s">
        <v>136</v>
      </c>
      <c r="D2351" s="18" t="s">
        <v>130</v>
      </c>
      <c r="E2351" s="26">
        <v>45153</v>
      </c>
      <c r="F2351" s="18" t="s">
        <v>5360</v>
      </c>
      <c r="G2351" s="18" t="s">
        <v>145</v>
      </c>
      <c r="H2351" s="18">
        <v>2.9</v>
      </c>
      <c r="I2351" s="18">
        <v>299</v>
      </c>
      <c r="J2351" s="18">
        <v>10</v>
      </c>
      <c r="K2351" s="18">
        <v>780.39</v>
      </c>
      <c r="L2351" s="18" t="s">
        <v>207</v>
      </c>
      <c r="M2351" s="18" t="s">
        <v>119</v>
      </c>
      <c r="N2351" s="28">
        <v>45153.947916666664</v>
      </c>
      <c r="O2351" s="28">
        <v>45154.897222222222</v>
      </c>
      <c r="P2351" s="18">
        <v>4.4000000000000004</v>
      </c>
      <c r="Q2351" s="18" t="b">
        <f>FALSE()</f>
        <v>0</v>
      </c>
      <c r="R2351" s="18" t="b">
        <f>FALSE()</f>
        <v>0</v>
      </c>
      <c r="S2351" s="19">
        <f t="shared" si="36"/>
        <v>22.8</v>
      </c>
      <c r="T2351">
        <f>COUNTIF('👤 Customers'!$A:$A, B2351)</f>
        <v>1</v>
      </c>
      <c r="U2351">
        <f>COUNTIF('🚴 Riders'!A2350:A2410, C2351)</f>
        <v>0</v>
      </c>
      <c r="V2351">
        <f>COUNTIF('🏭 Facilities'!A2350:A2358, D2351)</f>
        <v>0</v>
      </c>
    </row>
    <row r="2352" spans="1:22">
      <c r="A2352" s="16" t="s">
        <v>5361</v>
      </c>
      <c r="B2352" s="16" t="s">
        <v>2101</v>
      </c>
      <c r="C2352" s="16" t="s">
        <v>350</v>
      </c>
      <c r="D2352" s="16" t="s">
        <v>123</v>
      </c>
      <c r="E2352" s="25">
        <v>45113</v>
      </c>
      <c r="F2352" s="16" t="s">
        <v>5362</v>
      </c>
      <c r="G2352" s="16" t="s">
        <v>145</v>
      </c>
      <c r="H2352" s="16">
        <v>5.2</v>
      </c>
      <c r="I2352" s="16">
        <v>299</v>
      </c>
      <c r="J2352" s="16">
        <v>10</v>
      </c>
      <c r="K2352" s="16">
        <v>1399.32</v>
      </c>
      <c r="L2352" s="16" t="s">
        <v>118</v>
      </c>
      <c r="M2352" s="16" t="s">
        <v>133</v>
      </c>
      <c r="N2352" s="20"/>
      <c r="O2352" s="20"/>
      <c r="P2352" s="20"/>
      <c r="Q2352" s="16" t="b">
        <f>FALSE()</f>
        <v>0</v>
      </c>
      <c r="R2352" s="16" t="b">
        <f>TRUE()</f>
        <v>1</v>
      </c>
      <c r="S2352" s="17" t="str">
        <f t="shared" si="36"/>
        <v>N/A</v>
      </c>
      <c r="T2352">
        <f>COUNTIF('👤 Customers'!$A:$A, B2352)</f>
        <v>1</v>
      </c>
      <c r="U2352">
        <f>COUNTIF('🚴 Riders'!A2351:A2411, C2352)</f>
        <v>0</v>
      </c>
      <c r="V2352">
        <f>COUNTIF('🏭 Facilities'!A2351:A2359, D2352)</f>
        <v>0</v>
      </c>
    </row>
    <row r="2353" spans="1:22">
      <c r="A2353" s="18" t="s">
        <v>5363</v>
      </c>
      <c r="B2353" s="18" t="s">
        <v>1480</v>
      </c>
      <c r="C2353" s="18" t="s">
        <v>157</v>
      </c>
      <c r="D2353" s="18" t="s">
        <v>205</v>
      </c>
      <c r="E2353" s="26">
        <v>45228</v>
      </c>
      <c r="F2353" s="18" t="s">
        <v>5364</v>
      </c>
      <c r="G2353" s="18" t="s">
        <v>176</v>
      </c>
      <c r="H2353" s="18">
        <v>4.0999999999999996</v>
      </c>
      <c r="I2353" s="18">
        <v>599</v>
      </c>
      <c r="J2353" s="18">
        <v>0</v>
      </c>
      <c r="K2353" s="18">
        <v>2455.9</v>
      </c>
      <c r="L2353" s="18" t="s">
        <v>207</v>
      </c>
      <c r="M2353" s="18" t="s">
        <v>119</v>
      </c>
      <c r="N2353" s="28">
        <v>45228.57708333333</v>
      </c>
      <c r="O2353" s="28">
        <v>45229.408333333333</v>
      </c>
      <c r="P2353" s="18">
        <v>2.7</v>
      </c>
      <c r="Q2353" s="18" t="b">
        <f>FALSE()</f>
        <v>0</v>
      </c>
      <c r="R2353" s="18" t="b">
        <f>FALSE()</f>
        <v>0</v>
      </c>
      <c r="S2353" s="19">
        <f t="shared" si="36"/>
        <v>20</v>
      </c>
      <c r="T2353">
        <f>COUNTIF('👤 Customers'!$A:$A, B2353)</f>
        <v>1</v>
      </c>
      <c r="U2353">
        <f>COUNTIF('🚴 Riders'!A2352:A2412, C2353)</f>
        <v>0</v>
      </c>
      <c r="V2353">
        <f>COUNTIF('🏭 Facilities'!A2352:A2360, D2353)</f>
        <v>0</v>
      </c>
    </row>
    <row r="2354" spans="1:22">
      <c r="A2354" s="16" t="s">
        <v>5365</v>
      </c>
      <c r="B2354" s="16" t="s">
        <v>2741</v>
      </c>
      <c r="C2354" s="16" t="s">
        <v>220</v>
      </c>
      <c r="D2354" s="16" t="s">
        <v>184</v>
      </c>
      <c r="E2354" s="25">
        <v>45240</v>
      </c>
      <c r="F2354" s="16" t="s">
        <v>5366</v>
      </c>
      <c r="G2354" s="16" t="s">
        <v>117</v>
      </c>
      <c r="H2354" s="16">
        <v>5.6</v>
      </c>
      <c r="I2354" s="16">
        <v>149</v>
      </c>
      <c r="J2354" s="16">
        <v>0</v>
      </c>
      <c r="K2354" s="16">
        <v>834.4</v>
      </c>
      <c r="L2354" s="16" t="s">
        <v>146</v>
      </c>
      <c r="M2354" s="16" t="s">
        <v>119</v>
      </c>
      <c r="N2354" s="27">
        <v>45240.332638888889</v>
      </c>
      <c r="O2354" s="27">
        <v>45240.770833333336</v>
      </c>
      <c r="P2354" s="16">
        <v>4.8</v>
      </c>
      <c r="Q2354" s="16" t="b">
        <f>FALSE()</f>
        <v>0</v>
      </c>
      <c r="R2354" s="16" t="b">
        <f>FALSE()</f>
        <v>0</v>
      </c>
      <c r="S2354" s="17">
        <f t="shared" si="36"/>
        <v>10.5</v>
      </c>
      <c r="T2354">
        <f>COUNTIF('👤 Customers'!$A:$A, B2354)</f>
        <v>1</v>
      </c>
      <c r="U2354">
        <f>COUNTIF('🚴 Riders'!A2353:A2413, C2354)</f>
        <v>0</v>
      </c>
      <c r="V2354">
        <f>COUNTIF('🏭 Facilities'!A2353:A2361, D2354)</f>
        <v>0</v>
      </c>
    </row>
    <row r="2355" spans="1:22">
      <c r="A2355" s="18" t="s">
        <v>5367</v>
      </c>
      <c r="B2355" s="18" t="s">
        <v>212</v>
      </c>
      <c r="C2355" s="18" t="s">
        <v>536</v>
      </c>
      <c r="D2355" s="18" t="s">
        <v>137</v>
      </c>
      <c r="E2355" s="26">
        <v>45384</v>
      </c>
      <c r="F2355" s="18" t="s">
        <v>5368</v>
      </c>
      <c r="G2355" s="18" t="s">
        <v>145</v>
      </c>
      <c r="H2355" s="18">
        <v>3.7</v>
      </c>
      <c r="I2355" s="18">
        <v>299</v>
      </c>
      <c r="J2355" s="18">
        <v>10</v>
      </c>
      <c r="K2355" s="18">
        <v>995.67</v>
      </c>
      <c r="L2355" s="18" t="s">
        <v>146</v>
      </c>
      <c r="M2355" s="18" t="s">
        <v>133</v>
      </c>
      <c r="N2355" s="20"/>
      <c r="O2355" s="20"/>
      <c r="P2355" s="20"/>
      <c r="Q2355" s="18" t="b">
        <f>FALSE()</f>
        <v>0</v>
      </c>
      <c r="R2355" s="18" t="b">
        <f>TRUE()</f>
        <v>1</v>
      </c>
      <c r="S2355" s="19" t="str">
        <f t="shared" si="36"/>
        <v>N/A</v>
      </c>
      <c r="T2355">
        <f>COUNTIF('👤 Customers'!$A:$A, B2355)</f>
        <v>1</v>
      </c>
      <c r="U2355">
        <f>COUNTIF('🚴 Riders'!A2354:A2414, C2355)</f>
        <v>0</v>
      </c>
      <c r="V2355">
        <f>COUNTIF('🏭 Facilities'!A2354:A2362, D2355)</f>
        <v>0</v>
      </c>
    </row>
    <row r="2356" spans="1:22">
      <c r="A2356" s="16" t="s">
        <v>5369</v>
      </c>
      <c r="B2356" s="16" t="s">
        <v>716</v>
      </c>
      <c r="C2356" s="16" t="s">
        <v>236</v>
      </c>
      <c r="D2356" s="16" t="s">
        <v>123</v>
      </c>
      <c r="E2356" s="25">
        <v>45443</v>
      </c>
      <c r="F2356" s="16" t="s">
        <v>5370</v>
      </c>
      <c r="G2356" s="16" t="s">
        <v>132</v>
      </c>
      <c r="H2356" s="16">
        <v>2.9</v>
      </c>
      <c r="I2356" s="16">
        <v>399</v>
      </c>
      <c r="J2356" s="16">
        <v>0</v>
      </c>
      <c r="K2356" s="16">
        <v>1157.0999999999999</v>
      </c>
      <c r="L2356" s="16" t="s">
        <v>126</v>
      </c>
      <c r="M2356" s="16" t="s">
        <v>119</v>
      </c>
      <c r="N2356" s="27">
        <v>45443.55972222222</v>
      </c>
      <c r="O2356" s="27">
        <v>45443.929861111108</v>
      </c>
      <c r="P2356" s="16">
        <v>5</v>
      </c>
      <c r="Q2356" s="16" t="b">
        <f>FALSE()</f>
        <v>0</v>
      </c>
      <c r="R2356" s="16" t="b">
        <f>TRUE()</f>
        <v>1</v>
      </c>
      <c r="S2356" s="17">
        <f t="shared" si="36"/>
        <v>8.9</v>
      </c>
      <c r="T2356">
        <f>COUNTIF('👤 Customers'!$A:$A, B2356)</f>
        <v>1</v>
      </c>
      <c r="U2356">
        <f>COUNTIF('🚴 Riders'!A2355:A2415, C2356)</f>
        <v>0</v>
      </c>
      <c r="V2356">
        <f>COUNTIF('🏭 Facilities'!A2355:A2363, D2356)</f>
        <v>0</v>
      </c>
    </row>
    <row r="2357" spans="1:22">
      <c r="A2357" s="18" t="s">
        <v>5371</v>
      </c>
      <c r="B2357" s="18" t="s">
        <v>1111</v>
      </c>
      <c r="C2357" s="18" t="s">
        <v>343</v>
      </c>
      <c r="D2357" s="18" t="s">
        <v>205</v>
      </c>
      <c r="E2357" s="26">
        <v>45326</v>
      </c>
      <c r="F2357" s="18" t="s">
        <v>5372</v>
      </c>
      <c r="G2357" s="18" t="s">
        <v>145</v>
      </c>
      <c r="H2357" s="18">
        <v>4.4000000000000004</v>
      </c>
      <c r="I2357" s="18">
        <v>299</v>
      </c>
      <c r="J2357" s="18">
        <v>0</v>
      </c>
      <c r="K2357" s="18">
        <v>1315.6</v>
      </c>
      <c r="L2357" s="18" t="s">
        <v>118</v>
      </c>
      <c r="M2357" s="18" t="s">
        <v>133</v>
      </c>
      <c r="N2357" s="20"/>
      <c r="O2357" s="20"/>
      <c r="P2357" s="20"/>
      <c r="Q2357" s="18" t="b">
        <f>FALSE()</f>
        <v>0</v>
      </c>
      <c r="R2357" s="18" t="b">
        <f>FALSE()</f>
        <v>0</v>
      </c>
      <c r="S2357" s="19" t="str">
        <f t="shared" si="36"/>
        <v>N/A</v>
      </c>
      <c r="T2357">
        <f>COUNTIF('👤 Customers'!$A:$A, B2357)</f>
        <v>1</v>
      </c>
      <c r="U2357">
        <f>COUNTIF('🚴 Riders'!A2356:A2416, C2357)</f>
        <v>0</v>
      </c>
      <c r="V2357">
        <f>COUNTIF('🏭 Facilities'!A2356:A2364, D2357)</f>
        <v>0</v>
      </c>
    </row>
    <row r="2358" spans="1:22">
      <c r="A2358" s="16" t="s">
        <v>5373</v>
      </c>
      <c r="B2358" s="16" t="s">
        <v>944</v>
      </c>
      <c r="C2358" s="16" t="s">
        <v>240</v>
      </c>
      <c r="D2358" s="16" t="s">
        <v>115</v>
      </c>
      <c r="E2358" s="25">
        <v>45636</v>
      </c>
      <c r="F2358" s="16" t="s">
        <v>5374</v>
      </c>
      <c r="G2358" s="16" t="s">
        <v>117</v>
      </c>
      <c r="H2358" s="16">
        <v>5.7</v>
      </c>
      <c r="I2358" s="16">
        <v>149</v>
      </c>
      <c r="J2358" s="16">
        <v>0</v>
      </c>
      <c r="K2358" s="16">
        <v>849.3</v>
      </c>
      <c r="L2358" s="16" t="s">
        <v>146</v>
      </c>
      <c r="M2358" s="16" t="s">
        <v>119</v>
      </c>
      <c r="N2358" s="27">
        <v>45636.54583333333</v>
      </c>
      <c r="O2358" s="27">
        <v>45637.402777777781</v>
      </c>
      <c r="P2358" s="16">
        <v>3.5</v>
      </c>
      <c r="Q2358" s="16" t="b">
        <f>FALSE()</f>
        <v>0</v>
      </c>
      <c r="R2358" s="16" t="b">
        <f>TRUE()</f>
        <v>1</v>
      </c>
      <c r="S2358" s="17">
        <f t="shared" si="36"/>
        <v>20.6</v>
      </c>
      <c r="T2358">
        <f>COUNTIF('👤 Customers'!$A:$A, B2358)</f>
        <v>1</v>
      </c>
      <c r="U2358">
        <f>COUNTIF('🚴 Riders'!A2357:A2417, C2358)</f>
        <v>0</v>
      </c>
      <c r="V2358">
        <f>COUNTIF('🏭 Facilities'!A2357:A2365, D2358)</f>
        <v>0</v>
      </c>
    </row>
    <row r="2359" spans="1:22">
      <c r="A2359" s="18" t="s">
        <v>5375</v>
      </c>
      <c r="B2359" s="18" t="s">
        <v>769</v>
      </c>
      <c r="C2359" s="18" t="s">
        <v>343</v>
      </c>
      <c r="D2359" s="18" t="s">
        <v>123</v>
      </c>
      <c r="E2359" s="26">
        <v>45200</v>
      </c>
      <c r="F2359" s="18" t="s">
        <v>5376</v>
      </c>
      <c r="G2359" s="18" t="s">
        <v>117</v>
      </c>
      <c r="H2359" s="18">
        <v>1.5</v>
      </c>
      <c r="I2359" s="18">
        <v>149</v>
      </c>
      <c r="J2359" s="18">
        <v>10</v>
      </c>
      <c r="K2359" s="18">
        <v>201.15</v>
      </c>
      <c r="L2359" s="18" t="s">
        <v>207</v>
      </c>
      <c r="M2359" s="18" t="s">
        <v>119</v>
      </c>
      <c r="N2359" s="28">
        <v>45200.956250000003</v>
      </c>
      <c r="O2359" s="28">
        <v>45201.642361111109</v>
      </c>
      <c r="P2359" s="18">
        <v>4.9000000000000004</v>
      </c>
      <c r="Q2359" s="18" t="b">
        <f>FALSE()</f>
        <v>0</v>
      </c>
      <c r="R2359" s="18" t="b">
        <f>TRUE()</f>
        <v>1</v>
      </c>
      <c r="S2359" s="19">
        <f t="shared" si="36"/>
        <v>16.5</v>
      </c>
      <c r="T2359">
        <f>COUNTIF('👤 Customers'!$A:$A, B2359)</f>
        <v>1</v>
      </c>
      <c r="U2359">
        <f>COUNTIF('🚴 Riders'!A2358:A2418, C2359)</f>
        <v>0</v>
      </c>
      <c r="V2359">
        <f>COUNTIF('🏭 Facilities'!A2358:A2366, D2359)</f>
        <v>0</v>
      </c>
    </row>
    <row r="2360" spans="1:22">
      <c r="A2360" s="16" t="s">
        <v>5377</v>
      </c>
      <c r="B2360" s="16" t="s">
        <v>701</v>
      </c>
      <c r="C2360" s="16" t="s">
        <v>122</v>
      </c>
      <c r="D2360" s="16" t="s">
        <v>184</v>
      </c>
      <c r="E2360" s="25">
        <v>44955</v>
      </c>
      <c r="F2360" s="16" t="s">
        <v>5378</v>
      </c>
      <c r="G2360" s="16" t="s">
        <v>117</v>
      </c>
      <c r="H2360" s="16">
        <v>3.9</v>
      </c>
      <c r="I2360" s="16">
        <v>149</v>
      </c>
      <c r="J2360" s="16">
        <v>0</v>
      </c>
      <c r="K2360" s="16">
        <v>581.1</v>
      </c>
      <c r="L2360" s="16" t="s">
        <v>118</v>
      </c>
      <c r="M2360" s="16" t="s">
        <v>119</v>
      </c>
      <c r="N2360" s="27">
        <v>44955.361111111109</v>
      </c>
      <c r="O2360" s="27">
        <v>44956.381944444445</v>
      </c>
      <c r="P2360" s="16">
        <v>2.9</v>
      </c>
      <c r="Q2360" s="16" t="b">
        <f>FALSE()</f>
        <v>0</v>
      </c>
      <c r="R2360" s="16" t="b">
        <f>FALSE()</f>
        <v>0</v>
      </c>
      <c r="S2360" s="17">
        <f t="shared" si="36"/>
        <v>24.5</v>
      </c>
      <c r="T2360">
        <f>COUNTIF('👤 Customers'!$A:$A, B2360)</f>
        <v>1</v>
      </c>
      <c r="U2360">
        <f>COUNTIF('🚴 Riders'!A2359:A2419, C2360)</f>
        <v>0</v>
      </c>
      <c r="V2360">
        <f>COUNTIF('🏭 Facilities'!A2359:A2367, D2360)</f>
        <v>0</v>
      </c>
    </row>
    <row r="2361" spans="1:22">
      <c r="A2361" s="18" t="s">
        <v>5379</v>
      </c>
      <c r="B2361" s="18" t="s">
        <v>734</v>
      </c>
      <c r="C2361" s="18" t="s">
        <v>300</v>
      </c>
      <c r="D2361" s="18" t="s">
        <v>205</v>
      </c>
      <c r="E2361" s="26">
        <v>45271</v>
      </c>
      <c r="F2361" s="18" t="s">
        <v>5380</v>
      </c>
      <c r="G2361" s="18" t="s">
        <v>117</v>
      </c>
      <c r="H2361" s="18">
        <v>4.2</v>
      </c>
      <c r="I2361" s="18">
        <v>149</v>
      </c>
      <c r="J2361" s="18">
        <v>0</v>
      </c>
      <c r="K2361" s="18">
        <v>625.79999999999995</v>
      </c>
      <c r="L2361" s="18" t="s">
        <v>126</v>
      </c>
      <c r="M2361" s="18" t="s">
        <v>119</v>
      </c>
      <c r="N2361" s="28">
        <v>45271.188194444447</v>
      </c>
      <c r="O2361" s="28">
        <v>45271.674305555556</v>
      </c>
      <c r="P2361" s="18">
        <v>4.5</v>
      </c>
      <c r="Q2361" s="18" t="b">
        <f>FALSE()</f>
        <v>0</v>
      </c>
      <c r="R2361" s="18" t="b">
        <f>FALSE()</f>
        <v>0</v>
      </c>
      <c r="S2361" s="19">
        <f t="shared" si="36"/>
        <v>11.7</v>
      </c>
      <c r="T2361">
        <f>COUNTIF('👤 Customers'!$A:$A, B2361)</f>
        <v>1</v>
      </c>
      <c r="U2361">
        <f>COUNTIF('🚴 Riders'!A2360:A2420, C2361)</f>
        <v>0</v>
      </c>
      <c r="V2361">
        <f>COUNTIF('🏭 Facilities'!A2360:A2368, D2361)</f>
        <v>0</v>
      </c>
    </row>
    <row r="2362" spans="1:22">
      <c r="A2362" s="16" t="s">
        <v>5381</v>
      </c>
      <c r="B2362" s="16" t="s">
        <v>788</v>
      </c>
      <c r="C2362" s="16" t="s">
        <v>170</v>
      </c>
      <c r="D2362" s="16" t="s">
        <v>137</v>
      </c>
      <c r="E2362" s="25">
        <v>45109</v>
      </c>
      <c r="F2362" s="16" t="s">
        <v>5382</v>
      </c>
      <c r="G2362" s="16" t="s">
        <v>132</v>
      </c>
      <c r="H2362" s="16">
        <v>3.2</v>
      </c>
      <c r="I2362" s="16">
        <v>399</v>
      </c>
      <c r="J2362" s="16">
        <v>20</v>
      </c>
      <c r="K2362" s="16">
        <v>1021.44</v>
      </c>
      <c r="L2362" s="16" t="s">
        <v>207</v>
      </c>
      <c r="M2362" s="16" t="s">
        <v>119</v>
      </c>
      <c r="N2362" s="27">
        <v>45109.893750000003</v>
      </c>
      <c r="O2362" s="27">
        <v>45110.272916666669</v>
      </c>
      <c r="P2362" s="16">
        <v>4.3</v>
      </c>
      <c r="Q2362" s="16" t="b">
        <f>FALSE()</f>
        <v>0</v>
      </c>
      <c r="R2362" s="16" t="b">
        <f>FALSE()</f>
        <v>0</v>
      </c>
      <c r="S2362" s="17">
        <f t="shared" si="36"/>
        <v>9.1</v>
      </c>
      <c r="T2362">
        <f>COUNTIF('👤 Customers'!$A:$A, B2362)</f>
        <v>1</v>
      </c>
      <c r="U2362">
        <f>COUNTIF('🚴 Riders'!A2361:A2421, C2362)</f>
        <v>0</v>
      </c>
      <c r="V2362">
        <f>COUNTIF('🏭 Facilities'!A2361:A2369, D2362)</f>
        <v>0</v>
      </c>
    </row>
    <row r="2363" spans="1:22">
      <c r="A2363" s="18" t="s">
        <v>5383</v>
      </c>
      <c r="B2363" s="18" t="s">
        <v>200</v>
      </c>
      <c r="C2363" s="18" t="s">
        <v>204</v>
      </c>
      <c r="D2363" s="18" t="s">
        <v>123</v>
      </c>
      <c r="E2363" s="26">
        <v>45625</v>
      </c>
      <c r="F2363" s="18" t="s">
        <v>5384</v>
      </c>
      <c r="G2363" s="18" t="s">
        <v>145</v>
      </c>
      <c r="H2363" s="18">
        <v>3.9</v>
      </c>
      <c r="I2363" s="18">
        <v>299</v>
      </c>
      <c r="J2363" s="18">
        <v>30</v>
      </c>
      <c r="K2363" s="18">
        <v>816.27</v>
      </c>
      <c r="L2363" s="18" t="s">
        <v>207</v>
      </c>
      <c r="M2363" s="18" t="s">
        <v>119</v>
      </c>
      <c r="N2363" s="28">
        <v>45625.45208333333</v>
      </c>
      <c r="O2363" s="28">
        <v>45626.305555555555</v>
      </c>
      <c r="P2363" s="18">
        <v>3</v>
      </c>
      <c r="Q2363" s="18" t="b">
        <f>FALSE()</f>
        <v>0</v>
      </c>
      <c r="R2363" s="18" t="b">
        <f>TRUE()</f>
        <v>1</v>
      </c>
      <c r="S2363" s="19">
        <f t="shared" si="36"/>
        <v>20.5</v>
      </c>
      <c r="T2363">
        <f>COUNTIF('👤 Customers'!$A:$A, B2363)</f>
        <v>1</v>
      </c>
      <c r="U2363">
        <f>COUNTIF('🚴 Riders'!A2362:A2422, C2363)</f>
        <v>0</v>
      </c>
      <c r="V2363">
        <f>COUNTIF('🏭 Facilities'!A2362:A2370, D2363)</f>
        <v>0</v>
      </c>
    </row>
    <row r="2364" spans="1:22">
      <c r="A2364" s="16" t="s">
        <v>5385</v>
      </c>
      <c r="B2364" s="16" t="s">
        <v>670</v>
      </c>
      <c r="C2364" s="16" t="s">
        <v>750</v>
      </c>
      <c r="D2364" s="16" t="s">
        <v>123</v>
      </c>
      <c r="E2364" s="25">
        <v>44958</v>
      </c>
      <c r="F2364" s="16" t="s">
        <v>5386</v>
      </c>
      <c r="G2364" s="16" t="s">
        <v>176</v>
      </c>
      <c r="H2364" s="16">
        <v>5.3</v>
      </c>
      <c r="I2364" s="16">
        <v>599</v>
      </c>
      <c r="J2364" s="16">
        <v>0</v>
      </c>
      <c r="K2364" s="16">
        <v>3174.7</v>
      </c>
      <c r="L2364" s="16" t="s">
        <v>118</v>
      </c>
      <c r="M2364" s="16" t="s">
        <v>119</v>
      </c>
      <c r="N2364" s="27">
        <v>44958.52847222222</v>
      </c>
      <c r="O2364" s="27">
        <v>44959.103472222225</v>
      </c>
      <c r="P2364" s="16">
        <v>3.6</v>
      </c>
      <c r="Q2364" s="16" t="b">
        <f>FALSE()</f>
        <v>0</v>
      </c>
      <c r="R2364" s="16" t="b">
        <f>FALSE()</f>
        <v>0</v>
      </c>
      <c r="S2364" s="17">
        <f t="shared" si="36"/>
        <v>13.8</v>
      </c>
      <c r="T2364">
        <f>COUNTIF('👤 Customers'!$A:$A, B2364)</f>
        <v>1</v>
      </c>
      <c r="U2364">
        <f>COUNTIF('🚴 Riders'!A2363:A2423, C2364)</f>
        <v>0</v>
      </c>
      <c r="V2364">
        <f>COUNTIF('🏭 Facilities'!A2363:A2371, D2364)</f>
        <v>0</v>
      </c>
    </row>
    <row r="2365" spans="1:22">
      <c r="A2365" s="18" t="s">
        <v>5387</v>
      </c>
      <c r="B2365" s="18" t="s">
        <v>522</v>
      </c>
      <c r="C2365" s="18" t="s">
        <v>308</v>
      </c>
      <c r="D2365" s="18" t="s">
        <v>137</v>
      </c>
      <c r="E2365" s="26">
        <v>45640</v>
      </c>
      <c r="F2365" s="18" t="s">
        <v>5388</v>
      </c>
      <c r="G2365" s="18" t="s">
        <v>117</v>
      </c>
      <c r="H2365" s="18">
        <v>5.0999999999999996</v>
      </c>
      <c r="I2365" s="18">
        <v>149</v>
      </c>
      <c r="J2365" s="18">
        <v>10</v>
      </c>
      <c r="K2365" s="18">
        <v>683.91</v>
      </c>
      <c r="L2365" s="18" t="s">
        <v>118</v>
      </c>
      <c r="M2365" s="18" t="s">
        <v>119</v>
      </c>
      <c r="N2365" s="28">
        <v>45640.378472222219</v>
      </c>
      <c r="O2365" s="28">
        <v>45640.756249999999</v>
      </c>
      <c r="P2365" s="18">
        <v>4</v>
      </c>
      <c r="Q2365" s="18" t="b">
        <f>FALSE()</f>
        <v>0</v>
      </c>
      <c r="R2365" s="18" t="b">
        <f>FALSE()</f>
        <v>0</v>
      </c>
      <c r="S2365" s="19">
        <f t="shared" si="36"/>
        <v>9.1</v>
      </c>
      <c r="T2365">
        <f>COUNTIF('👤 Customers'!$A:$A, B2365)</f>
        <v>1</v>
      </c>
      <c r="U2365">
        <f>COUNTIF('🚴 Riders'!A2364:A2424, C2365)</f>
        <v>0</v>
      </c>
      <c r="V2365">
        <f>COUNTIF('🏭 Facilities'!A2364:A2372, D2365)</f>
        <v>0</v>
      </c>
    </row>
    <row r="2366" spans="1:22">
      <c r="A2366" s="16" t="s">
        <v>5389</v>
      </c>
      <c r="B2366" s="16" t="s">
        <v>838</v>
      </c>
      <c r="C2366" s="16" t="s">
        <v>461</v>
      </c>
      <c r="D2366" s="16" t="s">
        <v>115</v>
      </c>
      <c r="E2366" s="25">
        <v>45549</v>
      </c>
      <c r="F2366" s="16" t="s">
        <v>5390</v>
      </c>
      <c r="G2366" s="16" t="s">
        <v>117</v>
      </c>
      <c r="H2366" s="16">
        <v>2.5</v>
      </c>
      <c r="I2366" s="16">
        <v>149</v>
      </c>
      <c r="J2366" s="16">
        <v>20</v>
      </c>
      <c r="K2366" s="16">
        <v>298</v>
      </c>
      <c r="L2366" s="16" t="s">
        <v>139</v>
      </c>
      <c r="M2366" s="16" t="s">
        <v>133</v>
      </c>
      <c r="N2366" s="20"/>
      <c r="O2366" s="20"/>
      <c r="P2366" s="20"/>
      <c r="Q2366" s="16" t="b">
        <f>FALSE()</f>
        <v>0</v>
      </c>
      <c r="R2366" s="16" t="b">
        <f>FALSE()</f>
        <v>0</v>
      </c>
      <c r="S2366" s="17" t="str">
        <f t="shared" si="36"/>
        <v>N/A</v>
      </c>
      <c r="T2366">
        <f>COUNTIF('👤 Customers'!$A:$A, B2366)</f>
        <v>1</v>
      </c>
      <c r="U2366">
        <f>COUNTIF('🚴 Riders'!A2365:A2425, C2366)</f>
        <v>0</v>
      </c>
      <c r="V2366">
        <f>COUNTIF('🏭 Facilities'!A2365:A2373, D2366)</f>
        <v>0</v>
      </c>
    </row>
    <row r="2367" spans="1:22">
      <c r="A2367" s="18" t="s">
        <v>5391</v>
      </c>
      <c r="B2367" s="18" t="s">
        <v>1361</v>
      </c>
      <c r="C2367" s="18" t="s">
        <v>228</v>
      </c>
      <c r="D2367" s="18" t="s">
        <v>158</v>
      </c>
      <c r="E2367" s="26">
        <v>45211</v>
      </c>
      <c r="F2367" s="18" t="s">
        <v>5392</v>
      </c>
      <c r="G2367" s="18" t="s">
        <v>125</v>
      </c>
      <c r="H2367" s="18">
        <v>2.5</v>
      </c>
      <c r="I2367" s="18">
        <v>199</v>
      </c>
      <c r="J2367" s="18">
        <v>0</v>
      </c>
      <c r="K2367" s="18">
        <v>497.5</v>
      </c>
      <c r="L2367" s="18" t="s">
        <v>146</v>
      </c>
      <c r="M2367" s="18" t="s">
        <v>119</v>
      </c>
      <c r="N2367" s="28">
        <v>45211.605555555558</v>
      </c>
      <c r="O2367" s="28">
        <v>45212.086111111108</v>
      </c>
      <c r="P2367" s="18">
        <v>4</v>
      </c>
      <c r="Q2367" s="18" t="b">
        <f>FALSE()</f>
        <v>0</v>
      </c>
      <c r="R2367" s="18" t="b">
        <f>FALSE()</f>
        <v>0</v>
      </c>
      <c r="S2367" s="19">
        <f t="shared" si="36"/>
        <v>11.5</v>
      </c>
      <c r="T2367">
        <f>COUNTIF('👤 Customers'!$A:$A, B2367)</f>
        <v>1</v>
      </c>
      <c r="U2367">
        <f>COUNTIF('🚴 Riders'!A2366:A2426, C2367)</f>
        <v>0</v>
      </c>
      <c r="V2367">
        <f>COUNTIF('🏭 Facilities'!A2366:A2374, D2367)</f>
        <v>0</v>
      </c>
    </row>
    <row r="2368" spans="1:22">
      <c r="A2368" s="16" t="s">
        <v>5393</v>
      </c>
      <c r="B2368" s="16" t="s">
        <v>254</v>
      </c>
      <c r="C2368" s="16" t="s">
        <v>157</v>
      </c>
      <c r="D2368" s="16" t="s">
        <v>137</v>
      </c>
      <c r="E2368" s="25">
        <v>45083</v>
      </c>
      <c r="F2368" s="16" t="s">
        <v>5394</v>
      </c>
      <c r="G2368" s="16" t="s">
        <v>145</v>
      </c>
      <c r="H2368" s="16">
        <v>1.8</v>
      </c>
      <c r="I2368" s="16">
        <v>299</v>
      </c>
      <c r="J2368" s="16">
        <v>30</v>
      </c>
      <c r="K2368" s="16">
        <v>376.74</v>
      </c>
      <c r="L2368" s="16" t="s">
        <v>139</v>
      </c>
      <c r="M2368" s="16" t="s">
        <v>119</v>
      </c>
      <c r="N2368" s="27">
        <v>45083.411805555559</v>
      </c>
      <c r="O2368" s="27">
        <v>45083.84375</v>
      </c>
      <c r="P2368" s="16">
        <v>3.2</v>
      </c>
      <c r="Q2368" s="16" t="b">
        <f>FALSE()</f>
        <v>0</v>
      </c>
      <c r="R2368" s="16" t="b">
        <f>TRUE()</f>
        <v>1</v>
      </c>
      <c r="S2368" s="17">
        <f t="shared" si="36"/>
        <v>10.4</v>
      </c>
      <c r="T2368">
        <f>COUNTIF('👤 Customers'!$A:$A, B2368)</f>
        <v>1</v>
      </c>
      <c r="U2368">
        <f>COUNTIF('🚴 Riders'!A2367:A2427, C2368)</f>
        <v>0</v>
      </c>
      <c r="V2368">
        <f>COUNTIF('🏭 Facilities'!A2367:A2375, D2368)</f>
        <v>0</v>
      </c>
    </row>
    <row r="2369" spans="1:22">
      <c r="A2369" s="18" t="s">
        <v>5395</v>
      </c>
      <c r="B2369" s="18" t="s">
        <v>2091</v>
      </c>
      <c r="C2369" s="18" t="s">
        <v>265</v>
      </c>
      <c r="D2369" s="18" t="s">
        <v>205</v>
      </c>
      <c r="E2369" s="26">
        <v>45257</v>
      </c>
      <c r="F2369" s="18" t="s">
        <v>5396</v>
      </c>
      <c r="G2369" s="18" t="s">
        <v>145</v>
      </c>
      <c r="H2369" s="18">
        <v>3.5</v>
      </c>
      <c r="I2369" s="18">
        <v>299</v>
      </c>
      <c r="J2369" s="18">
        <v>20</v>
      </c>
      <c r="K2369" s="18">
        <v>837.2</v>
      </c>
      <c r="L2369" s="18" t="s">
        <v>146</v>
      </c>
      <c r="M2369" s="18" t="s">
        <v>119</v>
      </c>
      <c r="N2369" s="28">
        <v>45257.148611111108</v>
      </c>
      <c r="O2369" s="28">
        <v>45257.816666666666</v>
      </c>
      <c r="P2369" s="18">
        <v>2.6</v>
      </c>
      <c r="Q2369" s="18" t="b">
        <f>FALSE()</f>
        <v>0</v>
      </c>
      <c r="R2369" s="18" t="b">
        <f>FALSE()</f>
        <v>0</v>
      </c>
      <c r="S2369" s="19">
        <f t="shared" si="36"/>
        <v>16</v>
      </c>
      <c r="T2369">
        <f>COUNTIF('👤 Customers'!$A:$A, B2369)</f>
        <v>1</v>
      </c>
      <c r="U2369">
        <f>COUNTIF('🚴 Riders'!A2368:A2428, C2369)</f>
        <v>0</v>
      </c>
      <c r="V2369">
        <f>COUNTIF('🏭 Facilities'!A2368:A2376, D2369)</f>
        <v>0</v>
      </c>
    </row>
    <row r="2370" spans="1:22">
      <c r="A2370" s="16" t="s">
        <v>5397</v>
      </c>
      <c r="B2370" s="16" t="s">
        <v>187</v>
      </c>
      <c r="C2370" s="16" t="s">
        <v>213</v>
      </c>
      <c r="D2370" s="16" t="s">
        <v>184</v>
      </c>
      <c r="E2370" s="25">
        <v>45180</v>
      </c>
      <c r="F2370" s="16" t="s">
        <v>5398</v>
      </c>
      <c r="G2370" s="16" t="s">
        <v>117</v>
      </c>
      <c r="H2370" s="16">
        <v>3.4</v>
      </c>
      <c r="I2370" s="16">
        <v>149</v>
      </c>
      <c r="J2370" s="16">
        <v>0</v>
      </c>
      <c r="K2370" s="16">
        <v>506.6</v>
      </c>
      <c r="L2370" s="16" t="s">
        <v>207</v>
      </c>
      <c r="M2370" s="16" t="s">
        <v>119</v>
      </c>
      <c r="N2370" s="27">
        <v>45180.256249999999</v>
      </c>
      <c r="O2370" s="27">
        <v>45181.087500000001</v>
      </c>
      <c r="P2370" s="16">
        <v>3.6</v>
      </c>
      <c r="Q2370" s="16" t="b">
        <f>FALSE()</f>
        <v>0</v>
      </c>
      <c r="R2370" s="16" t="b">
        <f>TRUE()</f>
        <v>1</v>
      </c>
      <c r="S2370" s="17">
        <f t="shared" ref="S2370:S2433" si="37">IF(OR(N2370="",O2370=""),"N/A",ROUND(((O2370-N2370)*24),1))</f>
        <v>20</v>
      </c>
      <c r="T2370">
        <f>COUNTIF('👤 Customers'!$A:$A, B2370)</f>
        <v>1</v>
      </c>
      <c r="U2370">
        <f>COUNTIF('🚴 Riders'!A2369:A2429, C2370)</f>
        <v>0</v>
      </c>
      <c r="V2370">
        <f>COUNTIF('🏭 Facilities'!A2369:A2377, D2370)</f>
        <v>0</v>
      </c>
    </row>
    <row r="2371" spans="1:22">
      <c r="A2371" s="18" t="s">
        <v>5399</v>
      </c>
      <c r="B2371" s="18" t="s">
        <v>1282</v>
      </c>
      <c r="C2371" s="18" t="s">
        <v>304</v>
      </c>
      <c r="D2371" s="18" t="s">
        <v>205</v>
      </c>
      <c r="E2371" s="26">
        <v>45617</v>
      </c>
      <c r="F2371" s="18" t="s">
        <v>5400</v>
      </c>
      <c r="G2371" s="18" t="s">
        <v>117</v>
      </c>
      <c r="H2371" s="18">
        <v>7.3</v>
      </c>
      <c r="I2371" s="18">
        <v>149</v>
      </c>
      <c r="J2371" s="18">
        <v>20</v>
      </c>
      <c r="K2371" s="18">
        <v>870.16</v>
      </c>
      <c r="L2371" s="18" t="s">
        <v>139</v>
      </c>
      <c r="M2371" s="18" t="s">
        <v>140</v>
      </c>
      <c r="N2371" s="28">
        <v>45617.863194444442</v>
      </c>
      <c r="O2371" s="28">
        <v>45618.570833333331</v>
      </c>
      <c r="P2371" s="20"/>
      <c r="Q2371" s="18" t="b">
        <f>FALSE()</f>
        <v>0</v>
      </c>
      <c r="R2371" s="18" t="b">
        <f>FALSE()</f>
        <v>0</v>
      </c>
      <c r="S2371" s="19">
        <f t="shared" si="37"/>
        <v>17</v>
      </c>
      <c r="T2371">
        <f>COUNTIF('👤 Customers'!$A:$A, B2371)</f>
        <v>1</v>
      </c>
      <c r="U2371">
        <f>COUNTIF('🚴 Riders'!A2370:A2430, C2371)</f>
        <v>0</v>
      </c>
      <c r="V2371">
        <f>COUNTIF('🏭 Facilities'!A2370:A2378, D2371)</f>
        <v>0</v>
      </c>
    </row>
    <row r="2372" spans="1:22">
      <c r="A2372" s="16" t="s">
        <v>5401</v>
      </c>
      <c r="B2372" s="16" t="s">
        <v>1348</v>
      </c>
      <c r="C2372" s="16" t="s">
        <v>129</v>
      </c>
      <c r="D2372" s="16" t="s">
        <v>205</v>
      </c>
      <c r="E2372" s="25">
        <v>45065</v>
      </c>
      <c r="F2372" s="16" t="s">
        <v>5402</v>
      </c>
      <c r="G2372" s="16" t="s">
        <v>125</v>
      </c>
      <c r="H2372" s="16">
        <v>5.9</v>
      </c>
      <c r="I2372" s="16">
        <v>199</v>
      </c>
      <c r="J2372" s="16">
        <v>0</v>
      </c>
      <c r="K2372" s="16">
        <v>1174.0999999999999</v>
      </c>
      <c r="L2372" s="16" t="s">
        <v>207</v>
      </c>
      <c r="M2372" s="16" t="s">
        <v>119</v>
      </c>
      <c r="N2372" s="27">
        <v>45065.211805555555</v>
      </c>
      <c r="O2372" s="27">
        <v>45066.036805555559</v>
      </c>
      <c r="P2372" s="16">
        <v>3.9</v>
      </c>
      <c r="Q2372" s="16" t="b">
        <f>FALSE()</f>
        <v>0</v>
      </c>
      <c r="R2372" s="16" t="b">
        <f>FALSE()</f>
        <v>0</v>
      </c>
      <c r="S2372" s="17">
        <f t="shared" si="37"/>
        <v>19.8</v>
      </c>
      <c r="T2372">
        <f>COUNTIF('👤 Customers'!$A:$A, B2372)</f>
        <v>1</v>
      </c>
      <c r="U2372">
        <f>COUNTIF('🚴 Riders'!A2371:A2431, C2372)</f>
        <v>0</v>
      </c>
      <c r="V2372">
        <f>COUNTIF('🏭 Facilities'!A2371:A2379, D2372)</f>
        <v>0</v>
      </c>
    </row>
    <row r="2373" spans="1:22">
      <c r="A2373" s="18" t="s">
        <v>5403</v>
      </c>
      <c r="B2373" s="18" t="s">
        <v>670</v>
      </c>
      <c r="C2373" s="18" t="s">
        <v>1092</v>
      </c>
      <c r="D2373" s="18" t="s">
        <v>158</v>
      </c>
      <c r="E2373" s="26">
        <v>45106</v>
      </c>
      <c r="F2373" s="18" t="s">
        <v>5404</v>
      </c>
      <c r="G2373" s="18" t="s">
        <v>125</v>
      </c>
      <c r="H2373" s="18">
        <v>5.4</v>
      </c>
      <c r="I2373" s="18">
        <v>199</v>
      </c>
      <c r="J2373" s="18">
        <v>0</v>
      </c>
      <c r="K2373" s="18">
        <v>1074.5999999999999</v>
      </c>
      <c r="L2373" s="18" t="s">
        <v>118</v>
      </c>
      <c r="M2373" s="18" t="s">
        <v>133</v>
      </c>
      <c r="N2373" s="20"/>
      <c r="O2373" s="20"/>
      <c r="P2373" s="20"/>
      <c r="Q2373" s="18" t="b">
        <f>FALSE()</f>
        <v>0</v>
      </c>
      <c r="R2373" s="18" t="b">
        <f>TRUE()</f>
        <v>1</v>
      </c>
      <c r="S2373" s="19" t="str">
        <f t="shared" si="37"/>
        <v>N/A</v>
      </c>
      <c r="T2373">
        <f>COUNTIF('👤 Customers'!$A:$A, B2373)</f>
        <v>1</v>
      </c>
      <c r="U2373">
        <f>COUNTIF('🚴 Riders'!A2372:A2432, C2373)</f>
        <v>0</v>
      </c>
      <c r="V2373">
        <f>COUNTIF('🏭 Facilities'!A2372:A2380, D2373)</f>
        <v>0</v>
      </c>
    </row>
    <row r="2374" spans="1:22">
      <c r="A2374" s="16" t="s">
        <v>5405</v>
      </c>
      <c r="B2374" s="16" t="s">
        <v>701</v>
      </c>
      <c r="C2374" s="16" t="s">
        <v>354</v>
      </c>
      <c r="D2374" s="16" t="s">
        <v>123</v>
      </c>
      <c r="E2374" s="25">
        <v>45270</v>
      </c>
      <c r="F2374" s="16" t="s">
        <v>5406</v>
      </c>
      <c r="G2374" s="16" t="s">
        <v>176</v>
      </c>
      <c r="H2374" s="16">
        <v>3.1</v>
      </c>
      <c r="I2374" s="16">
        <v>599</v>
      </c>
      <c r="J2374" s="16">
        <v>0</v>
      </c>
      <c r="K2374" s="16">
        <v>1856.9</v>
      </c>
      <c r="L2374" s="16" t="s">
        <v>139</v>
      </c>
      <c r="M2374" s="16" t="s">
        <v>119</v>
      </c>
      <c r="N2374" s="27">
        <v>45270.715277777781</v>
      </c>
      <c r="O2374" s="27">
        <v>45271.189583333333</v>
      </c>
      <c r="P2374" s="16">
        <v>4.4000000000000004</v>
      </c>
      <c r="Q2374" s="16" t="b">
        <f>FALSE()</f>
        <v>0</v>
      </c>
      <c r="R2374" s="16" t="b">
        <f>FALSE()</f>
        <v>0</v>
      </c>
      <c r="S2374" s="17">
        <f t="shared" si="37"/>
        <v>11.4</v>
      </c>
      <c r="T2374">
        <f>COUNTIF('👤 Customers'!$A:$A, B2374)</f>
        <v>1</v>
      </c>
      <c r="U2374">
        <f>COUNTIF('🚴 Riders'!A2373:A2433, C2374)</f>
        <v>0</v>
      </c>
      <c r="V2374">
        <f>COUNTIF('🏭 Facilities'!A2373:A2381, D2374)</f>
        <v>0</v>
      </c>
    </row>
    <row r="2375" spans="1:22">
      <c r="A2375" s="18" t="s">
        <v>5407</v>
      </c>
      <c r="B2375" s="18" t="s">
        <v>684</v>
      </c>
      <c r="C2375" s="18" t="s">
        <v>580</v>
      </c>
      <c r="D2375" s="18" t="s">
        <v>197</v>
      </c>
      <c r="E2375" s="26">
        <v>45458</v>
      </c>
      <c r="F2375" s="18" t="s">
        <v>5408</v>
      </c>
      <c r="G2375" s="18" t="s">
        <v>117</v>
      </c>
      <c r="H2375" s="18">
        <v>6.2</v>
      </c>
      <c r="I2375" s="18">
        <v>149</v>
      </c>
      <c r="J2375" s="18">
        <v>0</v>
      </c>
      <c r="K2375" s="18">
        <v>923.8</v>
      </c>
      <c r="L2375" s="18" t="s">
        <v>118</v>
      </c>
      <c r="M2375" s="18" t="s">
        <v>119</v>
      </c>
      <c r="N2375" s="28">
        <v>45458.488888888889</v>
      </c>
      <c r="O2375" s="28">
        <v>45459.079861111109</v>
      </c>
      <c r="P2375" s="18">
        <v>4.3</v>
      </c>
      <c r="Q2375" s="18" t="b">
        <f>FALSE()</f>
        <v>0</v>
      </c>
      <c r="R2375" s="18" t="b">
        <f>TRUE()</f>
        <v>1</v>
      </c>
      <c r="S2375" s="19">
        <f t="shared" si="37"/>
        <v>14.2</v>
      </c>
      <c r="T2375">
        <f>COUNTIF('👤 Customers'!$A:$A, B2375)</f>
        <v>1</v>
      </c>
      <c r="U2375">
        <f>COUNTIF('🚴 Riders'!A2374:A2434, C2375)</f>
        <v>0</v>
      </c>
      <c r="V2375">
        <f>COUNTIF('🏭 Facilities'!A2374:A2382, D2375)</f>
        <v>0</v>
      </c>
    </row>
    <row r="2376" spans="1:22">
      <c r="A2376" s="16" t="s">
        <v>5409</v>
      </c>
      <c r="B2376" s="16" t="s">
        <v>4302</v>
      </c>
      <c r="C2376" s="16" t="s">
        <v>232</v>
      </c>
      <c r="D2376" s="16" t="s">
        <v>130</v>
      </c>
      <c r="E2376" s="25">
        <v>45172</v>
      </c>
      <c r="F2376" s="16" t="s">
        <v>5410</v>
      </c>
      <c r="G2376" s="16" t="s">
        <v>125</v>
      </c>
      <c r="H2376" s="16">
        <v>1.3</v>
      </c>
      <c r="I2376" s="16">
        <v>199</v>
      </c>
      <c r="J2376" s="16">
        <v>0</v>
      </c>
      <c r="K2376" s="16">
        <v>258.7</v>
      </c>
      <c r="L2376" s="16" t="s">
        <v>126</v>
      </c>
      <c r="M2376" s="16" t="s">
        <v>119</v>
      </c>
      <c r="N2376" s="27">
        <v>45172.570833333331</v>
      </c>
      <c r="O2376" s="27">
        <v>45173.156944444447</v>
      </c>
      <c r="P2376" s="16">
        <v>3.3</v>
      </c>
      <c r="Q2376" s="16" t="b">
        <f>FALSE()</f>
        <v>0</v>
      </c>
      <c r="R2376" s="16" t="b">
        <f>FALSE()</f>
        <v>0</v>
      </c>
      <c r="S2376" s="17">
        <f t="shared" si="37"/>
        <v>14.1</v>
      </c>
      <c r="T2376">
        <f>COUNTIF('👤 Customers'!$A:$A, B2376)</f>
        <v>1</v>
      </c>
      <c r="U2376">
        <f>COUNTIF('🚴 Riders'!A2375:A2435, C2376)</f>
        <v>0</v>
      </c>
      <c r="V2376">
        <f>COUNTIF('🏭 Facilities'!A2375:A2383, D2376)</f>
        <v>0</v>
      </c>
    </row>
    <row r="2377" spans="1:22">
      <c r="A2377" s="18" t="s">
        <v>5411</v>
      </c>
      <c r="B2377" s="18" t="s">
        <v>250</v>
      </c>
      <c r="C2377" s="18" t="s">
        <v>204</v>
      </c>
      <c r="D2377" s="18" t="s">
        <v>123</v>
      </c>
      <c r="E2377" s="26">
        <v>45162</v>
      </c>
      <c r="F2377" s="18" t="s">
        <v>5412</v>
      </c>
      <c r="G2377" s="18" t="s">
        <v>132</v>
      </c>
      <c r="H2377" s="18">
        <v>4.3</v>
      </c>
      <c r="I2377" s="18">
        <v>399</v>
      </c>
      <c r="J2377" s="18">
        <v>20</v>
      </c>
      <c r="K2377" s="18">
        <v>1372.56</v>
      </c>
      <c r="L2377" s="18" t="s">
        <v>207</v>
      </c>
      <c r="M2377" s="18" t="s">
        <v>119</v>
      </c>
      <c r="N2377" s="28">
        <v>45162.184027777781</v>
      </c>
      <c r="O2377" s="28">
        <v>45162.904166666667</v>
      </c>
      <c r="P2377" s="18">
        <v>3.6</v>
      </c>
      <c r="Q2377" s="18" t="b">
        <f>FALSE()</f>
        <v>0</v>
      </c>
      <c r="R2377" s="18" t="b">
        <f>FALSE()</f>
        <v>0</v>
      </c>
      <c r="S2377" s="19">
        <f t="shared" si="37"/>
        <v>17.3</v>
      </c>
      <c r="T2377">
        <f>COUNTIF('👤 Customers'!$A:$A, B2377)</f>
        <v>1</v>
      </c>
      <c r="U2377">
        <f>COUNTIF('🚴 Riders'!A2376:A2436, C2377)</f>
        <v>0</v>
      </c>
      <c r="V2377">
        <f>COUNTIF('🏭 Facilities'!A2376:A2384, D2377)</f>
        <v>0</v>
      </c>
    </row>
    <row r="2378" spans="1:22">
      <c r="A2378" s="16" t="s">
        <v>5413</v>
      </c>
      <c r="B2378" s="16" t="s">
        <v>947</v>
      </c>
      <c r="C2378" s="16" t="s">
        <v>166</v>
      </c>
      <c r="D2378" s="16" t="s">
        <v>137</v>
      </c>
      <c r="E2378" s="25">
        <v>45040</v>
      </c>
      <c r="F2378" s="16" t="s">
        <v>5414</v>
      </c>
      <c r="G2378" s="16" t="s">
        <v>125</v>
      </c>
      <c r="H2378" s="16">
        <v>6.5</v>
      </c>
      <c r="I2378" s="16">
        <v>199</v>
      </c>
      <c r="J2378" s="16">
        <v>0</v>
      </c>
      <c r="K2378" s="16">
        <v>1293.5</v>
      </c>
      <c r="L2378" s="16" t="s">
        <v>146</v>
      </c>
      <c r="M2378" s="16" t="s">
        <v>140</v>
      </c>
      <c r="N2378" s="27">
        <v>45041.022222222222</v>
      </c>
      <c r="O2378" s="27">
        <v>45041.428472222222</v>
      </c>
      <c r="P2378" s="20"/>
      <c r="Q2378" s="16" t="b">
        <f>FALSE()</f>
        <v>0</v>
      </c>
      <c r="R2378" s="16" t="b">
        <f>FALSE()</f>
        <v>0</v>
      </c>
      <c r="S2378" s="17">
        <f t="shared" si="37"/>
        <v>9.8000000000000007</v>
      </c>
      <c r="T2378">
        <f>COUNTIF('👤 Customers'!$A:$A, B2378)</f>
        <v>1</v>
      </c>
      <c r="U2378">
        <f>COUNTIF('🚴 Riders'!A2377:A2437, C2378)</f>
        <v>0</v>
      </c>
      <c r="V2378">
        <f>COUNTIF('🏭 Facilities'!A2377:A2385, D2378)</f>
        <v>0</v>
      </c>
    </row>
    <row r="2379" spans="1:22">
      <c r="A2379" s="18" t="s">
        <v>5415</v>
      </c>
      <c r="B2379" s="18" t="s">
        <v>450</v>
      </c>
      <c r="C2379" s="18" t="s">
        <v>339</v>
      </c>
      <c r="D2379" s="18" t="s">
        <v>205</v>
      </c>
      <c r="E2379" s="26">
        <v>45100</v>
      </c>
      <c r="F2379" s="18" t="s">
        <v>5416</v>
      </c>
      <c r="G2379" s="18" t="s">
        <v>132</v>
      </c>
      <c r="H2379" s="18">
        <v>7.4</v>
      </c>
      <c r="I2379" s="18">
        <v>399</v>
      </c>
      <c r="J2379" s="18">
        <v>10</v>
      </c>
      <c r="K2379" s="18">
        <v>2657.34</v>
      </c>
      <c r="L2379" s="18" t="s">
        <v>139</v>
      </c>
      <c r="M2379" s="18" t="s">
        <v>133</v>
      </c>
      <c r="N2379" s="20"/>
      <c r="O2379" s="20"/>
      <c r="P2379" s="20"/>
      <c r="Q2379" s="18" t="b">
        <f>FALSE()</f>
        <v>0</v>
      </c>
      <c r="R2379" s="18" t="b">
        <f>FALSE()</f>
        <v>0</v>
      </c>
      <c r="S2379" s="19" t="str">
        <f t="shared" si="37"/>
        <v>N/A</v>
      </c>
      <c r="T2379">
        <f>COUNTIF('👤 Customers'!$A:$A, B2379)</f>
        <v>1</v>
      </c>
      <c r="U2379">
        <f>COUNTIF('🚴 Riders'!A2378:A2438, C2379)</f>
        <v>0</v>
      </c>
      <c r="V2379">
        <f>COUNTIF('🏭 Facilities'!A2378:A2386, D2379)</f>
        <v>0</v>
      </c>
    </row>
    <row r="2380" spans="1:22">
      <c r="A2380" s="16" t="s">
        <v>5417</v>
      </c>
      <c r="B2380" s="16" t="s">
        <v>338</v>
      </c>
      <c r="C2380" s="16" t="s">
        <v>483</v>
      </c>
      <c r="D2380" s="16" t="s">
        <v>130</v>
      </c>
      <c r="E2380" s="25">
        <v>45397</v>
      </c>
      <c r="F2380" s="16" t="s">
        <v>5418</v>
      </c>
      <c r="G2380" s="16" t="s">
        <v>145</v>
      </c>
      <c r="H2380" s="16">
        <v>3.6</v>
      </c>
      <c r="I2380" s="16">
        <v>299</v>
      </c>
      <c r="J2380" s="16">
        <v>0</v>
      </c>
      <c r="K2380" s="16">
        <v>1076.4000000000001</v>
      </c>
      <c r="L2380" s="16" t="s">
        <v>126</v>
      </c>
      <c r="M2380" s="16" t="s">
        <v>119</v>
      </c>
      <c r="N2380" s="27">
        <v>45397.111111111109</v>
      </c>
      <c r="O2380" s="27">
        <v>45398.038194444445</v>
      </c>
      <c r="P2380" s="16">
        <v>4.4000000000000004</v>
      </c>
      <c r="Q2380" s="16" t="b">
        <f>TRUE()</f>
        <v>1</v>
      </c>
      <c r="R2380" s="16" t="b">
        <f>TRUE()</f>
        <v>1</v>
      </c>
      <c r="S2380" s="17">
        <f t="shared" si="37"/>
        <v>22.3</v>
      </c>
      <c r="T2380">
        <f>COUNTIF('👤 Customers'!$A:$A, B2380)</f>
        <v>1</v>
      </c>
      <c r="U2380">
        <f>COUNTIF('🚴 Riders'!A2379:A2439, C2380)</f>
        <v>0</v>
      </c>
      <c r="V2380">
        <f>COUNTIF('🏭 Facilities'!A2379:A2387, D2380)</f>
        <v>0</v>
      </c>
    </row>
    <row r="2381" spans="1:22">
      <c r="A2381" s="18" t="s">
        <v>5419</v>
      </c>
      <c r="B2381" s="18" t="s">
        <v>286</v>
      </c>
      <c r="C2381" s="18" t="s">
        <v>183</v>
      </c>
      <c r="D2381" s="18" t="s">
        <v>115</v>
      </c>
      <c r="E2381" s="26">
        <v>45196</v>
      </c>
      <c r="F2381" s="18" t="s">
        <v>5420</v>
      </c>
      <c r="G2381" s="18" t="s">
        <v>117</v>
      </c>
      <c r="H2381" s="18">
        <v>7.2</v>
      </c>
      <c r="I2381" s="18">
        <v>149</v>
      </c>
      <c r="J2381" s="18">
        <v>0</v>
      </c>
      <c r="K2381" s="18">
        <v>1072.8</v>
      </c>
      <c r="L2381" s="18" t="s">
        <v>146</v>
      </c>
      <c r="M2381" s="18" t="s">
        <v>119</v>
      </c>
      <c r="N2381" s="28">
        <v>45196.756944444445</v>
      </c>
      <c r="O2381" s="28">
        <v>45197.480555555558</v>
      </c>
      <c r="P2381" s="18">
        <v>3</v>
      </c>
      <c r="Q2381" s="18" t="b">
        <f>FALSE()</f>
        <v>0</v>
      </c>
      <c r="R2381" s="18" t="b">
        <f>FALSE()</f>
        <v>0</v>
      </c>
      <c r="S2381" s="19">
        <f t="shared" si="37"/>
        <v>17.399999999999999</v>
      </c>
      <c r="T2381">
        <f>COUNTIF('👤 Customers'!$A:$A, B2381)</f>
        <v>1</v>
      </c>
      <c r="U2381">
        <f>COUNTIF('🚴 Riders'!A2380:A2440, C2381)</f>
        <v>0</v>
      </c>
      <c r="V2381">
        <f>COUNTIF('🏭 Facilities'!A2380:A2388, D2381)</f>
        <v>0</v>
      </c>
    </row>
    <row r="2382" spans="1:22">
      <c r="A2382" s="16" t="s">
        <v>5421</v>
      </c>
      <c r="B2382" s="16" t="s">
        <v>1850</v>
      </c>
      <c r="C2382" s="16" t="s">
        <v>326</v>
      </c>
      <c r="D2382" s="16" t="s">
        <v>123</v>
      </c>
      <c r="E2382" s="25">
        <v>45315</v>
      </c>
      <c r="F2382" s="16" t="s">
        <v>5422</v>
      </c>
      <c r="G2382" s="16" t="s">
        <v>125</v>
      </c>
      <c r="H2382" s="16">
        <v>4.5999999999999996</v>
      </c>
      <c r="I2382" s="16">
        <v>199</v>
      </c>
      <c r="J2382" s="16">
        <v>10</v>
      </c>
      <c r="K2382" s="16">
        <v>823.86</v>
      </c>
      <c r="L2382" s="16" t="s">
        <v>118</v>
      </c>
      <c r="M2382" s="16" t="s">
        <v>119</v>
      </c>
      <c r="N2382" s="27">
        <v>45315.151388888888</v>
      </c>
      <c r="O2382" s="27">
        <v>45315.504861111112</v>
      </c>
      <c r="P2382" s="16">
        <v>4.5999999999999996</v>
      </c>
      <c r="Q2382" s="16" t="b">
        <f>FALSE()</f>
        <v>0</v>
      </c>
      <c r="R2382" s="16" t="b">
        <f>FALSE()</f>
        <v>0</v>
      </c>
      <c r="S2382" s="17">
        <f t="shared" si="37"/>
        <v>8.5</v>
      </c>
      <c r="T2382">
        <f>COUNTIF('👤 Customers'!$A:$A, B2382)</f>
        <v>1</v>
      </c>
      <c r="U2382">
        <f>COUNTIF('🚴 Riders'!A2381:A2441, C2382)</f>
        <v>0</v>
      </c>
      <c r="V2382">
        <f>COUNTIF('🏭 Facilities'!A2381:A2389, D2382)</f>
        <v>0</v>
      </c>
    </row>
    <row r="2383" spans="1:22">
      <c r="A2383" s="18" t="s">
        <v>5423</v>
      </c>
      <c r="B2383" s="18" t="s">
        <v>1348</v>
      </c>
      <c r="C2383" s="18" t="s">
        <v>1092</v>
      </c>
      <c r="D2383" s="18" t="s">
        <v>184</v>
      </c>
      <c r="E2383" s="26">
        <v>45084</v>
      </c>
      <c r="F2383" s="18" t="s">
        <v>5424</v>
      </c>
      <c r="G2383" s="18" t="s">
        <v>117</v>
      </c>
      <c r="H2383" s="18">
        <v>4.3</v>
      </c>
      <c r="I2383" s="18">
        <v>149</v>
      </c>
      <c r="J2383" s="18">
        <v>10</v>
      </c>
      <c r="K2383" s="18">
        <v>576.63</v>
      </c>
      <c r="L2383" s="18" t="s">
        <v>139</v>
      </c>
      <c r="M2383" s="18" t="s">
        <v>119</v>
      </c>
      <c r="N2383" s="28">
        <v>45084.535416666666</v>
      </c>
      <c r="O2383" s="28">
        <v>45084.854166666664</v>
      </c>
      <c r="P2383" s="18">
        <v>3.8</v>
      </c>
      <c r="Q2383" s="18" t="b">
        <f>FALSE()</f>
        <v>0</v>
      </c>
      <c r="R2383" s="18" t="b">
        <f>FALSE()</f>
        <v>0</v>
      </c>
      <c r="S2383" s="19">
        <f t="shared" si="37"/>
        <v>7.6</v>
      </c>
      <c r="T2383">
        <f>COUNTIF('👤 Customers'!$A:$A, B2383)</f>
        <v>1</v>
      </c>
      <c r="U2383">
        <f>COUNTIF('🚴 Riders'!A2382:A2442, C2383)</f>
        <v>0</v>
      </c>
      <c r="V2383">
        <f>COUNTIF('🏭 Facilities'!A2382:A2390, D2383)</f>
        <v>0</v>
      </c>
    </row>
    <row r="2384" spans="1:22">
      <c r="A2384" s="16" t="s">
        <v>5425</v>
      </c>
      <c r="B2384" s="16" t="s">
        <v>3267</v>
      </c>
      <c r="C2384" s="16" t="s">
        <v>461</v>
      </c>
      <c r="D2384" s="16" t="s">
        <v>158</v>
      </c>
      <c r="E2384" s="25">
        <v>45433</v>
      </c>
      <c r="F2384" s="16" t="s">
        <v>5426</v>
      </c>
      <c r="G2384" s="16" t="s">
        <v>132</v>
      </c>
      <c r="H2384" s="16">
        <v>4.2</v>
      </c>
      <c r="I2384" s="16">
        <v>399</v>
      </c>
      <c r="J2384" s="16">
        <v>0</v>
      </c>
      <c r="K2384" s="16">
        <v>1675.8</v>
      </c>
      <c r="L2384" s="16" t="s">
        <v>126</v>
      </c>
      <c r="M2384" s="16" t="s">
        <v>119</v>
      </c>
      <c r="N2384" s="27">
        <v>45433.933333333334</v>
      </c>
      <c r="O2384" s="27">
        <v>45434.876388888886</v>
      </c>
      <c r="P2384" s="16">
        <v>2.8</v>
      </c>
      <c r="Q2384" s="16" t="b">
        <f>FALSE()</f>
        <v>0</v>
      </c>
      <c r="R2384" s="16" t="b">
        <f>FALSE()</f>
        <v>0</v>
      </c>
      <c r="S2384" s="17">
        <f t="shared" si="37"/>
        <v>22.6</v>
      </c>
      <c r="T2384">
        <f>COUNTIF('👤 Customers'!$A:$A, B2384)</f>
        <v>1</v>
      </c>
      <c r="U2384">
        <f>COUNTIF('🚴 Riders'!A2383:A2443, C2384)</f>
        <v>0</v>
      </c>
      <c r="V2384">
        <f>COUNTIF('🏭 Facilities'!A2383:A2391, D2384)</f>
        <v>0</v>
      </c>
    </row>
    <row r="2385" spans="1:22">
      <c r="A2385" s="18" t="s">
        <v>5427</v>
      </c>
      <c r="B2385" s="18" t="s">
        <v>380</v>
      </c>
      <c r="C2385" s="18" t="s">
        <v>153</v>
      </c>
      <c r="D2385" s="18" t="s">
        <v>184</v>
      </c>
      <c r="E2385" s="26">
        <v>44942</v>
      </c>
      <c r="F2385" s="18" t="s">
        <v>5428</v>
      </c>
      <c r="G2385" s="18" t="s">
        <v>125</v>
      </c>
      <c r="H2385" s="18">
        <v>1.2</v>
      </c>
      <c r="I2385" s="18">
        <v>199</v>
      </c>
      <c r="J2385" s="18">
        <v>10</v>
      </c>
      <c r="K2385" s="18">
        <v>214.92</v>
      </c>
      <c r="L2385" s="18" t="s">
        <v>146</v>
      </c>
      <c r="M2385" s="18" t="s">
        <v>119</v>
      </c>
      <c r="N2385" s="28">
        <v>44942.593055555553</v>
      </c>
      <c r="O2385" s="28">
        <v>44942.941666666666</v>
      </c>
      <c r="P2385" s="18">
        <v>2.7</v>
      </c>
      <c r="Q2385" s="18" t="b">
        <f>FALSE()</f>
        <v>0</v>
      </c>
      <c r="R2385" s="18" t="b">
        <f>TRUE()</f>
        <v>1</v>
      </c>
      <c r="S2385" s="19">
        <f t="shared" si="37"/>
        <v>8.4</v>
      </c>
      <c r="T2385">
        <f>COUNTIF('👤 Customers'!$A:$A, B2385)</f>
        <v>1</v>
      </c>
      <c r="U2385">
        <f>COUNTIF('🚴 Riders'!A2384:A2444, C2385)</f>
        <v>0</v>
      </c>
      <c r="V2385">
        <f>COUNTIF('🏭 Facilities'!A2384:A2392, D2385)</f>
        <v>0</v>
      </c>
    </row>
    <row r="2386" spans="1:22">
      <c r="A2386" s="16" t="s">
        <v>5429</v>
      </c>
      <c r="B2386" s="16" t="s">
        <v>2577</v>
      </c>
      <c r="C2386" s="16" t="s">
        <v>322</v>
      </c>
      <c r="D2386" s="16" t="s">
        <v>115</v>
      </c>
      <c r="E2386" s="25">
        <v>45079</v>
      </c>
      <c r="F2386" s="16" t="s">
        <v>5430</v>
      </c>
      <c r="G2386" s="16" t="s">
        <v>132</v>
      </c>
      <c r="H2386" s="16">
        <v>4.5</v>
      </c>
      <c r="I2386" s="16">
        <v>399</v>
      </c>
      <c r="J2386" s="16">
        <v>0</v>
      </c>
      <c r="K2386" s="16">
        <v>1795.5</v>
      </c>
      <c r="L2386" s="16" t="s">
        <v>139</v>
      </c>
      <c r="M2386" s="16" t="s">
        <v>119</v>
      </c>
      <c r="N2386" s="27">
        <v>45079.571527777778</v>
      </c>
      <c r="O2386" s="27">
        <v>45080.192361111112</v>
      </c>
      <c r="P2386" s="16">
        <v>4.5999999999999996</v>
      </c>
      <c r="Q2386" s="16" t="b">
        <f>FALSE()</f>
        <v>0</v>
      </c>
      <c r="R2386" s="16" t="b">
        <f>FALSE()</f>
        <v>0</v>
      </c>
      <c r="S2386" s="17">
        <f t="shared" si="37"/>
        <v>14.9</v>
      </c>
      <c r="T2386">
        <f>COUNTIF('👤 Customers'!$A:$A, B2386)</f>
        <v>1</v>
      </c>
      <c r="U2386">
        <f>COUNTIF('🚴 Riders'!A2385:A2445, C2386)</f>
        <v>0</v>
      </c>
      <c r="V2386">
        <f>COUNTIF('🏭 Facilities'!A2385:A2393, D2386)</f>
        <v>0</v>
      </c>
    </row>
    <row r="2387" spans="1:22">
      <c r="A2387" s="18" t="s">
        <v>5431</v>
      </c>
      <c r="B2387" s="18" t="s">
        <v>1793</v>
      </c>
      <c r="C2387" s="18" t="s">
        <v>483</v>
      </c>
      <c r="D2387" s="18" t="s">
        <v>205</v>
      </c>
      <c r="E2387" s="26">
        <v>44992</v>
      </c>
      <c r="F2387" s="18" t="s">
        <v>5432</v>
      </c>
      <c r="G2387" s="18" t="s">
        <v>117</v>
      </c>
      <c r="H2387" s="18">
        <v>5.7</v>
      </c>
      <c r="I2387" s="18">
        <v>149</v>
      </c>
      <c r="J2387" s="18">
        <v>0</v>
      </c>
      <c r="K2387" s="18">
        <v>849.3</v>
      </c>
      <c r="L2387" s="18" t="s">
        <v>139</v>
      </c>
      <c r="M2387" s="18" t="s">
        <v>140</v>
      </c>
      <c r="N2387" s="28">
        <v>44992.808333333334</v>
      </c>
      <c r="O2387" s="28">
        <v>44993.277083333334</v>
      </c>
      <c r="P2387" s="20"/>
      <c r="Q2387" s="18" t="b">
        <f>FALSE()</f>
        <v>0</v>
      </c>
      <c r="R2387" s="18" t="b">
        <f>FALSE()</f>
        <v>0</v>
      </c>
      <c r="S2387" s="19">
        <f t="shared" si="37"/>
        <v>11.3</v>
      </c>
      <c r="T2387">
        <f>COUNTIF('👤 Customers'!$A:$A, B2387)</f>
        <v>1</v>
      </c>
      <c r="U2387">
        <f>COUNTIF('🚴 Riders'!A2386:A2446, C2387)</f>
        <v>0</v>
      </c>
      <c r="V2387">
        <f>COUNTIF('🏭 Facilities'!A2386:A2394, D2387)</f>
        <v>0</v>
      </c>
    </row>
    <row r="2388" spans="1:22">
      <c r="A2388" s="16" t="s">
        <v>5433</v>
      </c>
      <c r="B2388" s="16" t="s">
        <v>1137</v>
      </c>
      <c r="C2388" s="16" t="s">
        <v>188</v>
      </c>
      <c r="D2388" s="16" t="s">
        <v>197</v>
      </c>
      <c r="E2388" s="25">
        <v>45392</v>
      </c>
      <c r="F2388" s="16" t="s">
        <v>5434</v>
      </c>
      <c r="G2388" s="16" t="s">
        <v>145</v>
      </c>
      <c r="H2388" s="16">
        <v>3.1</v>
      </c>
      <c r="I2388" s="16">
        <v>299</v>
      </c>
      <c r="J2388" s="16">
        <v>0</v>
      </c>
      <c r="K2388" s="16">
        <v>926.9</v>
      </c>
      <c r="L2388" s="16" t="s">
        <v>146</v>
      </c>
      <c r="M2388" s="16" t="s">
        <v>119</v>
      </c>
      <c r="N2388" s="27">
        <v>45393.040277777778</v>
      </c>
      <c r="O2388" s="27">
        <v>45393.888888888891</v>
      </c>
      <c r="P2388" s="16">
        <v>4.5</v>
      </c>
      <c r="Q2388" s="16" t="b">
        <f>TRUE()</f>
        <v>1</v>
      </c>
      <c r="R2388" s="16" t="b">
        <f>FALSE()</f>
        <v>0</v>
      </c>
      <c r="S2388" s="17">
        <f t="shared" si="37"/>
        <v>20.399999999999999</v>
      </c>
      <c r="T2388">
        <f>COUNTIF('👤 Customers'!$A:$A, B2388)</f>
        <v>1</v>
      </c>
      <c r="U2388">
        <f>COUNTIF('🚴 Riders'!A2387:A2447, C2388)</f>
        <v>0</v>
      </c>
      <c r="V2388">
        <f>COUNTIF('🏭 Facilities'!A2387:A2395, D2388)</f>
        <v>0</v>
      </c>
    </row>
    <row r="2389" spans="1:22">
      <c r="A2389" s="18" t="s">
        <v>5435</v>
      </c>
      <c r="B2389" s="18" t="s">
        <v>235</v>
      </c>
      <c r="C2389" s="18" t="s">
        <v>322</v>
      </c>
      <c r="D2389" s="18" t="s">
        <v>115</v>
      </c>
      <c r="E2389" s="26">
        <v>45560</v>
      </c>
      <c r="F2389" s="18" t="s">
        <v>5436</v>
      </c>
      <c r="G2389" s="18" t="s">
        <v>125</v>
      </c>
      <c r="H2389" s="18">
        <v>7.8</v>
      </c>
      <c r="I2389" s="18">
        <v>199</v>
      </c>
      <c r="J2389" s="18">
        <v>0</v>
      </c>
      <c r="K2389" s="18">
        <v>1552.2</v>
      </c>
      <c r="L2389" s="18" t="s">
        <v>118</v>
      </c>
      <c r="M2389" s="18" t="s">
        <v>119</v>
      </c>
      <c r="N2389" s="28">
        <v>45560.915972222225</v>
      </c>
      <c r="O2389" s="28">
        <v>45561.802083333336</v>
      </c>
      <c r="P2389" s="18">
        <v>4.3</v>
      </c>
      <c r="Q2389" s="18" t="b">
        <f>FALSE()</f>
        <v>0</v>
      </c>
      <c r="R2389" s="18" t="b">
        <f>FALSE()</f>
        <v>0</v>
      </c>
      <c r="S2389" s="19">
        <f t="shared" si="37"/>
        <v>21.3</v>
      </c>
      <c r="T2389">
        <f>COUNTIF('👤 Customers'!$A:$A, B2389)</f>
        <v>1</v>
      </c>
      <c r="U2389">
        <f>COUNTIF('🚴 Riders'!A2388:A2448, C2389)</f>
        <v>0</v>
      </c>
      <c r="V2389">
        <f>COUNTIF('🏭 Facilities'!A2388:A2396, D2389)</f>
        <v>0</v>
      </c>
    </row>
    <row r="2390" spans="1:22">
      <c r="A2390" s="16" t="s">
        <v>5437</v>
      </c>
      <c r="B2390" s="16" t="s">
        <v>1515</v>
      </c>
      <c r="C2390" s="16" t="s">
        <v>276</v>
      </c>
      <c r="D2390" s="16" t="s">
        <v>115</v>
      </c>
      <c r="E2390" s="25">
        <v>45200</v>
      </c>
      <c r="F2390" s="16" t="s">
        <v>5438</v>
      </c>
      <c r="G2390" s="16" t="s">
        <v>125</v>
      </c>
      <c r="H2390" s="16">
        <v>1.3</v>
      </c>
      <c r="I2390" s="16">
        <v>199</v>
      </c>
      <c r="J2390" s="16">
        <v>0</v>
      </c>
      <c r="K2390" s="16">
        <v>258.7</v>
      </c>
      <c r="L2390" s="16" t="s">
        <v>207</v>
      </c>
      <c r="M2390" s="16" t="s">
        <v>119</v>
      </c>
      <c r="N2390" s="27">
        <v>45200.26666666667</v>
      </c>
      <c r="O2390" s="27">
        <v>45200.824999999997</v>
      </c>
      <c r="P2390" s="16">
        <v>3.4</v>
      </c>
      <c r="Q2390" s="16" t="b">
        <f>TRUE()</f>
        <v>1</v>
      </c>
      <c r="R2390" s="16" t="b">
        <f>TRUE()</f>
        <v>1</v>
      </c>
      <c r="S2390" s="17">
        <f t="shared" si="37"/>
        <v>13.4</v>
      </c>
      <c r="T2390">
        <f>COUNTIF('👤 Customers'!$A:$A, B2390)</f>
        <v>1</v>
      </c>
      <c r="U2390">
        <f>COUNTIF('🚴 Riders'!A2389:A2449, C2390)</f>
        <v>0</v>
      </c>
      <c r="V2390">
        <f>COUNTIF('🏭 Facilities'!A2389:A2397, D2390)</f>
        <v>0</v>
      </c>
    </row>
    <row r="2391" spans="1:22">
      <c r="A2391" s="18" t="s">
        <v>5439</v>
      </c>
      <c r="B2391" s="18" t="s">
        <v>4073</v>
      </c>
      <c r="C2391" s="18" t="s">
        <v>358</v>
      </c>
      <c r="D2391" s="18" t="s">
        <v>205</v>
      </c>
      <c r="E2391" s="26">
        <v>45014</v>
      </c>
      <c r="F2391" s="18" t="s">
        <v>5440</v>
      </c>
      <c r="G2391" s="18" t="s">
        <v>145</v>
      </c>
      <c r="H2391" s="18">
        <v>6.1</v>
      </c>
      <c r="I2391" s="18">
        <v>299</v>
      </c>
      <c r="J2391" s="18">
        <v>0</v>
      </c>
      <c r="K2391" s="18">
        <v>1823.9</v>
      </c>
      <c r="L2391" s="18" t="s">
        <v>146</v>
      </c>
      <c r="M2391" s="18" t="s">
        <v>119</v>
      </c>
      <c r="N2391" s="28">
        <v>45014.931944444441</v>
      </c>
      <c r="O2391" s="28">
        <v>45015.472916666666</v>
      </c>
      <c r="P2391" s="18">
        <v>3.3</v>
      </c>
      <c r="Q2391" s="18" t="b">
        <f>FALSE()</f>
        <v>0</v>
      </c>
      <c r="R2391" s="18" t="b">
        <f>FALSE()</f>
        <v>0</v>
      </c>
      <c r="S2391" s="19">
        <f t="shared" si="37"/>
        <v>13</v>
      </c>
      <c r="T2391">
        <f>COUNTIF('👤 Customers'!$A:$A, B2391)</f>
        <v>1</v>
      </c>
      <c r="U2391">
        <f>COUNTIF('🚴 Riders'!A2390:A2450, C2391)</f>
        <v>0</v>
      </c>
      <c r="V2391">
        <f>COUNTIF('🏭 Facilities'!A2390:A2398, D2391)</f>
        <v>0</v>
      </c>
    </row>
    <row r="2392" spans="1:22">
      <c r="A2392" s="16" t="s">
        <v>5441</v>
      </c>
      <c r="B2392" s="16" t="s">
        <v>925</v>
      </c>
      <c r="C2392" s="16" t="s">
        <v>232</v>
      </c>
      <c r="D2392" s="16" t="s">
        <v>184</v>
      </c>
      <c r="E2392" s="25">
        <v>45396</v>
      </c>
      <c r="F2392" s="16" t="s">
        <v>5442</v>
      </c>
      <c r="G2392" s="16" t="s">
        <v>176</v>
      </c>
      <c r="H2392" s="16">
        <v>5.0999999999999996</v>
      </c>
      <c r="I2392" s="16">
        <v>599</v>
      </c>
      <c r="J2392" s="16">
        <v>10</v>
      </c>
      <c r="K2392" s="16">
        <v>2749.41</v>
      </c>
      <c r="L2392" s="16" t="s">
        <v>139</v>
      </c>
      <c r="M2392" s="16" t="s">
        <v>119</v>
      </c>
      <c r="N2392" s="27">
        <v>45396.53125</v>
      </c>
      <c r="O2392" s="27">
        <v>45397.472916666666</v>
      </c>
      <c r="P2392" s="16">
        <v>4.7</v>
      </c>
      <c r="Q2392" s="16" t="b">
        <f>FALSE()</f>
        <v>0</v>
      </c>
      <c r="R2392" s="16" t="b">
        <f>FALSE()</f>
        <v>0</v>
      </c>
      <c r="S2392" s="17">
        <f t="shared" si="37"/>
        <v>22.6</v>
      </c>
      <c r="T2392">
        <f>COUNTIF('👤 Customers'!$A:$A, B2392)</f>
        <v>1</v>
      </c>
      <c r="U2392">
        <f>COUNTIF('🚴 Riders'!A2391:A2451, C2392)</f>
        <v>0</v>
      </c>
      <c r="V2392">
        <f>COUNTIF('🏭 Facilities'!A2391:A2399, D2392)</f>
        <v>0</v>
      </c>
    </row>
    <row r="2393" spans="1:22">
      <c r="A2393" s="18" t="s">
        <v>5443</v>
      </c>
      <c r="B2393" s="18" t="s">
        <v>1006</v>
      </c>
      <c r="C2393" s="18" t="s">
        <v>358</v>
      </c>
      <c r="D2393" s="18" t="s">
        <v>130</v>
      </c>
      <c r="E2393" s="26">
        <v>45042</v>
      </c>
      <c r="F2393" s="18" t="s">
        <v>5444</v>
      </c>
      <c r="G2393" s="18" t="s">
        <v>145</v>
      </c>
      <c r="H2393" s="18">
        <v>6.7</v>
      </c>
      <c r="I2393" s="18">
        <v>299</v>
      </c>
      <c r="J2393" s="18">
        <v>0</v>
      </c>
      <c r="K2393" s="18">
        <v>2003.3</v>
      </c>
      <c r="L2393" s="18" t="s">
        <v>126</v>
      </c>
      <c r="M2393" s="18" t="s">
        <v>119</v>
      </c>
      <c r="N2393" s="28">
        <v>45042.604861111111</v>
      </c>
      <c r="O2393" s="28">
        <v>45043.665972222225</v>
      </c>
      <c r="P2393" s="18">
        <v>3</v>
      </c>
      <c r="Q2393" s="18" t="b">
        <f>TRUE()</f>
        <v>1</v>
      </c>
      <c r="R2393" s="18" t="b">
        <f>FALSE()</f>
        <v>0</v>
      </c>
      <c r="S2393" s="19">
        <f t="shared" si="37"/>
        <v>25.5</v>
      </c>
      <c r="T2393">
        <f>COUNTIF('👤 Customers'!$A:$A, B2393)</f>
        <v>1</v>
      </c>
      <c r="U2393">
        <f>COUNTIF('🚴 Riders'!A2392:A2452, C2393)</f>
        <v>0</v>
      </c>
      <c r="V2393">
        <f>COUNTIF('🏭 Facilities'!A2392:A2400, D2393)</f>
        <v>0</v>
      </c>
    </row>
    <row r="2394" spans="1:22">
      <c r="A2394" s="16" t="s">
        <v>5445</v>
      </c>
      <c r="B2394" s="16" t="s">
        <v>290</v>
      </c>
      <c r="C2394" s="16" t="s">
        <v>213</v>
      </c>
      <c r="D2394" s="16" t="s">
        <v>205</v>
      </c>
      <c r="E2394" s="25">
        <v>45298</v>
      </c>
      <c r="F2394" s="16" t="s">
        <v>5446</v>
      </c>
      <c r="G2394" s="16" t="s">
        <v>176</v>
      </c>
      <c r="H2394" s="16">
        <v>2.5</v>
      </c>
      <c r="I2394" s="16">
        <v>599</v>
      </c>
      <c r="J2394" s="16">
        <v>0</v>
      </c>
      <c r="K2394" s="16">
        <v>1497.5</v>
      </c>
      <c r="L2394" s="16" t="s">
        <v>207</v>
      </c>
      <c r="M2394" s="16" t="s">
        <v>119</v>
      </c>
      <c r="N2394" s="27">
        <v>45298.674305555556</v>
      </c>
      <c r="O2394" s="27">
        <v>45299.414583333331</v>
      </c>
      <c r="P2394" s="16">
        <v>3.1</v>
      </c>
      <c r="Q2394" s="16" t="b">
        <f>FALSE()</f>
        <v>0</v>
      </c>
      <c r="R2394" s="16" t="b">
        <f>TRUE()</f>
        <v>1</v>
      </c>
      <c r="S2394" s="17">
        <f t="shared" si="37"/>
        <v>17.8</v>
      </c>
      <c r="T2394">
        <f>COUNTIF('👤 Customers'!$A:$A, B2394)</f>
        <v>1</v>
      </c>
      <c r="U2394">
        <f>COUNTIF('🚴 Riders'!A2393:A2453, C2394)</f>
        <v>0</v>
      </c>
      <c r="V2394">
        <f>COUNTIF('🏭 Facilities'!A2393:A2401, D2394)</f>
        <v>0</v>
      </c>
    </row>
    <row r="2395" spans="1:22">
      <c r="A2395" s="18" t="s">
        <v>5447</v>
      </c>
      <c r="B2395" s="18" t="s">
        <v>2313</v>
      </c>
      <c r="C2395" s="18" t="s">
        <v>487</v>
      </c>
      <c r="D2395" s="18" t="s">
        <v>197</v>
      </c>
      <c r="E2395" s="26">
        <v>45462</v>
      </c>
      <c r="F2395" s="18" t="s">
        <v>5448</v>
      </c>
      <c r="G2395" s="18" t="s">
        <v>132</v>
      </c>
      <c r="H2395" s="18">
        <v>1.4</v>
      </c>
      <c r="I2395" s="18">
        <v>399</v>
      </c>
      <c r="J2395" s="18">
        <v>0</v>
      </c>
      <c r="K2395" s="18">
        <v>558.6</v>
      </c>
      <c r="L2395" s="18" t="s">
        <v>207</v>
      </c>
      <c r="M2395" s="18" t="s">
        <v>119</v>
      </c>
      <c r="N2395" s="28">
        <v>45462.719444444447</v>
      </c>
      <c r="O2395" s="28">
        <v>45463.749305555553</v>
      </c>
      <c r="P2395" s="18">
        <v>3.9</v>
      </c>
      <c r="Q2395" s="18" t="b">
        <f>FALSE()</f>
        <v>0</v>
      </c>
      <c r="R2395" s="18" t="b">
        <f>FALSE()</f>
        <v>0</v>
      </c>
      <c r="S2395" s="19">
        <f t="shared" si="37"/>
        <v>24.7</v>
      </c>
      <c r="T2395">
        <f>COUNTIF('👤 Customers'!$A:$A, B2395)</f>
        <v>1</v>
      </c>
      <c r="U2395">
        <f>COUNTIF('🚴 Riders'!A2394:A2454, C2395)</f>
        <v>0</v>
      </c>
      <c r="V2395">
        <f>COUNTIF('🏭 Facilities'!A2394:A2402, D2395)</f>
        <v>0</v>
      </c>
    </row>
    <row r="2396" spans="1:22">
      <c r="A2396" s="16" t="s">
        <v>5449</v>
      </c>
      <c r="B2396" s="16" t="s">
        <v>1431</v>
      </c>
      <c r="C2396" s="16" t="s">
        <v>220</v>
      </c>
      <c r="D2396" s="16" t="s">
        <v>130</v>
      </c>
      <c r="E2396" s="25">
        <v>45384</v>
      </c>
      <c r="F2396" s="16" t="s">
        <v>5450</v>
      </c>
      <c r="G2396" s="16" t="s">
        <v>132</v>
      </c>
      <c r="H2396" s="16">
        <v>3</v>
      </c>
      <c r="I2396" s="16">
        <v>399</v>
      </c>
      <c r="J2396" s="16">
        <v>0</v>
      </c>
      <c r="K2396" s="16">
        <v>1197</v>
      </c>
      <c r="L2396" s="16" t="s">
        <v>126</v>
      </c>
      <c r="M2396" s="16" t="s">
        <v>119</v>
      </c>
      <c r="N2396" s="27">
        <v>45384.725694444445</v>
      </c>
      <c r="O2396" s="27">
        <v>45385.813888888886</v>
      </c>
      <c r="P2396" s="16">
        <v>3.6</v>
      </c>
      <c r="Q2396" s="16" t="b">
        <f>FALSE()</f>
        <v>0</v>
      </c>
      <c r="R2396" s="16" t="b">
        <f>FALSE()</f>
        <v>0</v>
      </c>
      <c r="S2396" s="17">
        <f t="shared" si="37"/>
        <v>26.1</v>
      </c>
      <c r="T2396">
        <f>COUNTIF('👤 Customers'!$A:$A, B2396)</f>
        <v>1</v>
      </c>
      <c r="U2396">
        <f>COUNTIF('🚴 Riders'!A2395:A2455, C2396)</f>
        <v>0</v>
      </c>
      <c r="V2396">
        <f>COUNTIF('🏭 Facilities'!A2395:A2403, D2396)</f>
        <v>0</v>
      </c>
    </row>
    <row r="2397" spans="1:22">
      <c r="A2397" s="18" t="s">
        <v>5451</v>
      </c>
      <c r="B2397" s="18" t="s">
        <v>513</v>
      </c>
      <c r="C2397" s="18" t="s">
        <v>196</v>
      </c>
      <c r="D2397" s="18" t="s">
        <v>184</v>
      </c>
      <c r="E2397" s="26">
        <v>45630</v>
      </c>
      <c r="F2397" s="18" t="s">
        <v>5452</v>
      </c>
      <c r="G2397" s="18" t="s">
        <v>125</v>
      </c>
      <c r="H2397" s="18">
        <v>6.6</v>
      </c>
      <c r="I2397" s="18">
        <v>199</v>
      </c>
      <c r="J2397" s="18">
        <v>0</v>
      </c>
      <c r="K2397" s="18">
        <v>1313.4</v>
      </c>
      <c r="L2397" s="18" t="s">
        <v>118</v>
      </c>
      <c r="M2397" s="18" t="s">
        <v>119</v>
      </c>
      <c r="N2397" s="28">
        <v>45630.571527777778</v>
      </c>
      <c r="O2397" s="28">
        <v>45631.508333333331</v>
      </c>
      <c r="P2397" s="18">
        <v>3.3</v>
      </c>
      <c r="Q2397" s="18" t="b">
        <f>FALSE()</f>
        <v>0</v>
      </c>
      <c r="R2397" s="18" t="b">
        <f>FALSE()</f>
        <v>0</v>
      </c>
      <c r="S2397" s="19">
        <f t="shared" si="37"/>
        <v>22.5</v>
      </c>
      <c r="T2397">
        <f>COUNTIF('👤 Customers'!$A:$A, B2397)</f>
        <v>1</v>
      </c>
      <c r="U2397">
        <f>COUNTIF('🚴 Riders'!A2396:A2456, C2397)</f>
        <v>0</v>
      </c>
      <c r="V2397">
        <f>COUNTIF('🏭 Facilities'!A2396:A2404, D2397)</f>
        <v>0</v>
      </c>
    </row>
    <row r="2398" spans="1:22">
      <c r="A2398" s="16" t="s">
        <v>5453</v>
      </c>
      <c r="B2398" s="16" t="s">
        <v>3454</v>
      </c>
      <c r="C2398" s="16" t="s">
        <v>362</v>
      </c>
      <c r="D2398" s="16" t="s">
        <v>123</v>
      </c>
      <c r="E2398" s="25">
        <v>45489</v>
      </c>
      <c r="F2398" s="16" t="s">
        <v>5454</v>
      </c>
      <c r="G2398" s="16" t="s">
        <v>145</v>
      </c>
      <c r="H2398" s="16">
        <v>6.5</v>
      </c>
      <c r="I2398" s="16">
        <v>299</v>
      </c>
      <c r="J2398" s="16">
        <v>0</v>
      </c>
      <c r="K2398" s="16">
        <v>1943.5</v>
      </c>
      <c r="L2398" s="16" t="s">
        <v>118</v>
      </c>
      <c r="M2398" s="16" t="s">
        <v>119</v>
      </c>
      <c r="N2398" s="27">
        <v>45490.010416666664</v>
      </c>
      <c r="O2398" s="27">
        <v>45490.368055555555</v>
      </c>
      <c r="P2398" s="16">
        <v>3</v>
      </c>
      <c r="Q2398" s="16" t="b">
        <f>FALSE()</f>
        <v>0</v>
      </c>
      <c r="R2398" s="16" t="b">
        <f>FALSE()</f>
        <v>0</v>
      </c>
      <c r="S2398" s="17">
        <f t="shared" si="37"/>
        <v>8.6</v>
      </c>
      <c r="T2398">
        <f>COUNTIF('👤 Customers'!$A:$A, B2398)</f>
        <v>1</v>
      </c>
      <c r="U2398">
        <f>COUNTIF('🚴 Riders'!A2397:A2457, C2398)</f>
        <v>0</v>
      </c>
      <c r="V2398">
        <f>COUNTIF('🏭 Facilities'!A2397:A2405, D2398)</f>
        <v>0</v>
      </c>
    </row>
    <row r="2399" spans="1:22">
      <c r="A2399" s="18" t="s">
        <v>5455</v>
      </c>
      <c r="B2399" s="18" t="s">
        <v>654</v>
      </c>
      <c r="C2399" s="18" t="s">
        <v>174</v>
      </c>
      <c r="D2399" s="18" t="s">
        <v>123</v>
      </c>
      <c r="E2399" s="26">
        <v>44986</v>
      </c>
      <c r="F2399" s="18" t="s">
        <v>5456</v>
      </c>
      <c r="G2399" s="18" t="s">
        <v>125</v>
      </c>
      <c r="H2399" s="18">
        <v>5.8</v>
      </c>
      <c r="I2399" s="18">
        <v>199</v>
      </c>
      <c r="J2399" s="18">
        <v>0</v>
      </c>
      <c r="K2399" s="18">
        <v>1154.2</v>
      </c>
      <c r="L2399" s="18" t="s">
        <v>146</v>
      </c>
      <c r="M2399" s="18" t="s">
        <v>119</v>
      </c>
      <c r="N2399" s="28">
        <v>44986.558333333334</v>
      </c>
      <c r="O2399" s="28">
        <v>44987.036111111112</v>
      </c>
      <c r="P2399" s="18">
        <v>2.6</v>
      </c>
      <c r="Q2399" s="18" t="b">
        <f>FALSE()</f>
        <v>0</v>
      </c>
      <c r="R2399" s="18" t="b">
        <f>FALSE()</f>
        <v>0</v>
      </c>
      <c r="S2399" s="19">
        <f t="shared" si="37"/>
        <v>11.5</v>
      </c>
      <c r="T2399">
        <f>COUNTIF('👤 Customers'!$A:$A, B2399)</f>
        <v>1</v>
      </c>
      <c r="U2399">
        <f>COUNTIF('🚴 Riders'!A2398:A2458, C2399)</f>
        <v>0</v>
      </c>
      <c r="V2399">
        <f>COUNTIF('🏭 Facilities'!A2398:A2406, D2399)</f>
        <v>0</v>
      </c>
    </row>
    <row r="2400" spans="1:22">
      <c r="A2400" s="16" t="s">
        <v>5457</v>
      </c>
      <c r="B2400" s="16" t="s">
        <v>990</v>
      </c>
      <c r="C2400" s="16" t="s">
        <v>228</v>
      </c>
      <c r="D2400" s="16" t="s">
        <v>158</v>
      </c>
      <c r="E2400" s="25">
        <v>45472</v>
      </c>
      <c r="F2400" s="16" t="s">
        <v>5458</v>
      </c>
      <c r="G2400" s="16" t="s">
        <v>117</v>
      </c>
      <c r="H2400" s="16">
        <v>4.2</v>
      </c>
      <c r="I2400" s="16">
        <v>149</v>
      </c>
      <c r="J2400" s="16">
        <v>0</v>
      </c>
      <c r="K2400" s="16">
        <v>625.79999999999995</v>
      </c>
      <c r="L2400" s="16" t="s">
        <v>146</v>
      </c>
      <c r="M2400" s="16" t="s">
        <v>119</v>
      </c>
      <c r="N2400" s="27">
        <v>45472.175000000003</v>
      </c>
      <c r="O2400" s="27">
        <v>45472.941666666666</v>
      </c>
      <c r="P2400" s="16">
        <v>3.4</v>
      </c>
      <c r="Q2400" s="16" t="b">
        <f>FALSE()</f>
        <v>0</v>
      </c>
      <c r="R2400" s="16" t="b">
        <f>FALSE()</f>
        <v>0</v>
      </c>
      <c r="S2400" s="17">
        <f t="shared" si="37"/>
        <v>18.399999999999999</v>
      </c>
      <c r="T2400">
        <f>COUNTIF('👤 Customers'!$A:$A, B2400)</f>
        <v>1</v>
      </c>
      <c r="U2400">
        <f>COUNTIF('🚴 Riders'!A2399:A2459, C2400)</f>
        <v>0</v>
      </c>
      <c r="V2400">
        <f>COUNTIF('🏭 Facilities'!A2399:A2407, D2400)</f>
        <v>0</v>
      </c>
    </row>
    <row r="2401" spans="1:22">
      <c r="A2401" s="18" t="s">
        <v>5459</v>
      </c>
      <c r="B2401" s="18" t="s">
        <v>1282</v>
      </c>
      <c r="C2401" s="18" t="s">
        <v>143</v>
      </c>
      <c r="D2401" s="18" t="s">
        <v>123</v>
      </c>
      <c r="E2401" s="26">
        <v>44930</v>
      </c>
      <c r="F2401" s="18" t="s">
        <v>5460</v>
      </c>
      <c r="G2401" s="18" t="s">
        <v>176</v>
      </c>
      <c r="H2401" s="18">
        <v>4.8</v>
      </c>
      <c r="I2401" s="18">
        <v>599</v>
      </c>
      <c r="J2401" s="18">
        <v>0</v>
      </c>
      <c r="K2401" s="18">
        <v>2875.2</v>
      </c>
      <c r="L2401" s="18" t="s">
        <v>118</v>
      </c>
      <c r="M2401" s="18" t="s">
        <v>119</v>
      </c>
      <c r="N2401" s="28">
        <v>44930.804166666669</v>
      </c>
      <c r="O2401" s="28">
        <v>44931.364583333336</v>
      </c>
      <c r="P2401" s="18">
        <v>4.5</v>
      </c>
      <c r="Q2401" s="18" t="b">
        <f>TRUE()</f>
        <v>1</v>
      </c>
      <c r="R2401" s="18" t="b">
        <f>FALSE()</f>
        <v>0</v>
      </c>
      <c r="S2401" s="19">
        <f t="shared" si="37"/>
        <v>13.5</v>
      </c>
      <c r="T2401">
        <f>COUNTIF('👤 Customers'!$A:$A, B2401)</f>
        <v>1</v>
      </c>
      <c r="U2401">
        <f>COUNTIF('🚴 Riders'!A2400:A2460, C2401)</f>
        <v>0</v>
      </c>
      <c r="V2401">
        <f>COUNTIF('🏭 Facilities'!A2400:A2408, D2401)</f>
        <v>0</v>
      </c>
    </row>
    <row r="2402" spans="1:22">
      <c r="A2402" s="16" t="s">
        <v>5461</v>
      </c>
      <c r="B2402" s="16" t="s">
        <v>1150</v>
      </c>
      <c r="C2402" s="16" t="s">
        <v>563</v>
      </c>
      <c r="D2402" s="16" t="s">
        <v>137</v>
      </c>
      <c r="E2402" s="25">
        <v>44939</v>
      </c>
      <c r="F2402" s="16" t="s">
        <v>5462</v>
      </c>
      <c r="G2402" s="16" t="s">
        <v>117</v>
      </c>
      <c r="H2402" s="16">
        <v>2</v>
      </c>
      <c r="I2402" s="16">
        <v>149</v>
      </c>
      <c r="J2402" s="16">
        <v>0</v>
      </c>
      <c r="K2402" s="16">
        <v>298</v>
      </c>
      <c r="L2402" s="16" t="s">
        <v>126</v>
      </c>
      <c r="M2402" s="16" t="s">
        <v>140</v>
      </c>
      <c r="N2402" s="27">
        <v>44939.256249999999</v>
      </c>
      <c r="O2402" s="27">
        <v>44939.759027777778</v>
      </c>
      <c r="P2402" s="20"/>
      <c r="Q2402" s="16" t="b">
        <f>FALSE()</f>
        <v>0</v>
      </c>
      <c r="R2402" s="16" t="b">
        <f>TRUE()</f>
        <v>1</v>
      </c>
      <c r="S2402" s="17">
        <f t="shared" si="37"/>
        <v>12.1</v>
      </c>
      <c r="T2402">
        <f>COUNTIF('👤 Customers'!$A:$A, B2402)</f>
        <v>1</v>
      </c>
      <c r="U2402">
        <f>COUNTIF('🚴 Riders'!A2401:A2461, C2402)</f>
        <v>0</v>
      </c>
      <c r="V2402">
        <f>COUNTIF('🏭 Facilities'!A2401:A2409, D2402)</f>
        <v>0</v>
      </c>
    </row>
    <row r="2403" spans="1:22">
      <c r="A2403" s="18" t="s">
        <v>5463</v>
      </c>
      <c r="B2403" s="18" t="s">
        <v>2120</v>
      </c>
      <c r="C2403" s="18" t="s">
        <v>487</v>
      </c>
      <c r="D2403" s="18" t="s">
        <v>130</v>
      </c>
      <c r="E2403" s="26">
        <v>45587</v>
      </c>
      <c r="F2403" s="18" t="s">
        <v>5464</v>
      </c>
      <c r="G2403" s="18" t="s">
        <v>176</v>
      </c>
      <c r="H2403" s="18">
        <v>6.6</v>
      </c>
      <c r="I2403" s="18">
        <v>599</v>
      </c>
      <c r="J2403" s="18">
        <v>0</v>
      </c>
      <c r="K2403" s="18">
        <v>3953.4</v>
      </c>
      <c r="L2403" s="18" t="s">
        <v>207</v>
      </c>
      <c r="M2403" s="18" t="s">
        <v>140</v>
      </c>
      <c r="N2403" s="28">
        <v>45587.946527777778</v>
      </c>
      <c r="O2403" s="28">
        <v>45588.775000000001</v>
      </c>
      <c r="P2403" s="20"/>
      <c r="Q2403" s="18" t="b">
        <f>FALSE()</f>
        <v>0</v>
      </c>
      <c r="R2403" s="18" t="b">
        <f>FALSE()</f>
        <v>0</v>
      </c>
      <c r="S2403" s="19">
        <f t="shared" si="37"/>
        <v>19.899999999999999</v>
      </c>
      <c r="T2403">
        <f>COUNTIF('👤 Customers'!$A:$A, B2403)</f>
        <v>1</v>
      </c>
      <c r="U2403">
        <f>COUNTIF('🚴 Riders'!A2402:A2462, C2403)</f>
        <v>0</v>
      </c>
      <c r="V2403">
        <f>COUNTIF('🏭 Facilities'!A2402:A2410, D2403)</f>
        <v>0</v>
      </c>
    </row>
    <row r="2404" spans="1:22">
      <c r="A2404" s="16" t="s">
        <v>5465</v>
      </c>
      <c r="B2404" s="16" t="s">
        <v>3942</v>
      </c>
      <c r="C2404" s="16" t="s">
        <v>183</v>
      </c>
      <c r="D2404" s="16" t="s">
        <v>197</v>
      </c>
      <c r="E2404" s="25">
        <v>45382</v>
      </c>
      <c r="F2404" s="16" t="s">
        <v>5466</v>
      </c>
      <c r="G2404" s="16" t="s">
        <v>132</v>
      </c>
      <c r="H2404" s="16">
        <v>3.6</v>
      </c>
      <c r="I2404" s="16">
        <v>399</v>
      </c>
      <c r="J2404" s="16">
        <v>30</v>
      </c>
      <c r="K2404" s="16">
        <v>1005.48</v>
      </c>
      <c r="L2404" s="16" t="s">
        <v>126</v>
      </c>
      <c r="M2404" s="16" t="s">
        <v>119</v>
      </c>
      <c r="N2404" s="27">
        <v>45382.384722222225</v>
      </c>
      <c r="O2404" s="27">
        <v>45382.947916666664</v>
      </c>
      <c r="P2404" s="16">
        <v>3.3</v>
      </c>
      <c r="Q2404" s="16" t="b">
        <f>FALSE()</f>
        <v>0</v>
      </c>
      <c r="R2404" s="16" t="b">
        <f>FALSE()</f>
        <v>0</v>
      </c>
      <c r="S2404" s="17">
        <f t="shared" si="37"/>
        <v>13.5</v>
      </c>
      <c r="T2404">
        <f>COUNTIF('👤 Customers'!$A:$A, B2404)</f>
        <v>1</v>
      </c>
      <c r="U2404">
        <f>COUNTIF('🚴 Riders'!A2403:A2463, C2404)</f>
        <v>0</v>
      </c>
      <c r="V2404">
        <f>COUNTIF('🏭 Facilities'!A2403:A2411, D2404)</f>
        <v>0</v>
      </c>
    </row>
    <row r="2405" spans="1:22">
      <c r="A2405" s="18" t="s">
        <v>5467</v>
      </c>
      <c r="B2405" s="18" t="s">
        <v>1911</v>
      </c>
      <c r="C2405" s="18" t="s">
        <v>479</v>
      </c>
      <c r="D2405" s="18" t="s">
        <v>137</v>
      </c>
      <c r="E2405" s="26">
        <v>45159</v>
      </c>
      <c r="F2405" s="18" t="s">
        <v>5468</v>
      </c>
      <c r="G2405" s="18" t="s">
        <v>145</v>
      </c>
      <c r="H2405" s="18">
        <v>3.6</v>
      </c>
      <c r="I2405" s="18">
        <v>299</v>
      </c>
      <c r="J2405" s="18">
        <v>0</v>
      </c>
      <c r="K2405" s="18">
        <v>1076.4000000000001</v>
      </c>
      <c r="L2405" s="18" t="s">
        <v>139</v>
      </c>
      <c r="M2405" s="18" t="s">
        <v>119</v>
      </c>
      <c r="N2405" s="28">
        <v>45159.82916666667</v>
      </c>
      <c r="O2405" s="28">
        <v>45160.772222222222</v>
      </c>
      <c r="P2405" s="18">
        <v>3</v>
      </c>
      <c r="Q2405" s="18" t="b">
        <f>FALSE()</f>
        <v>0</v>
      </c>
      <c r="R2405" s="18" t="b">
        <f>FALSE()</f>
        <v>0</v>
      </c>
      <c r="S2405" s="19">
        <f t="shared" si="37"/>
        <v>22.6</v>
      </c>
      <c r="T2405">
        <f>COUNTIF('👤 Customers'!$A:$A, B2405)</f>
        <v>1</v>
      </c>
      <c r="U2405">
        <f>COUNTIF('🚴 Riders'!A2404:A2464, C2405)</f>
        <v>0</v>
      </c>
      <c r="V2405">
        <f>COUNTIF('🏭 Facilities'!A2404:A2412, D2405)</f>
        <v>0</v>
      </c>
    </row>
    <row r="2406" spans="1:22">
      <c r="A2406" s="16" t="s">
        <v>5469</v>
      </c>
      <c r="B2406" s="16" t="s">
        <v>1061</v>
      </c>
      <c r="C2406" s="16" t="s">
        <v>272</v>
      </c>
      <c r="D2406" s="16" t="s">
        <v>158</v>
      </c>
      <c r="E2406" s="25">
        <v>45178</v>
      </c>
      <c r="F2406" s="16" t="s">
        <v>5470</v>
      </c>
      <c r="G2406" s="16" t="s">
        <v>117</v>
      </c>
      <c r="H2406" s="16">
        <v>3.9</v>
      </c>
      <c r="I2406" s="16">
        <v>149</v>
      </c>
      <c r="J2406" s="16">
        <v>0</v>
      </c>
      <c r="K2406" s="16">
        <v>581.1</v>
      </c>
      <c r="L2406" s="16" t="s">
        <v>146</v>
      </c>
      <c r="M2406" s="16" t="s">
        <v>119</v>
      </c>
      <c r="N2406" s="27">
        <v>45178.302083333336</v>
      </c>
      <c r="O2406" s="27">
        <v>45179.245138888888</v>
      </c>
      <c r="P2406" s="16">
        <v>4.3</v>
      </c>
      <c r="Q2406" s="16" t="b">
        <f>FALSE()</f>
        <v>0</v>
      </c>
      <c r="R2406" s="16" t="b">
        <f>FALSE()</f>
        <v>0</v>
      </c>
      <c r="S2406" s="17">
        <f t="shared" si="37"/>
        <v>22.6</v>
      </c>
      <c r="T2406">
        <f>COUNTIF('👤 Customers'!$A:$A, B2406)</f>
        <v>1</v>
      </c>
      <c r="U2406">
        <f>COUNTIF('🚴 Riders'!A2405:A2465, C2406)</f>
        <v>0</v>
      </c>
      <c r="V2406">
        <f>COUNTIF('🏭 Facilities'!A2405:A2413, D2406)</f>
        <v>0</v>
      </c>
    </row>
    <row r="2407" spans="1:22">
      <c r="A2407" s="18" t="s">
        <v>5471</v>
      </c>
      <c r="B2407" s="18" t="s">
        <v>1452</v>
      </c>
      <c r="C2407" s="18" t="s">
        <v>188</v>
      </c>
      <c r="D2407" s="18" t="s">
        <v>158</v>
      </c>
      <c r="E2407" s="26">
        <v>45369</v>
      </c>
      <c r="F2407" s="18" t="s">
        <v>5472</v>
      </c>
      <c r="G2407" s="18" t="s">
        <v>117</v>
      </c>
      <c r="H2407" s="18">
        <v>1</v>
      </c>
      <c r="I2407" s="18">
        <v>149</v>
      </c>
      <c r="J2407" s="18">
        <v>20</v>
      </c>
      <c r="K2407" s="18">
        <v>119.2</v>
      </c>
      <c r="L2407" s="18" t="s">
        <v>126</v>
      </c>
      <c r="M2407" s="18" t="s">
        <v>119</v>
      </c>
      <c r="N2407" s="28">
        <v>45369.563888888886</v>
      </c>
      <c r="O2407" s="28">
        <v>45370.064583333333</v>
      </c>
      <c r="P2407" s="18">
        <v>4.8</v>
      </c>
      <c r="Q2407" s="18" t="b">
        <f>FALSE()</f>
        <v>0</v>
      </c>
      <c r="R2407" s="18" t="b">
        <f>FALSE()</f>
        <v>0</v>
      </c>
      <c r="S2407" s="19">
        <f t="shared" si="37"/>
        <v>12</v>
      </c>
      <c r="T2407">
        <f>COUNTIF('👤 Customers'!$A:$A, B2407)</f>
        <v>1</v>
      </c>
      <c r="U2407">
        <f>COUNTIF('🚴 Riders'!A2406:A2466, C2407)</f>
        <v>0</v>
      </c>
      <c r="V2407">
        <f>COUNTIF('🏭 Facilities'!A2406:A2414, D2407)</f>
        <v>0</v>
      </c>
    </row>
    <row r="2408" spans="1:22">
      <c r="A2408" s="16" t="s">
        <v>5473</v>
      </c>
      <c r="B2408" s="16" t="s">
        <v>863</v>
      </c>
      <c r="C2408" s="16" t="s">
        <v>483</v>
      </c>
      <c r="D2408" s="16" t="s">
        <v>197</v>
      </c>
      <c r="E2408" s="25">
        <v>45574</v>
      </c>
      <c r="F2408" s="16" t="s">
        <v>5474</v>
      </c>
      <c r="G2408" s="16" t="s">
        <v>117</v>
      </c>
      <c r="H2408" s="16">
        <v>4.3</v>
      </c>
      <c r="I2408" s="16">
        <v>149</v>
      </c>
      <c r="J2408" s="16">
        <v>0</v>
      </c>
      <c r="K2408" s="16">
        <v>640.70000000000005</v>
      </c>
      <c r="L2408" s="16" t="s">
        <v>126</v>
      </c>
      <c r="M2408" s="16" t="s">
        <v>140</v>
      </c>
      <c r="N2408" s="27">
        <v>45574.193749999999</v>
      </c>
      <c r="O2408" s="27">
        <v>45574.589583333334</v>
      </c>
      <c r="P2408" s="20"/>
      <c r="Q2408" s="16" t="b">
        <f>FALSE()</f>
        <v>0</v>
      </c>
      <c r="R2408" s="16" t="b">
        <f>FALSE()</f>
        <v>0</v>
      </c>
      <c r="S2408" s="17">
        <f t="shared" si="37"/>
        <v>9.5</v>
      </c>
      <c r="T2408">
        <f>COUNTIF('👤 Customers'!$A:$A, B2408)</f>
        <v>1</v>
      </c>
      <c r="U2408">
        <f>COUNTIF('🚴 Riders'!A2407:A2467, C2408)</f>
        <v>0</v>
      </c>
      <c r="V2408">
        <f>COUNTIF('🏭 Facilities'!A2407:A2415, D2408)</f>
        <v>0</v>
      </c>
    </row>
    <row r="2409" spans="1:22">
      <c r="A2409" s="18" t="s">
        <v>5475</v>
      </c>
      <c r="B2409" s="18" t="s">
        <v>701</v>
      </c>
      <c r="C2409" s="18" t="s">
        <v>304</v>
      </c>
      <c r="D2409" s="18" t="s">
        <v>137</v>
      </c>
      <c r="E2409" s="26">
        <v>45204</v>
      </c>
      <c r="F2409" s="18" t="s">
        <v>5476</v>
      </c>
      <c r="G2409" s="18" t="s">
        <v>125</v>
      </c>
      <c r="H2409" s="18">
        <v>3.7</v>
      </c>
      <c r="I2409" s="18">
        <v>199</v>
      </c>
      <c r="J2409" s="18">
        <v>0</v>
      </c>
      <c r="K2409" s="18">
        <v>736.3</v>
      </c>
      <c r="L2409" s="18" t="s">
        <v>207</v>
      </c>
      <c r="M2409" s="18" t="s">
        <v>119</v>
      </c>
      <c r="N2409" s="28">
        <v>45204.713888888888</v>
      </c>
      <c r="O2409" s="28">
        <v>45205.584722222222</v>
      </c>
      <c r="P2409" s="18">
        <v>3.2</v>
      </c>
      <c r="Q2409" s="18" t="b">
        <f>TRUE()</f>
        <v>1</v>
      </c>
      <c r="R2409" s="18" t="b">
        <f>FALSE()</f>
        <v>0</v>
      </c>
      <c r="S2409" s="19">
        <f t="shared" si="37"/>
        <v>20.9</v>
      </c>
      <c r="T2409">
        <f>COUNTIF('👤 Customers'!$A:$A, B2409)</f>
        <v>1</v>
      </c>
      <c r="U2409">
        <f>COUNTIF('🚴 Riders'!A2408:A2468, C2409)</f>
        <v>0</v>
      </c>
      <c r="V2409">
        <f>COUNTIF('🏭 Facilities'!A2408:A2416, D2409)</f>
        <v>0</v>
      </c>
    </row>
    <row r="2410" spans="1:22">
      <c r="A2410" s="16" t="s">
        <v>5477</v>
      </c>
      <c r="B2410" s="16" t="s">
        <v>2229</v>
      </c>
      <c r="C2410" s="16" t="s">
        <v>170</v>
      </c>
      <c r="D2410" s="16" t="s">
        <v>205</v>
      </c>
      <c r="E2410" s="25">
        <v>44979</v>
      </c>
      <c r="F2410" s="16" t="s">
        <v>5478</v>
      </c>
      <c r="G2410" s="16" t="s">
        <v>145</v>
      </c>
      <c r="H2410" s="16">
        <v>4.5999999999999996</v>
      </c>
      <c r="I2410" s="16">
        <v>299</v>
      </c>
      <c r="J2410" s="16">
        <v>20</v>
      </c>
      <c r="K2410" s="16">
        <v>1100.32</v>
      </c>
      <c r="L2410" s="16" t="s">
        <v>118</v>
      </c>
      <c r="M2410" s="16" t="s">
        <v>119</v>
      </c>
      <c r="N2410" s="27">
        <v>44979.415972222225</v>
      </c>
      <c r="O2410" s="27">
        <v>44980.213194444441</v>
      </c>
      <c r="P2410" s="16">
        <v>2.8</v>
      </c>
      <c r="Q2410" s="16" t="b">
        <f>FALSE()</f>
        <v>0</v>
      </c>
      <c r="R2410" s="16" t="b">
        <f>TRUE()</f>
        <v>1</v>
      </c>
      <c r="S2410" s="17">
        <f t="shared" si="37"/>
        <v>19.100000000000001</v>
      </c>
      <c r="T2410">
        <f>COUNTIF('👤 Customers'!$A:$A, B2410)</f>
        <v>1</v>
      </c>
      <c r="U2410">
        <f>COUNTIF('🚴 Riders'!A2409:A2469, C2410)</f>
        <v>0</v>
      </c>
      <c r="V2410">
        <f>COUNTIF('🏭 Facilities'!A2409:A2417, D2410)</f>
        <v>0</v>
      </c>
    </row>
    <row r="2411" spans="1:22">
      <c r="A2411" s="18" t="s">
        <v>5479</v>
      </c>
      <c r="B2411" s="18" t="s">
        <v>389</v>
      </c>
      <c r="C2411" s="18" t="s">
        <v>162</v>
      </c>
      <c r="D2411" s="18" t="s">
        <v>158</v>
      </c>
      <c r="E2411" s="26">
        <v>45231</v>
      </c>
      <c r="F2411" s="18" t="s">
        <v>5480</v>
      </c>
      <c r="G2411" s="18" t="s">
        <v>117</v>
      </c>
      <c r="H2411" s="18">
        <v>6.1</v>
      </c>
      <c r="I2411" s="18">
        <v>149</v>
      </c>
      <c r="J2411" s="18">
        <v>0</v>
      </c>
      <c r="K2411" s="18">
        <v>908.9</v>
      </c>
      <c r="L2411" s="18" t="s">
        <v>118</v>
      </c>
      <c r="M2411" s="18" t="s">
        <v>133</v>
      </c>
      <c r="N2411" s="20"/>
      <c r="O2411" s="20"/>
      <c r="P2411" s="20"/>
      <c r="Q2411" s="18" t="b">
        <f>FALSE()</f>
        <v>0</v>
      </c>
      <c r="R2411" s="18" t="b">
        <f>FALSE()</f>
        <v>0</v>
      </c>
      <c r="S2411" s="19" t="str">
        <f t="shared" si="37"/>
        <v>N/A</v>
      </c>
      <c r="T2411">
        <f>COUNTIF('👤 Customers'!$A:$A, B2411)</f>
        <v>1</v>
      </c>
      <c r="U2411">
        <f>COUNTIF('🚴 Riders'!A2410:A2470, C2411)</f>
        <v>0</v>
      </c>
      <c r="V2411">
        <f>COUNTIF('🏭 Facilities'!A2410:A2418, D2411)</f>
        <v>0</v>
      </c>
    </row>
    <row r="2412" spans="1:22">
      <c r="A2412" s="16" t="s">
        <v>5481</v>
      </c>
      <c r="B2412" s="16" t="s">
        <v>610</v>
      </c>
      <c r="C2412" s="16" t="s">
        <v>326</v>
      </c>
      <c r="D2412" s="16" t="s">
        <v>123</v>
      </c>
      <c r="E2412" s="25">
        <v>45402</v>
      </c>
      <c r="F2412" s="16" t="s">
        <v>5482</v>
      </c>
      <c r="G2412" s="16" t="s">
        <v>125</v>
      </c>
      <c r="H2412" s="16">
        <v>5.7</v>
      </c>
      <c r="I2412" s="16">
        <v>199</v>
      </c>
      <c r="J2412" s="16">
        <v>10</v>
      </c>
      <c r="K2412" s="16">
        <v>1020.87</v>
      </c>
      <c r="L2412" s="16" t="s">
        <v>146</v>
      </c>
      <c r="M2412" s="16" t="s">
        <v>133</v>
      </c>
      <c r="N2412" s="20"/>
      <c r="O2412" s="20"/>
      <c r="P2412" s="20"/>
      <c r="Q2412" s="16" t="b">
        <f>FALSE()</f>
        <v>0</v>
      </c>
      <c r="R2412" s="16" t="b">
        <f>TRUE()</f>
        <v>1</v>
      </c>
      <c r="S2412" s="17" t="str">
        <f t="shared" si="37"/>
        <v>N/A</v>
      </c>
      <c r="T2412">
        <f>COUNTIF('👤 Customers'!$A:$A, B2412)</f>
        <v>1</v>
      </c>
      <c r="U2412">
        <f>COUNTIF('🚴 Riders'!A2411:A2471, C2412)</f>
        <v>0</v>
      </c>
      <c r="V2412">
        <f>COUNTIF('🏭 Facilities'!A2411:A2419, D2412)</f>
        <v>0</v>
      </c>
    </row>
    <row r="2413" spans="1:22">
      <c r="A2413" s="18" t="s">
        <v>5483</v>
      </c>
      <c r="B2413" s="18" t="s">
        <v>409</v>
      </c>
      <c r="C2413" s="18" t="s">
        <v>487</v>
      </c>
      <c r="D2413" s="18" t="s">
        <v>123</v>
      </c>
      <c r="E2413" s="26">
        <v>45381</v>
      </c>
      <c r="F2413" s="18" t="s">
        <v>5484</v>
      </c>
      <c r="G2413" s="18" t="s">
        <v>125</v>
      </c>
      <c r="H2413" s="18">
        <v>5.5</v>
      </c>
      <c r="I2413" s="18">
        <v>199</v>
      </c>
      <c r="J2413" s="18">
        <v>0</v>
      </c>
      <c r="K2413" s="18">
        <v>1094.5</v>
      </c>
      <c r="L2413" s="18" t="s">
        <v>126</v>
      </c>
      <c r="M2413" s="18" t="s">
        <v>119</v>
      </c>
      <c r="N2413" s="28">
        <v>45381.34652777778</v>
      </c>
      <c r="O2413" s="28">
        <v>45382.125694444447</v>
      </c>
      <c r="P2413" s="18">
        <v>3.2</v>
      </c>
      <c r="Q2413" s="18" t="b">
        <f>FALSE()</f>
        <v>0</v>
      </c>
      <c r="R2413" s="18" t="b">
        <f>FALSE()</f>
        <v>0</v>
      </c>
      <c r="S2413" s="19">
        <f t="shared" si="37"/>
        <v>18.7</v>
      </c>
      <c r="T2413">
        <f>COUNTIF('👤 Customers'!$A:$A, B2413)</f>
        <v>1</v>
      </c>
      <c r="U2413">
        <f>COUNTIF('🚴 Riders'!A2412:A2472, C2413)</f>
        <v>0</v>
      </c>
      <c r="V2413">
        <f>COUNTIF('🏭 Facilities'!A2412:A2420, D2413)</f>
        <v>0</v>
      </c>
    </row>
    <row r="2414" spans="1:22">
      <c r="A2414" s="16" t="s">
        <v>5485</v>
      </c>
      <c r="B2414" s="16" t="s">
        <v>2347</v>
      </c>
      <c r="C2414" s="16" t="s">
        <v>276</v>
      </c>
      <c r="D2414" s="16" t="s">
        <v>205</v>
      </c>
      <c r="E2414" s="25">
        <v>45325</v>
      </c>
      <c r="F2414" s="16" t="s">
        <v>5486</v>
      </c>
      <c r="G2414" s="16" t="s">
        <v>117</v>
      </c>
      <c r="H2414" s="16">
        <v>5.9</v>
      </c>
      <c r="I2414" s="16">
        <v>149</v>
      </c>
      <c r="J2414" s="16">
        <v>0</v>
      </c>
      <c r="K2414" s="16">
        <v>879.1</v>
      </c>
      <c r="L2414" s="16" t="s">
        <v>207</v>
      </c>
      <c r="M2414" s="16" t="s">
        <v>133</v>
      </c>
      <c r="N2414" s="20"/>
      <c r="O2414" s="20"/>
      <c r="P2414" s="20"/>
      <c r="Q2414" s="16" t="b">
        <f>TRUE()</f>
        <v>1</v>
      </c>
      <c r="R2414" s="16" t="b">
        <f>TRUE()</f>
        <v>1</v>
      </c>
      <c r="S2414" s="17" t="str">
        <f t="shared" si="37"/>
        <v>N/A</v>
      </c>
      <c r="T2414">
        <f>COUNTIF('👤 Customers'!$A:$A, B2414)</f>
        <v>1</v>
      </c>
      <c r="U2414">
        <f>COUNTIF('🚴 Riders'!A2413:A2473, C2414)</f>
        <v>0</v>
      </c>
      <c r="V2414">
        <f>COUNTIF('🏭 Facilities'!A2413:A2421, D2414)</f>
        <v>0</v>
      </c>
    </row>
    <row r="2415" spans="1:22">
      <c r="A2415" s="18" t="s">
        <v>5487</v>
      </c>
      <c r="B2415" s="18" t="s">
        <v>3454</v>
      </c>
      <c r="C2415" s="18" t="s">
        <v>224</v>
      </c>
      <c r="D2415" s="18" t="s">
        <v>123</v>
      </c>
      <c r="E2415" s="26">
        <v>45053</v>
      </c>
      <c r="F2415" s="18" t="s">
        <v>5488</v>
      </c>
      <c r="G2415" s="18" t="s">
        <v>125</v>
      </c>
      <c r="H2415" s="18">
        <v>1.8</v>
      </c>
      <c r="I2415" s="18">
        <v>199</v>
      </c>
      <c r="J2415" s="18">
        <v>0</v>
      </c>
      <c r="K2415" s="18">
        <v>358.2</v>
      </c>
      <c r="L2415" s="18" t="s">
        <v>139</v>
      </c>
      <c r="M2415" s="18" t="s">
        <v>119</v>
      </c>
      <c r="N2415" s="28">
        <v>45053.097222222219</v>
      </c>
      <c r="O2415" s="28">
        <v>45053.895138888889</v>
      </c>
      <c r="P2415" s="18">
        <v>4</v>
      </c>
      <c r="Q2415" s="18" t="b">
        <f>FALSE()</f>
        <v>0</v>
      </c>
      <c r="R2415" s="18" t="b">
        <f>FALSE()</f>
        <v>0</v>
      </c>
      <c r="S2415" s="19">
        <f t="shared" si="37"/>
        <v>19.2</v>
      </c>
      <c r="T2415">
        <f>COUNTIF('👤 Customers'!$A:$A, B2415)</f>
        <v>1</v>
      </c>
      <c r="U2415">
        <f>COUNTIF('🚴 Riders'!A2414:A2474, C2415)</f>
        <v>0</v>
      </c>
      <c r="V2415">
        <f>COUNTIF('🏭 Facilities'!A2414:A2422, D2415)</f>
        <v>0</v>
      </c>
    </row>
    <row r="2416" spans="1:22">
      <c r="A2416" s="16" t="s">
        <v>5489</v>
      </c>
      <c r="B2416" s="16" t="s">
        <v>2446</v>
      </c>
      <c r="C2416" s="16" t="s">
        <v>287</v>
      </c>
      <c r="D2416" s="16" t="s">
        <v>197</v>
      </c>
      <c r="E2416" s="25">
        <v>45230</v>
      </c>
      <c r="F2416" s="16" t="s">
        <v>5490</v>
      </c>
      <c r="G2416" s="16" t="s">
        <v>145</v>
      </c>
      <c r="H2416" s="16">
        <v>3.5</v>
      </c>
      <c r="I2416" s="16">
        <v>299</v>
      </c>
      <c r="J2416" s="16">
        <v>0</v>
      </c>
      <c r="K2416" s="16">
        <v>1046.5</v>
      </c>
      <c r="L2416" s="16" t="s">
        <v>207</v>
      </c>
      <c r="M2416" s="16" t="s">
        <v>119</v>
      </c>
      <c r="N2416" s="27">
        <v>45230.822916666664</v>
      </c>
      <c r="O2416" s="27">
        <v>45231.240277777775</v>
      </c>
      <c r="P2416" s="16">
        <v>4.2</v>
      </c>
      <c r="Q2416" s="16" t="b">
        <f>FALSE()</f>
        <v>0</v>
      </c>
      <c r="R2416" s="16" t="b">
        <f>FALSE()</f>
        <v>0</v>
      </c>
      <c r="S2416" s="17">
        <f t="shared" si="37"/>
        <v>10</v>
      </c>
      <c r="T2416">
        <f>COUNTIF('👤 Customers'!$A:$A, B2416)</f>
        <v>1</v>
      </c>
      <c r="U2416">
        <f>COUNTIF('🚴 Riders'!A2415:A2475, C2416)</f>
        <v>0</v>
      </c>
      <c r="V2416">
        <f>COUNTIF('🏭 Facilities'!A2415:A2423, D2416)</f>
        <v>0</v>
      </c>
    </row>
    <row r="2417" spans="1:22">
      <c r="A2417" s="18" t="s">
        <v>5491</v>
      </c>
      <c r="B2417" s="18" t="s">
        <v>1551</v>
      </c>
      <c r="C2417" s="18" t="s">
        <v>114</v>
      </c>
      <c r="D2417" s="18" t="s">
        <v>130</v>
      </c>
      <c r="E2417" s="26">
        <v>45398</v>
      </c>
      <c r="F2417" s="18" t="s">
        <v>476</v>
      </c>
      <c r="G2417" s="18" t="s">
        <v>125</v>
      </c>
      <c r="H2417" s="18">
        <v>7.4</v>
      </c>
      <c r="I2417" s="18">
        <v>199</v>
      </c>
      <c r="J2417" s="18">
        <v>0</v>
      </c>
      <c r="K2417" s="18">
        <v>1472.6</v>
      </c>
      <c r="L2417" s="18" t="s">
        <v>207</v>
      </c>
      <c r="M2417" s="18" t="s">
        <v>119</v>
      </c>
      <c r="N2417" s="28">
        <v>45398.336805555555</v>
      </c>
      <c r="O2417" s="28">
        <v>45399.144444444442</v>
      </c>
      <c r="P2417" s="18">
        <v>4.3</v>
      </c>
      <c r="Q2417" s="18" t="b">
        <f>FALSE()</f>
        <v>0</v>
      </c>
      <c r="R2417" s="18" t="b">
        <f>TRUE()</f>
        <v>1</v>
      </c>
      <c r="S2417" s="19">
        <f t="shared" si="37"/>
        <v>19.399999999999999</v>
      </c>
      <c r="T2417">
        <f>COUNTIF('👤 Customers'!$A:$A, B2417)</f>
        <v>1</v>
      </c>
      <c r="U2417">
        <f>COUNTIF('🚴 Riders'!A2416:A2476, C2417)</f>
        <v>0</v>
      </c>
      <c r="V2417">
        <f>COUNTIF('🏭 Facilities'!A2416:A2424, D2417)</f>
        <v>0</v>
      </c>
    </row>
    <row r="2418" spans="1:22">
      <c r="A2418" s="16" t="s">
        <v>5492</v>
      </c>
      <c r="B2418" s="16" t="s">
        <v>782</v>
      </c>
      <c r="C2418" s="16" t="s">
        <v>204</v>
      </c>
      <c r="D2418" s="16" t="s">
        <v>137</v>
      </c>
      <c r="E2418" s="25">
        <v>45000</v>
      </c>
      <c r="F2418" s="16" t="s">
        <v>5493</v>
      </c>
      <c r="G2418" s="16" t="s">
        <v>125</v>
      </c>
      <c r="H2418" s="16">
        <v>2.2999999999999998</v>
      </c>
      <c r="I2418" s="16">
        <v>199</v>
      </c>
      <c r="J2418" s="16">
        <v>0</v>
      </c>
      <c r="K2418" s="16">
        <v>457.7</v>
      </c>
      <c r="L2418" s="16" t="s">
        <v>207</v>
      </c>
      <c r="M2418" s="16" t="s">
        <v>119</v>
      </c>
      <c r="N2418" s="27">
        <v>45000.92083333333</v>
      </c>
      <c r="O2418" s="27">
        <v>45001.551388888889</v>
      </c>
      <c r="P2418" s="16">
        <v>3.2</v>
      </c>
      <c r="Q2418" s="16" t="b">
        <f>FALSE()</f>
        <v>0</v>
      </c>
      <c r="R2418" s="16" t="b">
        <f>FALSE()</f>
        <v>0</v>
      </c>
      <c r="S2418" s="17">
        <f t="shared" si="37"/>
        <v>15.1</v>
      </c>
      <c r="T2418">
        <f>COUNTIF('👤 Customers'!$A:$A, B2418)</f>
        <v>1</v>
      </c>
      <c r="U2418">
        <f>COUNTIF('🚴 Riders'!A2417:A2477, C2418)</f>
        <v>0</v>
      </c>
      <c r="V2418">
        <f>COUNTIF('🏭 Facilities'!A2417:A2425, D2418)</f>
        <v>0</v>
      </c>
    </row>
    <row r="2419" spans="1:22">
      <c r="A2419" s="18" t="s">
        <v>5494</v>
      </c>
      <c r="B2419" s="18" t="s">
        <v>2727</v>
      </c>
      <c r="C2419" s="18" t="s">
        <v>563</v>
      </c>
      <c r="D2419" s="18" t="s">
        <v>197</v>
      </c>
      <c r="E2419" s="26">
        <v>44936</v>
      </c>
      <c r="F2419" s="18" t="s">
        <v>5495</v>
      </c>
      <c r="G2419" s="18" t="s">
        <v>132</v>
      </c>
      <c r="H2419" s="18">
        <v>2</v>
      </c>
      <c r="I2419" s="18">
        <v>399</v>
      </c>
      <c r="J2419" s="18">
        <v>10</v>
      </c>
      <c r="K2419" s="18">
        <v>718.2</v>
      </c>
      <c r="L2419" s="18" t="s">
        <v>207</v>
      </c>
      <c r="M2419" s="18" t="s">
        <v>140</v>
      </c>
      <c r="N2419" s="28">
        <v>44936.762499999997</v>
      </c>
      <c r="O2419" s="28">
        <v>44937.429166666669</v>
      </c>
      <c r="P2419" s="20"/>
      <c r="Q2419" s="18" t="b">
        <f>FALSE()</f>
        <v>0</v>
      </c>
      <c r="R2419" s="18" t="b">
        <f>TRUE()</f>
        <v>1</v>
      </c>
      <c r="S2419" s="19">
        <f t="shared" si="37"/>
        <v>16</v>
      </c>
      <c r="T2419">
        <f>COUNTIF('👤 Customers'!$A:$A, B2419)</f>
        <v>1</v>
      </c>
      <c r="U2419">
        <f>COUNTIF('🚴 Riders'!A2418:A2478, C2419)</f>
        <v>0</v>
      </c>
      <c r="V2419">
        <f>COUNTIF('🏭 Facilities'!A2418:A2426, D2419)</f>
        <v>0</v>
      </c>
    </row>
    <row r="2420" spans="1:22">
      <c r="A2420" s="16" t="s">
        <v>5496</v>
      </c>
      <c r="B2420" s="16" t="s">
        <v>1051</v>
      </c>
      <c r="C2420" s="16" t="s">
        <v>240</v>
      </c>
      <c r="D2420" s="16" t="s">
        <v>115</v>
      </c>
      <c r="E2420" s="25">
        <v>45035</v>
      </c>
      <c r="F2420" s="16" t="s">
        <v>5497</v>
      </c>
      <c r="G2420" s="16" t="s">
        <v>117</v>
      </c>
      <c r="H2420" s="16">
        <v>2.7</v>
      </c>
      <c r="I2420" s="16">
        <v>149</v>
      </c>
      <c r="J2420" s="16">
        <v>20</v>
      </c>
      <c r="K2420" s="16">
        <v>321.83999999999997</v>
      </c>
      <c r="L2420" s="16" t="s">
        <v>139</v>
      </c>
      <c r="M2420" s="16" t="s">
        <v>119</v>
      </c>
      <c r="N2420" s="27">
        <v>45035.347916666666</v>
      </c>
      <c r="O2420" s="27">
        <v>45036.07916666667</v>
      </c>
      <c r="P2420" s="16">
        <v>3.5</v>
      </c>
      <c r="Q2420" s="16" t="b">
        <f>FALSE()</f>
        <v>0</v>
      </c>
      <c r="R2420" s="16" t="b">
        <f>TRUE()</f>
        <v>1</v>
      </c>
      <c r="S2420" s="17">
        <f t="shared" si="37"/>
        <v>17.600000000000001</v>
      </c>
      <c r="T2420">
        <f>COUNTIF('👤 Customers'!$A:$A, B2420)</f>
        <v>1</v>
      </c>
      <c r="U2420">
        <f>COUNTIF('🚴 Riders'!A2419:A2479, C2420)</f>
        <v>0</v>
      </c>
      <c r="V2420">
        <f>COUNTIF('🏭 Facilities'!A2419:A2427, D2420)</f>
        <v>0</v>
      </c>
    </row>
    <row r="2421" spans="1:22">
      <c r="A2421" s="18" t="s">
        <v>5498</v>
      </c>
      <c r="B2421" s="18" t="s">
        <v>325</v>
      </c>
      <c r="C2421" s="18" t="s">
        <v>170</v>
      </c>
      <c r="D2421" s="18" t="s">
        <v>158</v>
      </c>
      <c r="E2421" s="26">
        <v>45640</v>
      </c>
      <c r="F2421" s="18" t="s">
        <v>5499</v>
      </c>
      <c r="G2421" s="18" t="s">
        <v>132</v>
      </c>
      <c r="H2421" s="18">
        <v>5.6</v>
      </c>
      <c r="I2421" s="18">
        <v>399</v>
      </c>
      <c r="J2421" s="18">
        <v>10</v>
      </c>
      <c r="K2421" s="18">
        <v>2010.96</v>
      </c>
      <c r="L2421" s="18" t="s">
        <v>139</v>
      </c>
      <c r="M2421" s="18" t="s">
        <v>140</v>
      </c>
      <c r="N2421" s="28">
        <v>45640.70416666667</v>
      </c>
      <c r="O2421" s="28">
        <v>45641.599999999999</v>
      </c>
      <c r="P2421" s="20"/>
      <c r="Q2421" s="18" t="b">
        <f>FALSE()</f>
        <v>0</v>
      </c>
      <c r="R2421" s="18" t="b">
        <f>FALSE()</f>
        <v>0</v>
      </c>
      <c r="S2421" s="19">
        <f t="shared" si="37"/>
        <v>21.5</v>
      </c>
      <c r="T2421">
        <f>COUNTIF('👤 Customers'!$A:$A, B2421)</f>
        <v>1</v>
      </c>
      <c r="U2421">
        <f>COUNTIF('🚴 Riders'!A2420:A2480, C2421)</f>
        <v>0</v>
      </c>
      <c r="V2421">
        <f>COUNTIF('🏭 Facilities'!A2420:A2428, D2421)</f>
        <v>0</v>
      </c>
    </row>
    <row r="2422" spans="1:22">
      <c r="A2422" s="16" t="s">
        <v>5500</v>
      </c>
      <c r="B2422" s="16" t="s">
        <v>3831</v>
      </c>
      <c r="C2422" s="16" t="s">
        <v>224</v>
      </c>
      <c r="D2422" s="16" t="s">
        <v>184</v>
      </c>
      <c r="E2422" s="25">
        <v>45345</v>
      </c>
      <c r="F2422" s="16" t="s">
        <v>5501</v>
      </c>
      <c r="G2422" s="16" t="s">
        <v>145</v>
      </c>
      <c r="H2422" s="16">
        <v>4.4000000000000004</v>
      </c>
      <c r="I2422" s="16">
        <v>299</v>
      </c>
      <c r="J2422" s="16">
        <v>0</v>
      </c>
      <c r="K2422" s="16">
        <v>1315.6</v>
      </c>
      <c r="L2422" s="16" t="s">
        <v>126</v>
      </c>
      <c r="M2422" s="16" t="s">
        <v>119</v>
      </c>
      <c r="N2422" s="27">
        <v>45345.802083333336</v>
      </c>
      <c r="O2422" s="27">
        <v>45346.413888888892</v>
      </c>
      <c r="P2422" s="16">
        <v>3.1</v>
      </c>
      <c r="Q2422" s="16" t="b">
        <f>FALSE()</f>
        <v>0</v>
      </c>
      <c r="R2422" s="16" t="b">
        <f>TRUE()</f>
        <v>1</v>
      </c>
      <c r="S2422" s="17">
        <f t="shared" si="37"/>
        <v>14.7</v>
      </c>
      <c r="T2422">
        <f>COUNTIF('👤 Customers'!$A:$A, B2422)</f>
        <v>1</v>
      </c>
      <c r="U2422">
        <f>COUNTIF('🚴 Riders'!A2421:A2481, C2422)</f>
        <v>0</v>
      </c>
      <c r="V2422">
        <f>COUNTIF('🏭 Facilities'!A2421:A2429, D2422)</f>
        <v>0</v>
      </c>
    </row>
    <row r="2423" spans="1:22">
      <c r="A2423" s="18" t="s">
        <v>5502</v>
      </c>
      <c r="B2423" s="18" t="s">
        <v>2404</v>
      </c>
      <c r="C2423" s="18" t="s">
        <v>170</v>
      </c>
      <c r="D2423" s="18" t="s">
        <v>137</v>
      </c>
      <c r="E2423" s="26">
        <v>45541</v>
      </c>
      <c r="F2423" s="18" t="s">
        <v>5503</v>
      </c>
      <c r="G2423" s="18" t="s">
        <v>117</v>
      </c>
      <c r="H2423" s="18">
        <v>7</v>
      </c>
      <c r="I2423" s="18">
        <v>149</v>
      </c>
      <c r="J2423" s="18">
        <v>0</v>
      </c>
      <c r="K2423" s="18">
        <v>1043</v>
      </c>
      <c r="L2423" s="18" t="s">
        <v>118</v>
      </c>
      <c r="M2423" s="18" t="s">
        <v>140</v>
      </c>
      <c r="N2423" s="28">
        <v>45541.820138888892</v>
      </c>
      <c r="O2423" s="28">
        <v>45542.737500000003</v>
      </c>
      <c r="P2423" s="20"/>
      <c r="Q2423" s="18" t="b">
        <f>FALSE()</f>
        <v>0</v>
      </c>
      <c r="R2423" s="18" t="b">
        <f>FALSE()</f>
        <v>0</v>
      </c>
      <c r="S2423" s="19">
        <f t="shared" si="37"/>
        <v>22</v>
      </c>
      <c r="T2423">
        <f>COUNTIF('👤 Customers'!$A:$A, B2423)</f>
        <v>1</v>
      </c>
      <c r="U2423">
        <f>COUNTIF('🚴 Riders'!A2422:A2482, C2423)</f>
        <v>0</v>
      </c>
      <c r="V2423">
        <f>COUNTIF('🏭 Facilities'!A2422:A2430, D2423)</f>
        <v>0</v>
      </c>
    </row>
    <row r="2424" spans="1:22">
      <c r="A2424" s="16" t="s">
        <v>5504</v>
      </c>
      <c r="B2424" s="16" t="s">
        <v>1413</v>
      </c>
      <c r="C2424" s="16" t="s">
        <v>220</v>
      </c>
      <c r="D2424" s="16" t="s">
        <v>130</v>
      </c>
      <c r="E2424" s="25">
        <v>45033</v>
      </c>
      <c r="F2424" s="16" t="s">
        <v>5505</v>
      </c>
      <c r="G2424" s="16" t="s">
        <v>117</v>
      </c>
      <c r="H2424" s="16">
        <v>2.9</v>
      </c>
      <c r="I2424" s="16">
        <v>149</v>
      </c>
      <c r="J2424" s="16">
        <v>0</v>
      </c>
      <c r="K2424" s="16">
        <v>432.1</v>
      </c>
      <c r="L2424" s="16" t="s">
        <v>146</v>
      </c>
      <c r="M2424" s="16" t="s">
        <v>119</v>
      </c>
      <c r="N2424" s="27">
        <v>45034.00277777778</v>
      </c>
      <c r="O2424" s="27">
        <v>45034.689583333333</v>
      </c>
      <c r="P2424" s="16">
        <v>2.9</v>
      </c>
      <c r="Q2424" s="16" t="b">
        <f>FALSE()</f>
        <v>0</v>
      </c>
      <c r="R2424" s="16" t="b">
        <f>FALSE()</f>
        <v>0</v>
      </c>
      <c r="S2424" s="17">
        <f t="shared" si="37"/>
        <v>16.5</v>
      </c>
      <c r="T2424">
        <f>COUNTIF('👤 Customers'!$A:$A, B2424)</f>
        <v>1</v>
      </c>
      <c r="U2424">
        <f>COUNTIF('🚴 Riders'!A2423:A2483, C2424)</f>
        <v>0</v>
      </c>
      <c r="V2424">
        <f>COUNTIF('🏭 Facilities'!A2423:A2431, D2424)</f>
        <v>0</v>
      </c>
    </row>
    <row r="2425" spans="1:22">
      <c r="A2425" s="18" t="s">
        <v>5506</v>
      </c>
      <c r="B2425" s="18" t="s">
        <v>2347</v>
      </c>
      <c r="C2425" s="18" t="s">
        <v>272</v>
      </c>
      <c r="D2425" s="18" t="s">
        <v>130</v>
      </c>
      <c r="E2425" s="26">
        <v>45489</v>
      </c>
      <c r="F2425" s="18" t="s">
        <v>5507</v>
      </c>
      <c r="G2425" s="18" t="s">
        <v>132</v>
      </c>
      <c r="H2425" s="18">
        <v>5.0999999999999996</v>
      </c>
      <c r="I2425" s="18">
        <v>399</v>
      </c>
      <c r="J2425" s="18">
        <v>0</v>
      </c>
      <c r="K2425" s="18">
        <v>2034.9</v>
      </c>
      <c r="L2425" s="18" t="s">
        <v>139</v>
      </c>
      <c r="M2425" s="18" t="s">
        <v>119</v>
      </c>
      <c r="N2425" s="28">
        <v>45489.336111111108</v>
      </c>
      <c r="O2425" s="28">
        <v>45490.188194444447</v>
      </c>
      <c r="P2425" s="18">
        <v>4.0999999999999996</v>
      </c>
      <c r="Q2425" s="18" t="b">
        <f>FALSE()</f>
        <v>0</v>
      </c>
      <c r="R2425" s="18" t="b">
        <f>FALSE()</f>
        <v>0</v>
      </c>
      <c r="S2425" s="19">
        <f t="shared" si="37"/>
        <v>20.5</v>
      </c>
      <c r="T2425">
        <f>COUNTIF('👤 Customers'!$A:$A, B2425)</f>
        <v>1</v>
      </c>
      <c r="U2425">
        <f>COUNTIF('🚴 Riders'!A2424:A2484, C2425)</f>
        <v>0</v>
      </c>
      <c r="V2425">
        <f>COUNTIF('🏭 Facilities'!A2424:A2432, D2425)</f>
        <v>0</v>
      </c>
    </row>
    <row r="2426" spans="1:22">
      <c r="A2426" s="16" t="s">
        <v>5508</v>
      </c>
      <c r="B2426" s="16" t="s">
        <v>2033</v>
      </c>
      <c r="C2426" s="16" t="s">
        <v>536</v>
      </c>
      <c r="D2426" s="16" t="s">
        <v>130</v>
      </c>
      <c r="E2426" s="25">
        <v>45530</v>
      </c>
      <c r="F2426" s="16" t="s">
        <v>5509</v>
      </c>
      <c r="G2426" s="16" t="s">
        <v>145</v>
      </c>
      <c r="H2426" s="16">
        <v>4.8</v>
      </c>
      <c r="I2426" s="16">
        <v>299</v>
      </c>
      <c r="J2426" s="16">
        <v>0</v>
      </c>
      <c r="K2426" s="16">
        <v>1435.2</v>
      </c>
      <c r="L2426" s="16" t="s">
        <v>118</v>
      </c>
      <c r="M2426" s="16" t="s">
        <v>119</v>
      </c>
      <c r="N2426" s="27">
        <v>45530.655555555553</v>
      </c>
      <c r="O2426" s="27">
        <v>45531.761805555558</v>
      </c>
      <c r="P2426" s="16">
        <v>4.8</v>
      </c>
      <c r="Q2426" s="16" t="b">
        <f>FALSE()</f>
        <v>0</v>
      </c>
      <c r="R2426" s="16" t="b">
        <f>FALSE()</f>
        <v>0</v>
      </c>
      <c r="S2426" s="17">
        <f t="shared" si="37"/>
        <v>26.6</v>
      </c>
      <c r="T2426">
        <f>COUNTIF('👤 Customers'!$A:$A, B2426)</f>
        <v>1</v>
      </c>
      <c r="U2426">
        <f>COUNTIF('🚴 Riders'!A2425:A2485, C2426)</f>
        <v>0</v>
      </c>
      <c r="V2426">
        <f>COUNTIF('🏭 Facilities'!A2425:A2433, D2426)</f>
        <v>0</v>
      </c>
    </row>
    <row r="2427" spans="1:22">
      <c r="A2427" s="18" t="s">
        <v>5510</v>
      </c>
      <c r="B2427" s="18" t="s">
        <v>1282</v>
      </c>
      <c r="C2427" s="18" t="s">
        <v>220</v>
      </c>
      <c r="D2427" s="18" t="s">
        <v>137</v>
      </c>
      <c r="E2427" s="26">
        <v>44988</v>
      </c>
      <c r="F2427" s="18" t="s">
        <v>5511</v>
      </c>
      <c r="G2427" s="18" t="s">
        <v>176</v>
      </c>
      <c r="H2427" s="18">
        <v>5.3</v>
      </c>
      <c r="I2427" s="18">
        <v>599</v>
      </c>
      <c r="J2427" s="18">
        <v>0</v>
      </c>
      <c r="K2427" s="18">
        <v>3174.7</v>
      </c>
      <c r="L2427" s="18" t="s">
        <v>126</v>
      </c>
      <c r="M2427" s="18" t="s">
        <v>119</v>
      </c>
      <c r="N2427" s="28">
        <v>44988.448611111111</v>
      </c>
      <c r="O2427" s="28">
        <v>44988.836805555555</v>
      </c>
      <c r="P2427" s="18">
        <v>4.0999999999999996</v>
      </c>
      <c r="Q2427" s="18" t="b">
        <f>FALSE()</f>
        <v>0</v>
      </c>
      <c r="R2427" s="18" t="b">
        <f>FALSE()</f>
        <v>0</v>
      </c>
      <c r="S2427" s="19">
        <f t="shared" si="37"/>
        <v>9.3000000000000007</v>
      </c>
      <c r="T2427">
        <f>COUNTIF('👤 Customers'!$A:$A, B2427)</f>
        <v>1</v>
      </c>
      <c r="U2427">
        <f>COUNTIF('🚴 Riders'!A2426:A2486, C2427)</f>
        <v>0</v>
      </c>
      <c r="V2427">
        <f>COUNTIF('🏭 Facilities'!A2426:A2434, D2427)</f>
        <v>0</v>
      </c>
    </row>
    <row r="2428" spans="1:22">
      <c r="A2428" s="16" t="s">
        <v>5512</v>
      </c>
      <c r="B2428" s="16" t="s">
        <v>535</v>
      </c>
      <c r="C2428" s="16" t="s">
        <v>136</v>
      </c>
      <c r="D2428" s="16" t="s">
        <v>123</v>
      </c>
      <c r="E2428" s="25">
        <v>45290</v>
      </c>
      <c r="F2428" s="16" t="s">
        <v>5513</v>
      </c>
      <c r="G2428" s="16" t="s">
        <v>125</v>
      </c>
      <c r="H2428" s="16">
        <v>3.4</v>
      </c>
      <c r="I2428" s="16">
        <v>199</v>
      </c>
      <c r="J2428" s="16">
        <v>20</v>
      </c>
      <c r="K2428" s="16">
        <v>541.28</v>
      </c>
      <c r="L2428" s="16" t="s">
        <v>146</v>
      </c>
      <c r="M2428" s="16" t="s">
        <v>140</v>
      </c>
      <c r="N2428" s="27">
        <v>45290.200694444444</v>
      </c>
      <c r="O2428" s="27">
        <v>45290.852083333331</v>
      </c>
      <c r="P2428" s="20"/>
      <c r="Q2428" s="16" t="b">
        <f>FALSE()</f>
        <v>0</v>
      </c>
      <c r="R2428" s="16" t="b">
        <f>FALSE()</f>
        <v>0</v>
      </c>
      <c r="S2428" s="17">
        <f t="shared" si="37"/>
        <v>15.6</v>
      </c>
      <c r="T2428">
        <f>COUNTIF('👤 Customers'!$A:$A, B2428)</f>
        <v>1</v>
      </c>
      <c r="U2428">
        <f>COUNTIF('🚴 Riders'!A2427:A2487, C2428)</f>
        <v>0</v>
      </c>
      <c r="V2428">
        <f>COUNTIF('🏭 Facilities'!A2427:A2435, D2428)</f>
        <v>0</v>
      </c>
    </row>
    <row r="2429" spans="1:22">
      <c r="A2429" s="18" t="s">
        <v>5514</v>
      </c>
      <c r="B2429" s="18" t="s">
        <v>673</v>
      </c>
      <c r="C2429" s="18" t="s">
        <v>183</v>
      </c>
      <c r="D2429" s="18" t="s">
        <v>130</v>
      </c>
      <c r="E2429" s="26">
        <v>45402</v>
      </c>
      <c r="F2429" s="18" t="s">
        <v>5515</v>
      </c>
      <c r="G2429" s="18" t="s">
        <v>145</v>
      </c>
      <c r="H2429" s="18">
        <v>2.4</v>
      </c>
      <c r="I2429" s="18">
        <v>299</v>
      </c>
      <c r="J2429" s="18">
        <v>0</v>
      </c>
      <c r="K2429" s="18">
        <v>717.6</v>
      </c>
      <c r="L2429" s="18" t="s">
        <v>146</v>
      </c>
      <c r="M2429" s="18" t="s">
        <v>119</v>
      </c>
      <c r="N2429" s="28">
        <v>45402.414583333331</v>
      </c>
      <c r="O2429" s="28">
        <v>45403.268750000003</v>
      </c>
      <c r="P2429" s="18">
        <v>4.8</v>
      </c>
      <c r="Q2429" s="18" t="b">
        <f>FALSE()</f>
        <v>0</v>
      </c>
      <c r="R2429" s="18" t="b">
        <f>FALSE()</f>
        <v>0</v>
      </c>
      <c r="S2429" s="19">
        <f t="shared" si="37"/>
        <v>20.5</v>
      </c>
      <c r="T2429">
        <f>COUNTIF('👤 Customers'!$A:$A, B2429)</f>
        <v>1</v>
      </c>
      <c r="U2429">
        <f>COUNTIF('🚴 Riders'!A2428:A2488, C2429)</f>
        <v>0</v>
      </c>
      <c r="V2429">
        <f>COUNTIF('🏭 Facilities'!A2428:A2436, D2429)</f>
        <v>0</v>
      </c>
    </row>
    <row r="2430" spans="1:22">
      <c r="A2430" s="16" t="s">
        <v>5516</v>
      </c>
      <c r="B2430" s="16" t="s">
        <v>1743</v>
      </c>
      <c r="C2430" s="16" t="s">
        <v>580</v>
      </c>
      <c r="D2430" s="16" t="s">
        <v>205</v>
      </c>
      <c r="E2430" s="25">
        <v>45205</v>
      </c>
      <c r="F2430" s="16" t="s">
        <v>5517</v>
      </c>
      <c r="G2430" s="16" t="s">
        <v>125</v>
      </c>
      <c r="H2430" s="16">
        <v>5.3</v>
      </c>
      <c r="I2430" s="16">
        <v>199</v>
      </c>
      <c r="J2430" s="16">
        <v>20</v>
      </c>
      <c r="K2430" s="16">
        <v>843.76</v>
      </c>
      <c r="L2430" s="16" t="s">
        <v>146</v>
      </c>
      <c r="M2430" s="16" t="s">
        <v>133</v>
      </c>
      <c r="N2430" s="20"/>
      <c r="O2430" s="20"/>
      <c r="P2430" s="20"/>
      <c r="Q2430" s="16" t="b">
        <f>FALSE()</f>
        <v>0</v>
      </c>
      <c r="R2430" s="16" t="b">
        <f>TRUE()</f>
        <v>1</v>
      </c>
      <c r="S2430" s="17" t="str">
        <f t="shared" si="37"/>
        <v>N/A</v>
      </c>
      <c r="T2430">
        <f>COUNTIF('👤 Customers'!$A:$A, B2430)</f>
        <v>1</v>
      </c>
      <c r="U2430">
        <f>COUNTIF('🚴 Riders'!A2429:A2489, C2430)</f>
        <v>0</v>
      </c>
      <c r="V2430">
        <f>COUNTIF('🏭 Facilities'!A2429:A2437, D2430)</f>
        <v>0</v>
      </c>
    </row>
    <row r="2431" spans="1:22">
      <c r="A2431" s="18" t="s">
        <v>5518</v>
      </c>
      <c r="B2431" s="18" t="s">
        <v>916</v>
      </c>
      <c r="C2431" s="18" t="s">
        <v>322</v>
      </c>
      <c r="D2431" s="18" t="s">
        <v>205</v>
      </c>
      <c r="E2431" s="26">
        <v>45561</v>
      </c>
      <c r="F2431" s="18" t="s">
        <v>5519</v>
      </c>
      <c r="G2431" s="18" t="s">
        <v>132</v>
      </c>
      <c r="H2431" s="18">
        <v>6</v>
      </c>
      <c r="I2431" s="18">
        <v>399</v>
      </c>
      <c r="J2431" s="18">
        <v>10</v>
      </c>
      <c r="K2431" s="18">
        <v>2154.6</v>
      </c>
      <c r="L2431" s="18" t="s">
        <v>126</v>
      </c>
      <c r="M2431" s="18" t="s">
        <v>133</v>
      </c>
      <c r="N2431" s="20"/>
      <c r="O2431" s="20"/>
      <c r="P2431" s="20"/>
      <c r="Q2431" s="18" t="b">
        <f>FALSE()</f>
        <v>0</v>
      </c>
      <c r="R2431" s="18" t="b">
        <f>FALSE()</f>
        <v>0</v>
      </c>
      <c r="S2431" s="19" t="str">
        <f t="shared" si="37"/>
        <v>N/A</v>
      </c>
      <c r="T2431">
        <f>COUNTIF('👤 Customers'!$A:$A, B2431)</f>
        <v>1</v>
      </c>
      <c r="U2431">
        <f>COUNTIF('🚴 Riders'!A2430:A2490, C2431)</f>
        <v>0</v>
      </c>
      <c r="V2431">
        <f>COUNTIF('🏭 Facilities'!A2430:A2438, D2431)</f>
        <v>0</v>
      </c>
    </row>
    <row r="2432" spans="1:22">
      <c r="A2432" s="16" t="s">
        <v>5520</v>
      </c>
      <c r="B2432" s="16" t="s">
        <v>791</v>
      </c>
      <c r="C2432" s="16" t="s">
        <v>611</v>
      </c>
      <c r="D2432" s="16" t="s">
        <v>158</v>
      </c>
      <c r="E2432" s="25">
        <v>45639</v>
      </c>
      <c r="F2432" s="16" t="s">
        <v>5521</v>
      </c>
      <c r="G2432" s="16" t="s">
        <v>125</v>
      </c>
      <c r="H2432" s="16">
        <v>1.2</v>
      </c>
      <c r="I2432" s="16">
        <v>199</v>
      </c>
      <c r="J2432" s="16">
        <v>0</v>
      </c>
      <c r="K2432" s="16">
        <v>238.8</v>
      </c>
      <c r="L2432" s="16" t="s">
        <v>207</v>
      </c>
      <c r="M2432" s="16" t="s">
        <v>119</v>
      </c>
      <c r="N2432" s="27">
        <v>45639.116666666669</v>
      </c>
      <c r="O2432" s="27">
        <v>45639.993750000001</v>
      </c>
      <c r="P2432" s="16">
        <v>3.5</v>
      </c>
      <c r="Q2432" s="16" t="b">
        <f>FALSE()</f>
        <v>0</v>
      </c>
      <c r="R2432" s="16" t="b">
        <f>FALSE()</f>
        <v>0</v>
      </c>
      <c r="S2432" s="17">
        <f t="shared" si="37"/>
        <v>21</v>
      </c>
      <c r="T2432">
        <f>COUNTIF('👤 Customers'!$A:$A, B2432)</f>
        <v>1</v>
      </c>
      <c r="U2432">
        <f>COUNTIF('🚴 Riders'!A2431:A2491, C2432)</f>
        <v>0</v>
      </c>
      <c r="V2432">
        <f>COUNTIF('🏭 Facilities'!A2431:A2439, D2432)</f>
        <v>0</v>
      </c>
    </row>
    <row r="2433" spans="1:22">
      <c r="A2433" s="18" t="s">
        <v>5522</v>
      </c>
      <c r="B2433" s="18" t="s">
        <v>419</v>
      </c>
      <c r="C2433" s="18" t="s">
        <v>129</v>
      </c>
      <c r="D2433" s="18" t="s">
        <v>123</v>
      </c>
      <c r="E2433" s="26">
        <v>45589</v>
      </c>
      <c r="F2433" s="18" t="s">
        <v>5523</v>
      </c>
      <c r="G2433" s="18" t="s">
        <v>117</v>
      </c>
      <c r="H2433" s="18">
        <v>6.1</v>
      </c>
      <c r="I2433" s="18">
        <v>149</v>
      </c>
      <c r="J2433" s="18">
        <v>0</v>
      </c>
      <c r="K2433" s="18">
        <v>908.9</v>
      </c>
      <c r="L2433" s="18" t="s">
        <v>207</v>
      </c>
      <c r="M2433" s="18" t="s">
        <v>119</v>
      </c>
      <c r="N2433" s="28">
        <v>45589.989583333336</v>
      </c>
      <c r="O2433" s="28">
        <v>45591.018750000003</v>
      </c>
      <c r="P2433" s="18">
        <v>3.5</v>
      </c>
      <c r="Q2433" s="18" t="b">
        <f>FALSE()</f>
        <v>0</v>
      </c>
      <c r="R2433" s="18" t="b">
        <f>FALSE()</f>
        <v>0</v>
      </c>
      <c r="S2433" s="19">
        <f t="shared" si="37"/>
        <v>24.7</v>
      </c>
      <c r="T2433">
        <f>COUNTIF('👤 Customers'!$A:$A, B2433)</f>
        <v>1</v>
      </c>
      <c r="U2433">
        <f>COUNTIF('🚴 Riders'!A2432:A2492, C2433)</f>
        <v>0</v>
      </c>
      <c r="V2433">
        <f>COUNTIF('🏭 Facilities'!A2432:A2440, D2433)</f>
        <v>0</v>
      </c>
    </row>
    <row r="2434" spans="1:22">
      <c r="A2434" s="16" t="s">
        <v>5524</v>
      </c>
      <c r="B2434" s="16" t="s">
        <v>1979</v>
      </c>
      <c r="C2434" s="16" t="s">
        <v>461</v>
      </c>
      <c r="D2434" s="16" t="s">
        <v>197</v>
      </c>
      <c r="E2434" s="25">
        <v>45538</v>
      </c>
      <c r="F2434" s="16" t="s">
        <v>5525</v>
      </c>
      <c r="G2434" s="16" t="s">
        <v>145</v>
      </c>
      <c r="H2434" s="16">
        <v>7.1</v>
      </c>
      <c r="I2434" s="16">
        <v>299</v>
      </c>
      <c r="J2434" s="16">
        <v>30</v>
      </c>
      <c r="K2434" s="16">
        <v>1486.03</v>
      </c>
      <c r="L2434" s="16" t="s">
        <v>207</v>
      </c>
      <c r="M2434" s="16" t="s">
        <v>140</v>
      </c>
      <c r="N2434" s="27">
        <v>45538.211111111108</v>
      </c>
      <c r="O2434" s="27">
        <v>45539.275694444441</v>
      </c>
      <c r="P2434" s="20"/>
      <c r="Q2434" s="16" t="b">
        <f>FALSE()</f>
        <v>0</v>
      </c>
      <c r="R2434" s="16" t="b">
        <f>FALSE()</f>
        <v>0</v>
      </c>
      <c r="S2434" s="17">
        <f t="shared" ref="S2434:S2497" si="38">IF(OR(N2434="",O2434=""),"N/A",ROUND(((O2434-N2434)*24),1))</f>
        <v>25.5</v>
      </c>
      <c r="T2434">
        <f>COUNTIF('👤 Customers'!$A:$A, B2434)</f>
        <v>1</v>
      </c>
      <c r="U2434">
        <f>COUNTIF('🚴 Riders'!A2433:A2493, C2434)</f>
        <v>0</v>
      </c>
      <c r="V2434">
        <f>COUNTIF('🏭 Facilities'!A2433:A2441, D2434)</f>
        <v>0</v>
      </c>
    </row>
    <row r="2435" spans="1:22">
      <c r="A2435" s="18" t="s">
        <v>5526</v>
      </c>
      <c r="B2435" s="18" t="s">
        <v>246</v>
      </c>
      <c r="C2435" s="18" t="s">
        <v>717</v>
      </c>
      <c r="D2435" s="18" t="s">
        <v>205</v>
      </c>
      <c r="E2435" s="26">
        <v>45615</v>
      </c>
      <c r="F2435" s="18" t="s">
        <v>5527</v>
      </c>
      <c r="G2435" s="18" t="s">
        <v>176</v>
      </c>
      <c r="H2435" s="18">
        <v>6.7</v>
      </c>
      <c r="I2435" s="18">
        <v>599</v>
      </c>
      <c r="J2435" s="18">
        <v>10</v>
      </c>
      <c r="K2435" s="18">
        <v>3611.97</v>
      </c>
      <c r="L2435" s="18" t="s">
        <v>207</v>
      </c>
      <c r="M2435" s="18" t="s">
        <v>133</v>
      </c>
      <c r="N2435" s="20"/>
      <c r="O2435" s="20"/>
      <c r="P2435" s="20"/>
      <c r="Q2435" s="18" t="b">
        <f>FALSE()</f>
        <v>0</v>
      </c>
      <c r="R2435" s="18" t="b">
        <f>TRUE()</f>
        <v>1</v>
      </c>
      <c r="S2435" s="19" t="str">
        <f t="shared" si="38"/>
        <v>N/A</v>
      </c>
      <c r="T2435">
        <f>COUNTIF('👤 Customers'!$A:$A, B2435)</f>
        <v>1</v>
      </c>
      <c r="U2435">
        <f>COUNTIF('🚴 Riders'!A2434:A2494, C2435)</f>
        <v>0</v>
      </c>
      <c r="V2435">
        <f>COUNTIF('🏭 Facilities'!A2434:A2442, D2435)</f>
        <v>0</v>
      </c>
    </row>
    <row r="2436" spans="1:22">
      <c r="A2436" s="16" t="s">
        <v>5528</v>
      </c>
      <c r="B2436" s="16" t="s">
        <v>646</v>
      </c>
      <c r="C2436" s="16" t="s">
        <v>362</v>
      </c>
      <c r="D2436" s="16" t="s">
        <v>197</v>
      </c>
      <c r="E2436" s="25">
        <v>45628</v>
      </c>
      <c r="F2436" s="16" t="s">
        <v>5529</v>
      </c>
      <c r="G2436" s="16" t="s">
        <v>132</v>
      </c>
      <c r="H2436" s="16">
        <v>4.0999999999999996</v>
      </c>
      <c r="I2436" s="16">
        <v>399</v>
      </c>
      <c r="J2436" s="16">
        <v>0</v>
      </c>
      <c r="K2436" s="16">
        <v>1635.9</v>
      </c>
      <c r="L2436" s="16" t="s">
        <v>126</v>
      </c>
      <c r="M2436" s="16" t="s">
        <v>133</v>
      </c>
      <c r="N2436" s="20"/>
      <c r="O2436" s="20"/>
      <c r="P2436" s="20"/>
      <c r="Q2436" s="16" t="b">
        <f>FALSE()</f>
        <v>0</v>
      </c>
      <c r="R2436" s="16" t="b">
        <f>FALSE()</f>
        <v>0</v>
      </c>
      <c r="S2436" s="17" t="str">
        <f t="shared" si="38"/>
        <v>N/A</v>
      </c>
      <c r="T2436">
        <f>COUNTIF('👤 Customers'!$A:$A, B2436)</f>
        <v>1</v>
      </c>
      <c r="U2436">
        <f>COUNTIF('🚴 Riders'!A2435:A2495, C2436)</f>
        <v>0</v>
      </c>
      <c r="V2436">
        <f>COUNTIF('🏭 Facilities'!A2435:A2443, D2436)</f>
        <v>0</v>
      </c>
    </row>
    <row r="2437" spans="1:22">
      <c r="A2437" s="18" t="s">
        <v>5530</v>
      </c>
      <c r="B2437" s="18" t="s">
        <v>516</v>
      </c>
      <c r="C2437" s="18" t="s">
        <v>174</v>
      </c>
      <c r="D2437" s="18" t="s">
        <v>158</v>
      </c>
      <c r="E2437" s="26">
        <v>45086</v>
      </c>
      <c r="F2437" s="18" t="s">
        <v>5531</v>
      </c>
      <c r="G2437" s="18" t="s">
        <v>132</v>
      </c>
      <c r="H2437" s="18">
        <v>7.9</v>
      </c>
      <c r="I2437" s="18">
        <v>399</v>
      </c>
      <c r="J2437" s="18">
        <v>0</v>
      </c>
      <c r="K2437" s="18">
        <v>3152.1</v>
      </c>
      <c r="L2437" s="18" t="s">
        <v>118</v>
      </c>
      <c r="M2437" s="18" t="s">
        <v>119</v>
      </c>
      <c r="N2437" s="28">
        <v>45087.05</v>
      </c>
      <c r="O2437" s="28">
        <v>45087.73333333333</v>
      </c>
      <c r="P2437" s="18">
        <v>4.5</v>
      </c>
      <c r="Q2437" s="18" t="b">
        <f>FALSE()</f>
        <v>0</v>
      </c>
      <c r="R2437" s="18" t="b">
        <f>FALSE()</f>
        <v>0</v>
      </c>
      <c r="S2437" s="19">
        <f t="shared" si="38"/>
        <v>16.399999999999999</v>
      </c>
      <c r="T2437">
        <f>COUNTIF('👤 Customers'!$A:$A, B2437)</f>
        <v>1</v>
      </c>
      <c r="U2437">
        <f>COUNTIF('🚴 Riders'!A2436:A2496, C2437)</f>
        <v>0</v>
      </c>
      <c r="V2437">
        <f>COUNTIF('🏭 Facilities'!A2436:A2444, D2437)</f>
        <v>0</v>
      </c>
    </row>
    <row r="2438" spans="1:22">
      <c r="A2438" s="16" t="s">
        <v>5532</v>
      </c>
      <c r="B2438" s="16" t="s">
        <v>4302</v>
      </c>
      <c r="C2438" s="16" t="s">
        <v>261</v>
      </c>
      <c r="D2438" s="16" t="s">
        <v>205</v>
      </c>
      <c r="E2438" s="25">
        <v>45572</v>
      </c>
      <c r="F2438" s="16" t="s">
        <v>5533</v>
      </c>
      <c r="G2438" s="16" t="s">
        <v>125</v>
      </c>
      <c r="H2438" s="16">
        <v>1.2</v>
      </c>
      <c r="I2438" s="16">
        <v>199</v>
      </c>
      <c r="J2438" s="16">
        <v>20</v>
      </c>
      <c r="K2438" s="16">
        <v>191.04</v>
      </c>
      <c r="L2438" s="16" t="s">
        <v>126</v>
      </c>
      <c r="M2438" s="16" t="s">
        <v>133</v>
      </c>
      <c r="N2438" s="20"/>
      <c r="O2438" s="20"/>
      <c r="P2438" s="20"/>
      <c r="Q2438" s="16" t="b">
        <f>FALSE()</f>
        <v>0</v>
      </c>
      <c r="R2438" s="16" t="b">
        <f>FALSE()</f>
        <v>0</v>
      </c>
      <c r="S2438" s="17" t="str">
        <f t="shared" si="38"/>
        <v>N/A</v>
      </c>
      <c r="T2438">
        <f>COUNTIF('👤 Customers'!$A:$A, B2438)</f>
        <v>1</v>
      </c>
      <c r="U2438">
        <f>COUNTIF('🚴 Riders'!A2437:A2497, C2438)</f>
        <v>0</v>
      </c>
      <c r="V2438">
        <f>COUNTIF('🏭 Facilities'!A2437:A2445, D2438)</f>
        <v>0</v>
      </c>
    </row>
    <row r="2439" spans="1:22">
      <c r="A2439" s="18" t="s">
        <v>5534</v>
      </c>
      <c r="B2439" s="18" t="s">
        <v>1423</v>
      </c>
      <c r="C2439" s="18" t="s">
        <v>750</v>
      </c>
      <c r="D2439" s="18" t="s">
        <v>123</v>
      </c>
      <c r="E2439" s="26">
        <v>45027</v>
      </c>
      <c r="F2439" s="18" t="s">
        <v>5535</v>
      </c>
      <c r="G2439" s="18" t="s">
        <v>125</v>
      </c>
      <c r="H2439" s="18">
        <v>4.5</v>
      </c>
      <c r="I2439" s="18">
        <v>199</v>
      </c>
      <c r="J2439" s="18">
        <v>0</v>
      </c>
      <c r="K2439" s="18">
        <v>895.5</v>
      </c>
      <c r="L2439" s="18" t="s">
        <v>139</v>
      </c>
      <c r="M2439" s="18" t="s">
        <v>140</v>
      </c>
      <c r="N2439" s="28">
        <v>45027.246527777781</v>
      </c>
      <c r="O2439" s="28">
        <v>45027.98333333333</v>
      </c>
      <c r="P2439" s="20"/>
      <c r="Q2439" s="18" t="b">
        <f>TRUE()</f>
        <v>1</v>
      </c>
      <c r="R2439" s="18" t="b">
        <f>FALSE()</f>
        <v>0</v>
      </c>
      <c r="S2439" s="19">
        <f t="shared" si="38"/>
        <v>17.7</v>
      </c>
      <c r="T2439">
        <f>COUNTIF('👤 Customers'!$A:$A, B2439)</f>
        <v>1</v>
      </c>
      <c r="U2439">
        <f>COUNTIF('🚴 Riders'!A2438:A2498, C2439)</f>
        <v>0</v>
      </c>
      <c r="V2439">
        <f>COUNTIF('🏭 Facilities'!A2438:A2446, D2439)</f>
        <v>0</v>
      </c>
    </row>
    <row r="2440" spans="1:22">
      <c r="A2440" s="16" t="s">
        <v>5536</v>
      </c>
      <c r="B2440" s="16" t="s">
        <v>997</v>
      </c>
      <c r="C2440" s="16" t="s">
        <v>213</v>
      </c>
      <c r="D2440" s="16" t="s">
        <v>184</v>
      </c>
      <c r="E2440" s="25">
        <v>45292</v>
      </c>
      <c r="F2440" s="16" t="s">
        <v>5537</v>
      </c>
      <c r="G2440" s="16" t="s">
        <v>176</v>
      </c>
      <c r="H2440" s="16">
        <v>4.0999999999999996</v>
      </c>
      <c r="I2440" s="16">
        <v>599</v>
      </c>
      <c r="J2440" s="16">
        <v>10</v>
      </c>
      <c r="K2440" s="16">
        <v>2210.31</v>
      </c>
      <c r="L2440" s="16" t="s">
        <v>207</v>
      </c>
      <c r="M2440" s="16" t="s">
        <v>119</v>
      </c>
      <c r="N2440" s="27">
        <v>45292.559027777781</v>
      </c>
      <c r="O2440" s="27">
        <v>45292.946527777778</v>
      </c>
      <c r="P2440" s="16">
        <v>4.2</v>
      </c>
      <c r="Q2440" s="16" t="b">
        <f>FALSE()</f>
        <v>0</v>
      </c>
      <c r="R2440" s="16" t="b">
        <f>FALSE()</f>
        <v>0</v>
      </c>
      <c r="S2440" s="17">
        <f t="shared" si="38"/>
        <v>9.3000000000000007</v>
      </c>
      <c r="T2440">
        <f>COUNTIF('👤 Customers'!$A:$A, B2440)</f>
        <v>1</v>
      </c>
      <c r="U2440">
        <f>COUNTIF('🚴 Riders'!A2439:A2499, C2440)</f>
        <v>0</v>
      </c>
      <c r="V2440">
        <f>COUNTIF('🏭 Facilities'!A2439:A2447, D2440)</f>
        <v>0</v>
      </c>
    </row>
    <row r="2441" spans="1:22">
      <c r="A2441" s="18" t="s">
        <v>5538</v>
      </c>
      <c r="B2441" s="18" t="s">
        <v>2220</v>
      </c>
      <c r="C2441" s="18" t="s">
        <v>358</v>
      </c>
      <c r="D2441" s="18" t="s">
        <v>197</v>
      </c>
      <c r="E2441" s="26">
        <v>45427</v>
      </c>
      <c r="F2441" s="18" t="s">
        <v>5539</v>
      </c>
      <c r="G2441" s="18" t="s">
        <v>117</v>
      </c>
      <c r="H2441" s="18">
        <v>5.7</v>
      </c>
      <c r="I2441" s="18">
        <v>149</v>
      </c>
      <c r="J2441" s="18">
        <v>0</v>
      </c>
      <c r="K2441" s="18">
        <v>849.3</v>
      </c>
      <c r="L2441" s="18" t="s">
        <v>126</v>
      </c>
      <c r="M2441" s="18" t="s">
        <v>140</v>
      </c>
      <c r="N2441" s="28">
        <v>45427.436111111114</v>
      </c>
      <c r="O2441" s="28">
        <v>45427.96597222222</v>
      </c>
      <c r="P2441" s="20"/>
      <c r="Q2441" s="18" t="b">
        <f>FALSE()</f>
        <v>0</v>
      </c>
      <c r="R2441" s="18" t="b">
        <f>FALSE()</f>
        <v>0</v>
      </c>
      <c r="S2441" s="19">
        <f t="shared" si="38"/>
        <v>12.7</v>
      </c>
      <c r="T2441">
        <f>COUNTIF('👤 Customers'!$A:$A, B2441)</f>
        <v>1</v>
      </c>
      <c r="U2441">
        <f>COUNTIF('🚴 Riders'!A2440:A2500, C2441)</f>
        <v>0</v>
      </c>
      <c r="V2441">
        <f>COUNTIF('🏭 Facilities'!A2440:A2448, D2441)</f>
        <v>0</v>
      </c>
    </row>
    <row r="2442" spans="1:22">
      <c r="A2442" s="16" t="s">
        <v>5540</v>
      </c>
      <c r="B2442" s="16" t="s">
        <v>1396</v>
      </c>
      <c r="C2442" s="16" t="s">
        <v>149</v>
      </c>
      <c r="D2442" s="16" t="s">
        <v>115</v>
      </c>
      <c r="E2442" s="25">
        <v>45233</v>
      </c>
      <c r="F2442" s="16" t="s">
        <v>5541</v>
      </c>
      <c r="G2442" s="16" t="s">
        <v>125</v>
      </c>
      <c r="H2442" s="16">
        <v>1.5</v>
      </c>
      <c r="I2442" s="16">
        <v>199</v>
      </c>
      <c r="J2442" s="16">
        <v>10</v>
      </c>
      <c r="K2442" s="16">
        <v>268.64999999999998</v>
      </c>
      <c r="L2442" s="16" t="s">
        <v>146</v>
      </c>
      <c r="M2442" s="16" t="s">
        <v>119</v>
      </c>
      <c r="N2442" s="27">
        <v>45233.931250000001</v>
      </c>
      <c r="O2442" s="27">
        <v>45234.429166666669</v>
      </c>
      <c r="P2442" s="16">
        <v>3.3</v>
      </c>
      <c r="Q2442" s="16" t="b">
        <f>TRUE()</f>
        <v>1</v>
      </c>
      <c r="R2442" s="16" t="b">
        <f>FALSE()</f>
        <v>0</v>
      </c>
      <c r="S2442" s="17">
        <f t="shared" si="38"/>
        <v>12</v>
      </c>
      <c r="T2442">
        <f>COUNTIF('👤 Customers'!$A:$A, B2442)</f>
        <v>1</v>
      </c>
      <c r="U2442">
        <f>COUNTIF('🚴 Riders'!A2441:A2501, C2442)</f>
        <v>0</v>
      </c>
      <c r="V2442">
        <f>COUNTIF('🏭 Facilities'!A2441:A2449, D2442)</f>
        <v>0</v>
      </c>
    </row>
    <row r="2443" spans="1:22">
      <c r="A2443" s="18" t="s">
        <v>5542</v>
      </c>
      <c r="B2443" s="18" t="s">
        <v>958</v>
      </c>
      <c r="C2443" s="18" t="s">
        <v>322</v>
      </c>
      <c r="D2443" s="18" t="s">
        <v>197</v>
      </c>
      <c r="E2443" s="26">
        <v>45040</v>
      </c>
      <c r="F2443" s="18" t="s">
        <v>5543</v>
      </c>
      <c r="G2443" s="18" t="s">
        <v>132</v>
      </c>
      <c r="H2443" s="18">
        <v>5.8</v>
      </c>
      <c r="I2443" s="18">
        <v>399</v>
      </c>
      <c r="J2443" s="18">
        <v>0</v>
      </c>
      <c r="K2443" s="18">
        <v>2314.1999999999998</v>
      </c>
      <c r="L2443" s="18" t="s">
        <v>139</v>
      </c>
      <c r="M2443" s="18" t="s">
        <v>119</v>
      </c>
      <c r="N2443" s="28">
        <v>45041.05972222222</v>
      </c>
      <c r="O2443" s="28">
        <v>45042.054166666669</v>
      </c>
      <c r="P2443" s="18">
        <v>3.4</v>
      </c>
      <c r="Q2443" s="18" t="b">
        <f>FALSE()</f>
        <v>0</v>
      </c>
      <c r="R2443" s="18" t="b">
        <f>FALSE()</f>
        <v>0</v>
      </c>
      <c r="S2443" s="19">
        <f t="shared" si="38"/>
        <v>23.9</v>
      </c>
      <c r="T2443">
        <f>COUNTIF('👤 Customers'!$A:$A, B2443)</f>
        <v>1</v>
      </c>
      <c r="U2443">
        <f>COUNTIF('🚴 Riders'!A2442:A2502, C2443)</f>
        <v>0</v>
      </c>
      <c r="V2443">
        <f>COUNTIF('🏭 Facilities'!A2442:A2450, D2443)</f>
        <v>0</v>
      </c>
    </row>
    <row r="2444" spans="1:22">
      <c r="A2444" s="16" t="s">
        <v>5544</v>
      </c>
      <c r="B2444" s="16" t="s">
        <v>498</v>
      </c>
      <c r="C2444" s="16" t="s">
        <v>251</v>
      </c>
      <c r="D2444" s="16" t="s">
        <v>115</v>
      </c>
      <c r="E2444" s="25">
        <v>45548</v>
      </c>
      <c r="F2444" s="16" t="s">
        <v>5545</v>
      </c>
      <c r="G2444" s="16" t="s">
        <v>176</v>
      </c>
      <c r="H2444" s="16">
        <v>7.2</v>
      </c>
      <c r="I2444" s="16">
        <v>599</v>
      </c>
      <c r="J2444" s="16">
        <v>0</v>
      </c>
      <c r="K2444" s="16">
        <v>4312.8</v>
      </c>
      <c r="L2444" s="16" t="s">
        <v>139</v>
      </c>
      <c r="M2444" s="16" t="s">
        <v>133</v>
      </c>
      <c r="N2444" s="20"/>
      <c r="O2444" s="20"/>
      <c r="P2444" s="20"/>
      <c r="Q2444" s="16" t="b">
        <f>FALSE()</f>
        <v>0</v>
      </c>
      <c r="R2444" s="16" t="b">
        <f>FALSE()</f>
        <v>0</v>
      </c>
      <c r="S2444" s="17" t="str">
        <f t="shared" si="38"/>
        <v>N/A</v>
      </c>
      <c r="T2444">
        <f>COUNTIF('👤 Customers'!$A:$A, B2444)</f>
        <v>1</v>
      </c>
      <c r="U2444">
        <f>COUNTIF('🚴 Riders'!A2443:A2503, C2444)</f>
        <v>0</v>
      </c>
      <c r="V2444">
        <f>COUNTIF('🏭 Facilities'!A2443:A2451, D2444)</f>
        <v>0</v>
      </c>
    </row>
    <row r="2445" spans="1:22">
      <c r="A2445" s="18" t="s">
        <v>5546</v>
      </c>
      <c r="B2445" s="18" t="s">
        <v>1339</v>
      </c>
      <c r="C2445" s="18" t="s">
        <v>339</v>
      </c>
      <c r="D2445" s="18" t="s">
        <v>130</v>
      </c>
      <c r="E2445" s="26">
        <v>45215</v>
      </c>
      <c r="F2445" s="18" t="s">
        <v>5547</v>
      </c>
      <c r="G2445" s="18" t="s">
        <v>125</v>
      </c>
      <c r="H2445" s="18">
        <v>2.5</v>
      </c>
      <c r="I2445" s="18">
        <v>199</v>
      </c>
      <c r="J2445" s="18">
        <v>0</v>
      </c>
      <c r="K2445" s="18">
        <v>497.5</v>
      </c>
      <c r="L2445" s="18" t="s">
        <v>146</v>
      </c>
      <c r="M2445" s="18" t="s">
        <v>140</v>
      </c>
      <c r="N2445" s="28">
        <v>45215.246527777781</v>
      </c>
      <c r="O2445" s="28">
        <v>45216.181250000001</v>
      </c>
      <c r="P2445" s="20"/>
      <c r="Q2445" s="18" t="b">
        <f>FALSE()</f>
        <v>0</v>
      </c>
      <c r="R2445" s="18" t="b">
        <f>FALSE()</f>
        <v>0</v>
      </c>
      <c r="S2445" s="19">
        <f t="shared" si="38"/>
        <v>22.4</v>
      </c>
      <c r="T2445">
        <f>COUNTIF('👤 Customers'!$A:$A, B2445)</f>
        <v>1</v>
      </c>
      <c r="U2445">
        <f>COUNTIF('🚴 Riders'!A2444:A2504, C2445)</f>
        <v>0</v>
      </c>
      <c r="V2445">
        <f>COUNTIF('🏭 Facilities'!A2444:A2452, D2445)</f>
        <v>0</v>
      </c>
    </row>
    <row r="2446" spans="1:22">
      <c r="A2446" s="16" t="s">
        <v>5548</v>
      </c>
      <c r="B2446" s="16" t="s">
        <v>947</v>
      </c>
      <c r="C2446" s="16" t="s">
        <v>149</v>
      </c>
      <c r="D2446" s="16" t="s">
        <v>158</v>
      </c>
      <c r="E2446" s="25">
        <v>45051</v>
      </c>
      <c r="F2446" s="16" t="s">
        <v>5549</v>
      </c>
      <c r="G2446" s="16" t="s">
        <v>125</v>
      </c>
      <c r="H2446" s="16">
        <v>2.9</v>
      </c>
      <c r="I2446" s="16">
        <v>199</v>
      </c>
      <c r="J2446" s="16">
        <v>0</v>
      </c>
      <c r="K2446" s="16">
        <v>577.1</v>
      </c>
      <c r="L2446" s="16" t="s">
        <v>146</v>
      </c>
      <c r="M2446" s="16" t="s">
        <v>119</v>
      </c>
      <c r="N2446" s="27">
        <v>45051.908333333333</v>
      </c>
      <c r="O2446" s="27">
        <v>45052.309027777781</v>
      </c>
      <c r="P2446" s="16">
        <v>4.5</v>
      </c>
      <c r="Q2446" s="16" t="b">
        <f>TRUE()</f>
        <v>1</v>
      </c>
      <c r="R2446" s="16" t="b">
        <f>FALSE()</f>
        <v>0</v>
      </c>
      <c r="S2446" s="17">
        <f t="shared" si="38"/>
        <v>9.6</v>
      </c>
      <c r="T2446">
        <f>COUNTIF('👤 Customers'!$A:$A, B2446)</f>
        <v>1</v>
      </c>
      <c r="U2446">
        <f>COUNTIF('🚴 Riders'!A2445:A2505, C2446)</f>
        <v>0</v>
      </c>
      <c r="V2446">
        <f>COUNTIF('🏭 Facilities'!A2445:A2453, D2446)</f>
        <v>0</v>
      </c>
    </row>
    <row r="2447" spans="1:22">
      <c r="A2447" s="18" t="s">
        <v>5550</v>
      </c>
      <c r="B2447" s="18" t="s">
        <v>1788</v>
      </c>
      <c r="C2447" s="18" t="s">
        <v>204</v>
      </c>
      <c r="D2447" s="18" t="s">
        <v>123</v>
      </c>
      <c r="E2447" s="26">
        <v>45281</v>
      </c>
      <c r="F2447" s="18" t="s">
        <v>5551</v>
      </c>
      <c r="G2447" s="18" t="s">
        <v>132</v>
      </c>
      <c r="H2447" s="18">
        <v>3</v>
      </c>
      <c r="I2447" s="18">
        <v>399</v>
      </c>
      <c r="J2447" s="18">
        <v>0</v>
      </c>
      <c r="K2447" s="18">
        <v>1197</v>
      </c>
      <c r="L2447" s="18" t="s">
        <v>126</v>
      </c>
      <c r="M2447" s="18" t="s">
        <v>140</v>
      </c>
      <c r="N2447" s="28">
        <v>45281.400694444441</v>
      </c>
      <c r="O2447" s="28">
        <v>45282.462500000001</v>
      </c>
      <c r="P2447" s="20"/>
      <c r="Q2447" s="18" t="b">
        <f>FALSE()</f>
        <v>0</v>
      </c>
      <c r="R2447" s="18" t="b">
        <f>FALSE()</f>
        <v>0</v>
      </c>
      <c r="S2447" s="19">
        <f t="shared" si="38"/>
        <v>25.5</v>
      </c>
      <c r="T2447">
        <f>COUNTIF('👤 Customers'!$A:$A, B2447)</f>
        <v>1</v>
      </c>
      <c r="U2447">
        <f>COUNTIF('🚴 Riders'!A2446:A2506, C2447)</f>
        <v>0</v>
      </c>
      <c r="V2447">
        <f>COUNTIF('🏭 Facilities'!A2446:A2454, D2447)</f>
        <v>0</v>
      </c>
    </row>
    <row r="2448" spans="1:22">
      <c r="A2448" s="16" t="s">
        <v>5552</v>
      </c>
      <c r="B2448" s="16" t="s">
        <v>707</v>
      </c>
      <c r="C2448" s="16" t="s">
        <v>339</v>
      </c>
      <c r="D2448" s="16" t="s">
        <v>205</v>
      </c>
      <c r="E2448" s="25">
        <v>45010</v>
      </c>
      <c r="F2448" s="16" t="s">
        <v>5553</v>
      </c>
      <c r="G2448" s="16" t="s">
        <v>117</v>
      </c>
      <c r="H2448" s="16">
        <v>7.1</v>
      </c>
      <c r="I2448" s="16">
        <v>149</v>
      </c>
      <c r="J2448" s="16">
        <v>20</v>
      </c>
      <c r="K2448" s="16">
        <v>846.32</v>
      </c>
      <c r="L2448" s="16" t="s">
        <v>207</v>
      </c>
      <c r="M2448" s="16" t="s">
        <v>133</v>
      </c>
      <c r="N2448" s="20"/>
      <c r="O2448" s="20"/>
      <c r="P2448" s="20"/>
      <c r="Q2448" s="16" t="b">
        <f>FALSE()</f>
        <v>0</v>
      </c>
      <c r="R2448" s="16" t="b">
        <f>FALSE()</f>
        <v>0</v>
      </c>
      <c r="S2448" s="17" t="str">
        <f t="shared" si="38"/>
        <v>N/A</v>
      </c>
      <c r="T2448">
        <f>COUNTIF('👤 Customers'!$A:$A, B2448)</f>
        <v>1</v>
      </c>
      <c r="U2448">
        <f>COUNTIF('🚴 Riders'!A2447:A2507, C2448)</f>
        <v>0</v>
      </c>
      <c r="V2448">
        <f>COUNTIF('🏭 Facilities'!A2447:A2455, D2448)</f>
        <v>0</v>
      </c>
    </row>
    <row r="2449" spans="1:22">
      <c r="A2449" s="18" t="s">
        <v>5554</v>
      </c>
      <c r="B2449" s="18" t="s">
        <v>670</v>
      </c>
      <c r="C2449" s="18" t="s">
        <v>257</v>
      </c>
      <c r="D2449" s="18" t="s">
        <v>205</v>
      </c>
      <c r="E2449" s="26">
        <v>44952</v>
      </c>
      <c r="F2449" s="18" t="s">
        <v>5555</v>
      </c>
      <c r="G2449" s="18" t="s">
        <v>117</v>
      </c>
      <c r="H2449" s="18">
        <v>7.3</v>
      </c>
      <c r="I2449" s="18">
        <v>149</v>
      </c>
      <c r="J2449" s="18">
        <v>20</v>
      </c>
      <c r="K2449" s="18">
        <v>870.16</v>
      </c>
      <c r="L2449" s="18" t="s">
        <v>118</v>
      </c>
      <c r="M2449" s="18" t="s">
        <v>133</v>
      </c>
      <c r="N2449" s="20"/>
      <c r="O2449" s="20"/>
      <c r="P2449" s="20"/>
      <c r="Q2449" s="18" t="b">
        <f>TRUE()</f>
        <v>1</v>
      </c>
      <c r="R2449" s="18" t="b">
        <f>FALSE()</f>
        <v>0</v>
      </c>
      <c r="S2449" s="19" t="str">
        <f t="shared" si="38"/>
        <v>N/A</v>
      </c>
      <c r="T2449">
        <f>COUNTIF('👤 Customers'!$A:$A, B2449)</f>
        <v>1</v>
      </c>
      <c r="U2449">
        <f>COUNTIF('🚴 Riders'!A2448:A2508, C2449)</f>
        <v>0</v>
      </c>
      <c r="V2449">
        <f>COUNTIF('🏭 Facilities'!A2448:A2456, D2449)</f>
        <v>0</v>
      </c>
    </row>
    <row r="2450" spans="1:22">
      <c r="A2450" s="16" t="s">
        <v>5556</v>
      </c>
      <c r="B2450" s="16" t="s">
        <v>1754</v>
      </c>
      <c r="C2450" s="16" t="s">
        <v>183</v>
      </c>
      <c r="D2450" s="16" t="s">
        <v>205</v>
      </c>
      <c r="E2450" s="25">
        <v>45328</v>
      </c>
      <c r="F2450" s="16" t="s">
        <v>5557</v>
      </c>
      <c r="G2450" s="16" t="s">
        <v>117</v>
      </c>
      <c r="H2450" s="16">
        <v>6.9</v>
      </c>
      <c r="I2450" s="16">
        <v>149</v>
      </c>
      <c r="J2450" s="16">
        <v>20</v>
      </c>
      <c r="K2450" s="16">
        <v>822.48</v>
      </c>
      <c r="L2450" s="16" t="s">
        <v>207</v>
      </c>
      <c r="M2450" s="16" t="s">
        <v>119</v>
      </c>
      <c r="N2450" s="27">
        <v>45328.26666666667</v>
      </c>
      <c r="O2450" s="27">
        <v>45328.638194444444</v>
      </c>
      <c r="P2450" s="16">
        <v>3.6</v>
      </c>
      <c r="Q2450" s="16" t="b">
        <f>FALSE()</f>
        <v>0</v>
      </c>
      <c r="R2450" s="16" t="b">
        <f>TRUE()</f>
        <v>1</v>
      </c>
      <c r="S2450" s="17">
        <f t="shared" si="38"/>
        <v>8.9</v>
      </c>
      <c r="T2450">
        <f>COUNTIF('👤 Customers'!$A:$A, B2450)</f>
        <v>1</v>
      </c>
      <c r="U2450">
        <f>COUNTIF('🚴 Riders'!A2449:A2509, C2450)</f>
        <v>0</v>
      </c>
      <c r="V2450">
        <f>COUNTIF('🏭 Facilities'!A2449:A2457, D2450)</f>
        <v>0</v>
      </c>
    </row>
    <row r="2451" spans="1:22">
      <c r="A2451" s="18" t="s">
        <v>5558</v>
      </c>
      <c r="B2451" s="18" t="s">
        <v>1257</v>
      </c>
      <c r="C2451" s="18" t="s">
        <v>611</v>
      </c>
      <c r="D2451" s="18" t="s">
        <v>184</v>
      </c>
      <c r="E2451" s="26">
        <v>45460</v>
      </c>
      <c r="F2451" s="18" t="s">
        <v>5559</v>
      </c>
      <c r="G2451" s="18" t="s">
        <v>117</v>
      </c>
      <c r="H2451" s="18">
        <v>3.5</v>
      </c>
      <c r="I2451" s="18">
        <v>149</v>
      </c>
      <c r="J2451" s="18">
        <v>10</v>
      </c>
      <c r="K2451" s="18">
        <v>469.35</v>
      </c>
      <c r="L2451" s="18" t="s">
        <v>139</v>
      </c>
      <c r="M2451" s="18" t="s">
        <v>140</v>
      </c>
      <c r="N2451" s="28">
        <v>45460.509722222225</v>
      </c>
      <c r="O2451" s="28">
        <v>45460.992361111108</v>
      </c>
      <c r="P2451" s="20"/>
      <c r="Q2451" s="18" t="b">
        <f>FALSE()</f>
        <v>0</v>
      </c>
      <c r="R2451" s="18" t="b">
        <f>FALSE()</f>
        <v>0</v>
      </c>
      <c r="S2451" s="19">
        <f t="shared" si="38"/>
        <v>11.6</v>
      </c>
      <c r="T2451">
        <f>COUNTIF('👤 Customers'!$A:$A, B2451)</f>
        <v>1</v>
      </c>
      <c r="U2451">
        <f>COUNTIF('🚴 Riders'!A2450:A2510, C2451)</f>
        <v>0</v>
      </c>
      <c r="V2451">
        <f>COUNTIF('🏭 Facilities'!A2450:A2458, D2451)</f>
        <v>0</v>
      </c>
    </row>
    <row r="2452" spans="1:22">
      <c r="A2452" s="16" t="s">
        <v>5560</v>
      </c>
      <c r="B2452" s="16" t="s">
        <v>2460</v>
      </c>
      <c r="C2452" s="16" t="s">
        <v>220</v>
      </c>
      <c r="D2452" s="16" t="s">
        <v>137</v>
      </c>
      <c r="E2452" s="25">
        <v>45477</v>
      </c>
      <c r="F2452" s="16" t="s">
        <v>5561</v>
      </c>
      <c r="G2452" s="16" t="s">
        <v>176</v>
      </c>
      <c r="H2452" s="16">
        <v>5.7</v>
      </c>
      <c r="I2452" s="16">
        <v>599</v>
      </c>
      <c r="J2452" s="16">
        <v>0</v>
      </c>
      <c r="K2452" s="16">
        <v>3414.3</v>
      </c>
      <c r="L2452" s="16" t="s">
        <v>207</v>
      </c>
      <c r="M2452" s="16" t="s">
        <v>140</v>
      </c>
      <c r="N2452" s="27">
        <v>45477.241666666669</v>
      </c>
      <c r="O2452" s="27">
        <v>45478.234027777777</v>
      </c>
      <c r="P2452" s="20"/>
      <c r="Q2452" s="16" t="b">
        <f>FALSE()</f>
        <v>0</v>
      </c>
      <c r="R2452" s="16" t="b">
        <f>FALSE()</f>
        <v>0</v>
      </c>
      <c r="S2452" s="17">
        <f t="shared" si="38"/>
        <v>23.8</v>
      </c>
      <c r="T2452">
        <f>COUNTIF('👤 Customers'!$A:$A, B2452)</f>
        <v>1</v>
      </c>
      <c r="U2452">
        <f>COUNTIF('🚴 Riders'!A2451:A2511, C2452)</f>
        <v>0</v>
      </c>
      <c r="V2452">
        <f>COUNTIF('🏭 Facilities'!A2451:A2459, D2452)</f>
        <v>0</v>
      </c>
    </row>
    <row r="2453" spans="1:22">
      <c r="A2453" s="18" t="s">
        <v>5562</v>
      </c>
      <c r="B2453" s="18" t="s">
        <v>673</v>
      </c>
      <c r="C2453" s="18" t="s">
        <v>196</v>
      </c>
      <c r="D2453" s="18" t="s">
        <v>123</v>
      </c>
      <c r="E2453" s="26">
        <v>45519</v>
      </c>
      <c r="F2453" s="18" t="s">
        <v>5563</v>
      </c>
      <c r="G2453" s="18" t="s">
        <v>125</v>
      </c>
      <c r="H2453" s="18">
        <v>6.2</v>
      </c>
      <c r="I2453" s="18">
        <v>199</v>
      </c>
      <c r="J2453" s="18">
        <v>0</v>
      </c>
      <c r="K2453" s="18">
        <v>1233.8</v>
      </c>
      <c r="L2453" s="18" t="s">
        <v>139</v>
      </c>
      <c r="M2453" s="18" t="s">
        <v>119</v>
      </c>
      <c r="N2453" s="28">
        <v>45519.204861111109</v>
      </c>
      <c r="O2453" s="28">
        <v>45519.526388888888</v>
      </c>
      <c r="P2453" s="18">
        <v>4.4000000000000004</v>
      </c>
      <c r="Q2453" s="18" t="b">
        <f>TRUE()</f>
        <v>1</v>
      </c>
      <c r="R2453" s="18" t="b">
        <f>TRUE()</f>
        <v>1</v>
      </c>
      <c r="S2453" s="19">
        <f t="shared" si="38"/>
        <v>7.7</v>
      </c>
      <c r="T2453">
        <f>COUNTIF('👤 Customers'!$A:$A, B2453)</f>
        <v>1</v>
      </c>
      <c r="U2453">
        <f>COUNTIF('🚴 Riders'!A2452:A2512, C2453)</f>
        <v>0</v>
      </c>
      <c r="V2453">
        <f>COUNTIF('🏭 Facilities'!A2452:A2460, D2453)</f>
        <v>0</v>
      </c>
    </row>
    <row r="2454" spans="1:22">
      <c r="A2454" s="16" t="s">
        <v>5564</v>
      </c>
      <c r="B2454" s="16" t="s">
        <v>1679</v>
      </c>
      <c r="C2454" s="16" t="s">
        <v>153</v>
      </c>
      <c r="D2454" s="16" t="s">
        <v>197</v>
      </c>
      <c r="E2454" s="25">
        <v>45061</v>
      </c>
      <c r="F2454" s="16" t="s">
        <v>5565</v>
      </c>
      <c r="G2454" s="16" t="s">
        <v>117</v>
      </c>
      <c r="H2454" s="16">
        <v>3.8</v>
      </c>
      <c r="I2454" s="16">
        <v>149</v>
      </c>
      <c r="J2454" s="16">
        <v>10</v>
      </c>
      <c r="K2454" s="16">
        <v>509.58</v>
      </c>
      <c r="L2454" s="16" t="s">
        <v>126</v>
      </c>
      <c r="M2454" s="16" t="s">
        <v>119</v>
      </c>
      <c r="N2454" s="27">
        <v>45062.102777777778</v>
      </c>
      <c r="O2454" s="27">
        <v>45062.799305555556</v>
      </c>
      <c r="P2454" s="16">
        <v>4.9000000000000004</v>
      </c>
      <c r="Q2454" s="16" t="b">
        <f>FALSE()</f>
        <v>0</v>
      </c>
      <c r="R2454" s="16" t="b">
        <f>FALSE()</f>
        <v>0</v>
      </c>
      <c r="S2454" s="17">
        <f t="shared" si="38"/>
        <v>16.7</v>
      </c>
      <c r="T2454">
        <f>COUNTIF('👤 Customers'!$A:$A, B2454)</f>
        <v>1</v>
      </c>
      <c r="U2454">
        <f>COUNTIF('🚴 Riders'!A2453:A2513, C2454)</f>
        <v>0</v>
      </c>
      <c r="V2454">
        <f>COUNTIF('🏭 Facilities'!A2453:A2461, D2454)</f>
        <v>0</v>
      </c>
    </row>
    <row r="2455" spans="1:22">
      <c r="A2455" s="18" t="s">
        <v>5566</v>
      </c>
      <c r="B2455" s="18" t="s">
        <v>2619</v>
      </c>
      <c r="C2455" s="18" t="s">
        <v>240</v>
      </c>
      <c r="D2455" s="18" t="s">
        <v>115</v>
      </c>
      <c r="E2455" s="26">
        <v>45244</v>
      </c>
      <c r="F2455" s="18" t="s">
        <v>5567</v>
      </c>
      <c r="G2455" s="18" t="s">
        <v>145</v>
      </c>
      <c r="H2455" s="18">
        <v>1.6</v>
      </c>
      <c r="I2455" s="18">
        <v>299</v>
      </c>
      <c r="J2455" s="18">
        <v>0</v>
      </c>
      <c r="K2455" s="18">
        <v>478.4</v>
      </c>
      <c r="L2455" s="18" t="s">
        <v>126</v>
      </c>
      <c r="M2455" s="18" t="s">
        <v>119</v>
      </c>
      <c r="N2455" s="28">
        <v>45244.609027777777</v>
      </c>
      <c r="O2455" s="28">
        <v>45245.290277777778</v>
      </c>
      <c r="P2455" s="18">
        <v>4.2</v>
      </c>
      <c r="Q2455" s="18" t="b">
        <f>FALSE()</f>
        <v>0</v>
      </c>
      <c r="R2455" s="18" t="b">
        <f>FALSE()</f>
        <v>0</v>
      </c>
      <c r="S2455" s="19">
        <f t="shared" si="38"/>
        <v>16.399999999999999</v>
      </c>
      <c r="T2455">
        <f>COUNTIF('👤 Customers'!$A:$A, B2455)</f>
        <v>1</v>
      </c>
      <c r="U2455">
        <f>COUNTIF('🚴 Riders'!A2454:A2514, C2455)</f>
        <v>0</v>
      </c>
      <c r="V2455">
        <f>COUNTIF('🏭 Facilities'!A2454:A2462, D2455)</f>
        <v>0</v>
      </c>
    </row>
    <row r="2456" spans="1:22">
      <c r="A2456" s="16" t="s">
        <v>5568</v>
      </c>
      <c r="B2456" s="16" t="s">
        <v>654</v>
      </c>
      <c r="C2456" s="16" t="s">
        <v>114</v>
      </c>
      <c r="D2456" s="16" t="s">
        <v>115</v>
      </c>
      <c r="E2456" s="25">
        <v>44990</v>
      </c>
      <c r="F2456" s="16" t="s">
        <v>5569</v>
      </c>
      <c r="G2456" s="16" t="s">
        <v>125</v>
      </c>
      <c r="H2456" s="16">
        <v>6.6</v>
      </c>
      <c r="I2456" s="16">
        <v>199</v>
      </c>
      <c r="J2456" s="16">
        <v>30</v>
      </c>
      <c r="K2456" s="16">
        <v>919.38</v>
      </c>
      <c r="L2456" s="16" t="s">
        <v>126</v>
      </c>
      <c r="M2456" s="16" t="s">
        <v>133</v>
      </c>
      <c r="N2456" s="20"/>
      <c r="O2456" s="20"/>
      <c r="P2456" s="20"/>
      <c r="Q2456" s="16" t="b">
        <f>FALSE()</f>
        <v>0</v>
      </c>
      <c r="R2456" s="16" t="b">
        <f>FALSE()</f>
        <v>0</v>
      </c>
      <c r="S2456" s="17" t="str">
        <f t="shared" si="38"/>
        <v>N/A</v>
      </c>
      <c r="T2456">
        <f>COUNTIF('👤 Customers'!$A:$A, B2456)</f>
        <v>1</v>
      </c>
      <c r="U2456">
        <f>COUNTIF('🚴 Riders'!A2455:A2515, C2456)</f>
        <v>0</v>
      </c>
      <c r="V2456">
        <f>COUNTIF('🏭 Facilities'!A2455:A2463, D2456)</f>
        <v>0</v>
      </c>
    </row>
    <row r="2457" spans="1:22">
      <c r="A2457" s="18" t="s">
        <v>5570</v>
      </c>
      <c r="B2457" s="18" t="s">
        <v>746</v>
      </c>
      <c r="C2457" s="18" t="s">
        <v>1092</v>
      </c>
      <c r="D2457" s="18" t="s">
        <v>115</v>
      </c>
      <c r="E2457" s="26">
        <v>45101</v>
      </c>
      <c r="F2457" s="18" t="s">
        <v>5571</v>
      </c>
      <c r="G2457" s="18" t="s">
        <v>125</v>
      </c>
      <c r="H2457" s="18">
        <v>4.2</v>
      </c>
      <c r="I2457" s="18">
        <v>199</v>
      </c>
      <c r="J2457" s="18">
        <v>0</v>
      </c>
      <c r="K2457" s="18">
        <v>835.8</v>
      </c>
      <c r="L2457" s="18" t="s">
        <v>118</v>
      </c>
      <c r="M2457" s="18" t="s">
        <v>119</v>
      </c>
      <c r="N2457" s="28">
        <v>45101.202777777777</v>
      </c>
      <c r="O2457" s="28">
        <v>45102.120833333334</v>
      </c>
      <c r="P2457" s="18">
        <v>4</v>
      </c>
      <c r="Q2457" s="18" t="b">
        <f>FALSE()</f>
        <v>0</v>
      </c>
      <c r="R2457" s="18" t="b">
        <f>TRUE()</f>
        <v>1</v>
      </c>
      <c r="S2457" s="19">
        <f t="shared" si="38"/>
        <v>22</v>
      </c>
      <c r="T2457">
        <f>COUNTIF('👤 Customers'!$A:$A, B2457)</f>
        <v>1</v>
      </c>
      <c r="U2457">
        <f>COUNTIF('🚴 Riders'!A2456:A2516, C2457)</f>
        <v>0</v>
      </c>
      <c r="V2457">
        <f>COUNTIF('🏭 Facilities'!A2456:A2464, D2457)</f>
        <v>0</v>
      </c>
    </row>
    <row r="2458" spans="1:22">
      <c r="A2458" s="16" t="s">
        <v>5572</v>
      </c>
      <c r="B2458" s="16" t="s">
        <v>386</v>
      </c>
      <c r="C2458" s="16" t="s">
        <v>479</v>
      </c>
      <c r="D2458" s="16" t="s">
        <v>137</v>
      </c>
      <c r="E2458" s="25">
        <v>45093</v>
      </c>
      <c r="F2458" s="16" t="s">
        <v>5573</v>
      </c>
      <c r="G2458" s="16" t="s">
        <v>125</v>
      </c>
      <c r="H2458" s="16">
        <v>2.8</v>
      </c>
      <c r="I2458" s="16">
        <v>199</v>
      </c>
      <c r="J2458" s="16">
        <v>30</v>
      </c>
      <c r="K2458" s="16">
        <v>390.04</v>
      </c>
      <c r="L2458" s="16" t="s">
        <v>118</v>
      </c>
      <c r="M2458" s="16" t="s">
        <v>133</v>
      </c>
      <c r="N2458" s="20"/>
      <c r="O2458" s="20"/>
      <c r="P2458" s="20"/>
      <c r="Q2458" s="16" t="b">
        <f>FALSE()</f>
        <v>0</v>
      </c>
      <c r="R2458" s="16" t="b">
        <f>FALSE()</f>
        <v>0</v>
      </c>
      <c r="S2458" s="17" t="str">
        <f t="shared" si="38"/>
        <v>N/A</v>
      </c>
      <c r="T2458">
        <f>COUNTIF('👤 Customers'!$A:$A, B2458)</f>
        <v>1</v>
      </c>
      <c r="U2458">
        <f>COUNTIF('🚴 Riders'!A2457:A2517, C2458)</f>
        <v>0</v>
      </c>
      <c r="V2458">
        <f>COUNTIF('🏭 Facilities'!A2457:A2465, D2458)</f>
        <v>0</v>
      </c>
    </row>
    <row r="2459" spans="1:22">
      <c r="A2459" s="18" t="s">
        <v>5574</v>
      </c>
      <c r="B2459" s="18" t="s">
        <v>2170</v>
      </c>
      <c r="C2459" s="18" t="s">
        <v>431</v>
      </c>
      <c r="D2459" s="18" t="s">
        <v>158</v>
      </c>
      <c r="E2459" s="26">
        <v>45147</v>
      </c>
      <c r="F2459" s="18" t="s">
        <v>5575</v>
      </c>
      <c r="G2459" s="18" t="s">
        <v>145</v>
      </c>
      <c r="H2459" s="18">
        <v>1.2</v>
      </c>
      <c r="I2459" s="18">
        <v>299</v>
      </c>
      <c r="J2459" s="18">
        <v>20</v>
      </c>
      <c r="K2459" s="18">
        <v>287.04000000000002</v>
      </c>
      <c r="L2459" s="18" t="s">
        <v>118</v>
      </c>
      <c r="M2459" s="18" t="s">
        <v>119</v>
      </c>
      <c r="N2459" s="28">
        <v>45147.337500000001</v>
      </c>
      <c r="O2459" s="28">
        <v>45148.34652777778</v>
      </c>
      <c r="P2459" s="18">
        <v>3.1</v>
      </c>
      <c r="Q2459" s="18" t="b">
        <f>FALSE()</f>
        <v>0</v>
      </c>
      <c r="R2459" s="18" t="b">
        <f>FALSE()</f>
        <v>0</v>
      </c>
      <c r="S2459" s="19">
        <f t="shared" si="38"/>
        <v>24.2</v>
      </c>
      <c r="T2459">
        <f>COUNTIF('👤 Customers'!$A:$A, B2459)</f>
        <v>1</v>
      </c>
      <c r="U2459">
        <f>COUNTIF('🚴 Riders'!A2458:A2518, C2459)</f>
        <v>0</v>
      </c>
      <c r="V2459">
        <f>COUNTIF('🏭 Facilities'!A2458:A2466, D2459)</f>
        <v>0</v>
      </c>
    </row>
    <row r="2460" spans="1:22">
      <c r="A2460" s="16" t="s">
        <v>5576</v>
      </c>
      <c r="B2460" s="16" t="s">
        <v>386</v>
      </c>
      <c r="C2460" s="16" t="s">
        <v>300</v>
      </c>
      <c r="D2460" s="16" t="s">
        <v>115</v>
      </c>
      <c r="E2460" s="25">
        <v>45643</v>
      </c>
      <c r="F2460" s="16" t="s">
        <v>5577</v>
      </c>
      <c r="G2460" s="16" t="s">
        <v>117</v>
      </c>
      <c r="H2460" s="16">
        <v>5.8</v>
      </c>
      <c r="I2460" s="16">
        <v>149</v>
      </c>
      <c r="J2460" s="16">
        <v>20</v>
      </c>
      <c r="K2460" s="16">
        <v>691.36</v>
      </c>
      <c r="L2460" s="16" t="s">
        <v>126</v>
      </c>
      <c r="M2460" s="16" t="s">
        <v>119</v>
      </c>
      <c r="N2460" s="27">
        <v>45643.487500000003</v>
      </c>
      <c r="O2460" s="27">
        <v>45643.911111111112</v>
      </c>
      <c r="P2460" s="16">
        <v>2.6</v>
      </c>
      <c r="Q2460" s="16" t="b">
        <f>FALSE()</f>
        <v>0</v>
      </c>
      <c r="R2460" s="16" t="b">
        <f>FALSE()</f>
        <v>0</v>
      </c>
      <c r="S2460" s="17">
        <f t="shared" si="38"/>
        <v>10.199999999999999</v>
      </c>
      <c r="T2460">
        <f>COUNTIF('👤 Customers'!$A:$A, B2460)</f>
        <v>1</v>
      </c>
      <c r="U2460">
        <f>COUNTIF('🚴 Riders'!A2459:A2519, C2460)</f>
        <v>0</v>
      </c>
      <c r="V2460">
        <f>COUNTIF('🏭 Facilities'!A2459:A2467, D2460)</f>
        <v>0</v>
      </c>
    </row>
    <row r="2461" spans="1:22">
      <c r="A2461" s="18" t="s">
        <v>5578</v>
      </c>
      <c r="B2461" s="18" t="s">
        <v>1200</v>
      </c>
      <c r="C2461" s="18" t="s">
        <v>240</v>
      </c>
      <c r="D2461" s="18" t="s">
        <v>205</v>
      </c>
      <c r="E2461" s="26">
        <v>45284</v>
      </c>
      <c r="F2461" s="18" t="s">
        <v>5579</v>
      </c>
      <c r="G2461" s="18" t="s">
        <v>117</v>
      </c>
      <c r="H2461" s="18">
        <v>2.4</v>
      </c>
      <c r="I2461" s="18">
        <v>149</v>
      </c>
      <c r="J2461" s="18">
        <v>20</v>
      </c>
      <c r="K2461" s="18">
        <v>286.08</v>
      </c>
      <c r="L2461" s="18" t="s">
        <v>207</v>
      </c>
      <c r="M2461" s="18" t="s">
        <v>119</v>
      </c>
      <c r="N2461" s="28">
        <v>45284.67083333333</v>
      </c>
      <c r="O2461" s="28">
        <v>45285.606249999997</v>
      </c>
      <c r="P2461" s="18">
        <v>3.4</v>
      </c>
      <c r="Q2461" s="18" t="b">
        <f>FALSE()</f>
        <v>0</v>
      </c>
      <c r="R2461" s="18" t="b">
        <f>FALSE()</f>
        <v>0</v>
      </c>
      <c r="S2461" s="19">
        <f t="shared" si="38"/>
        <v>22.5</v>
      </c>
      <c r="T2461">
        <f>COUNTIF('👤 Customers'!$A:$A, B2461)</f>
        <v>1</v>
      </c>
      <c r="U2461">
        <f>COUNTIF('🚴 Riders'!A2460:A2520, C2461)</f>
        <v>0</v>
      </c>
      <c r="V2461">
        <f>COUNTIF('🏭 Facilities'!A2460:A2468, D2461)</f>
        <v>0</v>
      </c>
    </row>
    <row r="2462" spans="1:22">
      <c r="A2462" s="16" t="s">
        <v>5580</v>
      </c>
      <c r="B2462" s="16" t="s">
        <v>513</v>
      </c>
      <c r="C2462" s="16" t="s">
        <v>170</v>
      </c>
      <c r="D2462" s="16" t="s">
        <v>184</v>
      </c>
      <c r="E2462" s="25">
        <v>45448</v>
      </c>
      <c r="F2462" s="16" t="s">
        <v>5581</v>
      </c>
      <c r="G2462" s="16" t="s">
        <v>132</v>
      </c>
      <c r="H2462" s="16">
        <v>2.4</v>
      </c>
      <c r="I2462" s="16">
        <v>399</v>
      </c>
      <c r="J2462" s="16">
        <v>0</v>
      </c>
      <c r="K2462" s="16">
        <v>957.6</v>
      </c>
      <c r="L2462" s="16" t="s">
        <v>207</v>
      </c>
      <c r="M2462" s="16" t="s">
        <v>119</v>
      </c>
      <c r="N2462" s="27">
        <v>45448.824999999997</v>
      </c>
      <c r="O2462" s="27">
        <v>45449.603472222225</v>
      </c>
      <c r="P2462" s="16">
        <v>2.6</v>
      </c>
      <c r="Q2462" s="16" t="b">
        <f>TRUE()</f>
        <v>1</v>
      </c>
      <c r="R2462" s="16" t="b">
        <f>TRUE()</f>
        <v>1</v>
      </c>
      <c r="S2462" s="17">
        <f t="shared" si="38"/>
        <v>18.7</v>
      </c>
      <c r="T2462">
        <f>COUNTIF('👤 Customers'!$A:$A, B2462)</f>
        <v>1</v>
      </c>
      <c r="U2462">
        <f>COUNTIF('🚴 Riders'!A2461:A2521, C2462)</f>
        <v>0</v>
      </c>
      <c r="V2462">
        <f>COUNTIF('🏭 Facilities'!A2461:A2469, D2462)</f>
        <v>0</v>
      </c>
    </row>
    <row r="2463" spans="1:22">
      <c r="A2463" s="18" t="s">
        <v>5582</v>
      </c>
      <c r="B2463" s="18" t="s">
        <v>246</v>
      </c>
      <c r="C2463" s="18" t="s">
        <v>261</v>
      </c>
      <c r="D2463" s="18" t="s">
        <v>123</v>
      </c>
      <c r="E2463" s="26">
        <v>45499</v>
      </c>
      <c r="F2463" s="18" t="s">
        <v>5583</v>
      </c>
      <c r="G2463" s="18" t="s">
        <v>145</v>
      </c>
      <c r="H2463" s="18">
        <v>5.5</v>
      </c>
      <c r="I2463" s="18">
        <v>299</v>
      </c>
      <c r="J2463" s="18">
        <v>0</v>
      </c>
      <c r="K2463" s="18">
        <v>1644.5</v>
      </c>
      <c r="L2463" s="18" t="s">
        <v>207</v>
      </c>
      <c r="M2463" s="18" t="s">
        <v>119</v>
      </c>
      <c r="N2463" s="28">
        <v>45499.522222222222</v>
      </c>
      <c r="O2463" s="28">
        <v>45499.916666666664</v>
      </c>
      <c r="P2463" s="18">
        <v>4.0999999999999996</v>
      </c>
      <c r="Q2463" s="18" t="b">
        <f>FALSE()</f>
        <v>0</v>
      </c>
      <c r="R2463" s="18" t="b">
        <f>FALSE()</f>
        <v>0</v>
      </c>
      <c r="S2463" s="19">
        <f t="shared" si="38"/>
        <v>9.5</v>
      </c>
      <c r="T2463">
        <f>COUNTIF('👤 Customers'!$A:$A, B2463)</f>
        <v>1</v>
      </c>
      <c r="U2463">
        <f>COUNTIF('🚴 Riders'!A2462:A2522, C2463)</f>
        <v>0</v>
      </c>
      <c r="V2463">
        <f>COUNTIF('🏭 Facilities'!A2462:A2470, D2463)</f>
        <v>0</v>
      </c>
    </row>
    <row r="2464" spans="1:22">
      <c r="A2464" s="16" t="s">
        <v>5584</v>
      </c>
      <c r="B2464" s="16" t="s">
        <v>1144</v>
      </c>
      <c r="C2464" s="16" t="s">
        <v>487</v>
      </c>
      <c r="D2464" s="16" t="s">
        <v>197</v>
      </c>
      <c r="E2464" s="25">
        <v>45434</v>
      </c>
      <c r="F2464" s="16" t="s">
        <v>5585</v>
      </c>
      <c r="G2464" s="16" t="s">
        <v>132</v>
      </c>
      <c r="H2464" s="16">
        <v>6.2</v>
      </c>
      <c r="I2464" s="16">
        <v>399</v>
      </c>
      <c r="J2464" s="16">
        <v>0</v>
      </c>
      <c r="K2464" s="16">
        <v>2473.8000000000002</v>
      </c>
      <c r="L2464" s="16" t="s">
        <v>139</v>
      </c>
      <c r="M2464" s="16" t="s">
        <v>119</v>
      </c>
      <c r="N2464" s="27">
        <v>45435.068055555559</v>
      </c>
      <c r="O2464" s="27">
        <v>45435.888194444444</v>
      </c>
      <c r="P2464" s="16">
        <v>2.8</v>
      </c>
      <c r="Q2464" s="16" t="b">
        <f>FALSE()</f>
        <v>0</v>
      </c>
      <c r="R2464" s="16" t="b">
        <f>FALSE()</f>
        <v>0</v>
      </c>
      <c r="S2464" s="17">
        <f t="shared" si="38"/>
        <v>19.7</v>
      </c>
      <c r="T2464">
        <f>COUNTIF('👤 Customers'!$A:$A, B2464)</f>
        <v>1</v>
      </c>
      <c r="U2464">
        <f>COUNTIF('🚴 Riders'!A2463:A2523, C2464)</f>
        <v>0</v>
      </c>
      <c r="V2464">
        <f>COUNTIF('🏭 Facilities'!A2463:A2471, D2464)</f>
        <v>0</v>
      </c>
    </row>
    <row r="2465" spans="1:22">
      <c r="A2465" s="18" t="s">
        <v>5586</v>
      </c>
      <c r="B2465" s="18" t="s">
        <v>2033</v>
      </c>
      <c r="C2465" s="18" t="s">
        <v>350</v>
      </c>
      <c r="D2465" s="18" t="s">
        <v>205</v>
      </c>
      <c r="E2465" s="26">
        <v>45409</v>
      </c>
      <c r="F2465" s="18" t="s">
        <v>5587</v>
      </c>
      <c r="G2465" s="18" t="s">
        <v>176</v>
      </c>
      <c r="H2465" s="18">
        <v>6</v>
      </c>
      <c r="I2465" s="18">
        <v>599</v>
      </c>
      <c r="J2465" s="18">
        <v>0</v>
      </c>
      <c r="K2465" s="18">
        <v>3594</v>
      </c>
      <c r="L2465" s="18" t="s">
        <v>118</v>
      </c>
      <c r="M2465" s="18" t="s">
        <v>140</v>
      </c>
      <c r="N2465" s="28">
        <v>45409.520833333336</v>
      </c>
      <c r="O2465" s="28">
        <v>45410.413888888892</v>
      </c>
      <c r="P2465" s="20"/>
      <c r="Q2465" s="18" t="b">
        <f>FALSE()</f>
        <v>0</v>
      </c>
      <c r="R2465" s="18" t="b">
        <f>FALSE()</f>
        <v>0</v>
      </c>
      <c r="S2465" s="19">
        <f t="shared" si="38"/>
        <v>21.4</v>
      </c>
      <c r="T2465">
        <f>COUNTIF('👤 Customers'!$A:$A, B2465)</f>
        <v>1</v>
      </c>
      <c r="U2465">
        <f>COUNTIF('🚴 Riders'!A2464:A2524, C2465)</f>
        <v>0</v>
      </c>
      <c r="V2465">
        <f>COUNTIF('🏭 Facilities'!A2464:A2472, D2465)</f>
        <v>0</v>
      </c>
    </row>
    <row r="2466" spans="1:22">
      <c r="A2466" s="16" t="s">
        <v>5588</v>
      </c>
      <c r="B2466" s="16" t="s">
        <v>782</v>
      </c>
      <c r="C2466" s="16" t="s">
        <v>228</v>
      </c>
      <c r="D2466" s="16" t="s">
        <v>123</v>
      </c>
      <c r="E2466" s="25">
        <v>45608</v>
      </c>
      <c r="F2466" s="16" t="s">
        <v>5589</v>
      </c>
      <c r="G2466" s="16" t="s">
        <v>117</v>
      </c>
      <c r="H2466" s="16">
        <v>4.7</v>
      </c>
      <c r="I2466" s="16">
        <v>149</v>
      </c>
      <c r="J2466" s="16">
        <v>0</v>
      </c>
      <c r="K2466" s="16">
        <v>700.3</v>
      </c>
      <c r="L2466" s="16" t="s">
        <v>146</v>
      </c>
      <c r="M2466" s="16" t="s">
        <v>133</v>
      </c>
      <c r="N2466" s="20"/>
      <c r="O2466" s="20"/>
      <c r="P2466" s="20"/>
      <c r="Q2466" s="16" t="b">
        <f>FALSE()</f>
        <v>0</v>
      </c>
      <c r="R2466" s="16" t="b">
        <f>FALSE()</f>
        <v>0</v>
      </c>
      <c r="S2466" s="17" t="str">
        <f t="shared" si="38"/>
        <v>N/A</v>
      </c>
      <c r="T2466">
        <f>COUNTIF('👤 Customers'!$A:$A, B2466)</f>
        <v>1</v>
      </c>
      <c r="U2466">
        <f>COUNTIF('🚴 Riders'!A2465:A2525, C2466)</f>
        <v>0</v>
      </c>
      <c r="V2466">
        <f>COUNTIF('🏭 Facilities'!A2465:A2473, D2466)</f>
        <v>0</v>
      </c>
    </row>
    <row r="2467" spans="1:22">
      <c r="A2467" s="18" t="s">
        <v>5590</v>
      </c>
      <c r="B2467" s="18" t="s">
        <v>2411</v>
      </c>
      <c r="C2467" s="18" t="s">
        <v>431</v>
      </c>
      <c r="D2467" s="18" t="s">
        <v>184</v>
      </c>
      <c r="E2467" s="26">
        <v>45168</v>
      </c>
      <c r="F2467" s="18" t="s">
        <v>5591</v>
      </c>
      <c r="G2467" s="18" t="s">
        <v>125</v>
      </c>
      <c r="H2467" s="18">
        <v>2.2999999999999998</v>
      </c>
      <c r="I2467" s="18">
        <v>199</v>
      </c>
      <c r="J2467" s="18">
        <v>0</v>
      </c>
      <c r="K2467" s="18">
        <v>457.7</v>
      </c>
      <c r="L2467" s="18" t="s">
        <v>207</v>
      </c>
      <c r="M2467" s="18" t="s">
        <v>119</v>
      </c>
      <c r="N2467" s="28">
        <v>45168.588888888888</v>
      </c>
      <c r="O2467" s="28">
        <v>45169.177777777775</v>
      </c>
      <c r="P2467" s="18">
        <v>4.9000000000000004</v>
      </c>
      <c r="Q2467" s="18" t="b">
        <f>FALSE()</f>
        <v>0</v>
      </c>
      <c r="R2467" s="18" t="b">
        <f>FALSE()</f>
        <v>0</v>
      </c>
      <c r="S2467" s="19">
        <f t="shared" si="38"/>
        <v>14.1</v>
      </c>
      <c r="T2467">
        <f>COUNTIF('👤 Customers'!$A:$A, B2467)</f>
        <v>1</v>
      </c>
      <c r="U2467">
        <f>COUNTIF('🚴 Riders'!A2466:A2526, C2467)</f>
        <v>0</v>
      </c>
      <c r="V2467">
        <f>COUNTIF('🏭 Facilities'!A2466:A2474, D2467)</f>
        <v>0</v>
      </c>
    </row>
    <row r="2468" spans="1:22">
      <c r="A2468" s="16" t="s">
        <v>5592</v>
      </c>
      <c r="B2468" s="16" t="s">
        <v>1603</v>
      </c>
      <c r="C2468" s="16" t="s">
        <v>166</v>
      </c>
      <c r="D2468" s="16" t="s">
        <v>197</v>
      </c>
      <c r="E2468" s="25">
        <v>45607</v>
      </c>
      <c r="F2468" s="16" t="s">
        <v>5593</v>
      </c>
      <c r="G2468" s="16" t="s">
        <v>132</v>
      </c>
      <c r="H2468" s="16">
        <v>4.5999999999999996</v>
      </c>
      <c r="I2468" s="16">
        <v>399</v>
      </c>
      <c r="J2468" s="16">
        <v>0</v>
      </c>
      <c r="K2468" s="16">
        <v>1835.4</v>
      </c>
      <c r="L2468" s="16" t="s">
        <v>146</v>
      </c>
      <c r="M2468" s="16" t="s">
        <v>119</v>
      </c>
      <c r="N2468" s="27">
        <v>45607.48333333333</v>
      </c>
      <c r="O2468" s="27">
        <v>45608.150694444441</v>
      </c>
      <c r="P2468" s="16">
        <v>4.2</v>
      </c>
      <c r="Q2468" s="16" t="b">
        <f>FALSE()</f>
        <v>0</v>
      </c>
      <c r="R2468" s="16" t="b">
        <f>FALSE()</f>
        <v>0</v>
      </c>
      <c r="S2468" s="17">
        <f t="shared" si="38"/>
        <v>16</v>
      </c>
      <c r="T2468">
        <f>COUNTIF('👤 Customers'!$A:$A, B2468)</f>
        <v>1</v>
      </c>
      <c r="U2468">
        <f>COUNTIF('🚴 Riders'!A2467:A2527, C2468)</f>
        <v>0</v>
      </c>
      <c r="V2468">
        <f>COUNTIF('🏭 Facilities'!A2467:A2475, D2468)</f>
        <v>0</v>
      </c>
    </row>
    <row r="2469" spans="1:22">
      <c r="A2469" s="18" t="s">
        <v>5594</v>
      </c>
      <c r="B2469" s="18" t="s">
        <v>2722</v>
      </c>
      <c r="C2469" s="18" t="s">
        <v>213</v>
      </c>
      <c r="D2469" s="18" t="s">
        <v>115</v>
      </c>
      <c r="E2469" s="26">
        <v>45554</v>
      </c>
      <c r="F2469" s="18" t="s">
        <v>5595</v>
      </c>
      <c r="G2469" s="18" t="s">
        <v>132</v>
      </c>
      <c r="H2469" s="18">
        <v>3.5</v>
      </c>
      <c r="I2469" s="18">
        <v>399</v>
      </c>
      <c r="J2469" s="18">
        <v>10</v>
      </c>
      <c r="K2469" s="18">
        <v>1256.8499999999999</v>
      </c>
      <c r="L2469" s="18" t="s">
        <v>139</v>
      </c>
      <c r="M2469" s="18" t="s">
        <v>119</v>
      </c>
      <c r="N2469" s="28">
        <v>45554.974999999999</v>
      </c>
      <c r="O2469" s="28">
        <v>45555.558333333334</v>
      </c>
      <c r="P2469" s="18">
        <v>3.7</v>
      </c>
      <c r="Q2469" s="18" t="b">
        <f>FALSE()</f>
        <v>0</v>
      </c>
      <c r="R2469" s="18" t="b">
        <f>FALSE()</f>
        <v>0</v>
      </c>
      <c r="S2469" s="19">
        <f t="shared" si="38"/>
        <v>14</v>
      </c>
      <c r="T2469">
        <f>COUNTIF('👤 Customers'!$A:$A, B2469)</f>
        <v>1</v>
      </c>
      <c r="U2469">
        <f>COUNTIF('🚴 Riders'!A2468:A2528, C2469)</f>
        <v>0</v>
      </c>
      <c r="V2469">
        <f>COUNTIF('🏭 Facilities'!A2468:A2476, D2469)</f>
        <v>0</v>
      </c>
    </row>
    <row r="2470" spans="1:22">
      <c r="A2470" s="16" t="s">
        <v>5596</v>
      </c>
      <c r="B2470" s="16" t="s">
        <v>2043</v>
      </c>
      <c r="C2470" s="16" t="s">
        <v>304</v>
      </c>
      <c r="D2470" s="16" t="s">
        <v>158</v>
      </c>
      <c r="E2470" s="25">
        <v>45366</v>
      </c>
      <c r="F2470" s="16" t="s">
        <v>5597</v>
      </c>
      <c r="G2470" s="16" t="s">
        <v>145</v>
      </c>
      <c r="H2470" s="16">
        <v>2.9</v>
      </c>
      <c r="I2470" s="16">
        <v>299</v>
      </c>
      <c r="J2470" s="16">
        <v>0</v>
      </c>
      <c r="K2470" s="16">
        <v>867.1</v>
      </c>
      <c r="L2470" s="16" t="s">
        <v>146</v>
      </c>
      <c r="M2470" s="16" t="s">
        <v>119</v>
      </c>
      <c r="N2470" s="27">
        <v>45366.297222222223</v>
      </c>
      <c r="O2470" s="27">
        <v>45366.804861111108</v>
      </c>
      <c r="P2470" s="16">
        <v>3.8</v>
      </c>
      <c r="Q2470" s="16" t="b">
        <f>FALSE()</f>
        <v>0</v>
      </c>
      <c r="R2470" s="16" t="b">
        <f>TRUE()</f>
        <v>1</v>
      </c>
      <c r="S2470" s="17">
        <f t="shared" si="38"/>
        <v>12.2</v>
      </c>
      <c r="T2470">
        <f>COUNTIF('👤 Customers'!$A:$A, B2470)</f>
        <v>1</v>
      </c>
      <c r="U2470">
        <f>COUNTIF('🚴 Riders'!A2469:A2529, C2470)</f>
        <v>0</v>
      </c>
      <c r="V2470">
        <f>COUNTIF('🏭 Facilities'!A2469:A2477, D2470)</f>
        <v>0</v>
      </c>
    </row>
    <row r="2471" spans="1:22">
      <c r="A2471" s="18" t="s">
        <v>5598</v>
      </c>
      <c r="B2471" s="18" t="s">
        <v>1603</v>
      </c>
      <c r="C2471" s="18" t="s">
        <v>251</v>
      </c>
      <c r="D2471" s="18" t="s">
        <v>130</v>
      </c>
      <c r="E2471" s="26">
        <v>45158</v>
      </c>
      <c r="F2471" s="18" t="s">
        <v>5599</v>
      </c>
      <c r="G2471" s="18" t="s">
        <v>176</v>
      </c>
      <c r="H2471" s="18">
        <v>4</v>
      </c>
      <c r="I2471" s="18">
        <v>599</v>
      </c>
      <c r="J2471" s="18">
        <v>30</v>
      </c>
      <c r="K2471" s="18">
        <v>1677.2</v>
      </c>
      <c r="L2471" s="18" t="s">
        <v>146</v>
      </c>
      <c r="M2471" s="18" t="s">
        <v>140</v>
      </c>
      <c r="N2471" s="28">
        <v>45158.279861111114</v>
      </c>
      <c r="O2471" s="28">
        <v>45159.243055555555</v>
      </c>
      <c r="P2471" s="20"/>
      <c r="Q2471" s="18" t="b">
        <f>FALSE()</f>
        <v>0</v>
      </c>
      <c r="R2471" s="18" t="b">
        <f>FALSE()</f>
        <v>0</v>
      </c>
      <c r="S2471" s="19">
        <f t="shared" si="38"/>
        <v>23.1</v>
      </c>
      <c r="T2471">
        <f>COUNTIF('👤 Customers'!$A:$A, B2471)</f>
        <v>1</v>
      </c>
      <c r="U2471">
        <f>COUNTIF('🚴 Riders'!A2470:A2530, C2471)</f>
        <v>0</v>
      </c>
      <c r="V2471">
        <f>COUNTIF('🏭 Facilities'!A2470:A2478, D2471)</f>
        <v>0</v>
      </c>
    </row>
    <row r="2472" spans="1:22">
      <c r="A2472" s="16" t="s">
        <v>5600</v>
      </c>
      <c r="B2472" s="16" t="s">
        <v>654</v>
      </c>
      <c r="C2472" s="16" t="s">
        <v>1092</v>
      </c>
      <c r="D2472" s="16" t="s">
        <v>205</v>
      </c>
      <c r="E2472" s="25">
        <v>45152</v>
      </c>
      <c r="F2472" s="16" t="s">
        <v>5601</v>
      </c>
      <c r="G2472" s="16" t="s">
        <v>145</v>
      </c>
      <c r="H2472" s="16">
        <v>1.1000000000000001</v>
      </c>
      <c r="I2472" s="16">
        <v>299</v>
      </c>
      <c r="J2472" s="16">
        <v>0</v>
      </c>
      <c r="K2472" s="16">
        <v>328.9</v>
      </c>
      <c r="L2472" s="16" t="s">
        <v>118</v>
      </c>
      <c r="M2472" s="16" t="s">
        <v>119</v>
      </c>
      <c r="N2472" s="27">
        <v>45152.470138888886</v>
      </c>
      <c r="O2472" s="27">
        <v>45153.398611111108</v>
      </c>
      <c r="P2472" s="16">
        <v>4.5</v>
      </c>
      <c r="Q2472" s="16" t="b">
        <f>FALSE()</f>
        <v>0</v>
      </c>
      <c r="R2472" s="16" t="b">
        <f>TRUE()</f>
        <v>1</v>
      </c>
      <c r="S2472" s="17">
        <f t="shared" si="38"/>
        <v>22.3</v>
      </c>
      <c r="T2472">
        <f>COUNTIF('👤 Customers'!$A:$A, B2472)</f>
        <v>1</v>
      </c>
      <c r="U2472">
        <f>COUNTIF('🚴 Riders'!A2471:A2531, C2472)</f>
        <v>0</v>
      </c>
      <c r="V2472">
        <f>COUNTIF('🏭 Facilities'!A2471:A2479, D2472)</f>
        <v>0</v>
      </c>
    </row>
    <row r="2473" spans="1:22">
      <c r="A2473" s="18" t="s">
        <v>5602</v>
      </c>
      <c r="B2473" s="18" t="s">
        <v>598</v>
      </c>
      <c r="C2473" s="18" t="s">
        <v>842</v>
      </c>
      <c r="D2473" s="18" t="s">
        <v>123</v>
      </c>
      <c r="E2473" s="26">
        <v>45264</v>
      </c>
      <c r="F2473" s="18" t="s">
        <v>5603</v>
      </c>
      <c r="G2473" s="18" t="s">
        <v>125</v>
      </c>
      <c r="H2473" s="18">
        <v>1.6</v>
      </c>
      <c r="I2473" s="18">
        <v>199</v>
      </c>
      <c r="J2473" s="18">
        <v>0</v>
      </c>
      <c r="K2473" s="18">
        <v>318.39999999999998</v>
      </c>
      <c r="L2473" s="18" t="s">
        <v>139</v>
      </c>
      <c r="M2473" s="18" t="s">
        <v>133</v>
      </c>
      <c r="N2473" s="20"/>
      <c r="O2473" s="20"/>
      <c r="P2473" s="20"/>
      <c r="Q2473" s="18" t="b">
        <f>TRUE()</f>
        <v>1</v>
      </c>
      <c r="R2473" s="18" t="b">
        <f>FALSE()</f>
        <v>0</v>
      </c>
      <c r="S2473" s="19" t="str">
        <f t="shared" si="38"/>
        <v>N/A</v>
      </c>
      <c r="T2473">
        <f>COUNTIF('👤 Customers'!$A:$A, B2473)</f>
        <v>1</v>
      </c>
      <c r="U2473">
        <f>COUNTIF('🚴 Riders'!A2472:A2532, C2473)</f>
        <v>0</v>
      </c>
      <c r="V2473">
        <f>COUNTIF('🏭 Facilities'!A2472:A2480, D2473)</f>
        <v>0</v>
      </c>
    </row>
    <row r="2474" spans="1:22">
      <c r="A2474" s="16" t="s">
        <v>5604</v>
      </c>
      <c r="B2474" s="16" t="s">
        <v>482</v>
      </c>
      <c r="C2474" s="16" t="s">
        <v>204</v>
      </c>
      <c r="D2474" s="16" t="s">
        <v>184</v>
      </c>
      <c r="E2474" s="25">
        <v>45235</v>
      </c>
      <c r="F2474" s="16" t="s">
        <v>5605</v>
      </c>
      <c r="G2474" s="16" t="s">
        <v>132</v>
      </c>
      <c r="H2474" s="16">
        <v>3.5</v>
      </c>
      <c r="I2474" s="16">
        <v>399</v>
      </c>
      <c r="J2474" s="16">
        <v>20</v>
      </c>
      <c r="K2474" s="16">
        <v>1117.2</v>
      </c>
      <c r="L2474" s="16" t="s">
        <v>207</v>
      </c>
      <c r="M2474" s="16" t="s">
        <v>119</v>
      </c>
      <c r="N2474" s="27">
        <v>45235.590277777781</v>
      </c>
      <c r="O2474" s="27">
        <v>45236.115277777775</v>
      </c>
      <c r="P2474" s="16">
        <v>2.8</v>
      </c>
      <c r="Q2474" s="16" t="b">
        <f>TRUE()</f>
        <v>1</v>
      </c>
      <c r="R2474" s="16" t="b">
        <f>FALSE()</f>
        <v>0</v>
      </c>
      <c r="S2474" s="17">
        <f t="shared" si="38"/>
        <v>12.6</v>
      </c>
      <c r="T2474">
        <f>COUNTIF('👤 Customers'!$A:$A, B2474)</f>
        <v>1</v>
      </c>
      <c r="U2474">
        <f>COUNTIF('🚴 Riders'!A2473:A2533, C2474)</f>
        <v>0</v>
      </c>
      <c r="V2474">
        <f>COUNTIF('🏭 Facilities'!A2473:A2481, D2474)</f>
        <v>0</v>
      </c>
    </row>
    <row r="2475" spans="1:22">
      <c r="A2475" s="18" t="s">
        <v>5606</v>
      </c>
      <c r="B2475" s="18" t="s">
        <v>1663</v>
      </c>
      <c r="C2475" s="18" t="s">
        <v>842</v>
      </c>
      <c r="D2475" s="18" t="s">
        <v>115</v>
      </c>
      <c r="E2475" s="26">
        <v>45509</v>
      </c>
      <c r="F2475" s="18" t="s">
        <v>5607</v>
      </c>
      <c r="G2475" s="18" t="s">
        <v>176</v>
      </c>
      <c r="H2475" s="18">
        <v>3.1</v>
      </c>
      <c r="I2475" s="18">
        <v>599</v>
      </c>
      <c r="J2475" s="18">
        <v>10</v>
      </c>
      <c r="K2475" s="18">
        <v>1671.21</v>
      </c>
      <c r="L2475" s="18" t="s">
        <v>146</v>
      </c>
      <c r="M2475" s="18" t="s">
        <v>133</v>
      </c>
      <c r="N2475" s="20"/>
      <c r="O2475" s="20"/>
      <c r="P2475" s="20"/>
      <c r="Q2475" s="18" t="b">
        <f>FALSE()</f>
        <v>0</v>
      </c>
      <c r="R2475" s="18" t="b">
        <f>TRUE()</f>
        <v>1</v>
      </c>
      <c r="S2475" s="19" t="str">
        <f t="shared" si="38"/>
        <v>N/A</v>
      </c>
      <c r="T2475">
        <f>COUNTIF('👤 Customers'!$A:$A, B2475)</f>
        <v>1</v>
      </c>
      <c r="U2475">
        <f>COUNTIF('🚴 Riders'!A2474:A2534, C2475)</f>
        <v>0</v>
      </c>
      <c r="V2475">
        <f>COUNTIF('🏭 Facilities'!A2474:A2482, D2475)</f>
        <v>0</v>
      </c>
    </row>
    <row r="2476" spans="1:22">
      <c r="A2476" s="16" t="s">
        <v>5608</v>
      </c>
      <c r="B2476" s="16" t="s">
        <v>321</v>
      </c>
      <c r="C2476" s="16" t="s">
        <v>162</v>
      </c>
      <c r="D2476" s="16" t="s">
        <v>123</v>
      </c>
      <c r="E2476" s="25">
        <v>45645</v>
      </c>
      <c r="F2476" s="16" t="s">
        <v>760</v>
      </c>
      <c r="G2476" s="16" t="s">
        <v>132</v>
      </c>
      <c r="H2476" s="16">
        <v>4</v>
      </c>
      <c r="I2476" s="16">
        <v>399</v>
      </c>
      <c r="J2476" s="16">
        <v>10</v>
      </c>
      <c r="K2476" s="16">
        <v>1436.4</v>
      </c>
      <c r="L2476" s="16" t="s">
        <v>146</v>
      </c>
      <c r="M2476" s="16" t="s">
        <v>119</v>
      </c>
      <c r="N2476" s="27">
        <v>45645.301388888889</v>
      </c>
      <c r="O2476" s="27">
        <v>45645.826388888891</v>
      </c>
      <c r="P2476" s="16">
        <v>4.2</v>
      </c>
      <c r="Q2476" s="16" t="b">
        <f>FALSE()</f>
        <v>0</v>
      </c>
      <c r="R2476" s="16" t="b">
        <f>FALSE()</f>
        <v>0</v>
      </c>
      <c r="S2476" s="17">
        <f t="shared" si="38"/>
        <v>12.6</v>
      </c>
      <c r="T2476">
        <f>COUNTIF('👤 Customers'!$A:$A, B2476)</f>
        <v>1</v>
      </c>
      <c r="U2476">
        <f>COUNTIF('🚴 Riders'!A2475:A2535, C2476)</f>
        <v>0</v>
      </c>
      <c r="V2476">
        <f>COUNTIF('🏭 Facilities'!A2475:A2483, D2476)</f>
        <v>0</v>
      </c>
    </row>
    <row r="2477" spans="1:22">
      <c r="A2477" s="18" t="s">
        <v>5609</v>
      </c>
      <c r="B2477" s="18" t="s">
        <v>872</v>
      </c>
      <c r="C2477" s="18" t="s">
        <v>1092</v>
      </c>
      <c r="D2477" s="18" t="s">
        <v>123</v>
      </c>
      <c r="E2477" s="26">
        <v>45201</v>
      </c>
      <c r="F2477" s="18" t="s">
        <v>5610</v>
      </c>
      <c r="G2477" s="18" t="s">
        <v>145</v>
      </c>
      <c r="H2477" s="18">
        <v>6.1</v>
      </c>
      <c r="I2477" s="18">
        <v>299</v>
      </c>
      <c r="J2477" s="18">
        <v>20</v>
      </c>
      <c r="K2477" s="18">
        <v>1459.12</v>
      </c>
      <c r="L2477" s="18" t="s">
        <v>207</v>
      </c>
      <c r="M2477" s="18" t="s">
        <v>119</v>
      </c>
      <c r="N2477" s="28">
        <v>45202.076388888891</v>
      </c>
      <c r="O2477" s="28">
        <v>45202.521527777775</v>
      </c>
      <c r="P2477" s="18">
        <v>3.6</v>
      </c>
      <c r="Q2477" s="18" t="b">
        <f>TRUE()</f>
        <v>1</v>
      </c>
      <c r="R2477" s="18" t="b">
        <f>FALSE()</f>
        <v>0</v>
      </c>
      <c r="S2477" s="19">
        <f t="shared" si="38"/>
        <v>10.7</v>
      </c>
      <c r="T2477">
        <f>COUNTIF('👤 Customers'!$A:$A, B2477)</f>
        <v>1</v>
      </c>
      <c r="U2477">
        <f>COUNTIF('🚴 Riders'!A2476:A2536, C2477)</f>
        <v>0</v>
      </c>
      <c r="V2477">
        <f>COUNTIF('🏭 Facilities'!A2476:A2484, D2477)</f>
        <v>0</v>
      </c>
    </row>
    <row r="2478" spans="1:22">
      <c r="A2478" s="16" t="s">
        <v>5611</v>
      </c>
      <c r="B2478" s="16" t="s">
        <v>883</v>
      </c>
      <c r="C2478" s="16" t="s">
        <v>322</v>
      </c>
      <c r="D2478" s="16" t="s">
        <v>137</v>
      </c>
      <c r="E2478" s="25">
        <v>45587</v>
      </c>
      <c r="F2478" s="16" t="s">
        <v>5612</v>
      </c>
      <c r="G2478" s="16" t="s">
        <v>132</v>
      </c>
      <c r="H2478" s="16">
        <v>7.5</v>
      </c>
      <c r="I2478" s="16">
        <v>399</v>
      </c>
      <c r="J2478" s="16">
        <v>0</v>
      </c>
      <c r="K2478" s="16">
        <v>2992.5</v>
      </c>
      <c r="L2478" s="16" t="s">
        <v>139</v>
      </c>
      <c r="M2478" s="16" t="s">
        <v>119</v>
      </c>
      <c r="N2478" s="27">
        <v>45587.263888888891</v>
      </c>
      <c r="O2478" s="27">
        <v>45588.022222222222</v>
      </c>
      <c r="P2478" s="16">
        <v>3.5</v>
      </c>
      <c r="Q2478" s="16" t="b">
        <f>FALSE()</f>
        <v>0</v>
      </c>
      <c r="R2478" s="16" t="b">
        <f>FALSE()</f>
        <v>0</v>
      </c>
      <c r="S2478" s="17">
        <f t="shared" si="38"/>
        <v>18.2</v>
      </c>
      <c r="T2478">
        <f>COUNTIF('👤 Customers'!$A:$A, B2478)</f>
        <v>1</v>
      </c>
      <c r="U2478">
        <f>COUNTIF('🚴 Riders'!A2477:A2537, C2478)</f>
        <v>0</v>
      </c>
      <c r="V2478">
        <f>COUNTIF('🏭 Facilities'!A2477:A2485, D2478)</f>
        <v>0</v>
      </c>
    </row>
    <row r="2479" spans="1:22">
      <c r="A2479" s="18" t="s">
        <v>5613</v>
      </c>
      <c r="B2479" s="18" t="s">
        <v>557</v>
      </c>
      <c r="C2479" s="18" t="s">
        <v>228</v>
      </c>
      <c r="D2479" s="18" t="s">
        <v>197</v>
      </c>
      <c r="E2479" s="26">
        <v>45137</v>
      </c>
      <c r="F2479" s="18" t="s">
        <v>3832</v>
      </c>
      <c r="G2479" s="18" t="s">
        <v>125</v>
      </c>
      <c r="H2479" s="18">
        <v>6.4</v>
      </c>
      <c r="I2479" s="18">
        <v>199</v>
      </c>
      <c r="J2479" s="18">
        <v>0</v>
      </c>
      <c r="K2479" s="18">
        <v>1273.5999999999999</v>
      </c>
      <c r="L2479" s="18" t="s">
        <v>207</v>
      </c>
      <c r="M2479" s="18" t="s">
        <v>119</v>
      </c>
      <c r="N2479" s="28">
        <v>45137.260416666664</v>
      </c>
      <c r="O2479" s="28">
        <v>45138.272916666669</v>
      </c>
      <c r="P2479" s="18">
        <v>3.9</v>
      </c>
      <c r="Q2479" s="18" t="b">
        <f>FALSE()</f>
        <v>0</v>
      </c>
      <c r="R2479" s="18" t="b">
        <f>TRUE()</f>
        <v>1</v>
      </c>
      <c r="S2479" s="19">
        <f t="shared" si="38"/>
        <v>24.3</v>
      </c>
      <c r="T2479">
        <f>COUNTIF('👤 Customers'!$A:$A, B2479)</f>
        <v>1</v>
      </c>
      <c r="U2479">
        <f>COUNTIF('🚴 Riders'!A2478:A2538, C2479)</f>
        <v>0</v>
      </c>
      <c r="V2479">
        <f>COUNTIF('🏭 Facilities'!A2478:A2486, D2479)</f>
        <v>0</v>
      </c>
    </row>
    <row r="2480" spans="1:22">
      <c r="A2480" s="16" t="s">
        <v>5614</v>
      </c>
      <c r="B2480" s="16" t="s">
        <v>692</v>
      </c>
      <c r="C2480" s="16" t="s">
        <v>122</v>
      </c>
      <c r="D2480" s="16" t="s">
        <v>115</v>
      </c>
      <c r="E2480" s="25">
        <v>45022</v>
      </c>
      <c r="F2480" s="16" t="s">
        <v>5615</v>
      </c>
      <c r="G2480" s="16" t="s">
        <v>125</v>
      </c>
      <c r="H2480" s="16">
        <v>3.5</v>
      </c>
      <c r="I2480" s="16">
        <v>199</v>
      </c>
      <c r="J2480" s="16">
        <v>20</v>
      </c>
      <c r="K2480" s="16">
        <v>557.20000000000005</v>
      </c>
      <c r="L2480" s="16" t="s">
        <v>118</v>
      </c>
      <c r="M2480" s="16" t="s">
        <v>140</v>
      </c>
      <c r="N2480" s="27">
        <v>45022.505555555559</v>
      </c>
      <c r="O2480" s="27">
        <v>45022.955555555556</v>
      </c>
      <c r="P2480" s="20"/>
      <c r="Q2480" s="16" t="b">
        <f>FALSE()</f>
        <v>0</v>
      </c>
      <c r="R2480" s="16" t="b">
        <f>FALSE()</f>
        <v>0</v>
      </c>
      <c r="S2480" s="17">
        <f t="shared" si="38"/>
        <v>10.8</v>
      </c>
      <c r="T2480">
        <f>COUNTIF('👤 Customers'!$A:$A, B2480)</f>
        <v>1</v>
      </c>
      <c r="U2480">
        <f>COUNTIF('🚴 Riders'!A2479:A2539, C2480)</f>
        <v>0</v>
      </c>
      <c r="V2480">
        <f>COUNTIF('🏭 Facilities'!A2479:A2487, D2480)</f>
        <v>0</v>
      </c>
    </row>
    <row r="2481" spans="1:22">
      <c r="A2481" s="18" t="s">
        <v>5616</v>
      </c>
      <c r="B2481" s="18" t="s">
        <v>1737</v>
      </c>
      <c r="C2481" s="18" t="s">
        <v>236</v>
      </c>
      <c r="D2481" s="18" t="s">
        <v>115</v>
      </c>
      <c r="E2481" s="26">
        <v>45203</v>
      </c>
      <c r="F2481" s="18" t="s">
        <v>5617</v>
      </c>
      <c r="G2481" s="18" t="s">
        <v>132</v>
      </c>
      <c r="H2481" s="18">
        <v>6.6</v>
      </c>
      <c r="I2481" s="18">
        <v>399</v>
      </c>
      <c r="J2481" s="18">
        <v>20</v>
      </c>
      <c r="K2481" s="18">
        <v>2106.7199999999998</v>
      </c>
      <c r="L2481" s="18" t="s">
        <v>118</v>
      </c>
      <c r="M2481" s="18" t="s">
        <v>140</v>
      </c>
      <c r="N2481" s="28">
        <v>45204.065972222219</v>
      </c>
      <c r="O2481" s="28">
        <v>45204.76666666667</v>
      </c>
      <c r="P2481" s="20"/>
      <c r="Q2481" s="18" t="b">
        <f>FALSE()</f>
        <v>0</v>
      </c>
      <c r="R2481" s="18" t="b">
        <f>FALSE()</f>
        <v>0</v>
      </c>
      <c r="S2481" s="19">
        <f t="shared" si="38"/>
        <v>16.8</v>
      </c>
      <c r="T2481">
        <f>COUNTIF('👤 Customers'!$A:$A, B2481)</f>
        <v>1</v>
      </c>
      <c r="U2481">
        <f>COUNTIF('🚴 Riders'!A2480:A2540, C2481)</f>
        <v>0</v>
      </c>
      <c r="V2481">
        <f>COUNTIF('🏭 Facilities'!A2480:A2488, D2481)</f>
        <v>0</v>
      </c>
    </row>
    <row r="2482" spans="1:22">
      <c r="A2482" s="16" t="s">
        <v>5618</v>
      </c>
      <c r="B2482" s="16" t="s">
        <v>1423</v>
      </c>
      <c r="C2482" s="16" t="s">
        <v>166</v>
      </c>
      <c r="D2482" s="16" t="s">
        <v>115</v>
      </c>
      <c r="E2482" s="25">
        <v>45174</v>
      </c>
      <c r="F2482" s="16" t="s">
        <v>5619</v>
      </c>
      <c r="G2482" s="16" t="s">
        <v>117</v>
      </c>
      <c r="H2482" s="16">
        <v>2.5</v>
      </c>
      <c r="I2482" s="16">
        <v>149</v>
      </c>
      <c r="J2482" s="16">
        <v>10</v>
      </c>
      <c r="K2482" s="16">
        <v>335.25</v>
      </c>
      <c r="L2482" s="16" t="s">
        <v>146</v>
      </c>
      <c r="M2482" s="16" t="s">
        <v>140</v>
      </c>
      <c r="N2482" s="27">
        <v>45174.431944444441</v>
      </c>
      <c r="O2482" s="27">
        <v>45175.127083333333</v>
      </c>
      <c r="P2482" s="20"/>
      <c r="Q2482" s="16" t="b">
        <f>FALSE()</f>
        <v>0</v>
      </c>
      <c r="R2482" s="16" t="b">
        <f>FALSE()</f>
        <v>0</v>
      </c>
      <c r="S2482" s="17">
        <f t="shared" si="38"/>
        <v>16.7</v>
      </c>
      <c r="T2482">
        <f>COUNTIF('👤 Customers'!$A:$A, B2482)</f>
        <v>1</v>
      </c>
      <c r="U2482">
        <f>COUNTIF('🚴 Riders'!A2481:A2541, C2482)</f>
        <v>0</v>
      </c>
      <c r="V2482">
        <f>COUNTIF('🏭 Facilities'!A2481:A2489, D2482)</f>
        <v>0</v>
      </c>
    </row>
    <row r="2483" spans="1:22">
      <c r="A2483" s="18" t="s">
        <v>5620</v>
      </c>
      <c r="B2483" s="18" t="s">
        <v>113</v>
      </c>
      <c r="C2483" s="18" t="s">
        <v>717</v>
      </c>
      <c r="D2483" s="18" t="s">
        <v>137</v>
      </c>
      <c r="E2483" s="26">
        <v>45524</v>
      </c>
      <c r="F2483" s="18" t="s">
        <v>5621</v>
      </c>
      <c r="G2483" s="18" t="s">
        <v>176</v>
      </c>
      <c r="H2483" s="18">
        <v>2.2999999999999998</v>
      </c>
      <c r="I2483" s="18">
        <v>599</v>
      </c>
      <c r="J2483" s="18">
        <v>20</v>
      </c>
      <c r="K2483" s="18">
        <v>1102.1600000000001</v>
      </c>
      <c r="L2483" s="18" t="s">
        <v>126</v>
      </c>
      <c r="M2483" s="18" t="s">
        <v>119</v>
      </c>
      <c r="N2483" s="28">
        <v>45524.909722222219</v>
      </c>
      <c r="O2483" s="28">
        <v>45525.242361111108</v>
      </c>
      <c r="P2483" s="18">
        <v>3.1</v>
      </c>
      <c r="Q2483" s="18" t="b">
        <f>FALSE()</f>
        <v>0</v>
      </c>
      <c r="R2483" s="18" t="b">
        <f>FALSE()</f>
        <v>0</v>
      </c>
      <c r="S2483" s="19">
        <f t="shared" si="38"/>
        <v>8</v>
      </c>
      <c r="T2483">
        <f>COUNTIF('👤 Customers'!$A:$A, B2483)</f>
        <v>1</v>
      </c>
      <c r="U2483">
        <f>COUNTIF('🚴 Riders'!A2482:A2542, C2483)</f>
        <v>0</v>
      </c>
      <c r="V2483">
        <f>COUNTIF('🏭 Facilities'!A2482:A2490, D2483)</f>
        <v>0</v>
      </c>
    </row>
    <row r="2484" spans="1:22">
      <c r="A2484" s="16" t="s">
        <v>5622</v>
      </c>
      <c r="B2484" s="16" t="s">
        <v>969</v>
      </c>
      <c r="C2484" s="16" t="s">
        <v>362</v>
      </c>
      <c r="D2484" s="16" t="s">
        <v>115</v>
      </c>
      <c r="E2484" s="25">
        <v>45468</v>
      </c>
      <c r="F2484" s="16" t="s">
        <v>5623</v>
      </c>
      <c r="G2484" s="16" t="s">
        <v>176</v>
      </c>
      <c r="H2484" s="16">
        <v>3.7</v>
      </c>
      <c r="I2484" s="16">
        <v>599</v>
      </c>
      <c r="J2484" s="16">
        <v>20</v>
      </c>
      <c r="K2484" s="16">
        <v>1773.04</v>
      </c>
      <c r="L2484" s="16" t="s">
        <v>126</v>
      </c>
      <c r="M2484" s="16" t="s">
        <v>140</v>
      </c>
      <c r="N2484" s="27">
        <v>45468.439583333333</v>
      </c>
      <c r="O2484" s="27">
        <v>45469.537499999999</v>
      </c>
      <c r="P2484" s="20"/>
      <c r="Q2484" s="16" t="b">
        <f>FALSE()</f>
        <v>0</v>
      </c>
      <c r="R2484" s="16" t="b">
        <f>FALSE()</f>
        <v>0</v>
      </c>
      <c r="S2484" s="17">
        <f t="shared" si="38"/>
        <v>26.3</v>
      </c>
      <c r="T2484">
        <f>COUNTIF('👤 Customers'!$A:$A, B2484)</f>
        <v>1</v>
      </c>
      <c r="U2484">
        <f>COUNTIF('🚴 Riders'!A2483:A2543, C2484)</f>
        <v>0</v>
      </c>
      <c r="V2484">
        <f>COUNTIF('🏭 Facilities'!A2483:A2491, D2484)</f>
        <v>0</v>
      </c>
    </row>
    <row r="2485" spans="1:22">
      <c r="A2485" s="18" t="s">
        <v>5624</v>
      </c>
      <c r="B2485" s="18" t="s">
        <v>178</v>
      </c>
      <c r="C2485" s="18" t="s">
        <v>192</v>
      </c>
      <c r="D2485" s="18" t="s">
        <v>184</v>
      </c>
      <c r="E2485" s="26">
        <v>45120</v>
      </c>
      <c r="F2485" s="18" t="s">
        <v>5625</v>
      </c>
      <c r="G2485" s="18" t="s">
        <v>125</v>
      </c>
      <c r="H2485" s="18">
        <v>7.8</v>
      </c>
      <c r="I2485" s="18">
        <v>199</v>
      </c>
      <c r="J2485" s="18">
        <v>0</v>
      </c>
      <c r="K2485" s="18">
        <v>1552.2</v>
      </c>
      <c r="L2485" s="18" t="s">
        <v>146</v>
      </c>
      <c r="M2485" s="18" t="s">
        <v>119</v>
      </c>
      <c r="N2485" s="28">
        <v>45120.21597222222</v>
      </c>
      <c r="O2485" s="28">
        <v>45120.932638888888</v>
      </c>
      <c r="P2485" s="18">
        <v>5</v>
      </c>
      <c r="Q2485" s="18" t="b">
        <f>TRUE()</f>
        <v>1</v>
      </c>
      <c r="R2485" s="18" t="b">
        <f>FALSE()</f>
        <v>0</v>
      </c>
      <c r="S2485" s="19">
        <f t="shared" si="38"/>
        <v>17.2</v>
      </c>
      <c r="T2485">
        <f>COUNTIF('👤 Customers'!$A:$A, B2485)</f>
        <v>1</v>
      </c>
      <c r="U2485">
        <f>COUNTIF('🚴 Riders'!A2484:A2544, C2485)</f>
        <v>0</v>
      </c>
      <c r="V2485">
        <f>COUNTIF('🏭 Facilities'!A2484:A2492, D2485)</f>
        <v>0</v>
      </c>
    </row>
    <row r="2486" spans="1:22">
      <c r="A2486" s="16" t="s">
        <v>5626</v>
      </c>
      <c r="B2486" s="16" t="s">
        <v>1491</v>
      </c>
      <c r="C2486" s="16" t="s">
        <v>479</v>
      </c>
      <c r="D2486" s="16" t="s">
        <v>123</v>
      </c>
      <c r="E2486" s="25">
        <v>45580</v>
      </c>
      <c r="F2486" s="16" t="s">
        <v>5627</v>
      </c>
      <c r="G2486" s="16" t="s">
        <v>132</v>
      </c>
      <c r="H2486" s="16">
        <v>4.3</v>
      </c>
      <c r="I2486" s="16">
        <v>399</v>
      </c>
      <c r="J2486" s="16">
        <v>20</v>
      </c>
      <c r="K2486" s="16">
        <v>1372.56</v>
      </c>
      <c r="L2486" s="16" t="s">
        <v>126</v>
      </c>
      <c r="M2486" s="16" t="s">
        <v>119</v>
      </c>
      <c r="N2486" s="27">
        <v>45580.490277777775</v>
      </c>
      <c r="O2486" s="27">
        <v>45580.919444444444</v>
      </c>
      <c r="P2486" s="16">
        <v>4.4000000000000004</v>
      </c>
      <c r="Q2486" s="16" t="b">
        <f>FALSE()</f>
        <v>0</v>
      </c>
      <c r="R2486" s="16" t="b">
        <f>TRUE()</f>
        <v>1</v>
      </c>
      <c r="S2486" s="17">
        <f t="shared" si="38"/>
        <v>10.3</v>
      </c>
      <c r="T2486">
        <f>COUNTIF('👤 Customers'!$A:$A, B2486)</f>
        <v>1</v>
      </c>
      <c r="U2486">
        <f>COUNTIF('🚴 Riders'!A2485:A2545, C2486)</f>
        <v>0</v>
      </c>
      <c r="V2486">
        <f>COUNTIF('🏭 Facilities'!A2485:A2493, D2486)</f>
        <v>0</v>
      </c>
    </row>
    <row r="2487" spans="1:22">
      <c r="A2487" s="18" t="s">
        <v>5628</v>
      </c>
      <c r="B2487" s="18" t="s">
        <v>455</v>
      </c>
      <c r="C2487" s="18" t="s">
        <v>842</v>
      </c>
      <c r="D2487" s="18" t="s">
        <v>158</v>
      </c>
      <c r="E2487" s="26">
        <v>45522</v>
      </c>
      <c r="F2487" s="18" t="s">
        <v>5629</v>
      </c>
      <c r="G2487" s="18" t="s">
        <v>132</v>
      </c>
      <c r="H2487" s="18">
        <v>5.8</v>
      </c>
      <c r="I2487" s="18">
        <v>399</v>
      </c>
      <c r="J2487" s="18">
        <v>0</v>
      </c>
      <c r="K2487" s="18">
        <v>2314.1999999999998</v>
      </c>
      <c r="L2487" s="18" t="s">
        <v>146</v>
      </c>
      <c r="M2487" s="18" t="s">
        <v>119</v>
      </c>
      <c r="N2487" s="28">
        <v>45523.005555555559</v>
      </c>
      <c r="O2487" s="28">
        <v>45523.977083333331</v>
      </c>
      <c r="P2487" s="18">
        <v>4.3</v>
      </c>
      <c r="Q2487" s="18" t="b">
        <f>TRUE()</f>
        <v>1</v>
      </c>
      <c r="R2487" s="18" t="b">
        <f>TRUE()</f>
        <v>1</v>
      </c>
      <c r="S2487" s="19">
        <f t="shared" si="38"/>
        <v>23.3</v>
      </c>
      <c r="T2487">
        <f>COUNTIF('👤 Customers'!$A:$A, B2487)</f>
        <v>1</v>
      </c>
      <c r="U2487">
        <f>COUNTIF('🚴 Riders'!A2486:A2546, C2487)</f>
        <v>0</v>
      </c>
      <c r="V2487">
        <f>COUNTIF('🏭 Facilities'!A2486:A2494, D2487)</f>
        <v>0</v>
      </c>
    </row>
    <row r="2488" spans="1:22">
      <c r="A2488" s="16" t="s">
        <v>5630</v>
      </c>
      <c r="B2488" s="16" t="s">
        <v>704</v>
      </c>
      <c r="C2488" s="16" t="s">
        <v>220</v>
      </c>
      <c r="D2488" s="16" t="s">
        <v>123</v>
      </c>
      <c r="E2488" s="25">
        <v>45044</v>
      </c>
      <c r="F2488" s="16" t="s">
        <v>5631</v>
      </c>
      <c r="G2488" s="16" t="s">
        <v>132</v>
      </c>
      <c r="H2488" s="16">
        <v>1.2</v>
      </c>
      <c r="I2488" s="16">
        <v>399</v>
      </c>
      <c r="J2488" s="16">
        <v>10</v>
      </c>
      <c r="K2488" s="16">
        <v>430.92</v>
      </c>
      <c r="L2488" s="16" t="s">
        <v>118</v>
      </c>
      <c r="M2488" s="16" t="s">
        <v>119</v>
      </c>
      <c r="N2488" s="27">
        <v>45044.118750000001</v>
      </c>
      <c r="O2488" s="27">
        <v>45044.59097222222</v>
      </c>
      <c r="P2488" s="16">
        <v>2.9</v>
      </c>
      <c r="Q2488" s="16" t="b">
        <f>FALSE()</f>
        <v>0</v>
      </c>
      <c r="R2488" s="16" t="b">
        <f>FALSE()</f>
        <v>0</v>
      </c>
      <c r="S2488" s="17">
        <f t="shared" si="38"/>
        <v>11.3</v>
      </c>
      <c r="T2488">
        <f>COUNTIF('👤 Customers'!$A:$A, B2488)</f>
        <v>1</v>
      </c>
      <c r="U2488">
        <f>COUNTIF('🚴 Riders'!A2487:A2547, C2488)</f>
        <v>0</v>
      </c>
      <c r="V2488">
        <f>COUNTIF('🏭 Facilities'!A2487:A2495, D2488)</f>
        <v>0</v>
      </c>
    </row>
    <row r="2489" spans="1:22">
      <c r="A2489" s="18" t="s">
        <v>5632</v>
      </c>
      <c r="B2489" s="18" t="s">
        <v>2469</v>
      </c>
      <c r="C2489" s="18" t="s">
        <v>204</v>
      </c>
      <c r="D2489" s="18" t="s">
        <v>115</v>
      </c>
      <c r="E2489" s="26">
        <v>45178</v>
      </c>
      <c r="F2489" s="18" t="s">
        <v>5633</v>
      </c>
      <c r="G2489" s="18" t="s">
        <v>176</v>
      </c>
      <c r="H2489" s="18">
        <v>3.9</v>
      </c>
      <c r="I2489" s="18">
        <v>599</v>
      </c>
      <c r="J2489" s="18">
        <v>0</v>
      </c>
      <c r="K2489" s="18">
        <v>2336.1</v>
      </c>
      <c r="L2489" s="18" t="s">
        <v>118</v>
      </c>
      <c r="M2489" s="18" t="s">
        <v>119</v>
      </c>
      <c r="N2489" s="28">
        <v>45178.203472222223</v>
      </c>
      <c r="O2489" s="28">
        <v>45179.172222222223</v>
      </c>
      <c r="P2489" s="18">
        <v>2.8</v>
      </c>
      <c r="Q2489" s="18" t="b">
        <f>FALSE()</f>
        <v>0</v>
      </c>
      <c r="R2489" s="18" t="b">
        <f>FALSE()</f>
        <v>0</v>
      </c>
      <c r="S2489" s="19">
        <f t="shared" si="38"/>
        <v>23.3</v>
      </c>
      <c r="T2489">
        <f>COUNTIF('👤 Customers'!$A:$A, B2489)</f>
        <v>1</v>
      </c>
      <c r="U2489">
        <f>COUNTIF('🚴 Riders'!A2488:A2548, C2489)</f>
        <v>0</v>
      </c>
      <c r="V2489">
        <f>COUNTIF('🏭 Facilities'!A2488:A2496, D2489)</f>
        <v>0</v>
      </c>
    </row>
    <row r="2490" spans="1:22">
      <c r="A2490" s="16" t="s">
        <v>5634</v>
      </c>
      <c r="B2490" s="16" t="s">
        <v>1030</v>
      </c>
      <c r="C2490" s="16" t="s">
        <v>479</v>
      </c>
      <c r="D2490" s="16" t="s">
        <v>123</v>
      </c>
      <c r="E2490" s="25">
        <v>44949</v>
      </c>
      <c r="F2490" s="16" t="s">
        <v>5635</v>
      </c>
      <c r="G2490" s="16" t="s">
        <v>132</v>
      </c>
      <c r="H2490" s="16">
        <v>2.2000000000000002</v>
      </c>
      <c r="I2490" s="16">
        <v>399</v>
      </c>
      <c r="J2490" s="16">
        <v>0</v>
      </c>
      <c r="K2490" s="16">
        <v>877.8</v>
      </c>
      <c r="L2490" s="16" t="s">
        <v>126</v>
      </c>
      <c r="M2490" s="16" t="s">
        <v>133</v>
      </c>
      <c r="N2490" s="20"/>
      <c r="O2490" s="20"/>
      <c r="P2490" s="20"/>
      <c r="Q2490" s="16" t="b">
        <f>FALSE()</f>
        <v>0</v>
      </c>
      <c r="R2490" s="16" t="b">
        <f>TRUE()</f>
        <v>1</v>
      </c>
      <c r="S2490" s="17" t="str">
        <f t="shared" si="38"/>
        <v>N/A</v>
      </c>
      <c r="T2490">
        <f>COUNTIF('👤 Customers'!$A:$A, B2490)</f>
        <v>1</v>
      </c>
      <c r="U2490">
        <f>COUNTIF('🚴 Riders'!A2489:A2549, C2490)</f>
        <v>0</v>
      </c>
      <c r="V2490">
        <f>COUNTIF('🏭 Facilities'!A2489:A2497, D2490)</f>
        <v>0</v>
      </c>
    </row>
    <row r="2491" spans="1:22">
      <c r="A2491" s="18" t="s">
        <v>5636</v>
      </c>
      <c r="B2491" s="18" t="s">
        <v>2404</v>
      </c>
      <c r="C2491" s="18" t="s">
        <v>143</v>
      </c>
      <c r="D2491" s="18" t="s">
        <v>205</v>
      </c>
      <c r="E2491" s="26">
        <v>45544</v>
      </c>
      <c r="F2491" s="18" t="s">
        <v>5637</v>
      </c>
      <c r="G2491" s="18" t="s">
        <v>117</v>
      </c>
      <c r="H2491" s="18">
        <v>1.9</v>
      </c>
      <c r="I2491" s="18">
        <v>149</v>
      </c>
      <c r="J2491" s="18">
        <v>0</v>
      </c>
      <c r="K2491" s="18">
        <v>283.10000000000002</v>
      </c>
      <c r="L2491" s="18" t="s">
        <v>146</v>
      </c>
      <c r="M2491" s="18" t="s">
        <v>119</v>
      </c>
      <c r="N2491" s="28">
        <v>45544.751388888886</v>
      </c>
      <c r="O2491" s="28">
        <v>45545.473611111112</v>
      </c>
      <c r="P2491" s="18">
        <v>4.3</v>
      </c>
      <c r="Q2491" s="18" t="b">
        <f>FALSE()</f>
        <v>0</v>
      </c>
      <c r="R2491" s="18" t="b">
        <f>FALSE()</f>
        <v>0</v>
      </c>
      <c r="S2491" s="19">
        <f t="shared" si="38"/>
        <v>17.3</v>
      </c>
      <c r="T2491">
        <f>COUNTIF('👤 Customers'!$A:$A, B2491)</f>
        <v>1</v>
      </c>
      <c r="U2491">
        <f>COUNTIF('🚴 Riders'!A2490:A2550, C2491)</f>
        <v>0</v>
      </c>
      <c r="V2491">
        <f>COUNTIF('🏭 Facilities'!A2490:A2498, D2491)</f>
        <v>0</v>
      </c>
    </row>
    <row r="2492" spans="1:22">
      <c r="A2492" s="16" t="s">
        <v>5638</v>
      </c>
      <c r="B2492" s="16" t="s">
        <v>1081</v>
      </c>
      <c r="C2492" s="16" t="s">
        <v>157</v>
      </c>
      <c r="D2492" s="16" t="s">
        <v>115</v>
      </c>
      <c r="E2492" s="25">
        <v>45347</v>
      </c>
      <c r="F2492" s="16" t="s">
        <v>5639</v>
      </c>
      <c r="G2492" s="16" t="s">
        <v>117</v>
      </c>
      <c r="H2492" s="16">
        <v>7.6</v>
      </c>
      <c r="I2492" s="16">
        <v>149</v>
      </c>
      <c r="J2492" s="16">
        <v>0</v>
      </c>
      <c r="K2492" s="16">
        <v>1132.4000000000001</v>
      </c>
      <c r="L2492" s="16" t="s">
        <v>207</v>
      </c>
      <c r="M2492" s="16" t="s">
        <v>119</v>
      </c>
      <c r="N2492" s="27">
        <v>45347.474305555559</v>
      </c>
      <c r="O2492" s="27">
        <v>45347.866666666669</v>
      </c>
      <c r="P2492" s="16">
        <v>4.8</v>
      </c>
      <c r="Q2492" s="16" t="b">
        <f>FALSE()</f>
        <v>0</v>
      </c>
      <c r="R2492" s="16" t="b">
        <f>FALSE()</f>
        <v>0</v>
      </c>
      <c r="S2492" s="17">
        <f t="shared" si="38"/>
        <v>9.4</v>
      </c>
      <c r="T2492">
        <f>COUNTIF('👤 Customers'!$A:$A, B2492)</f>
        <v>1</v>
      </c>
      <c r="U2492">
        <f>COUNTIF('🚴 Riders'!A2491:A2551, C2492)</f>
        <v>0</v>
      </c>
      <c r="V2492">
        <f>COUNTIF('🏭 Facilities'!A2491:A2499, D2492)</f>
        <v>0</v>
      </c>
    </row>
    <row r="2493" spans="1:22">
      <c r="A2493" s="18" t="s">
        <v>5640</v>
      </c>
      <c r="B2493" s="18" t="s">
        <v>1455</v>
      </c>
      <c r="C2493" s="18" t="s">
        <v>204</v>
      </c>
      <c r="D2493" s="18" t="s">
        <v>137</v>
      </c>
      <c r="E2493" s="26">
        <v>45452</v>
      </c>
      <c r="F2493" s="18" t="s">
        <v>5641</v>
      </c>
      <c r="G2493" s="18" t="s">
        <v>145</v>
      </c>
      <c r="H2493" s="18">
        <v>1.9</v>
      </c>
      <c r="I2493" s="18">
        <v>299</v>
      </c>
      <c r="J2493" s="18">
        <v>0</v>
      </c>
      <c r="K2493" s="18">
        <v>568.1</v>
      </c>
      <c r="L2493" s="18" t="s">
        <v>126</v>
      </c>
      <c r="M2493" s="18" t="s">
        <v>119</v>
      </c>
      <c r="N2493" s="28">
        <v>45453.121527777781</v>
      </c>
      <c r="O2493" s="28">
        <v>45453.567361111112</v>
      </c>
      <c r="P2493" s="18">
        <v>3.3</v>
      </c>
      <c r="Q2493" s="18" t="b">
        <f>FALSE()</f>
        <v>0</v>
      </c>
      <c r="R2493" s="18" t="b">
        <f>FALSE()</f>
        <v>0</v>
      </c>
      <c r="S2493" s="19">
        <f t="shared" si="38"/>
        <v>10.7</v>
      </c>
      <c r="T2493">
        <f>COUNTIF('👤 Customers'!$A:$A, B2493)</f>
        <v>1</v>
      </c>
      <c r="U2493">
        <f>COUNTIF('🚴 Riders'!A2492:A2552, C2493)</f>
        <v>0</v>
      </c>
      <c r="V2493">
        <f>COUNTIF('🏭 Facilities'!A2492:A2500, D2493)</f>
        <v>0</v>
      </c>
    </row>
    <row r="2494" spans="1:22">
      <c r="A2494" s="16" t="s">
        <v>5642</v>
      </c>
      <c r="B2494" s="16" t="s">
        <v>1233</v>
      </c>
      <c r="C2494" s="16" t="s">
        <v>228</v>
      </c>
      <c r="D2494" s="16" t="s">
        <v>115</v>
      </c>
      <c r="E2494" s="25">
        <v>45356</v>
      </c>
      <c r="F2494" s="16" t="s">
        <v>5643</v>
      </c>
      <c r="G2494" s="16" t="s">
        <v>117</v>
      </c>
      <c r="H2494" s="16">
        <v>6.4</v>
      </c>
      <c r="I2494" s="16">
        <v>149</v>
      </c>
      <c r="J2494" s="16">
        <v>0</v>
      </c>
      <c r="K2494" s="16">
        <v>953.6</v>
      </c>
      <c r="L2494" s="16" t="s">
        <v>139</v>
      </c>
      <c r="M2494" s="16" t="s">
        <v>119</v>
      </c>
      <c r="N2494" s="27">
        <v>45356.991666666669</v>
      </c>
      <c r="O2494" s="27">
        <v>45357.875</v>
      </c>
      <c r="P2494" s="16">
        <v>3.2</v>
      </c>
      <c r="Q2494" s="16" t="b">
        <f>FALSE()</f>
        <v>0</v>
      </c>
      <c r="R2494" s="16" t="b">
        <f>FALSE()</f>
        <v>0</v>
      </c>
      <c r="S2494" s="17">
        <f t="shared" si="38"/>
        <v>21.2</v>
      </c>
      <c r="T2494">
        <f>COUNTIF('👤 Customers'!$A:$A, B2494)</f>
        <v>1</v>
      </c>
      <c r="U2494">
        <f>COUNTIF('🚴 Riders'!A2493:A2553, C2494)</f>
        <v>0</v>
      </c>
      <c r="V2494">
        <f>COUNTIF('🏭 Facilities'!A2493:A2501, D2494)</f>
        <v>0</v>
      </c>
    </row>
    <row r="2495" spans="1:22">
      <c r="A2495" s="18" t="s">
        <v>5644</v>
      </c>
      <c r="B2495" s="18" t="s">
        <v>1575</v>
      </c>
      <c r="C2495" s="18" t="s">
        <v>479</v>
      </c>
      <c r="D2495" s="18" t="s">
        <v>158</v>
      </c>
      <c r="E2495" s="26">
        <v>45602</v>
      </c>
      <c r="F2495" s="18" t="s">
        <v>5645</v>
      </c>
      <c r="G2495" s="18" t="s">
        <v>132</v>
      </c>
      <c r="H2495" s="18">
        <v>7</v>
      </c>
      <c r="I2495" s="18">
        <v>399</v>
      </c>
      <c r="J2495" s="18">
        <v>20</v>
      </c>
      <c r="K2495" s="18">
        <v>2234.4</v>
      </c>
      <c r="L2495" s="18" t="s">
        <v>139</v>
      </c>
      <c r="M2495" s="18" t="s">
        <v>119</v>
      </c>
      <c r="N2495" s="28">
        <v>45602.690972222219</v>
      </c>
      <c r="O2495" s="28">
        <v>45603.720833333333</v>
      </c>
      <c r="P2495" s="18">
        <v>3.1</v>
      </c>
      <c r="Q2495" s="18" t="b">
        <f>TRUE()</f>
        <v>1</v>
      </c>
      <c r="R2495" s="18" t="b">
        <f>FALSE()</f>
        <v>0</v>
      </c>
      <c r="S2495" s="19">
        <f t="shared" si="38"/>
        <v>24.7</v>
      </c>
      <c r="T2495">
        <f>COUNTIF('👤 Customers'!$A:$A, B2495)</f>
        <v>1</v>
      </c>
      <c r="U2495">
        <f>COUNTIF('🚴 Riders'!A2494:A2554, C2495)</f>
        <v>0</v>
      </c>
      <c r="V2495">
        <f>COUNTIF('🏭 Facilities'!A2494:A2502, D2495)</f>
        <v>0</v>
      </c>
    </row>
    <row r="2496" spans="1:22">
      <c r="A2496" s="16" t="s">
        <v>5646</v>
      </c>
      <c r="B2496" s="16" t="s">
        <v>1469</v>
      </c>
      <c r="C2496" s="16" t="s">
        <v>563</v>
      </c>
      <c r="D2496" s="16" t="s">
        <v>205</v>
      </c>
      <c r="E2496" s="25">
        <v>45454</v>
      </c>
      <c r="F2496" s="16" t="s">
        <v>5647</v>
      </c>
      <c r="G2496" s="16" t="s">
        <v>176</v>
      </c>
      <c r="H2496" s="16">
        <v>5.7</v>
      </c>
      <c r="I2496" s="16">
        <v>599</v>
      </c>
      <c r="J2496" s="16">
        <v>10</v>
      </c>
      <c r="K2496" s="16">
        <v>3072.87</v>
      </c>
      <c r="L2496" s="16" t="s">
        <v>146</v>
      </c>
      <c r="M2496" s="16" t="s">
        <v>133</v>
      </c>
      <c r="N2496" s="20"/>
      <c r="O2496" s="20"/>
      <c r="P2496" s="20"/>
      <c r="Q2496" s="16" t="b">
        <f>FALSE()</f>
        <v>0</v>
      </c>
      <c r="R2496" s="16" t="b">
        <f>FALSE()</f>
        <v>0</v>
      </c>
      <c r="S2496" s="17" t="str">
        <f t="shared" si="38"/>
        <v>N/A</v>
      </c>
      <c r="T2496">
        <f>COUNTIF('👤 Customers'!$A:$A, B2496)</f>
        <v>1</v>
      </c>
      <c r="U2496">
        <f>COUNTIF('🚴 Riders'!A2495:A2555, C2496)</f>
        <v>0</v>
      </c>
      <c r="V2496">
        <f>COUNTIF('🏭 Facilities'!A2495:A2503, D2496)</f>
        <v>0</v>
      </c>
    </row>
    <row r="2497" spans="1:22">
      <c r="A2497" s="18" t="s">
        <v>5648</v>
      </c>
      <c r="B2497" s="18" t="s">
        <v>2847</v>
      </c>
      <c r="C2497" s="18" t="s">
        <v>300</v>
      </c>
      <c r="D2497" s="18" t="s">
        <v>115</v>
      </c>
      <c r="E2497" s="26">
        <v>44985</v>
      </c>
      <c r="F2497" s="18" t="s">
        <v>5649</v>
      </c>
      <c r="G2497" s="18" t="s">
        <v>125</v>
      </c>
      <c r="H2497" s="18">
        <v>1.4</v>
      </c>
      <c r="I2497" s="18">
        <v>199</v>
      </c>
      <c r="J2497" s="18">
        <v>10</v>
      </c>
      <c r="K2497" s="18">
        <v>250.74</v>
      </c>
      <c r="L2497" s="18" t="s">
        <v>146</v>
      </c>
      <c r="M2497" s="18" t="s">
        <v>119</v>
      </c>
      <c r="N2497" s="28">
        <v>44985.634027777778</v>
      </c>
      <c r="O2497" s="28">
        <v>44986.074305555558</v>
      </c>
      <c r="P2497" s="18">
        <v>3.1</v>
      </c>
      <c r="Q2497" s="18" t="b">
        <f>FALSE()</f>
        <v>0</v>
      </c>
      <c r="R2497" s="18" t="b">
        <f>FALSE()</f>
        <v>0</v>
      </c>
      <c r="S2497" s="19">
        <f t="shared" si="38"/>
        <v>10.6</v>
      </c>
      <c r="T2497">
        <f>COUNTIF('👤 Customers'!$A:$A, B2497)</f>
        <v>1</v>
      </c>
      <c r="U2497">
        <f>COUNTIF('🚴 Riders'!A2496:A2556, C2497)</f>
        <v>0</v>
      </c>
      <c r="V2497">
        <f>COUNTIF('🏭 Facilities'!A2496:A2504, D2497)</f>
        <v>0</v>
      </c>
    </row>
    <row r="2498" spans="1:22">
      <c r="A2498" s="16" t="s">
        <v>5650</v>
      </c>
      <c r="B2498" s="16" t="s">
        <v>3831</v>
      </c>
      <c r="C2498" s="16" t="s">
        <v>487</v>
      </c>
      <c r="D2498" s="16" t="s">
        <v>158</v>
      </c>
      <c r="E2498" s="25">
        <v>45620</v>
      </c>
      <c r="F2498" s="16" t="s">
        <v>5651</v>
      </c>
      <c r="G2498" s="16" t="s">
        <v>117</v>
      </c>
      <c r="H2498" s="16">
        <v>2.5</v>
      </c>
      <c r="I2498" s="16">
        <v>149</v>
      </c>
      <c r="J2498" s="16">
        <v>0</v>
      </c>
      <c r="K2498" s="16">
        <v>372.5</v>
      </c>
      <c r="L2498" s="16" t="s">
        <v>118</v>
      </c>
      <c r="M2498" s="16" t="s">
        <v>119</v>
      </c>
      <c r="N2498" s="27">
        <v>45620.594444444447</v>
      </c>
      <c r="O2498" s="27">
        <v>45621.113194444442</v>
      </c>
      <c r="P2498" s="16">
        <v>3.4</v>
      </c>
      <c r="Q2498" s="16" t="b">
        <f>FALSE()</f>
        <v>0</v>
      </c>
      <c r="R2498" s="16" t="b">
        <f>FALSE()</f>
        <v>0</v>
      </c>
      <c r="S2498" s="17">
        <f t="shared" ref="S2498:S2561" si="39">IF(OR(N2498="",O2498=""),"N/A",ROUND(((O2498-N2498)*24),1))</f>
        <v>12.4</v>
      </c>
      <c r="T2498">
        <f>COUNTIF('👤 Customers'!$A:$A, B2498)</f>
        <v>1</v>
      </c>
      <c r="U2498">
        <f>COUNTIF('🚴 Riders'!A2497:A2557, C2498)</f>
        <v>0</v>
      </c>
      <c r="V2498">
        <f>COUNTIF('🏭 Facilities'!A2497:A2505, D2498)</f>
        <v>0</v>
      </c>
    </row>
    <row r="2499" spans="1:22">
      <c r="A2499" s="18" t="s">
        <v>5652</v>
      </c>
      <c r="B2499" s="18" t="s">
        <v>1051</v>
      </c>
      <c r="C2499" s="18" t="s">
        <v>213</v>
      </c>
      <c r="D2499" s="18" t="s">
        <v>130</v>
      </c>
      <c r="E2499" s="26">
        <v>45041</v>
      </c>
      <c r="F2499" s="18" t="s">
        <v>5653</v>
      </c>
      <c r="G2499" s="18" t="s">
        <v>117</v>
      </c>
      <c r="H2499" s="18">
        <v>7.9</v>
      </c>
      <c r="I2499" s="18">
        <v>149</v>
      </c>
      <c r="J2499" s="18">
        <v>30</v>
      </c>
      <c r="K2499" s="18">
        <v>823.97</v>
      </c>
      <c r="L2499" s="18" t="s">
        <v>139</v>
      </c>
      <c r="M2499" s="18" t="s">
        <v>119</v>
      </c>
      <c r="N2499" s="28">
        <v>45041.449305555558</v>
      </c>
      <c r="O2499" s="28">
        <v>45041.943749999999</v>
      </c>
      <c r="P2499" s="18">
        <v>3.4</v>
      </c>
      <c r="Q2499" s="18" t="b">
        <f>FALSE()</f>
        <v>0</v>
      </c>
      <c r="R2499" s="18" t="b">
        <f>FALSE()</f>
        <v>0</v>
      </c>
      <c r="S2499" s="19">
        <f t="shared" si="39"/>
        <v>11.9</v>
      </c>
      <c r="T2499">
        <f>COUNTIF('👤 Customers'!$A:$A, B2499)</f>
        <v>1</v>
      </c>
      <c r="U2499">
        <f>COUNTIF('🚴 Riders'!A2498:A2558, C2499)</f>
        <v>0</v>
      </c>
      <c r="V2499">
        <f>COUNTIF('🏭 Facilities'!A2498:A2506, D2499)</f>
        <v>0</v>
      </c>
    </row>
    <row r="2500" spans="1:22">
      <c r="A2500" s="16" t="s">
        <v>5654</v>
      </c>
      <c r="B2500" s="16" t="s">
        <v>2976</v>
      </c>
      <c r="C2500" s="16" t="s">
        <v>563</v>
      </c>
      <c r="D2500" s="16" t="s">
        <v>130</v>
      </c>
      <c r="E2500" s="25">
        <v>45216</v>
      </c>
      <c r="F2500" s="16" t="s">
        <v>5655</v>
      </c>
      <c r="G2500" s="16" t="s">
        <v>145</v>
      </c>
      <c r="H2500" s="16">
        <v>6.5</v>
      </c>
      <c r="I2500" s="16">
        <v>299</v>
      </c>
      <c r="J2500" s="16">
        <v>0</v>
      </c>
      <c r="K2500" s="16">
        <v>1943.5</v>
      </c>
      <c r="L2500" s="16" t="s">
        <v>207</v>
      </c>
      <c r="M2500" s="16" t="s">
        <v>119</v>
      </c>
      <c r="N2500" s="27">
        <v>45217.07916666667</v>
      </c>
      <c r="O2500" s="27">
        <v>45218.05972222222</v>
      </c>
      <c r="P2500" s="16">
        <v>3.7</v>
      </c>
      <c r="Q2500" s="16" t="b">
        <f>FALSE()</f>
        <v>0</v>
      </c>
      <c r="R2500" s="16" t="b">
        <f>FALSE()</f>
        <v>0</v>
      </c>
      <c r="S2500" s="17">
        <f t="shared" si="39"/>
        <v>23.5</v>
      </c>
      <c r="T2500">
        <f>COUNTIF('👤 Customers'!$A:$A, B2500)</f>
        <v>1</v>
      </c>
      <c r="U2500">
        <f>COUNTIF('🚴 Riders'!A2499:A2559, C2500)</f>
        <v>0</v>
      </c>
      <c r="V2500">
        <f>COUNTIF('🏭 Facilities'!A2499:A2507, D2500)</f>
        <v>0</v>
      </c>
    </row>
    <row r="2501" spans="1:22">
      <c r="A2501" s="18" t="s">
        <v>5656</v>
      </c>
      <c r="B2501" s="18" t="s">
        <v>469</v>
      </c>
      <c r="C2501" s="18" t="s">
        <v>304</v>
      </c>
      <c r="D2501" s="18" t="s">
        <v>184</v>
      </c>
      <c r="E2501" s="26">
        <v>45312</v>
      </c>
      <c r="F2501" s="18" t="s">
        <v>5657</v>
      </c>
      <c r="G2501" s="18" t="s">
        <v>125</v>
      </c>
      <c r="H2501" s="18">
        <v>2</v>
      </c>
      <c r="I2501" s="18">
        <v>199</v>
      </c>
      <c r="J2501" s="18">
        <v>0</v>
      </c>
      <c r="K2501" s="18">
        <v>398</v>
      </c>
      <c r="L2501" s="18" t="s">
        <v>146</v>
      </c>
      <c r="M2501" s="18" t="s">
        <v>119</v>
      </c>
      <c r="N2501" s="28">
        <v>45312.665277777778</v>
      </c>
      <c r="O2501" s="28">
        <v>45313.711805555555</v>
      </c>
      <c r="P2501" s="18">
        <v>4.5</v>
      </c>
      <c r="Q2501" s="18" t="b">
        <f>FALSE()</f>
        <v>0</v>
      </c>
      <c r="R2501" s="18" t="b">
        <f>FALSE()</f>
        <v>0</v>
      </c>
      <c r="S2501" s="19">
        <f t="shared" si="39"/>
        <v>25.1</v>
      </c>
      <c r="T2501">
        <f>COUNTIF('👤 Customers'!$A:$A, B2501)</f>
        <v>1</v>
      </c>
      <c r="U2501">
        <f>COUNTIF('🚴 Riders'!A2500:A2560, C2501)</f>
        <v>0</v>
      </c>
      <c r="V2501">
        <f>COUNTIF('🏭 Facilities'!A2500:A2508, D2501)</f>
        <v>0</v>
      </c>
    </row>
    <row r="2502" spans="1:22">
      <c r="A2502" s="16" t="s">
        <v>5658</v>
      </c>
      <c r="B2502" s="16" t="s">
        <v>878</v>
      </c>
      <c r="C2502" s="16" t="s">
        <v>188</v>
      </c>
      <c r="D2502" s="16" t="s">
        <v>184</v>
      </c>
      <c r="E2502" s="25">
        <v>45374</v>
      </c>
      <c r="F2502" s="16" t="s">
        <v>5659</v>
      </c>
      <c r="G2502" s="16" t="s">
        <v>117</v>
      </c>
      <c r="H2502" s="16">
        <v>6.5</v>
      </c>
      <c r="I2502" s="16">
        <v>149</v>
      </c>
      <c r="J2502" s="16">
        <v>0</v>
      </c>
      <c r="K2502" s="16">
        <v>968.5</v>
      </c>
      <c r="L2502" s="16" t="s">
        <v>126</v>
      </c>
      <c r="M2502" s="16" t="s">
        <v>119</v>
      </c>
      <c r="N2502" s="27">
        <v>45374.51666666667</v>
      </c>
      <c r="O2502" s="27">
        <v>45375.065972222219</v>
      </c>
      <c r="P2502" s="16">
        <v>4</v>
      </c>
      <c r="Q2502" s="16" t="b">
        <f>FALSE()</f>
        <v>0</v>
      </c>
      <c r="R2502" s="16" t="b">
        <f>FALSE()</f>
        <v>0</v>
      </c>
      <c r="S2502" s="17">
        <f t="shared" si="39"/>
        <v>13.2</v>
      </c>
      <c r="T2502">
        <f>COUNTIF('👤 Customers'!$A:$A, B2502)</f>
        <v>1</v>
      </c>
      <c r="U2502">
        <f>COUNTIF('🚴 Riders'!A2501:A2561, C2502)</f>
        <v>0</v>
      </c>
      <c r="V2502">
        <f>COUNTIF('🏭 Facilities'!A2501:A2509, D2502)</f>
        <v>0</v>
      </c>
    </row>
    <row r="2503" spans="1:22">
      <c r="A2503" s="18" t="s">
        <v>5660</v>
      </c>
      <c r="B2503" s="18" t="s">
        <v>1108</v>
      </c>
      <c r="C2503" s="18" t="s">
        <v>308</v>
      </c>
      <c r="D2503" s="18" t="s">
        <v>130</v>
      </c>
      <c r="E2503" s="26">
        <v>45606</v>
      </c>
      <c r="F2503" s="18" t="s">
        <v>5661</v>
      </c>
      <c r="G2503" s="18" t="s">
        <v>117</v>
      </c>
      <c r="H2503" s="18">
        <v>7.4</v>
      </c>
      <c r="I2503" s="18">
        <v>149</v>
      </c>
      <c r="J2503" s="18">
        <v>20</v>
      </c>
      <c r="K2503" s="18">
        <v>882.08</v>
      </c>
      <c r="L2503" s="18" t="s">
        <v>118</v>
      </c>
      <c r="M2503" s="18" t="s">
        <v>119</v>
      </c>
      <c r="N2503" s="28">
        <v>45607.070833333331</v>
      </c>
      <c r="O2503" s="28">
        <v>45607.875</v>
      </c>
      <c r="P2503" s="18">
        <v>2.7</v>
      </c>
      <c r="Q2503" s="18" t="b">
        <f>FALSE()</f>
        <v>0</v>
      </c>
      <c r="R2503" s="18" t="b">
        <f>FALSE()</f>
        <v>0</v>
      </c>
      <c r="S2503" s="19">
        <f t="shared" si="39"/>
        <v>19.3</v>
      </c>
      <c r="T2503">
        <f>COUNTIF('👤 Customers'!$A:$A, B2503)</f>
        <v>1</v>
      </c>
      <c r="U2503">
        <f>COUNTIF('🚴 Riders'!A2502:A2562, C2503)</f>
        <v>0</v>
      </c>
      <c r="V2503">
        <f>COUNTIF('🏭 Facilities'!A2502:A2510, D2503)</f>
        <v>0</v>
      </c>
    </row>
    <row r="2504" spans="1:22">
      <c r="A2504" s="16" t="s">
        <v>5662</v>
      </c>
      <c r="B2504" s="16" t="s">
        <v>349</v>
      </c>
      <c r="C2504" s="16" t="s">
        <v>157</v>
      </c>
      <c r="D2504" s="16" t="s">
        <v>115</v>
      </c>
      <c r="E2504" s="25">
        <v>45421</v>
      </c>
      <c r="F2504" s="16" t="s">
        <v>5663</v>
      </c>
      <c r="G2504" s="16" t="s">
        <v>145</v>
      </c>
      <c r="H2504" s="16">
        <v>3.4</v>
      </c>
      <c r="I2504" s="16">
        <v>299</v>
      </c>
      <c r="J2504" s="16">
        <v>0</v>
      </c>
      <c r="K2504" s="16">
        <v>1016.6</v>
      </c>
      <c r="L2504" s="16" t="s">
        <v>139</v>
      </c>
      <c r="M2504" s="16" t="s">
        <v>133</v>
      </c>
      <c r="N2504" s="20"/>
      <c r="O2504" s="20"/>
      <c r="P2504" s="20"/>
      <c r="Q2504" s="16" t="b">
        <f>FALSE()</f>
        <v>0</v>
      </c>
      <c r="R2504" s="16" t="b">
        <f>TRUE()</f>
        <v>1</v>
      </c>
      <c r="S2504" s="17" t="str">
        <f t="shared" si="39"/>
        <v>N/A</v>
      </c>
      <c r="T2504">
        <f>COUNTIF('👤 Customers'!$A:$A, B2504)</f>
        <v>1</v>
      </c>
      <c r="U2504">
        <f>COUNTIF('🚴 Riders'!A2503:A2563, C2504)</f>
        <v>0</v>
      </c>
      <c r="V2504">
        <f>COUNTIF('🏭 Facilities'!A2503:A2511, D2504)</f>
        <v>0</v>
      </c>
    </row>
    <row r="2505" spans="1:22">
      <c r="A2505" s="18" t="s">
        <v>5664</v>
      </c>
      <c r="B2505" s="18" t="s">
        <v>4073</v>
      </c>
      <c r="C2505" s="18" t="s">
        <v>129</v>
      </c>
      <c r="D2505" s="18" t="s">
        <v>115</v>
      </c>
      <c r="E2505" s="26">
        <v>45314</v>
      </c>
      <c r="F2505" s="18" t="s">
        <v>5665</v>
      </c>
      <c r="G2505" s="18" t="s">
        <v>125</v>
      </c>
      <c r="H2505" s="18">
        <v>4</v>
      </c>
      <c r="I2505" s="18">
        <v>199</v>
      </c>
      <c r="J2505" s="18">
        <v>0</v>
      </c>
      <c r="K2505" s="18">
        <v>796</v>
      </c>
      <c r="L2505" s="18" t="s">
        <v>126</v>
      </c>
      <c r="M2505" s="18" t="s">
        <v>119</v>
      </c>
      <c r="N2505" s="28">
        <v>45314.225694444445</v>
      </c>
      <c r="O2505" s="28">
        <v>45314.614583333336</v>
      </c>
      <c r="P2505" s="18">
        <v>5</v>
      </c>
      <c r="Q2505" s="18" t="b">
        <f>FALSE()</f>
        <v>0</v>
      </c>
      <c r="R2505" s="18" t="b">
        <f>FALSE()</f>
        <v>0</v>
      </c>
      <c r="S2505" s="19">
        <f t="shared" si="39"/>
        <v>9.3000000000000007</v>
      </c>
      <c r="T2505">
        <f>COUNTIF('👤 Customers'!$A:$A, B2505)</f>
        <v>1</v>
      </c>
      <c r="U2505">
        <f>COUNTIF('🚴 Riders'!A2504:A2564, C2505)</f>
        <v>0</v>
      </c>
      <c r="V2505">
        <f>COUNTIF('🏭 Facilities'!A2504:A2512, D2505)</f>
        <v>0</v>
      </c>
    </row>
    <row r="2506" spans="1:22">
      <c r="A2506" s="16" t="s">
        <v>5666</v>
      </c>
      <c r="B2506" s="16" t="s">
        <v>191</v>
      </c>
      <c r="C2506" s="16" t="s">
        <v>461</v>
      </c>
      <c r="D2506" s="16" t="s">
        <v>158</v>
      </c>
      <c r="E2506" s="25">
        <v>44988</v>
      </c>
      <c r="F2506" s="16" t="s">
        <v>5667</v>
      </c>
      <c r="G2506" s="16" t="s">
        <v>145</v>
      </c>
      <c r="H2506" s="16">
        <v>7.9</v>
      </c>
      <c r="I2506" s="16">
        <v>299</v>
      </c>
      <c r="J2506" s="16">
        <v>20</v>
      </c>
      <c r="K2506" s="16">
        <v>1889.68</v>
      </c>
      <c r="L2506" s="16" t="s">
        <v>207</v>
      </c>
      <c r="M2506" s="16" t="s">
        <v>119</v>
      </c>
      <c r="N2506" s="27">
        <v>44988.678472222222</v>
      </c>
      <c r="O2506" s="27">
        <v>44989.396527777775</v>
      </c>
      <c r="P2506" s="16">
        <v>3.8</v>
      </c>
      <c r="Q2506" s="16" t="b">
        <f>FALSE()</f>
        <v>0</v>
      </c>
      <c r="R2506" s="16" t="b">
        <f>FALSE()</f>
        <v>0</v>
      </c>
      <c r="S2506" s="17">
        <f t="shared" si="39"/>
        <v>17.2</v>
      </c>
      <c r="T2506">
        <f>COUNTIF('👤 Customers'!$A:$A, B2506)</f>
        <v>1</v>
      </c>
      <c r="U2506">
        <f>COUNTIF('🚴 Riders'!A2505:A2565, C2506)</f>
        <v>0</v>
      </c>
      <c r="V2506">
        <f>COUNTIF('🏭 Facilities'!A2505:A2513, D2506)</f>
        <v>0</v>
      </c>
    </row>
    <row r="2507" spans="1:22">
      <c r="A2507" s="18" t="s">
        <v>5668</v>
      </c>
      <c r="B2507" s="18" t="s">
        <v>845</v>
      </c>
      <c r="C2507" s="18" t="s">
        <v>343</v>
      </c>
      <c r="D2507" s="18" t="s">
        <v>205</v>
      </c>
      <c r="E2507" s="26">
        <v>45606</v>
      </c>
      <c r="F2507" s="18" t="s">
        <v>5669</v>
      </c>
      <c r="G2507" s="18" t="s">
        <v>125</v>
      </c>
      <c r="H2507" s="18">
        <v>7.3</v>
      </c>
      <c r="I2507" s="18">
        <v>199</v>
      </c>
      <c r="J2507" s="18">
        <v>20</v>
      </c>
      <c r="K2507" s="18">
        <v>1162.1600000000001</v>
      </c>
      <c r="L2507" s="18" t="s">
        <v>146</v>
      </c>
      <c r="M2507" s="18" t="s">
        <v>140</v>
      </c>
      <c r="N2507" s="28">
        <v>45606.713888888888</v>
      </c>
      <c r="O2507" s="28">
        <v>45607.231944444444</v>
      </c>
      <c r="P2507" s="20"/>
      <c r="Q2507" s="18" t="b">
        <f>FALSE()</f>
        <v>0</v>
      </c>
      <c r="R2507" s="18" t="b">
        <f>TRUE()</f>
        <v>1</v>
      </c>
      <c r="S2507" s="19">
        <f t="shared" si="39"/>
        <v>12.4</v>
      </c>
      <c r="T2507">
        <f>COUNTIF('👤 Customers'!$A:$A, B2507)</f>
        <v>1</v>
      </c>
      <c r="U2507">
        <f>COUNTIF('🚴 Riders'!A2506:A2566, C2507)</f>
        <v>0</v>
      </c>
      <c r="V2507">
        <f>COUNTIF('🏭 Facilities'!A2506:A2514, D2507)</f>
        <v>0</v>
      </c>
    </row>
    <row r="2508" spans="1:22">
      <c r="A2508" s="16" t="s">
        <v>5670</v>
      </c>
      <c r="B2508" s="16" t="s">
        <v>2865</v>
      </c>
      <c r="C2508" s="16" t="s">
        <v>192</v>
      </c>
      <c r="D2508" s="16" t="s">
        <v>197</v>
      </c>
      <c r="E2508" s="25">
        <v>45042</v>
      </c>
      <c r="F2508" s="16" t="s">
        <v>5671</v>
      </c>
      <c r="G2508" s="16" t="s">
        <v>117</v>
      </c>
      <c r="H2508" s="16">
        <v>6.3</v>
      </c>
      <c r="I2508" s="16">
        <v>149</v>
      </c>
      <c r="J2508" s="16">
        <v>10</v>
      </c>
      <c r="K2508" s="16">
        <v>844.83</v>
      </c>
      <c r="L2508" s="16" t="s">
        <v>118</v>
      </c>
      <c r="M2508" s="16" t="s">
        <v>119</v>
      </c>
      <c r="N2508" s="27">
        <v>45042.949305555558</v>
      </c>
      <c r="O2508" s="27">
        <v>45043.410416666666</v>
      </c>
      <c r="P2508" s="16">
        <v>2.8</v>
      </c>
      <c r="Q2508" s="16" t="b">
        <f>FALSE()</f>
        <v>0</v>
      </c>
      <c r="R2508" s="16" t="b">
        <f>FALSE()</f>
        <v>0</v>
      </c>
      <c r="S2508" s="17">
        <f t="shared" si="39"/>
        <v>11.1</v>
      </c>
      <c r="T2508">
        <f>COUNTIF('👤 Customers'!$A:$A, B2508)</f>
        <v>1</v>
      </c>
      <c r="U2508">
        <f>COUNTIF('🚴 Riders'!A2507:A2567, C2508)</f>
        <v>0</v>
      </c>
      <c r="V2508">
        <f>COUNTIF('🏭 Facilities'!A2507:A2515, D2508)</f>
        <v>0</v>
      </c>
    </row>
    <row r="2509" spans="1:22">
      <c r="A2509" s="18" t="s">
        <v>5672</v>
      </c>
      <c r="B2509" s="18" t="s">
        <v>713</v>
      </c>
      <c r="C2509" s="18" t="s">
        <v>166</v>
      </c>
      <c r="D2509" s="18" t="s">
        <v>130</v>
      </c>
      <c r="E2509" s="26">
        <v>45292</v>
      </c>
      <c r="F2509" s="18" t="s">
        <v>5673</v>
      </c>
      <c r="G2509" s="18" t="s">
        <v>132</v>
      </c>
      <c r="H2509" s="18">
        <v>3.9</v>
      </c>
      <c r="I2509" s="18">
        <v>399</v>
      </c>
      <c r="J2509" s="18">
        <v>10</v>
      </c>
      <c r="K2509" s="18">
        <v>1400.49</v>
      </c>
      <c r="L2509" s="18" t="s">
        <v>146</v>
      </c>
      <c r="M2509" s="18" t="s">
        <v>140</v>
      </c>
      <c r="N2509" s="28">
        <v>45292.261805555558</v>
      </c>
      <c r="O2509" s="28">
        <v>45292.628472222219</v>
      </c>
      <c r="P2509" s="20"/>
      <c r="Q2509" s="18" t="b">
        <f>FALSE()</f>
        <v>0</v>
      </c>
      <c r="R2509" s="18" t="b">
        <f>FALSE()</f>
        <v>0</v>
      </c>
      <c r="S2509" s="19">
        <f t="shared" si="39"/>
        <v>8.8000000000000007</v>
      </c>
      <c r="T2509">
        <f>COUNTIF('👤 Customers'!$A:$A, B2509)</f>
        <v>1</v>
      </c>
      <c r="U2509">
        <f>COUNTIF('🚴 Riders'!A2508:A2568, C2509)</f>
        <v>0</v>
      </c>
      <c r="V2509">
        <f>COUNTIF('🏭 Facilities'!A2508:A2516, D2509)</f>
        <v>0</v>
      </c>
    </row>
    <row r="2510" spans="1:22">
      <c r="A2510" s="16" t="s">
        <v>5674</v>
      </c>
      <c r="B2510" s="16" t="s">
        <v>4375</v>
      </c>
      <c r="C2510" s="16" t="s">
        <v>179</v>
      </c>
      <c r="D2510" s="16" t="s">
        <v>184</v>
      </c>
      <c r="E2510" s="25">
        <v>45334</v>
      </c>
      <c r="F2510" s="16" t="s">
        <v>4921</v>
      </c>
      <c r="G2510" s="16" t="s">
        <v>132</v>
      </c>
      <c r="H2510" s="16">
        <v>1.9</v>
      </c>
      <c r="I2510" s="16">
        <v>399</v>
      </c>
      <c r="J2510" s="16">
        <v>0</v>
      </c>
      <c r="K2510" s="16">
        <v>758.1</v>
      </c>
      <c r="L2510" s="16" t="s">
        <v>118</v>
      </c>
      <c r="M2510" s="16" t="s">
        <v>119</v>
      </c>
      <c r="N2510" s="27">
        <v>45334.144444444442</v>
      </c>
      <c r="O2510" s="27">
        <v>45334.970138888886</v>
      </c>
      <c r="P2510" s="16">
        <v>4.3</v>
      </c>
      <c r="Q2510" s="16" t="b">
        <f>FALSE()</f>
        <v>0</v>
      </c>
      <c r="R2510" s="16" t="b">
        <f>FALSE()</f>
        <v>0</v>
      </c>
      <c r="S2510" s="17">
        <f t="shared" si="39"/>
        <v>19.8</v>
      </c>
      <c r="T2510">
        <f>COUNTIF('👤 Customers'!$A:$A, B2510)</f>
        <v>1</v>
      </c>
      <c r="U2510">
        <f>COUNTIF('🚴 Riders'!A2509:A2569, C2510)</f>
        <v>0</v>
      </c>
      <c r="V2510">
        <f>COUNTIF('🏭 Facilities'!A2509:A2517, D2510)</f>
        <v>0</v>
      </c>
    </row>
    <row r="2511" spans="1:22">
      <c r="A2511" s="18" t="s">
        <v>5675</v>
      </c>
      <c r="B2511" s="18" t="s">
        <v>1832</v>
      </c>
      <c r="C2511" s="18" t="s">
        <v>283</v>
      </c>
      <c r="D2511" s="18" t="s">
        <v>115</v>
      </c>
      <c r="E2511" s="26">
        <v>45533</v>
      </c>
      <c r="F2511" s="18" t="s">
        <v>5676</v>
      </c>
      <c r="G2511" s="18" t="s">
        <v>117</v>
      </c>
      <c r="H2511" s="18">
        <v>3.9</v>
      </c>
      <c r="I2511" s="18">
        <v>149</v>
      </c>
      <c r="J2511" s="18">
        <v>20</v>
      </c>
      <c r="K2511" s="18">
        <v>464.88</v>
      </c>
      <c r="L2511" s="18" t="s">
        <v>139</v>
      </c>
      <c r="M2511" s="18" t="s">
        <v>119</v>
      </c>
      <c r="N2511" s="28">
        <v>45533.314583333333</v>
      </c>
      <c r="O2511" s="28">
        <v>45534.28402777778</v>
      </c>
      <c r="P2511" s="18">
        <v>3.5</v>
      </c>
      <c r="Q2511" s="18" t="b">
        <f>FALSE()</f>
        <v>0</v>
      </c>
      <c r="R2511" s="18" t="b">
        <f>FALSE()</f>
        <v>0</v>
      </c>
      <c r="S2511" s="19">
        <f t="shared" si="39"/>
        <v>23.3</v>
      </c>
      <c r="T2511">
        <f>COUNTIF('👤 Customers'!$A:$A, B2511)</f>
        <v>1</v>
      </c>
      <c r="U2511">
        <f>COUNTIF('🚴 Riders'!A2510:A2570, C2511)</f>
        <v>0</v>
      </c>
      <c r="V2511">
        <f>COUNTIF('🏭 Facilities'!A2510:A2518, D2511)</f>
        <v>0</v>
      </c>
    </row>
    <row r="2512" spans="1:22">
      <c r="A2512" s="16" t="s">
        <v>5677</v>
      </c>
      <c r="B2512" s="16" t="s">
        <v>684</v>
      </c>
      <c r="C2512" s="16" t="s">
        <v>354</v>
      </c>
      <c r="D2512" s="16" t="s">
        <v>115</v>
      </c>
      <c r="E2512" s="25">
        <v>45384</v>
      </c>
      <c r="F2512" s="16" t="s">
        <v>5678</v>
      </c>
      <c r="G2512" s="16" t="s">
        <v>132</v>
      </c>
      <c r="H2512" s="16">
        <v>5</v>
      </c>
      <c r="I2512" s="16">
        <v>399</v>
      </c>
      <c r="J2512" s="16">
        <v>20</v>
      </c>
      <c r="K2512" s="16">
        <v>1596</v>
      </c>
      <c r="L2512" s="16" t="s">
        <v>139</v>
      </c>
      <c r="M2512" s="16" t="s">
        <v>119</v>
      </c>
      <c r="N2512" s="27">
        <v>45384.685416666667</v>
      </c>
      <c r="O2512" s="27">
        <v>45385.561805555553</v>
      </c>
      <c r="P2512" s="16">
        <v>4.4000000000000004</v>
      </c>
      <c r="Q2512" s="16" t="b">
        <f>FALSE()</f>
        <v>0</v>
      </c>
      <c r="R2512" s="16" t="b">
        <f>FALSE()</f>
        <v>0</v>
      </c>
      <c r="S2512" s="17">
        <f t="shared" si="39"/>
        <v>21</v>
      </c>
      <c r="T2512">
        <f>COUNTIF('👤 Customers'!$A:$A, B2512)</f>
        <v>1</v>
      </c>
      <c r="U2512">
        <f>COUNTIF('🚴 Riders'!A2511:A2571, C2512)</f>
        <v>0</v>
      </c>
      <c r="V2512">
        <f>COUNTIF('🏭 Facilities'!A2511:A2519, D2512)</f>
        <v>0</v>
      </c>
    </row>
    <row r="2513" spans="1:22">
      <c r="A2513" s="18" t="s">
        <v>5679</v>
      </c>
      <c r="B2513" s="18" t="s">
        <v>869</v>
      </c>
      <c r="C2513" s="18" t="s">
        <v>431</v>
      </c>
      <c r="D2513" s="18" t="s">
        <v>205</v>
      </c>
      <c r="E2513" s="26">
        <v>45295</v>
      </c>
      <c r="F2513" s="18" t="s">
        <v>5680</v>
      </c>
      <c r="G2513" s="18" t="s">
        <v>145</v>
      </c>
      <c r="H2513" s="18">
        <v>3.7</v>
      </c>
      <c r="I2513" s="18">
        <v>299</v>
      </c>
      <c r="J2513" s="18">
        <v>20</v>
      </c>
      <c r="K2513" s="18">
        <v>885.04</v>
      </c>
      <c r="L2513" s="18" t="s">
        <v>207</v>
      </c>
      <c r="M2513" s="18" t="s">
        <v>119</v>
      </c>
      <c r="N2513" s="28">
        <v>45295.199999999997</v>
      </c>
      <c r="O2513" s="28">
        <v>45295.556250000001</v>
      </c>
      <c r="P2513" s="18">
        <v>4</v>
      </c>
      <c r="Q2513" s="18" t="b">
        <f>FALSE()</f>
        <v>0</v>
      </c>
      <c r="R2513" s="18" t="b">
        <f>FALSE()</f>
        <v>0</v>
      </c>
      <c r="S2513" s="19">
        <f t="shared" si="39"/>
        <v>8.6</v>
      </c>
      <c r="T2513">
        <f>COUNTIF('👤 Customers'!$A:$A, B2513)</f>
        <v>1</v>
      </c>
      <c r="U2513">
        <f>COUNTIF('🚴 Riders'!A2512:A2572, C2513)</f>
        <v>0</v>
      </c>
      <c r="V2513">
        <f>COUNTIF('🏭 Facilities'!A2512:A2520, D2513)</f>
        <v>0</v>
      </c>
    </row>
    <row r="2514" spans="1:22">
      <c r="A2514" s="16" t="s">
        <v>5681</v>
      </c>
      <c r="B2514" s="16" t="s">
        <v>1423</v>
      </c>
      <c r="C2514" s="16" t="s">
        <v>220</v>
      </c>
      <c r="D2514" s="16" t="s">
        <v>115</v>
      </c>
      <c r="E2514" s="25">
        <v>45646</v>
      </c>
      <c r="F2514" s="16" t="s">
        <v>5682</v>
      </c>
      <c r="G2514" s="16" t="s">
        <v>132</v>
      </c>
      <c r="H2514" s="16">
        <v>1.5</v>
      </c>
      <c r="I2514" s="16">
        <v>399</v>
      </c>
      <c r="J2514" s="16">
        <v>0</v>
      </c>
      <c r="K2514" s="16">
        <v>598.5</v>
      </c>
      <c r="L2514" s="16" t="s">
        <v>207</v>
      </c>
      <c r="M2514" s="16" t="s">
        <v>119</v>
      </c>
      <c r="N2514" s="27">
        <v>45646.795138888891</v>
      </c>
      <c r="O2514" s="27">
        <v>45647.53125</v>
      </c>
      <c r="P2514" s="16">
        <v>3.7</v>
      </c>
      <c r="Q2514" s="16" t="b">
        <f>FALSE()</f>
        <v>0</v>
      </c>
      <c r="R2514" s="16" t="b">
        <f>FALSE()</f>
        <v>0</v>
      </c>
      <c r="S2514" s="17">
        <f t="shared" si="39"/>
        <v>17.7</v>
      </c>
      <c r="T2514">
        <f>COUNTIF('👤 Customers'!$A:$A, B2514)</f>
        <v>1</v>
      </c>
      <c r="U2514">
        <f>COUNTIF('🚴 Riders'!A2513:A2573, C2514)</f>
        <v>0</v>
      </c>
      <c r="V2514">
        <f>COUNTIF('🏭 Facilities'!A2513:A2521, D2514)</f>
        <v>0</v>
      </c>
    </row>
    <row r="2515" spans="1:22">
      <c r="A2515" s="18" t="s">
        <v>5683</v>
      </c>
      <c r="B2515" s="18" t="s">
        <v>1444</v>
      </c>
      <c r="C2515" s="18" t="s">
        <v>287</v>
      </c>
      <c r="D2515" s="18" t="s">
        <v>115</v>
      </c>
      <c r="E2515" s="26">
        <v>45056</v>
      </c>
      <c r="F2515" s="18" t="s">
        <v>5684</v>
      </c>
      <c r="G2515" s="18" t="s">
        <v>125</v>
      </c>
      <c r="H2515" s="18">
        <v>4</v>
      </c>
      <c r="I2515" s="18">
        <v>199</v>
      </c>
      <c r="J2515" s="18">
        <v>10</v>
      </c>
      <c r="K2515" s="18">
        <v>716.4</v>
      </c>
      <c r="L2515" s="18" t="s">
        <v>207</v>
      </c>
      <c r="M2515" s="18" t="s">
        <v>133</v>
      </c>
      <c r="N2515" s="20"/>
      <c r="O2515" s="20"/>
      <c r="P2515" s="20"/>
      <c r="Q2515" s="18" t="b">
        <f>FALSE()</f>
        <v>0</v>
      </c>
      <c r="R2515" s="18" t="b">
        <f>FALSE()</f>
        <v>0</v>
      </c>
      <c r="S2515" s="19" t="str">
        <f t="shared" si="39"/>
        <v>N/A</v>
      </c>
      <c r="T2515">
        <f>COUNTIF('👤 Customers'!$A:$A, B2515)</f>
        <v>1</v>
      </c>
      <c r="U2515">
        <f>COUNTIF('🚴 Riders'!A2514:A2574, C2515)</f>
        <v>0</v>
      </c>
      <c r="V2515">
        <f>COUNTIF('🏭 Facilities'!A2514:A2522, D2515)</f>
        <v>0</v>
      </c>
    </row>
    <row r="2516" spans="1:22">
      <c r="A2516" s="16" t="s">
        <v>5685</v>
      </c>
      <c r="B2516" s="16" t="s">
        <v>822</v>
      </c>
      <c r="C2516" s="16" t="s">
        <v>220</v>
      </c>
      <c r="D2516" s="16" t="s">
        <v>184</v>
      </c>
      <c r="E2516" s="25">
        <v>45459</v>
      </c>
      <c r="F2516" s="16" t="s">
        <v>5686</v>
      </c>
      <c r="G2516" s="16" t="s">
        <v>117</v>
      </c>
      <c r="H2516" s="16">
        <v>1.2</v>
      </c>
      <c r="I2516" s="16">
        <v>149</v>
      </c>
      <c r="J2516" s="16">
        <v>0</v>
      </c>
      <c r="K2516" s="16">
        <v>178.8</v>
      </c>
      <c r="L2516" s="16" t="s">
        <v>207</v>
      </c>
      <c r="M2516" s="16" t="s">
        <v>119</v>
      </c>
      <c r="N2516" s="27">
        <v>45459.539583333331</v>
      </c>
      <c r="O2516" s="27">
        <v>45460.222222222219</v>
      </c>
      <c r="P2516" s="16">
        <v>2.9</v>
      </c>
      <c r="Q2516" s="16" t="b">
        <f>FALSE()</f>
        <v>0</v>
      </c>
      <c r="R2516" s="16" t="b">
        <f>FALSE()</f>
        <v>0</v>
      </c>
      <c r="S2516" s="17">
        <f t="shared" si="39"/>
        <v>16.399999999999999</v>
      </c>
      <c r="T2516">
        <f>COUNTIF('👤 Customers'!$A:$A, B2516)</f>
        <v>1</v>
      </c>
      <c r="U2516">
        <f>COUNTIF('🚴 Riders'!A2515:A2575, C2516)</f>
        <v>0</v>
      </c>
      <c r="V2516">
        <f>COUNTIF('🏭 Facilities'!A2515:A2523, D2516)</f>
        <v>0</v>
      </c>
    </row>
    <row r="2517" spans="1:22">
      <c r="A2517" s="18" t="s">
        <v>5687</v>
      </c>
      <c r="B2517" s="18" t="s">
        <v>1469</v>
      </c>
      <c r="C2517" s="18" t="s">
        <v>300</v>
      </c>
      <c r="D2517" s="18" t="s">
        <v>197</v>
      </c>
      <c r="E2517" s="26">
        <v>44970</v>
      </c>
      <c r="F2517" s="18" t="s">
        <v>5688</v>
      </c>
      <c r="G2517" s="18" t="s">
        <v>132</v>
      </c>
      <c r="H2517" s="18">
        <v>1.6</v>
      </c>
      <c r="I2517" s="18">
        <v>399</v>
      </c>
      <c r="J2517" s="18">
        <v>10</v>
      </c>
      <c r="K2517" s="18">
        <v>574.55999999999995</v>
      </c>
      <c r="L2517" s="18" t="s">
        <v>126</v>
      </c>
      <c r="M2517" s="18" t="s">
        <v>133</v>
      </c>
      <c r="N2517" s="20"/>
      <c r="O2517" s="20"/>
      <c r="P2517" s="20"/>
      <c r="Q2517" s="18" t="b">
        <f>FALSE()</f>
        <v>0</v>
      </c>
      <c r="R2517" s="18" t="b">
        <f>FALSE()</f>
        <v>0</v>
      </c>
      <c r="S2517" s="19" t="str">
        <f t="shared" si="39"/>
        <v>N/A</v>
      </c>
      <c r="T2517">
        <f>COUNTIF('👤 Customers'!$A:$A, B2517)</f>
        <v>1</v>
      </c>
      <c r="U2517">
        <f>COUNTIF('🚴 Riders'!A2516:A2576, C2517)</f>
        <v>0</v>
      </c>
      <c r="V2517">
        <f>COUNTIF('🏭 Facilities'!A2516:A2524, D2517)</f>
        <v>0</v>
      </c>
    </row>
    <row r="2518" spans="1:22">
      <c r="A2518" s="16" t="s">
        <v>5689</v>
      </c>
      <c r="B2518" s="16" t="s">
        <v>1423</v>
      </c>
      <c r="C2518" s="16" t="s">
        <v>224</v>
      </c>
      <c r="D2518" s="16" t="s">
        <v>123</v>
      </c>
      <c r="E2518" s="25">
        <v>45446</v>
      </c>
      <c r="F2518" s="16" t="s">
        <v>5690</v>
      </c>
      <c r="G2518" s="16" t="s">
        <v>125</v>
      </c>
      <c r="H2518" s="16">
        <v>3.8</v>
      </c>
      <c r="I2518" s="16">
        <v>199</v>
      </c>
      <c r="J2518" s="16">
        <v>0</v>
      </c>
      <c r="K2518" s="16">
        <v>756.2</v>
      </c>
      <c r="L2518" s="16" t="s">
        <v>118</v>
      </c>
      <c r="M2518" s="16" t="s">
        <v>133</v>
      </c>
      <c r="N2518" s="20"/>
      <c r="O2518" s="20"/>
      <c r="P2518" s="20"/>
      <c r="Q2518" s="16" t="b">
        <f>FALSE()</f>
        <v>0</v>
      </c>
      <c r="R2518" s="16" t="b">
        <f>FALSE()</f>
        <v>0</v>
      </c>
      <c r="S2518" s="17" t="str">
        <f t="shared" si="39"/>
        <v>N/A</v>
      </c>
      <c r="T2518">
        <f>COUNTIF('👤 Customers'!$A:$A, B2518)</f>
        <v>1</v>
      </c>
      <c r="U2518">
        <f>COUNTIF('🚴 Riders'!A2517:A2577, C2518)</f>
        <v>0</v>
      </c>
      <c r="V2518">
        <f>COUNTIF('🏭 Facilities'!A2517:A2525, D2518)</f>
        <v>0</v>
      </c>
    </row>
    <row r="2519" spans="1:22">
      <c r="A2519" s="18" t="s">
        <v>5691</v>
      </c>
      <c r="B2519" s="18" t="s">
        <v>704</v>
      </c>
      <c r="C2519" s="18" t="s">
        <v>362</v>
      </c>
      <c r="D2519" s="18" t="s">
        <v>205</v>
      </c>
      <c r="E2519" s="26">
        <v>45193</v>
      </c>
      <c r="F2519" s="18" t="s">
        <v>5692</v>
      </c>
      <c r="G2519" s="18" t="s">
        <v>125</v>
      </c>
      <c r="H2519" s="18">
        <v>2.9</v>
      </c>
      <c r="I2519" s="18">
        <v>199</v>
      </c>
      <c r="J2519" s="18">
        <v>0</v>
      </c>
      <c r="K2519" s="18">
        <v>577.1</v>
      </c>
      <c r="L2519" s="18" t="s">
        <v>126</v>
      </c>
      <c r="M2519" s="18" t="s">
        <v>119</v>
      </c>
      <c r="N2519" s="28">
        <v>45194.040972222225</v>
      </c>
      <c r="O2519" s="28">
        <v>45194.651388888888</v>
      </c>
      <c r="P2519" s="18">
        <v>4.8</v>
      </c>
      <c r="Q2519" s="18" t="b">
        <f>FALSE()</f>
        <v>0</v>
      </c>
      <c r="R2519" s="18" t="b">
        <f>FALSE()</f>
        <v>0</v>
      </c>
      <c r="S2519" s="19">
        <f t="shared" si="39"/>
        <v>14.6</v>
      </c>
      <c r="T2519">
        <f>COUNTIF('👤 Customers'!$A:$A, B2519)</f>
        <v>1</v>
      </c>
      <c r="U2519">
        <f>COUNTIF('🚴 Riders'!A2518:A2578, C2519)</f>
        <v>0</v>
      </c>
      <c r="V2519">
        <f>COUNTIF('🏭 Facilities'!A2518:A2526, D2519)</f>
        <v>0</v>
      </c>
    </row>
    <row r="2520" spans="1:22">
      <c r="A2520" s="16" t="s">
        <v>5693</v>
      </c>
      <c r="B2520" s="16" t="s">
        <v>1144</v>
      </c>
      <c r="C2520" s="16" t="s">
        <v>170</v>
      </c>
      <c r="D2520" s="16" t="s">
        <v>158</v>
      </c>
      <c r="E2520" s="25">
        <v>45082</v>
      </c>
      <c r="F2520" s="16" t="s">
        <v>5694</v>
      </c>
      <c r="G2520" s="16" t="s">
        <v>176</v>
      </c>
      <c r="H2520" s="16">
        <v>4.2</v>
      </c>
      <c r="I2520" s="16">
        <v>599</v>
      </c>
      <c r="J2520" s="16">
        <v>20</v>
      </c>
      <c r="K2520" s="16">
        <v>2012.64</v>
      </c>
      <c r="L2520" s="16" t="s">
        <v>207</v>
      </c>
      <c r="M2520" s="16" t="s">
        <v>140</v>
      </c>
      <c r="N2520" s="27">
        <v>45082.181944444441</v>
      </c>
      <c r="O2520" s="27">
        <v>45082.768750000003</v>
      </c>
      <c r="P2520" s="20"/>
      <c r="Q2520" s="16" t="b">
        <f>FALSE()</f>
        <v>0</v>
      </c>
      <c r="R2520" s="16" t="b">
        <f>FALSE()</f>
        <v>0</v>
      </c>
      <c r="S2520" s="17">
        <f t="shared" si="39"/>
        <v>14.1</v>
      </c>
      <c r="T2520">
        <f>COUNTIF('👤 Customers'!$A:$A, B2520)</f>
        <v>1</v>
      </c>
      <c r="U2520">
        <f>COUNTIF('🚴 Riders'!A2519:A2579, C2520)</f>
        <v>0</v>
      </c>
      <c r="V2520">
        <f>COUNTIF('🏭 Facilities'!A2519:A2527, D2520)</f>
        <v>0</v>
      </c>
    </row>
    <row r="2521" spans="1:22">
      <c r="A2521" s="18" t="s">
        <v>5695</v>
      </c>
      <c r="B2521" s="18" t="s">
        <v>389</v>
      </c>
      <c r="C2521" s="18" t="s">
        <v>251</v>
      </c>
      <c r="D2521" s="18" t="s">
        <v>137</v>
      </c>
      <c r="E2521" s="26">
        <v>45580</v>
      </c>
      <c r="F2521" s="18" t="s">
        <v>5696</v>
      </c>
      <c r="G2521" s="18" t="s">
        <v>176</v>
      </c>
      <c r="H2521" s="18">
        <v>6</v>
      </c>
      <c r="I2521" s="18">
        <v>599</v>
      </c>
      <c r="J2521" s="18">
        <v>0</v>
      </c>
      <c r="K2521" s="18">
        <v>3594</v>
      </c>
      <c r="L2521" s="18" t="s">
        <v>118</v>
      </c>
      <c r="M2521" s="18" t="s">
        <v>140</v>
      </c>
      <c r="N2521" s="28">
        <v>45580.351388888892</v>
      </c>
      <c r="O2521" s="28">
        <v>45581.101388888892</v>
      </c>
      <c r="P2521" s="20"/>
      <c r="Q2521" s="18" t="b">
        <f>FALSE()</f>
        <v>0</v>
      </c>
      <c r="R2521" s="18" t="b">
        <f>FALSE()</f>
        <v>0</v>
      </c>
      <c r="S2521" s="19">
        <f t="shared" si="39"/>
        <v>18</v>
      </c>
      <c r="T2521">
        <f>COUNTIF('👤 Customers'!$A:$A, B2521)</f>
        <v>1</v>
      </c>
      <c r="U2521">
        <f>COUNTIF('🚴 Riders'!A2520:A2580, C2521)</f>
        <v>0</v>
      </c>
      <c r="V2521">
        <f>COUNTIF('🏭 Facilities'!A2520:A2528, D2521)</f>
        <v>0</v>
      </c>
    </row>
    <row r="2522" spans="1:22">
      <c r="A2522" s="16" t="s">
        <v>5697</v>
      </c>
      <c r="B2522" s="16" t="s">
        <v>628</v>
      </c>
      <c r="C2522" s="16" t="s">
        <v>1092</v>
      </c>
      <c r="D2522" s="16" t="s">
        <v>158</v>
      </c>
      <c r="E2522" s="25">
        <v>44962</v>
      </c>
      <c r="F2522" s="16" t="s">
        <v>5698</v>
      </c>
      <c r="G2522" s="16" t="s">
        <v>125</v>
      </c>
      <c r="H2522" s="16">
        <v>5.2</v>
      </c>
      <c r="I2522" s="16">
        <v>199</v>
      </c>
      <c r="J2522" s="16">
        <v>10</v>
      </c>
      <c r="K2522" s="16">
        <v>931.32</v>
      </c>
      <c r="L2522" s="16" t="s">
        <v>146</v>
      </c>
      <c r="M2522" s="16" t="s">
        <v>119</v>
      </c>
      <c r="N2522" s="27">
        <v>44962.793055555558</v>
      </c>
      <c r="O2522" s="27">
        <v>44963.807638888888</v>
      </c>
      <c r="P2522" s="16">
        <v>3.3</v>
      </c>
      <c r="Q2522" s="16" t="b">
        <f>FALSE()</f>
        <v>0</v>
      </c>
      <c r="R2522" s="16" t="b">
        <f>FALSE()</f>
        <v>0</v>
      </c>
      <c r="S2522" s="17">
        <f t="shared" si="39"/>
        <v>24.3</v>
      </c>
      <c r="T2522">
        <f>COUNTIF('👤 Customers'!$A:$A, B2522)</f>
        <v>1</v>
      </c>
      <c r="U2522">
        <f>COUNTIF('🚴 Riders'!A2521:A2581, C2522)</f>
        <v>0</v>
      </c>
      <c r="V2522">
        <f>COUNTIF('🏭 Facilities'!A2521:A2529, D2522)</f>
        <v>0</v>
      </c>
    </row>
    <row r="2523" spans="1:22">
      <c r="A2523" s="18" t="s">
        <v>5699</v>
      </c>
      <c r="B2523" s="18" t="s">
        <v>4375</v>
      </c>
      <c r="C2523" s="18" t="s">
        <v>358</v>
      </c>
      <c r="D2523" s="18" t="s">
        <v>197</v>
      </c>
      <c r="E2523" s="26">
        <v>45057</v>
      </c>
      <c r="F2523" s="18" t="s">
        <v>5700</v>
      </c>
      <c r="G2523" s="18" t="s">
        <v>176</v>
      </c>
      <c r="H2523" s="18">
        <v>2.4</v>
      </c>
      <c r="I2523" s="18">
        <v>599</v>
      </c>
      <c r="J2523" s="18">
        <v>20</v>
      </c>
      <c r="K2523" s="18">
        <v>1150.08</v>
      </c>
      <c r="L2523" s="18" t="s">
        <v>139</v>
      </c>
      <c r="M2523" s="18" t="s">
        <v>140</v>
      </c>
      <c r="N2523" s="28">
        <v>45057.740277777775</v>
      </c>
      <c r="O2523" s="28">
        <v>45058.280555555553</v>
      </c>
      <c r="P2523" s="20"/>
      <c r="Q2523" s="18" t="b">
        <f>FALSE()</f>
        <v>0</v>
      </c>
      <c r="R2523" s="18" t="b">
        <f>FALSE()</f>
        <v>0</v>
      </c>
      <c r="S2523" s="19">
        <f t="shared" si="39"/>
        <v>13</v>
      </c>
      <c r="T2523">
        <f>COUNTIF('👤 Customers'!$A:$A, B2523)</f>
        <v>1</v>
      </c>
      <c r="U2523">
        <f>COUNTIF('🚴 Riders'!A2522:A2582, C2523)</f>
        <v>0</v>
      </c>
      <c r="V2523">
        <f>COUNTIF('🏭 Facilities'!A2522:A2530, D2523)</f>
        <v>0</v>
      </c>
    </row>
    <row r="2524" spans="1:22">
      <c r="A2524" s="16" t="s">
        <v>5701</v>
      </c>
      <c r="B2524" s="16" t="s">
        <v>406</v>
      </c>
      <c r="C2524" s="16" t="s">
        <v>240</v>
      </c>
      <c r="D2524" s="16" t="s">
        <v>115</v>
      </c>
      <c r="E2524" s="25">
        <v>45264</v>
      </c>
      <c r="F2524" s="16" t="s">
        <v>5702</v>
      </c>
      <c r="G2524" s="16" t="s">
        <v>145</v>
      </c>
      <c r="H2524" s="16">
        <v>5</v>
      </c>
      <c r="I2524" s="16">
        <v>299</v>
      </c>
      <c r="J2524" s="16">
        <v>20</v>
      </c>
      <c r="K2524" s="16">
        <v>1196</v>
      </c>
      <c r="L2524" s="16" t="s">
        <v>126</v>
      </c>
      <c r="M2524" s="16" t="s">
        <v>119</v>
      </c>
      <c r="N2524" s="27">
        <v>45264.214583333334</v>
      </c>
      <c r="O2524" s="27">
        <v>45265.175694444442</v>
      </c>
      <c r="P2524" s="16">
        <v>4</v>
      </c>
      <c r="Q2524" s="16" t="b">
        <f>TRUE()</f>
        <v>1</v>
      </c>
      <c r="R2524" s="16" t="b">
        <f>FALSE()</f>
        <v>0</v>
      </c>
      <c r="S2524" s="17">
        <f t="shared" si="39"/>
        <v>23.1</v>
      </c>
      <c r="T2524">
        <f>COUNTIF('👤 Customers'!$A:$A, B2524)</f>
        <v>1</v>
      </c>
      <c r="U2524">
        <f>COUNTIF('🚴 Riders'!A2523:A2583, C2524)</f>
        <v>0</v>
      </c>
      <c r="V2524">
        <f>COUNTIF('🏭 Facilities'!A2523:A2531, D2524)</f>
        <v>0</v>
      </c>
    </row>
    <row r="2525" spans="1:22">
      <c r="A2525" s="18" t="s">
        <v>5703</v>
      </c>
      <c r="B2525" s="18" t="s">
        <v>178</v>
      </c>
      <c r="C2525" s="18" t="s">
        <v>315</v>
      </c>
      <c r="D2525" s="18" t="s">
        <v>197</v>
      </c>
      <c r="E2525" s="26">
        <v>45408</v>
      </c>
      <c r="F2525" s="18" t="s">
        <v>5704</v>
      </c>
      <c r="G2525" s="18" t="s">
        <v>117</v>
      </c>
      <c r="H2525" s="18">
        <v>7</v>
      </c>
      <c r="I2525" s="18">
        <v>149</v>
      </c>
      <c r="J2525" s="18">
        <v>10</v>
      </c>
      <c r="K2525" s="18">
        <v>938.7</v>
      </c>
      <c r="L2525" s="18" t="s">
        <v>207</v>
      </c>
      <c r="M2525" s="18" t="s">
        <v>119</v>
      </c>
      <c r="N2525" s="28">
        <v>45408.827777777777</v>
      </c>
      <c r="O2525" s="28">
        <v>45409.340277777781</v>
      </c>
      <c r="P2525" s="18">
        <v>2.8</v>
      </c>
      <c r="Q2525" s="18" t="b">
        <f>FALSE()</f>
        <v>0</v>
      </c>
      <c r="R2525" s="18" t="b">
        <f>FALSE()</f>
        <v>0</v>
      </c>
      <c r="S2525" s="19">
        <f t="shared" si="39"/>
        <v>12.3</v>
      </c>
      <c r="T2525">
        <f>COUNTIF('👤 Customers'!$A:$A, B2525)</f>
        <v>1</v>
      </c>
      <c r="U2525">
        <f>COUNTIF('🚴 Riders'!A2524:A2584, C2525)</f>
        <v>0</v>
      </c>
      <c r="V2525">
        <f>COUNTIF('🏭 Facilities'!A2524:A2532, D2525)</f>
        <v>0</v>
      </c>
    </row>
    <row r="2526" spans="1:22">
      <c r="A2526" s="16" t="s">
        <v>5705</v>
      </c>
      <c r="B2526" s="16" t="s">
        <v>1554</v>
      </c>
      <c r="C2526" s="16" t="s">
        <v>283</v>
      </c>
      <c r="D2526" s="16" t="s">
        <v>123</v>
      </c>
      <c r="E2526" s="25">
        <v>44985</v>
      </c>
      <c r="F2526" s="16" t="s">
        <v>5706</v>
      </c>
      <c r="G2526" s="16" t="s">
        <v>176</v>
      </c>
      <c r="H2526" s="16">
        <v>1.3</v>
      </c>
      <c r="I2526" s="16">
        <v>599</v>
      </c>
      <c r="J2526" s="16">
        <v>0</v>
      </c>
      <c r="K2526" s="16">
        <v>778.7</v>
      </c>
      <c r="L2526" s="16" t="s">
        <v>139</v>
      </c>
      <c r="M2526" s="16" t="s">
        <v>119</v>
      </c>
      <c r="N2526" s="27">
        <v>44985.561111111114</v>
      </c>
      <c r="O2526" s="27">
        <v>44986.208333333336</v>
      </c>
      <c r="P2526" s="16">
        <v>4.2</v>
      </c>
      <c r="Q2526" s="16" t="b">
        <f>FALSE()</f>
        <v>0</v>
      </c>
      <c r="R2526" s="16" t="b">
        <f>TRUE()</f>
        <v>1</v>
      </c>
      <c r="S2526" s="17">
        <f t="shared" si="39"/>
        <v>15.5</v>
      </c>
      <c r="T2526">
        <f>COUNTIF('👤 Customers'!$A:$A, B2526)</f>
        <v>1</v>
      </c>
      <c r="U2526">
        <f>COUNTIF('🚴 Riders'!A2525:A2585, C2526)</f>
        <v>0</v>
      </c>
      <c r="V2526">
        <f>COUNTIF('🏭 Facilities'!A2525:A2533, D2526)</f>
        <v>0</v>
      </c>
    </row>
    <row r="2527" spans="1:22">
      <c r="A2527" s="18" t="s">
        <v>5707</v>
      </c>
      <c r="B2527" s="18" t="s">
        <v>704</v>
      </c>
      <c r="C2527" s="18" t="s">
        <v>842</v>
      </c>
      <c r="D2527" s="18" t="s">
        <v>123</v>
      </c>
      <c r="E2527" s="26">
        <v>45188</v>
      </c>
      <c r="F2527" s="18" t="s">
        <v>5708</v>
      </c>
      <c r="G2527" s="18" t="s">
        <v>145</v>
      </c>
      <c r="H2527" s="18">
        <v>3.9</v>
      </c>
      <c r="I2527" s="18">
        <v>299</v>
      </c>
      <c r="J2527" s="18">
        <v>10</v>
      </c>
      <c r="K2527" s="18">
        <v>1049.49</v>
      </c>
      <c r="L2527" s="18" t="s">
        <v>207</v>
      </c>
      <c r="M2527" s="18" t="s">
        <v>119</v>
      </c>
      <c r="N2527" s="28">
        <v>45188.538888888892</v>
      </c>
      <c r="O2527" s="28">
        <v>45189.599305555559</v>
      </c>
      <c r="P2527" s="18">
        <v>4.3</v>
      </c>
      <c r="Q2527" s="18" t="b">
        <f>FALSE()</f>
        <v>0</v>
      </c>
      <c r="R2527" s="18" t="b">
        <f>FALSE()</f>
        <v>0</v>
      </c>
      <c r="S2527" s="19">
        <f t="shared" si="39"/>
        <v>25.5</v>
      </c>
      <c r="T2527">
        <f>COUNTIF('👤 Customers'!$A:$A, B2527)</f>
        <v>1</v>
      </c>
      <c r="U2527">
        <f>COUNTIF('🚴 Riders'!A2526:A2586, C2527)</f>
        <v>0</v>
      </c>
      <c r="V2527">
        <f>COUNTIF('🏭 Facilities'!A2526:A2534, D2527)</f>
        <v>0</v>
      </c>
    </row>
    <row r="2528" spans="1:22">
      <c r="A2528" s="16" t="s">
        <v>5709</v>
      </c>
      <c r="B2528" s="16" t="s">
        <v>2082</v>
      </c>
      <c r="C2528" s="16" t="s">
        <v>287</v>
      </c>
      <c r="D2528" s="16" t="s">
        <v>123</v>
      </c>
      <c r="E2528" s="25">
        <v>45450</v>
      </c>
      <c r="F2528" s="16" t="s">
        <v>5710</v>
      </c>
      <c r="G2528" s="16" t="s">
        <v>176</v>
      </c>
      <c r="H2528" s="16">
        <v>1.6</v>
      </c>
      <c r="I2528" s="16">
        <v>599</v>
      </c>
      <c r="J2528" s="16">
        <v>0</v>
      </c>
      <c r="K2528" s="16">
        <v>958.4</v>
      </c>
      <c r="L2528" s="16" t="s">
        <v>126</v>
      </c>
      <c r="M2528" s="16" t="s">
        <v>119</v>
      </c>
      <c r="N2528" s="27">
        <v>45450.226388888892</v>
      </c>
      <c r="O2528" s="27">
        <v>45450.914583333331</v>
      </c>
      <c r="P2528" s="16">
        <v>4.2</v>
      </c>
      <c r="Q2528" s="16" t="b">
        <f>FALSE()</f>
        <v>0</v>
      </c>
      <c r="R2528" s="16" t="b">
        <f>TRUE()</f>
        <v>1</v>
      </c>
      <c r="S2528" s="17">
        <f t="shared" si="39"/>
        <v>16.5</v>
      </c>
      <c r="T2528">
        <f>COUNTIF('👤 Customers'!$A:$A, B2528)</f>
        <v>1</v>
      </c>
      <c r="U2528">
        <f>COUNTIF('🚴 Riders'!A2527:A2587, C2528)</f>
        <v>0</v>
      </c>
      <c r="V2528">
        <f>COUNTIF('🏭 Facilities'!A2527:A2535, D2528)</f>
        <v>0</v>
      </c>
    </row>
    <row r="2529" spans="1:22">
      <c r="A2529" s="18" t="s">
        <v>5711</v>
      </c>
      <c r="B2529" s="18" t="s">
        <v>161</v>
      </c>
      <c r="C2529" s="18" t="s">
        <v>149</v>
      </c>
      <c r="D2529" s="18" t="s">
        <v>130</v>
      </c>
      <c r="E2529" s="26">
        <v>45613</v>
      </c>
      <c r="F2529" s="18" t="s">
        <v>5712</v>
      </c>
      <c r="G2529" s="18" t="s">
        <v>117</v>
      </c>
      <c r="H2529" s="18">
        <v>4.7</v>
      </c>
      <c r="I2529" s="18">
        <v>149</v>
      </c>
      <c r="J2529" s="18">
        <v>0</v>
      </c>
      <c r="K2529" s="18">
        <v>700.3</v>
      </c>
      <c r="L2529" s="18" t="s">
        <v>207</v>
      </c>
      <c r="M2529" s="18" t="s">
        <v>119</v>
      </c>
      <c r="N2529" s="28">
        <v>45613.763888888891</v>
      </c>
      <c r="O2529" s="28">
        <v>45614.26666666667</v>
      </c>
      <c r="P2529" s="18">
        <v>4.9000000000000004</v>
      </c>
      <c r="Q2529" s="18" t="b">
        <f>FALSE()</f>
        <v>0</v>
      </c>
      <c r="R2529" s="18" t="b">
        <f>FALSE()</f>
        <v>0</v>
      </c>
      <c r="S2529" s="19">
        <f t="shared" si="39"/>
        <v>12.1</v>
      </c>
      <c r="T2529">
        <f>COUNTIF('👤 Customers'!$A:$A, B2529)</f>
        <v>1</v>
      </c>
      <c r="U2529">
        <f>COUNTIF('🚴 Riders'!A2528:A2588, C2529)</f>
        <v>0</v>
      </c>
      <c r="V2529">
        <f>COUNTIF('🏭 Facilities'!A2528:A2536, D2529)</f>
        <v>0</v>
      </c>
    </row>
    <row r="2530" spans="1:22">
      <c r="A2530" s="16" t="s">
        <v>5713</v>
      </c>
      <c r="B2530" s="16" t="s">
        <v>822</v>
      </c>
      <c r="C2530" s="16" t="s">
        <v>300</v>
      </c>
      <c r="D2530" s="16" t="s">
        <v>184</v>
      </c>
      <c r="E2530" s="25">
        <v>45423</v>
      </c>
      <c r="F2530" s="16" t="s">
        <v>5714</v>
      </c>
      <c r="G2530" s="16" t="s">
        <v>176</v>
      </c>
      <c r="H2530" s="16">
        <v>5.3</v>
      </c>
      <c r="I2530" s="16">
        <v>599</v>
      </c>
      <c r="J2530" s="16">
        <v>0</v>
      </c>
      <c r="K2530" s="16">
        <v>3174.7</v>
      </c>
      <c r="L2530" s="16" t="s">
        <v>146</v>
      </c>
      <c r="M2530" s="16" t="s">
        <v>119</v>
      </c>
      <c r="N2530" s="27">
        <v>45423.890972222223</v>
      </c>
      <c r="O2530" s="27">
        <v>45424.262499999997</v>
      </c>
      <c r="P2530" s="16">
        <v>2.5</v>
      </c>
      <c r="Q2530" s="16" t="b">
        <f>FALSE()</f>
        <v>0</v>
      </c>
      <c r="R2530" s="16" t="b">
        <f>FALSE()</f>
        <v>0</v>
      </c>
      <c r="S2530" s="17">
        <f t="shared" si="39"/>
        <v>8.9</v>
      </c>
      <c r="T2530">
        <f>COUNTIF('👤 Customers'!$A:$A, B2530)</f>
        <v>1</v>
      </c>
      <c r="U2530">
        <f>COUNTIF('🚴 Riders'!A2529:A2589, C2530)</f>
        <v>0</v>
      </c>
      <c r="V2530">
        <f>COUNTIF('🏭 Facilities'!A2529:A2537, D2530)</f>
        <v>0</v>
      </c>
    </row>
    <row r="2531" spans="1:22">
      <c r="A2531" s="18" t="s">
        <v>5715</v>
      </c>
      <c r="B2531" s="18" t="s">
        <v>779</v>
      </c>
      <c r="C2531" s="18" t="s">
        <v>461</v>
      </c>
      <c r="D2531" s="18" t="s">
        <v>130</v>
      </c>
      <c r="E2531" s="26">
        <v>45062</v>
      </c>
      <c r="F2531" s="18" t="s">
        <v>5716</v>
      </c>
      <c r="G2531" s="18" t="s">
        <v>132</v>
      </c>
      <c r="H2531" s="18">
        <v>5.7</v>
      </c>
      <c r="I2531" s="18">
        <v>399</v>
      </c>
      <c r="J2531" s="18">
        <v>10</v>
      </c>
      <c r="K2531" s="18">
        <v>2046.87</v>
      </c>
      <c r="L2531" s="18" t="s">
        <v>139</v>
      </c>
      <c r="M2531" s="18" t="s">
        <v>119</v>
      </c>
      <c r="N2531" s="28">
        <v>45062.222222222219</v>
      </c>
      <c r="O2531" s="28">
        <v>45062.683333333334</v>
      </c>
      <c r="P2531" s="18">
        <v>3.6</v>
      </c>
      <c r="Q2531" s="18" t="b">
        <f>FALSE()</f>
        <v>0</v>
      </c>
      <c r="R2531" s="18" t="b">
        <f>FALSE()</f>
        <v>0</v>
      </c>
      <c r="S2531" s="19">
        <f t="shared" si="39"/>
        <v>11.1</v>
      </c>
      <c r="T2531">
        <f>COUNTIF('👤 Customers'!$A:$A, B2531)</f>
        <v>1</v>
      </c>
      <c r="U2531">
        <f>COUNTIF('🚴 Riders'!A2530:A2590, C2531)</f>
        <v>0</v>
      </c>
      <c r="V2531">
        <f>COUNTIF('🏭 Facilities'!A2530:A2538, D2531)</f>
        <v>0</v>
      </c>
    </row>
    <row r="2532" spans="1:22">
      <c r="A2532" s="16" t="s">
        <v>5717</v>
      </c>
      <c r="B2532" s="16" t="s">
        <v>1455</v>
      </c>
      <c r="C2532" s="16" t="s">
        <v>251</v>
      </c>
      <c r="D2532" s="16" t="s">
        <v>197</v>
      </c>
      <c r="E2532" s="25">
        <v>44977</v>
      </c>
      <c r="F2532" s="16" t="s">
        <v>5718</v>
      </c>
      <c r="G2532" s="16" t="s">
        <v>145</v>
      </c>
      <c r="H2532" s="16">
        <v>1.9</v>
      </c>
      <c r="I2532" s="16">
        <v>299</v>
      </c>
      <c r="J2532" s="16">
        <v>0</v>
      </c>
      <c r="K2532" s="16">
        <v>568.1</v>
      </c>
      <c r="L2532" s="16" t="s">
        <v>207</v>
      </c>
      <c r="M2532" s="16" t="s">
        <v>119</v>
      </c>
      <c r="N2532" s="27">
        <v>44977.456944444442</v>
      </c>
      <c r="O2532" s="27">
        <v>44978.058333333334</v>
      </c>
      <c r="P2532" s="16">
        <v>4.8</v>
      </c>
      <c r="Q2532" s="16" t="b">
        <f>FALSE()</f>
        <v>0</v>
      </c>
      <c r="R2532" s="16" t="b">
        <f>TRUE()</f>
        <v>1</v>
      </c>
      <c r="S2532" s="17">
        <f t="shared" si="39"/>
        <v>14.4</v>
      </c>
      <c r="T2532">
        <f>COUNTIF('👤 Customers'!$A:$A, B2532)</f>
        <v>1</v>
      </c>
      <c r="U2532">
        <f>COUNTIF('🚴 Riders'!A2531:A2591, C2532)</f>
        <v>0</v>
      </c>
      <c r="V2532">
        <f>COUNTIF('🏭 Facilities'!A2531:A2539, D2532)</f>
        <v>0</v>
      </c>
    </row>
    <row r="2533" spans="1:22">
      <c r="A2533" s="18" t="s">
        <v>5719</v>
      </c>
      <c r="B2533" s="18" t="s">
        <v>293</v>
      </c>
      <c r="C2533" s="18" t="s">
        <v>166</v>
      </c>
      <c r="D2533" s="18" t="s">
        <v>184</v>
      </c>
      <c r="E2533" s="26">
        <v>45619</v>
      </c>
      <c r="F2533" s="18" t="s">
        <v>5720</v>
      </c>
      <c r="G2533" s="18" t="s">
        <v>132</v>
      </c>
      <c r="H2533" s="18">
        <v>5.0999999999999996</v>
      </c>
      <c r="I2533" s="18">
        <v>399</v>
      </c>
      <c r="J2533" s="18">
        <v>10</v>
      </c>
      <c r="K2533" s="18">
        <v>1831.41</v>
      </c>
      <c r="L2533" s="18" t="s">
        <v>207</v>
      </c>
      <c r="M2533" s="18" t="s">
        <v>133</v>
      </c>
      <c r="N2533" s="20"/>
      <c r="O2533" s="20"/>
      <c r="P2533" s="20"/>
      <c r="Q2533" s="18" t="b">
        <f>FALSE()</f>
        <v>0</v>
      </c>
      <c r="R2533" s="18" t="b">
        <f>FALSE()</f>
        <v>0</v>
      </c>
      <c r="S2533" s="19" t="str">
        <f t="shared" si="39"/>
        <v>N/A</v>
      </c>
      <c r="T2533">
        <f>COUNTIF('👤 Customers'!$A:$A, B2533)</f>
        <v>1</v>
      </c>
      <c r="U2533">
        <f>COUNTIF('🚴 Riders'!A2532:A2592, C2533)</f>
        <v>0</v>
      </c>
      <c r="V2533">
        <f>COUNTIF('🏭 Facilities'!A2532:A2540, D2533)</f>
        <v>0</v>
      </c>
    </row>
    <row r="2534" spans="1:22">
      <c r="A2534" s="16" t="s">
        <v>5721</v>
      </c>
      <c r="B2534" s="16" t="s">
        <v>1496</v>
      </c>
      <c r="C2534" s="16" t="s">
        <v>157</v>
      </c>
      <c r="D2534" s="16" t="s">
        <v>205</v>
      </c>
      <c r="E2534" s="25">
        <v>45652</v>
      </c>
      <c r="F2534" s="16" t="s">
        <v>5722</v>
      </c>
      <c r="G2534" s="16" t="s">
        <v>125</v>
      </c>
      <c r="H2534" s="16">
        <v>2.5</v>
      </c>
      <c r="I2534" s="16">
        <v>199</v>
      </c>
      <c r="J2534" s="16">
        <v>0</v>
      </c>
      <c r="K2534" s="16">
        <v>497.5</v>
      </c>
      <c r="L2534" s="16" t="s">
        <v>146</v>
      </c>
      <c r="M2534" s="16" t="s">
        <v>119</v>
      </c>
      <c r="N2534" s="27">
        <v>45652.368750000001</v>
      </c>
      <c r="O2534" s="27">
        <v>45653.123611111114</v>
      </c>
      <c r="P2534" s="16">
        <v>3</v>
      </c>
      <c r="Q2534" s="16" t="b">
        <f>FALSE()</f>
        <v>0</v>
      </c>
      <c r="R2534" s="16" t="b">
        <f>FALSE()</f>
        <v>0</v>
      </c>
      <c r="S2534" s="17">
        <f t="shared" si="39"/>
        <v>18.100000000000001</v>
      </c>
      <c r="T2534">
        <f>COUNTIF('👤 Customers'!$A:$A, B2534)</f>
        <v>1</v>
      </c>
      <c r="U2534">
        <f>COUNTIF('🚴 Riders'!A2533:A2593, C2534)</f>
        <v>0</v>
      </c>
      <c r="V2534">
        <f>COUNTIF('🏭 Facilities'!A2533:A2541, D2534)</f>
        <v>0</v>
      </c>
    </row>
    <row r="2535" spans="1:22">
      <c r="A2535" s="18" t="s">
        <v>5723</v>
      </c>
      <c r="B2535" s="18" t="s">
        <v>4356</v>
      </c>
      <c r="C2535" s="18" t="s">
        <v>192</v>
      </c>
      <c r="D2535" s="18" t="s">
        <v>115</v>
      </c>
      <c r="E2535" s="26">
        <v>45073</v>
      </c>
      <c r="F2535" s="18" t="s">
        <v>5724</v>
      </c>
      <c r="G2535" s="18" t="s">
        <v>132</v>
      </c>
      <c r="H2535" s="18">
        <v>5.9</v>
      </c>
      <c r="I2535" s="18">
        <v>399</v>
      </c>
      <c r="J2535" s="18">
        <v>20</v>
      </c>
      <c r="K2535" s="18">
        <v>1883.28</v>
      </c>
      <c r="L2535" s="18" t="s">
        <v>126</v>
      </c>
      <c r="M2535" s="18" t="s">
        <v>119</v>
      </c>
      <c r="N2535" s="28">
        <v>45073.898611111108</v>
      </c>
      <c r="O2535" s="28">
        <v>45074.693055555559</v>
      </c>
      <c r="P2535" s="18">
        <v>4.2</v>
      </c>
      <c r="Q2535" s="18" t="b">
        <f>TRUE()</f>
        <v>1</v>
      </c>
      <c r="R2535" s="18" t="b">
        <f>FALSE()</f>
        <v>0</v>
      </c>
      <c r="S2535" s="19">
        <f t="shared" si="39"/>
        <v>19.100000000000001</v>
      </c>
      <c r="T2535">
        <f>COUNTIF('👤 Customers'!$A:$A, B2535)</f>
        <v>1</v>
      </c>
      <c r="U2535">
        <f>COUNTIF('🚴 Riders'!A2534:A2594, C2535)</f>
        <v>0</v>
      </c>
      <c r="V2535">
        <f>COUNTIF('🏭 Facilities'!A2534:A2542, D2535)</f>
        <v>0</v>
      </c>
    </row>
    <row r="2536" spans="1:22">
      <c r="A2536" s="16" t="s">
        <v>5725</v>
      </c>
      <c r="B2536" s="16" t="s">
        <v>1455</v>
      </c>
      <c r="C2536" s="16" t="s">
        <v>326</v>
      </c>
      <c r="D2536" s="16" t="s">
        <v>137</v>
      </c>
      <c r="E2536" s="25">
        <v>45196</v>
      </c>
      <c r="F2536" s="16" t="s">
        <v>5726</v>
      </c>
      <c r="G2536" s="16" t="s">
        <v>176</v>
      </c>
      <c r="H2536" s="16">
        <v>2.7</v>
      </c>
      <c r="I2536" s="16">
        <v>599</v>
      </c>
      <c r="J2536" s="16">
        <v>10</v>
      </c>
      <c r="K2536" s="16">
        <v>1455.57</v>
      </c>
      <c r="L2536" s="16" t="s">
        <v>126</v>
      </c>
      <c r="M2536" s="16" t="s">
        <v>119</v>
      </c>
      <c r="N2536" s="27">
        <v>45196.307638888888</v>
      </c>
      <c r="O2536" s="27">
        <v>45197.107638888891</v>
      </c>
      <c r="P2536" s="16">
        <v>4.5</v>
      </c>
      <c r="Q2536" s="16" t="b">
        <f>TRUE()</f>
        <v>1</v>
      </c>
      <c r="R2536" s="16" t="b">
        <f>FALSE()</f>
        <v>0</v>
      </c>
      <c r="S2536" s="17">
        <f t="shared" si="39"/>
        <v>19.2</v>
      </c>
      <c r="T2536">
        <f>COUNTIF('👤 Customers'!$A:$A, B2536)</f>
        <v>1</v>
      </c>
      <c r="U2536">
        <f>COUNTIF('🚴 Riders'!A2535:A2595, C2536)</f>
        <v>0</v>
      </c>
      <c r="V2536">
        <f>COUNTIF('🏭 Facilities'!A2535:A2543, D2536)</f>
        <v>0</v>
      </c>
    </row>
    <row r="2537" spans="1:22">
      <c r="A2537" s="18" t="s">
        <v>5727</v>
      </c>
      <c r="B2537" s="18" t="s">
        <v>142</v>
      </c>
      <c r="C2537" s="18" t="s">
        <v>122</v>
      </c>
      <c r="D2537" s="18" t="s">
        <v>184</v>
      </c>
      <c r="E2537" s="26">
        <v>45072</v>
      </c>
      <c r="F2537" s="18" t="s">
        <v>5728</v>
      </c>
      <c r="G2537" s="18" t="s">
        <v>132</v>
      </c>
      <c r="H2537" s="18">
        <v>1.2</v>
      </c>
      <c r="I2537" s="18">
        <v>399</v>
      </c>
      <c r="J2537" s="18">
        <v>20</v>
      </c>
      <c r="K2537" s="18">
        <v>383.04</v>
      </c>
      <c r="L2537" s="18" t="s">
        <v>118</v>
      </c>
      <c r="M2537" s="18" t="s">
        <v>119</v>
      </c>
      <c r="N2537" s="28">
        <v>45072.371527777781</v>
      </c>
      <c r="O2537" s="28">
        <v>45073.231944444444</v>
      </c>
      <c r="P2537" s="18">
        <v>4.5999999999999996</v>
      </c>
      <c r="Q2537" s="18" t="b">
        <f>FALSE()</f>
        <v>0</v>
      </c>
      <c r="R2537" s="18" t="b">
        <f>FALSE()</f>
        <v>0</v>
      </c>
      <c r="S2537" s="19">
        <f t="shared" si="39"/>
        <v>20.6</v>
      </c>
      <c r="T2537">
        <f>COUNTIF('👤 Customers'!$A:$A, B2537)</f>
        <v>1</v>
      </c>
      <c r="U2537">
        <f>COUNTIF('🚴 Riders'!A2536:A2596, C2537)</f>
        <v>0</v>
      </c>
      <c r="V2537">
        <f>COUNTIF('🏭 Facilities'!A2536:A2544, D2537)</f>
        <v>0</v>
      </c>
    </row>
    <row r="2538" spans="1:22">
      <c r="A2538" s="16" t="s">
        <v>5729</v>
      </c>
      <c r="B2538" s="16" t="s">
        <v>380</v>
      </c>
      <c r="C2538" s="16" t="s">
        <v>300</v>
      </c>
      <c r="D2538" s="16" t="s">
        <v>123</v>
      </c>
      <c r="E2538" s="25">
        <v>45094</v>
      </c>
      <c r="F2538" s="16" t="s">
        <v>5730</v>
      </c>
      <c r="G2538" s="16" t="s">
        <v>145</v>
      </c>
      <c r="H2538" s="16">
        <v>2.9</v>
      </c>
      <c r="I2538" s="16">
        <v>299</v>
      </c>
      <c r="J2538" s="16">
        <v>0</v>
      </c>
      <c r="K2538" s="16">
        <v>867.1</v>
      </c>
      <c r="L2538" s="16" t="s">
        <v>207</v>
      </c>
      <c r="M2538" s="16" t="s">
        <v>119</v>
      </c>
      <c r="N2538" s="27">
        <v>45094.584027777775</v>
      </c>
      <c r="O2538" s="27">
        <v>45095.364583333336</v>
      </c>
      <c r="P2538" s="16">
        <v>2.9</v>
      </c>
      <c r="Q2538" s="16" t="b">
        <f>FALSE()</f>
        <v>0</v>
      </c>
      <c r="R2538" s="16" t="b">
        <f>FALSE()</f>
        <v>0</v>
      </c>
      <c r="S2538" s="17">
        <f t="shared" si="39"/>
        <v>18.7</v>
      </c>
      <c r="T2538">
        <f>COUNTIF('👤 Customers'!$A:$A, B2538)</f>
        <v>1</v>
      </c>
      <c r="U2538">
        <f>COUNTIF('🚴 Riders'!A2537:A2597, C2538)</f>
        <v>0</v>
      </c>
      <c r="V2538">
        <f>COUNTIF('🏭 Facilities'!A2537:A2545, D2538)</f>
        <v>0</v>
      </c>
    </row>
    <row r="2539" spans="1:22">
      <c r="A2539" s="18" t="s">
        <v>5731</v>
      </c>
      <c r="B2539" s="18" t="s">
        <v>293</v>
      </c>
      <c r="C2539" s="18" t="s">
        <v>431</v>
      </c>
      <c r="D2539" s="18" t="s">
        <v>184</v>
      </c>
      <c r="E2539" s="26">
        <v>44932</v>
      </c>
      <c r="F2539" s="18" t="s">
        <v>5732</v>
      </c>
      <c r="G2539" s="18" t="s">
        <v>125</v>
      </c>
      <c r="H2539" s="18">
        <v>4.2</v>
      </c>
      <c r="I2539" s="18">
        <v>199</v>
      </c>
      <c r="J2539" s="18">
        <v>0</v>
      </c>
      <c r="K2539" s="18">
        <v>835.8</v>
      </c>
      <c r="L2539" s="18" t="s">
        <v>146</v>
      </c>
      <c r="M2539" s="18" t="s">
        <v>119</v>
      </c>
      <c r="N2539" s="28">
        <v>44932.869444444441</v>
      </c>
      <c r="O2539" s="28">
        <v>44933.5625</v>
      </c>
      <c r="P2539" s="18">
        <v>4.8</v>
      </c>
      <c r="Q2539" s="18" t="b">
        <f>FALSE()</f>
        <v>0</v>
      </c>
      <c r="R2539" s="18" t="b">
        <f>FALSE()</f>
        <v>0</v>
      </c>
      <c r="S2539" s="19">
        <f t="shared" si="39"/>
        <v>16.600000000000001</v>
      </c>
      <c r="T2539">
        <f>COUNTIF('👤 Customers'!$A:$A, B2539)</f>
        <v>1</v>
      </c>
      <c r="U2539">
        <f>COUNTIF('🚴 Riders'!A2538:A2598, C2539)</f>
        <v>0</v>
      </c>
      <c r="V2539">
        <f>COUNTIF('🏭 Facilities'!A2538:A2546, D2539)</f>
        <v>0</v>
      </c>
    </row>
    <row r="2540" spans="1:22">
      <c r="A2540" s="16" t="s">
        <v>5733</v>
      </c>
      <c r="B2540" s="16" t="s">
        <v>1000</v>
      </c>
      <c r="C2540" s="16" t="s">
        <v>122</v>
      </c>
      <c r="D2540" s="16" t="s">
        <v>184</v>
      </c>
      <c r="E2540" s="25">
        <v>45175</v>
      </c>
      <c r="F2540" s="16" t="s">
        <v>5734</v>
      </c>
      <c r="G2540" s="16" t="s">
        <v>145</v>
      </c>
      <c r="H2540" s="16">
        <v>1.7</v>
      </c>
      <c r="I2540" s="16">
        <v>299</v>
      </c>
      <c r="J2540" s="16">
        <v>10</v>
      </c>
      <c r="K2540" s="16">
        <v>457.47</v>
      </c>
      <c r="L2540" s="16" t="s">
        <v>126</v>
      </c>
      <c r="M2540" s="16" t="s">
        <v>119</v>
      </c>
      <c r="N2540" s="27">
        <v>45175.294444444444</v>
      </c>
      <c r="O2540" s="27">
        <v>45176.167361111111</v>
      </c>
      <c r="P2540" s="16">
        <v>4.2</v>
      </c>
      <c r="Q2540" s="16" t="b">
        <f>FALSE()</f>
        <v>0</v>
      </c>
      <c r="R2540" s="16" t="b">
        <f>FALSE()</f>
        <v>0</v>
      </c>
      <c r="S2540" s="17">
        <f t="shared" si="39"/>
        <v>21</v>
      </c>
      <c r="T2540">
        <f>COUNTIF('👤 Customers'!$A:$A, B2540)</f>
        <v>1</v>
      </c>
      <c r="U2540">
        <f>COUNTIF('🚴 Riders'!A2539:A2599, C2540)</f>
        <v>0</v>
      </c>
      <c r="V2540">
        <f>COUNTIF('🏭 Facilities'!A2539:A2547, D2540)</f>
        <v>0</v>
      </c>
    </row>
    <row r="2541" spans="1:22">
      <c r="A2541" s="18" t="s">
        <v>5735</v>
      </c>
      <c r="B2541" s="18" t="s">
        <v>1410</v>
      </c>
      <c r="C2541" s="18" t="s">
        <v>136</v>
      </c>
      <c r="D2541" s="18" t="s">
        <v>158</v>
      </c>
      <c r="E2541" s="26">
        <v>45192</v>
      </c>
      <c r="F2541" s="18" t="s">
        <v>5736</v>
      </c>
      <c r="G2541" s="18" t="s">
        <v>176</v>
      </c>
      <c r="H2541" s="18">
        <v>6.1</v>
      </c>
      <c r="I2541" s="18">
        <v>599</v>
      </c>
      <c r="J2541" s="18">
        <v>0</v>
      </c>
      <c r="K2541" s="18">
        <v>3653.9</v>
      </c>
      <c r="L2541" s="18" t="s">
        <v>126</v>
      </c>
      <c r="M2541" s="18" t="s">
        <v>119</v>
      </c>
      <c r="N2541" s="28">
        <v>45192.878472222219</v>
      </c>
      <c r="O2541" s="28">
        <v>45193.856944444444</v>
      </c>
      <c r="P2541" s="18">
        <v>3.7</v>
      </c>
      <c r="Q2541" s="18" t="b">
        <f>FALSE()</f>
        <v>0</v>
      </c>
      <c r="R2541" s="18" t="b">
        <f>FALSE()</f>
        <v>0</v>
      </c>
      <c r="S2541" s="19">
        <f t="shared" si="39"/>
        <v>23.5</v>
      </c>
      <c r="T2541">
        <f>COUNTIF('👤 Customers'!$A:$A, B2541)</f>
        <v>1</v>
      </c>
      <c r="U2541">
        <f>COUNTIF('🚴 Riders'!A2540:A2600, C2541)</f>
        <v>0</v>
      </c>
      <c r="V2541">
        <f>COUNTIF('🏭 Facilities'!A2540:A2548, D2541)</f>
        <v>0</v>
      </c>
    </row>
    <row r="2542" spans="1:22">
      <c r="A2542" s="16" t="s">
        <v>5737</v>
      </c>
      <c r="B2542" s="16" t="s">
        <v>1802</v>
      </c>
      <c r="C2542" s="16" t="s">
        <v>188</v>
      </c>
      <c r="D2542" s="16" t="s">
        <v>205</v>
      </c>
      <c r="E2542" s="25">
        <v>45286</v>
      </c>
      <c r="F2542" s="16" t="s">
        <v>5738</v>
      </c>
      <c r="G2542" s="16" t="s">
        <v>125</v>
      </c>
      <c r="H2542" s="16">
        <v>2.7</v>
      </c>
      <c r="I2542" s="16">
        <v>199</v>
      </c>
      <c r="J2542" s="16">
        <v>0</v>
      </c>
      <c r="K2542" s="16">
        <v>537.29999999999995</v>
      </c>
      <c r="L2542" s="16" t="s">
        <v>139</v>
      </c>
      <c r="M2542" s="16" t="s">
        <v>119</v>
      </c>
      <c r="N2542" s="27">
        <v>45286.364583333336</v>
      </c>
      <c r="O2542" s="27">
        <v>45286.880555555559</v>
      </c>
      <c r="P2542" s="16">
        <v>4.5999999999999996</v>
      </c>
      <c r="Q2542" s="16" t="b">
        <f>FALSE()</f>
        <v>0</v>
      </c>
      <c r="R2542" s="16" t="b">
        <f>FALSE()</f>
        <v>0</v>
      </c>
      <c r="S2542" s="17">
        <f t="shared" si="39"/>
        <v>12.4</v>
      </c>
      <c r="T2542">
        <f>COUNTIF('👤 Customers'!$A:$A, B2542)</f>
        <v>1</v>
      </c>
      <c r="U2542">
        <f>COUNTIF('🚴 Riders'!A2541:A2601, C2542)</f>
        <v>0</v>
      </c>
      <c r="V2542">
        <f>COUNTIF('🏭 Facilities'!A2541:A2549, D2542)</f>
        <v>0</v>
      </c>
    </row>
    <row r="2543" spans="1:22">
      <c r="A2543" s="18" t="s">
        <v>5739</v>
      </c>
      <c r="B2543" s="18" t="s">
        <v>713</v>
      </c>
      <c r="C2543" s="18" t="s">
        <v>114</v>
      </c>
      <c r="D2543" s="18" t="s">
        <v>197</v>
      </c>
      <c r="E2543" s="26">
        <v>45526</v>
      </c>
      <c r="F2543" s="18" t="s">
        <v>5740</v>
      </c>
      <c r="G2543" s="18" t="s">
        <v>125</v>
      </c>
      <c r="H2543" s="18">
        <v>3.3</v>
      </c>
      <c r="I2543" s="18">
        <v>199</v>
      </c>
      <c r="J2543" s="18">
        <v>10</v>
      </c>
      <c r="K2543" s="18">
        <v>591.03</v>
      </c>
      <c r="L2543" s="18" t="s">
        <v>146</v>
      </c>
      <c r="M2543" s="18" t="s">
        <v>140</v>
      </c>
      <c r="N2543" s="28">
        <v>45526.077777777777</v>
      </c>
      <c r="O2543" s="28">
        <v>45526.486111111109</v>
      </c>
      <c r="P2543" s="20"/>
      <c r="Q2543" s="18" t="b">
        <f>FALSE()</f>
        <v>0</v>
      </c>
      <c r="R2543" s="18" t="b">
        <f>FALSE()</f>
        <v>0</v>
      </c>
      <c r="S2543" s="19">
        <f t="shared" si="39"/>
        <v>9.8000000000000007</v>
      </c>
      <c r="T2543">
        <f>COUNTIF('👤 Customers'!$A:$A, B2543)</f>
        <v>1</v>
      </c>
      <c r="U2543">
        <f>COUNTIF('🚴 Riders'!A2542:A2602, C2543)</f>
        <v>0</v>
      </c>
      <c r="V2543">
        <f>COUNTIF('🏭 Facilities'!A2542:A2550, D2543)</f>
        <v>0</v>
      </c>
    </row>
    <row r="2544" spans="1:22">
      <c r="A2544" s="16" t="s">
        <v>5741</v>
      </c>
      <c r="B2544" s="16" t="s">
        <v>566</v>
      </c>
      <c r="C2544" s="16" t="s">
        <v>114</v>
      </c>
      <c r="D2544" s="16" t="s">
        <v>158</v>
      </c>
      <c r="E2544" s="25">
        <v>45581</v>
      </c>
      <c r="F2544" s="16" t="s">
        <v>5742</v>
      </c>
      <c r="G2544" s="16" t="s">
        <v>145</v>
      </c>
      <c r="H2544" s="16">
        <v>3.8</v>
      </c>
      <c r="I2544" s="16">
        <v>299</v>
      </c>
      <c r="J2544" s="16">
        <v>10</v>
      </c>
      <c r="K2544" s="16">
        <v>1022.58</v>
      </c>
      <c r="L2544" s="16" t="s">
        <v>126</v>
      </c>
      <c r="M2544" s="16" t="s">
        <v>119</v>
      </c>
      <c r="N2544" s="27">
        <v>45582.001388888886</v>
      </c>
      <c r="O2544" s="27">
        <v>45582.793749999997</v>
      </c>
      <c r="P2544" s="16">
        <v>2.6</v>
      </c>
      <c r="Q2544" s="16" t="b">
        <f>FALSE()</f>
        <v>0</v>
      </c>
      <c r="R2544" s="16" t="b">
        <f>FALSE()</f>
        <v>0</v>
      </c>
      <c r="S2544" s="17">
        <f t="shared" si="39"/>
        <v>19</v>
      </c>
      <c r="T2544">
        <f>COUNTIF('👤 Customers'!$A:$A, B2544)</f>
        <v>1</v>
      </c>
      <c r="U2544">
        <f>COUNTIF('🚴 Riders'!A2543:A2603, C2544)</f>
        <v>0</v>
      </c>
      <c r="V2544">
        <f>COUNTIF('🏭 Facilities'!A2543:A2551, D2544)</f>
        <v>0</v>
      </c>
    </row>
    <row r="2545" spans="1:22">
      <c r="A2545" s="18" t="s">
        <v>5743</v>
      </c>
      <c r="B2545" s="18" t="s">
        <v>424</v>
      </c>
      <c r="C2545" s="18" t="s">
        <v>750</v>
      </c>
      <c r="D2545" s="18" t="s">
        <v>123</v>
      </c>
      <c r="E2545" s="26">
        <v>45640</v>
      </c>
      <c r="F2545" s="18" t="s">
        <v>5744</v>
      </c>
      <c r="G2545" s="18" t="s">
        <v>132</v>
      </c>
      <c r="H2545" s="18">
        <v>5.9</v>
      </c>
      <c r="I2545" s="18">
        <v>399</v>
      </c>
      <c r="J2545" s="18">
        <v>0</v>
      </c>
      <c r="K2545" s="18">
        <v>2354.1</v>
      </c>
      <c r="L2545" s="18" t="s">
        <v>207</v>
      </c>
      <c r="M2545" s="18" t="s">
        <v>119</v>
      </c>
      <c r="N2545" s="28">
        <v>45640.367361111108</v>
      </c>
      <c r="O2545" s="28">
        <v>45641.119444444441</v>
      </c>
      <c r="P2545" s="18">
        <v>2.7</v>
      </c>
      <c r="Q2545" s="18" t="b">
        <f>FALSE()</f>
        <v>0</v>
      </c>
      <c r="R2545" s="18" t="b">
        <f>TRUE()</f>
        <v>1</v>
      </c>
      <c r="S2545" s="19">
        <f t="shared" si="39"/>
        <v>18</v>
      </c>
      <c r="T2545">
        <f>COUNTIF('👤 Customers'!$A:$A, B2545)</f>
        <v>1</v>
      </c>
      <c r="U2545">
        <f>COUNTIF('🚴 Riders'!A2544:A2604, C2545)</f>
        <v>0</v>
      </c>
      <c r="V2545">
        <f>COUNTIF('🏭 Facilities'!A2544:A2552, D2545)</f>
        <v>0</v>
      </c>
    </row>
    <row r="2546" spans="1:22">
      <c r="A2546" s="16" t="s">
        <v>5745</v>
      </c>
      <c r="B2546" s="16" t="s">
        <v>586</v>
      </c>
      <c r="C2546" s="16" t="s">
        <v>283</v>
      </c>
      <c r="D2546" s="16" t="s">
        <v>130</v>
      </c>
      <c r="E2546" s="25">
        <v>45616</v>
      </c>
      <c r="F2546" s="16" t="s">
        <v>5746</v>
      </c>
      <c r="G2546" s="16" t="s">
        <v>132</v>
      </c>
      <c r="H2546" s="16">
        <v>3.3</v>
      </c>
      <c r="I2546" s="16">
        <v>399</v>
      </c>
      <c r="J2546" s="16">
        <v>10</v>
      </c>
      <c r="K2546" s="16">
        <v>1185.03</v>
      </c>
      <c r="L2546" s="16" t="s">
        <v>139</v>
      </c>
      <c r="M2546" s="16" t="s">
        <v>119</v>
      </c>
      <c r="N2546" s="27">
        <v>45616.259722222225</v>
      </c>
      <c r="O2546" s="27">
        <v>45617.292361111111</v>
      </c>
      <c r="P2546" s="16">
        <v>4.0999999999999996</v>
      </c>
      <c r="Q2546" s="16" t="b">
        <f>FALSE()</f>
        <v>0</v>
      </c>
      <c r="R2546" s="16" t="b">
        <f>FALSE()</f>
        <v>0</v>
      </c>
      <c r="S2546" s="17">
        <f t="shared" si="39"/>
        <v>24.8</v>
      </c>
      <c r="T2546">
        <f>COUNTIF('👤 Customers'!$A:$A, B2546)</f>
        <v>1</v>
      </c>
      <c r="U2546">
        <f>COUNTIF('🚴 Riders'!A2545:A2605, C2546)</f>
        <v>0</v>
      </c>
      <c r="V2546">
        <f>COUNTIF('🏭 Facilities'!A2545:A2553, D2546)</f>
        <v>0</v>
      </c>
    </row>
    <row r="2547" spans="1:22">
      <c r="A2547" s="18" t="s">
        <v>5747</v>
      </c>
      <c r="B2547" s="18" t="s">
        <v>1496</v>
      </c>
      <c r="C2547" s="18" t="s">
        <v>122</v>
      </c>
      <c r="D2547" s="18" t="s">
        <v>197</v>
      </c>
      <c r="E2547" s="26">
        <v>44962</v>
      </c>
      <c r="F2547" s="18" t="s">
        <v>5748</v>
      </c>
      <c r="G2547" s="18" t="s">
        <v>117</v>
      </c>
      <c r="H2547" s="18">
        <v>1.5</v>
      </c>
      <c r="I2547" s="18">
        <v>149</v>
      </c>
      <c r="J2547" s="18">
        <v>0</v>
      </c>
      <c r="K2547" s="18">
        <v>223.5</v>
      </c>
      <c r="L2547" s="18" t="s">
        <v>207</v>
      </c>
      <c r="M2547" s="18" t="s">
        <v>119</v>
      </c>
      <c r="N2547" s="28">
        <v>44962.074999999997</v>
      </c>
      <c r="O2547" s="28">
        <v>44962.461111111108</v>
      </c>
      <c r="P2547" s="18">
        <v>4.5</v>
      </c>
      <c r="Q2547" s="18" t="b">
        <f>FALSE()</f>
        <v>0</v>
      </c>
      <c r="R2547" s="18" t="b">
        <f>FALSE()</f>
        <v>0</v>
      </c>
      <c r="S2547" s="19">
        <f t="shared" si="39"/>
        <v>9.3000000000000007</v>
      </c>
      <c r="T2547">
        <f>COUNTIF('👤 Customers'!$A:$A, B2547)</f>
        <v>1</v>
      </c>
      <c r="U2547">
        <f>COUNTIF('🚴 Riders'!A2546:A2606, C2547)</f>
        <v>0</v>
      </c>
      <c r="V2547">
        <f>COUNTIF('🏭 Facilities'!A2546:A2554, D2547)</f>
        <v>0</v>
      </c>
    </row>
    <row r="2548" spans="1:22">
      <c r="A2548" s="16" t="s">
        <v>5749</v>
      </c>
      <c r="B2548" s="16" t="s">
        <v>617</v>
      </c>
      <c r="C2548" s="16" t="s">
        <v>232</v>
      </c>
      <c r="D2548" s="16" t="s">
        <v>137</v>
      </c>
      <c r="E2548" s="25">
        <v>45037</v>
      </c>
      <c r="F2548" s="16" t="s">
        <v>5750</v>
      </c>
      <c r="G2548" s="16" t="s">
        <v>125</v>
      </c>
      <c r="H2548" s="16">
        <v>1.1000000000000001</v>
      </c>
      <c r="I2548" s="16">
        <v>199</v>
      </c>
      <c r="J2548" s="16">
        <v>10</v>
      </c>
      <c r="K2548" s="16">
        <v>197.01</v>
      </c>
      <c r="L2548" s="16" t="s">
        <v>207</v>
      </c>
      <c r="M2548" s="16" t="s">
        <v>119</v>
      </c>
      <c r="N2548" s="27">
        <v>45037.98541666667</v>
      </c>
      <c r="O2548" s="27">
        <v>45038.463194444441</v>
      </c>
      <c r="P2548" s="16">
        <v>4</v>
      </c>
      <c r="Q2548" s="16" t="b">
        <f>FALSE()</f>
        <v>0</v>
      </c>
      <c r="R2548" s="16" t="b">
        <f>TRUE()</f>
        <v>1</v>
      </c>
      <c r="S2548" s="17">
        <f t="shared" si="39"/>
        <v>11.5</v>
      </c>
      <c r="T2548">
        <f>COUNTIF('👤 Customers'!$A:$A, B2548)</f>
        <v>1</v>
      </c>
      <c r="U2548">
        <f>COUNTIF('🚴 Riders'!A2547:A2607, C2548)</f>
        <v>0</v>
      </c>
      <c r="V2548">
        <f>COUNTIF('🏭 Facilities'!A2547:A2555, D2548)</f>
        <v>0</v>
      </c>
    </row>
    <row r="2549" spans="1:22">
      <c r="A2549" s="18" t="s">
        <v>5751</v>
      </c>
      <c r="B2549" s="18" t="s">
        <v>5115</v>
      </c>
      <c r="C2549" s="18" t="s">
        <v>322</v>
      </c>
      <c r="D2549" s="18" t="s">
        <v>205</v>
      </c>
      <c r="E2549" s="26">
        <v>45450</v>
      </c>
      <c r="F2549" s="18" t="s">
        <v>5752</v>
      </c>
      <c r="G2549" s="18" t="s">
        <v>117</v>
      </c>
      <c r="H2549" s="18">
        <v>5</v>
      </c>
      <c r="I2549" s="18">
        <v>149</v>
      </c>
      <c r="J2549" s="18">
        <v>20</v>
      </c>
      <c r="K2549" s="18">
        <v>596</v>
      </c>
      <c r="L2549" s="18" t="s">
        <v>207</v>
      </c>
      <c r="M2549" s="18" t="s">
        <v>133</v>
      </c>
      <c r="N2549" s="20"/>
      <c r="O2549" s="20"/>
      <c r="P2549" s="20"/>
      <c r="Q2549" s="18" t="b">
        <f>FALSE()</f>
        <v>0</v>
      </c>
      <c r="R2549" s="18" t="b">
        <f>FALSE()</f>
        <v>0</v>
      </c>
      <c r="S2549" s="19" t="str">
        <f t="shared" si="39"/>
        <v>N/A</v>
      </c>
      <c r="T2549">
        <f>COUNTIF('👤 Customers'!$A:$A, B2549)</f>
        <v>1</v>
      </c>
      <c r="U2549">
        <f>COUNTIF('🚴 Riders'!A2548:A2608, C2549)</f>
        <v>0</v>
      </c>
      <c r="V2549">
        <f>COUNTIF('🏭 Facilities'!A2548:A2556, D2549)</f>
        <v>0</v>
      </c>
    </row>
    <row r="2550" spans="1:22">
      <c r="A2550" s="16" t="s">
        <v>5753</v>
      </c>
      <c r="B2550" s="16" t="s">
        <v>3825</v>
      </c>
      <c r="C2550" s="16" t="s">
        <v>308</v>
      </c>
      <c r="D2550" s="16" t="s">
        <v>184</v>
      </c>
      <c r="E2550" s="25">
        <v>45290</v>
      </c>
      <c r="F2550" s="16" t="s">
        <v>5754</v>
      </c>
      <c r="G2550" s="16" t="s">
        <v>176</v>
      </c>
      <c r="H2550" s="16">
        <v>7.5</v>
      </c>
      <c r="I2550" s="16">
        <v>599</v>
      </c>
      <c r="J2550" s="16">
        <v>10</v>
      </c>
      <c r="K2550" s="16">
        <v>4043.25</v>
      </c>
      <c r="L2550" s="16" t="s">
        <v>139</v>
      </c>
      <c r="M2550" s="16" t="s">
        <v>140</v>
      </c>
      <c r="N2550" s="27">
        <v>45290.443749999999</v>
      </c>
      <c r="O2550" s="27">
        <v>45291.147916666669</v>
      </c>
      <c r="P2550" s="20"/>
      <c r="Q2550" s="16" t="b">
        <f>FALSE()</f>
        <v>0</v>
      </c>
      <c r="R2550" s="16" t="b">
        <f>FALSE()</f>
        <v>0</v>
      </c>
      <c r="S2550" s="17">
        <f t="shared" si="39"/>
        <v>16.899999999999999</v>
      </c>
      <c r="T2550">
        <f>COUNTIF('👤 Customers'!$A:$A, B2550)</f>
        <v>1</v>
      </c>
      <c r="U2550">
        <f>COUNTIF('🚴 Riders'!A2549:A2609, C2550)</f>
        <v>0</v>
      </c>
      <c r="V2550">
        <f>COUNTIF('🏭 Facilities'!A2549:A2557, D2550)</f>
        <v>0</v>
      </c>
    </row>
    <row r="2551" spans="1:22">
      <c r="A2551" s="18" t="s">
        <v>5755</v>
      </c>
      <c r="B2551" s="18" t="s">
        <v>1802</v>
      </c>
      <c r="C2551" s="18" t="s">
        <v>304</v>
      </c>
      <c r="D2551" s="18" t="s">
        <v>123</v>
      </c>
      <c r="E2551" s="26">
        <v>45237</v>
      </c>
      <c r="F2551" s="18" t="s">
        <v>5756</v>
      </c>
      <c r="G2551" s="18" t="s">
        <v>145</v>
      </c>
      <c r="H2551" s="18">
        <v>7.9</v>
      </c>
      <c r="I2551" s="18">
        <v>299</v>
      </c>
      <c r="J2551" s="18">
        <v>0</v>
      </c>
      <c r="K2551" s="18">
        <v>2362.1</v>
      </c>
      <c r="L2551" s="18" t="s">
        <v>207</v>
      </c>
      <c r="M2551" s="18" t="s">
        <v>119</v>
      </c>
      <c r="N2551" s="28">
        <v>45237.21875</v>
      </c>
      <c r="O2551" s="28">
        <v>45237.754166666666</v>
      </c>
      <c r="P2551" s="18">
        <v>3.8</v>
      </c>
      <c r="Q2551" s="18" t="b">
        <f>FALSE()</f>
        <v>0</v>
      </c>
      <c r="R2551" s="18" t="b">
        <f>FALSE()</f>
        <v>0</v>
      </c>
      <c r="S2551" s="19">
        <f t="shared" si="39"/>
        <v>12.8</v>
      </c>
      <c r="T2551">
        <f>COUNTIF('👤 Customers'!$A:$A, B2551)</f>
        <v>1</v>
      </c>
      <c r="U2551">
        <f>COUNTIF('🚴 Riders'!A2550:A2610, C2551)</f>
        <v>0</v>
      </c>
      <c r="V2551">
        <f>COUNTIF('🏭 Facilities'!A2550:A2558, D2551)</f>
        <v>0</v>
      </c>
    </row>
    <row r="2552" spans="1:22">
      <c r="A2552" s="16" t="s">
        <v>5757</v>
      </c>
      <c r="B2552" s="16" t="s">
        <v>209</v>
      </c>
      <c r="C2552" s="16" t="s">
        <v>315</v>
      </c>
      <c r="D2552" s="16" t="s">
        <v>115</v>
      </c>
      <c r="E2552" s="25">
        <v>45504</v>
      </c>
      <c r="F2552" s="16" t="s">
        <v>5758</v>
      </c>
      <c r="G2552" s="16" t="s">
        <v>117</v>
      </c>
      <c r="H2552" s="16">
        <v>7.3</v>
      </c>
      <c r="I2552" s="16">
        <v>149</v>
      </c>
      <c r="J2552" s="16">
        <v>0</v>
      </c>
      <c r="K2552" s="16">
        <v>1087.7</v>
      </c>
      <c r="L2552" s="16" t="s">
        <v>207</v>
      </c>
      <c r="M2552" s="16" t="s">
        <v>119</v>
      </c>
      <c r="N2552" s="27">
        <v>45504.487500000003</v>
      </c>
      <c r="O2552" s="27">
        <v>45504.980555555558</v>
      </c>
      <c r="P2552" s="16">
        <v>3.4</v>
      </c>
      <c r="Q2552" s="16" t="b">
        <f>FALSE()</f>
        <v>0</v>
      </c>
      <c r="R2552" s="16" t="b">
        <f>FALSE()</f>
        <v>0</v>
      </c>
      <c r="S2552" s="17">
        <f t="shared" si="39"/>
        <v>11.8</v>
      </c>
      <c r="T2552">
        <f>COUNTIF('👤 Customers'!$A:$A, B2552)</f>
        <v>1</v>
      </c>
      <c r="U2552">
        <f>COUNTIF('🚴 Riders'!A2551:A2611, C2552)</f>
        <v>0</v>
      </c>
      <c r="V2552">
        <f>COUNTIF('🏭 Facilities'!A2551:A2559, D2552)</f>
        <v>0</v>
      </c>
    </row>
    <row r="2553" spans="1:22">
      <c r="A2553" s="18" t="s">
        <v>5759</v>
      </c>
      <c r="B2553" s="18" t="s">
        <v>1368</v>
      </c>
      <c r="C2553" s="18" t="s">
        <v>479</v>
      </c>
      <c r="D2553" s="18" t="s">
        <v>158</v>
      </c>
      <c r="E2553" s="26">
        <v>45090</v>
      </c>
      <c r="F2553" s="18" t="s">
        <v>5760</v>
      </c>
      <c r="G2553" s="18" t="s">
        <v>132</v>
      </c>
      <c r="H2553" s="18">
        <v>3.3</v>
      </c>
      <c r="I2553" s="18">
        <v>399</v>
      </c>
      <c r="J2553" s="18">
        <v>10</v>
      </c>
      <c r="K2553" s="18">
        <v>1185.03</v>
      </c>
      <c r="L2553" s="18" t="s">
        <v>146</v>
      </c>
      <c r="M2553" s="18" t="s">
        <v>119</v>
      </c>
      <c r="N2553" s="28">
        <v>45090.759027777778</v>
      </c>
      <c r="O2553" s="28">
        <v>45091.55</v>
      </c>
      <c r="P2553" s="18">
        <v>4.5999999999999996</v>
      </c>
      <c r="Q2553" s="18" t="b">
        <f>FALSE()</f>
        <v>0</v>
      </c>
      <c r="R2553" s="18" t="b">
        <f>TRUE()</f>
        <v>1</v>
      </c>
      <c r="S2553" s="19">
        <f t="shared" si="39"/>
        <v>19</v>
      </c>
      <c r="T2553">
        <f>COUNTIF('👤 Customers'!$A:$A, B2553)</f>
        <v>1</v>
      </c>
      <c r="U2553">
        <f>COUNTIF('🚴 Riders'!A2552:A2612, C2553)</f>
        <v>0</v>
      </c>
      <c r="V2553">
        <f>COUNTIF('🏭 Facilities'!A2552:A2560, D2553)</f>
        <v>0</v>
      </c>
    </row>
    <row r="2554" spans="1:22">
      <c r="A2554" s="16" t="s">
        <v>5761</v>
      </c>
      <c r="B2554" s="16" t="s">
        <v>357</v>
      </c>
      <c r="C2554" s="16" t="s">
        <v>247</v>
      </c>
      <c r="D2554" s="16" t="s">
        <v>158</v>
      </c>
      <c r="E2554" s="25">
        <v>44969</v>
      </c>
      <c r="F2554" s="16" t="s">
        <v>5762</v>
      </c>
      <c r="G2554" s="16" t="s">
        <v>117</v>
      </c>
      <c r="H2554" s="16">
        <v>4.3</v>
      </c>
      <c r="I2554" s="16">
        <v>149</v>
      </c>
      <c r="J2554" s="16">
        <v>0</v>
      </c>
      <c r="K2554" s="16">
        <v>640.70000000000005</v>
      </c>
      <c r="L2554" s="16" t="s">
        <v>139</v>
      </c>
      <c r="M2554" s="16" t="s">
        <v>140</v>
      </c>
      <c r="N2554" s="27">
        <v>44969.724305555559</v>
      </c>
      <c r="O2554" s="27">
        <v>44970.227083333331</v>
      </c>
      <c r="P2554" s="20"/>
      <c r="Q2554" s="16" t="b">
        <f>TRUE()</f>
        <v>1</v>
      </c>
      <c r="R2554" s="16" t="b">
        <f>FALSE()</f>
        <v>0</v>
      </c>
      <c r="S2554" s="17">
        <f t="shared" si="39"/>
        <v>12.1</v>
      </c>
      <c r="T2554">
        <f>COUNTIF('👤 Customers'!$A:$A, B2554)</f>
        <v>1</v>
      </c>
      <c r="U2554">
        <f>COUNTIF('🚴 Riders'!A2553:A2613, C2554)</f>
        <v>0</v>
      </c>
      <c r="V2554">
        <f>COUNTIF('🏭 Facilities'!A2553:A2561, D2554)</f>
        <v>0</v>
      </c>
    </row>
    <row r="2555" spans="1:22">
      <c r="A2555" s="18" t="s">
        <v>5763</v>
      </c>
      <c r="B2555" s="18" t="s">
        <v>430</v>
      </c>
      <c r="C2555" s="18" t="s">
        <v>315</v>
      </c>
      <c r="D2555" s="18" t="s">
        <v>158</v>
      </c>
      <c r="E2555" s="26">
        <v>45655</v>
      </c>
      <c r="F2555" s="18" t="s">
        <v>5764</v>
      </c>
      <c r="G2555" s="18" t="s">
        <v>117</v>
      </c>
      <c r="H2555" s="18">
        <v>5.2</v>
      </c>
      <c r="I2555" s="18">
        <v>149</v>
      </c>
      <c r="J2555" s="18">
        <v>10</v>
      </c>
      <c r="K2555" s="18">
        <v>697.32</v>
      </c>
      <c r="L2555" s="18" t="s">
        <v>146</v>
      </c>
      <c r="M2555" s="18" t="s">
        <v>119</v>
      </c>
      <c r="N2555" s="28">
        <v>45655.154861111114</v>
      </c>
      <c r="O2555" s="28">
        <v>45656.254166666666</v>
      </c>
      <c r="P2555" s="18">
        <v>4.2</v>
      </c>
      <c r="Q2555" s="18" t="b">
        <f>FALSE()</f>
        <v>0</v>
      </c>
      <c r="R2555" s="18" t="b">
        <f>FALSE()</f>
        <v>0</v>
      </c>
      <c r="S2555" s="19">
        <f t="shared" si="39"/>
        <v>26.4</v>
      </c>
      <c r="T2555">
        <f>COUNTIF('👤 Customers'!$A:$A, B2555)</f>
        <v>1</v>
      </c>
      <c r="U2555">
        <f>COUNTIF('🚴 Riders'!A2554:A2614, C2555)</f>
        <v>0</v>
      </c>
      <c r="V2555">
        <f>COUNTIF('🏭 Facilities'!A2554:A2562, D2555)</f>
        <v>0</v>
      </c>
    </row>
    <row r="2556" spans="1:22">
      <c r="A2556" s="16" t="s">
        <v>5765</v>
      </c>
      <c r="B2556" s="16" t="s">
        <v>1416</v>
      </c>
      <c r="C2556" s="16" t="s">
        <v>196</v>
      </c>
      <c r="D2556" s="16" t="s">
        <v>205</v>
      </c>
      <c r="E2556" s="25">
        <v>45405</v>
      </c>
      <c r="F2556" s="16" t="s">
        <v>5766</v>
      </c>
      <c r="G2556" s="16" t="s">
        <v>132</v>
      </c>
      <c r="H2556" s="16">
        <v>2.9</v>
      </c>
      <c r="I2556" s="16">
        <v>399</v>
      </c>
      <c r="J2556" s="16">
        <v>0</v>
      </c>
      <c r="K2556" s="16">
        <v>1157.0999999999999</v>
      </c>
      <c r="L2556" s="16" t="s">
        <v>126</v>
      </c>
      <c r="M2556" s="16" t="s">
        <v>119</v>
      </c>
      <c r="N2556" s="27">
        <v>45405.668749999997</v>
      </c>
      <c r="O2556" s="27">
        <v>45406.582638888889</v>
      </c>
      <c r="P2556" s="16">
        <v>3.8</v>
      </c>
      <c r="Q2556" s="16" t="b">
        <f>FALSE()</f>
        <v>0</v>
      </c>
      <c r="R2556" s="16" t="b">
        <f>FALSE()</f>
        <v>0</v>
      </c>
      <c r="S2556" s="17">
        <f t="shared" si="39"/>
        <v>21.9</v>
      </c>
      <c r="T2556">
        <f>COUNTIF('👤 Customers'!$A:$A, B2556)</f>
        <v>1</v>
      </c>
      <c r="U2556">
        <f>COUNTIF('🚴 Riders'!A2555:A2615, C2556)</f>
        <v>0</v>
      </c>
      <c r="V2556">
        <f>COUNTIF('🏭 Facilities'!A2555:A2563, D2556)</f>
        <v>0</v>
      </c>
    </row>
    <row r="2557" spans="1:22">
      <c r="A2557" s="18" t="s">
        <v>5767</v>
      </c>
      <c r="B2557" s="18" t="s">
        <v>710</v>
      </c>
      <c r="C2557" s="18" t="s">
        <v>129</v>
      </c>
      <c r="D2557" s="18" t="s">
        <v>197</v>
      </c>
      <c r="E2557" s="26">
        <v>45250</v>
      </c>
      <c r="F2557" s="18" t="s">
        <v>5768</v>
      </c>
      <c r="G2557" s="18" t="s">
        <v>125</v>
      </c>
      <c r="H2557" s="18">
        <v>2.6</v>
      </c>
      <c r="I2557" s="18">
        <v>199</v>
      </c>
      <c r="J2557" s="18">
        <v>0</v>
      </c>
      <c r="K2557" s="18">
        <v>517.4</v>
      </c>
      <c r="L2557" s="18" t="s">
        <v>146</v>
      </c>
      <c r="M2557" s="18" t="s">
        <v>119</v>
      </c>
      <c r="N2557" s="28">
        <v>45251.106249999997</v>
      </c>
      <c r="O2557" s="28">
        <v>45252.147916666669</v>
      </c>
      <c r="P2557" s="18">
        <v>3.1</v>
      </c>
      <c r="Q2557" s="18" t="b">
        <f>TRUE()</f>
        <v>1</v>
      </c>
      <c r="R2557" s="18" t="b">
        <f>FALSE()</f>
        <v>0</v>
      </c>
      <c r="S2557" s="19">
        <f t="shared" si="39"/>
        <v>25</v>
      </c>
      <c r="T2557">
        <f>COUNTIF('👤 Customers'!$A:$A, B2557)</f>
        <v>1</v>
      </c>
      <c r="U2557">
        <f>COUNTIF('🚴 Riders'!A2556:A2616, C2557)</f>
        <v>0</v>
      </c>
      <c r="V2557">
        <f>COUNTIF('🏭 Facilities'!A2556:A2564, D2557)</f>
        <v>0</v>
      </c>
    </row>
    <row r="2558" spans="1:22">
      <c r="A2558" s="16" t="s">
        <v>5769</v>
      </c>
      <c r="B2558" s="16" t="s">
        <v>713</v>
      </c>
      <c r="C2558" s="16" t="s">
        <v>236</v>
      </c>
      <c r="D2558" s="16" t="s">
        <v>115</v>
      </c>
      <c r="E2558" s="25">
        <v>45502</v>
      </c>
      <c r="F2558" s="16" t="s">
        <v>5770</v>
      </c>
      <c r="G2558" s="16" t="s">
        <v>132</v>
      </c>
      <c r="H2558" s="16">
        <v>2.9</v>
      </c>
      <c r="I2558" s="16">
        <v>399</v>
      </c>
      <c r="J2558" s="16">
        <v>0</v>
      </c>
      <c r="K2558" s="16">
        <v>1157.0999999999999</v>
      </c>
      <c r="L2558" s="16" t="s">
        <v>146</v>
      </c>
      <c r="M2558" s="16" t="s">
        <v>119</v>
      </c>
      <c r="N2558" s="27">
        <v>45502.845833333333</v>
      </c>
      <c r="O2558" s="27">
        <v>45503.6875</v>
      </c>
      <c r="P2558" s="16">
        <v>4.9000000000000004</v>
      </c>
      <c r="Q2558" s="16" t="b">
        <f>FALSE()</f>
        <v>0</v>
      </c>
      <c r="R2558" s="16" t="b">
        <f>FALSE()</f>
        <v>0</v>
      </c>
      <c r="S2558" s="17">
        <f t="shared" si="39"/>
        <v>20.2</v>
      </c>
      <c r="T2558">
        <f>COUNTIF('👤 Customers'!$A:$A, B2558)</f>
        <v>1</v>
      </c>
      <c r="U2558">
        <f>COUNTIF('🚴 Riders'!A2557:A2617, C2558)</f>
        <v>0</v>
      </c>
      <c r="V2558">
        <f>COUNTIF('🏭 Facilities'!A2557:A2565, D2558)</f>
        <v>0</v>
      </c>
    </row>
    <row r="2559" spans="1:22">
      <c r="A2559" s="18" t="s">
        <v>5771</v>
      </c>
      <c r="B2559" s="18" t="s">
        <v>1979</v>
      </c>
      <c r="C2559" s="18" t="s">
        <v>228</v>
      </c>
      <c r="D2559" s="18" t="s">
        <v>205</v>
      </c>
      <c r="E2559" s="26">
        <v>45355</v>
      </c>
      <c r="F2559" s="18" t="s">
        <v>5772</v>
      </c>
      <c r="G2559" s="18" t="s">
        <v>125</v>
      </c>
      <c r="H2559" s="18">
        <v>1.6</v>
      </c>
      <c r="I2559" s="18">
        <v>199</v>
      </c>
      <c r="J2559" s="18">
        <v>10</v>
      </c>
      <c r="K2559" s="18">
        <v>286.56</v>
      </c>
      <c r="L2559" s="18" t="s">
        <v>207</v>
      </c>
      <c r="M2559" s="18" t="s">
        <v>119</v>
      </c>
      <c r="N2559" s="28">
        <v>45355.045138888891</v>
      </c>
      <c r="O2559" s="28">
        <v>45355.943055555559</v>
      </c>
      <c r="P2559" s="18">
        <v>2.6</v>
      </c>
      <c r="Q2559" s="18" t="b">
        <f>FALSE()</f>
        <v>0</v>
      </c>
      <c r="R2559" s="18" t="b">
        <f>FALSE()</f>
        <v>0</v>
      </c>
      <c r="S2559" s="19">
        <f t="shared" si="39"/>
        <v>21.6</v>
      </c>
      <c r="T2559">
        <f>COUNTIF('👤 Customers'!$A:$A, B2559)</f>
        <v>1</v>
      </c>
      <c r="U2559">
        <f>COUNTIF('🚴 Riders'!A2558:A2618, C2559)</f>
        <v>0</v>
      </c>
      <c r="V2559">
        <f>COUNTIF('🏭 Facilities'!A2558:A2566, D2559)</f>
        <v>0</v>
      </c>
    </row>
    <row r="2560" spans="1:22">
      <c r="A2560" s="16" t="s">
        <v>5773</v>
      </c>
      <c r="B2560" s="16" t="s">
        <v>698</v>
      </c>
      <c r="C2560" s="16" t="s">
        <v>362</v>
      </c>
      <c r="D2560" s="16" t="s">
        <v>197</v>
      </c>
      <c r="E2560" s="25">
        <v>45004</v>
      </c>
      <c r="F2560" s="16" t="s">
        <v>5774</v>
      </c>
      <c r="G2560" s="16" t="s">
        <v>117</v>
      </c>
      <c r="H2560" s="16">
        <v>2.1</v>
      </c>
      <c r="I2560" s="16">
        <v>149</v>
      </c>
      <c r="J2560" s="16">
        <v>0</v>
      </c>
      <c r="K2560" s="16">
        <v>312.89999999999998</v>
      </c>
      <c r="L2560" s="16" t="s">
        <v>118</v>
      </c>
      <c r="M2560" s="16" t="s">
        <v>119</v>
      </c>
      <c r="N2560" s="27">
        <v>45004.26666666667</v>
      </c>
      <c r="O2560" s="27">
        <v>45005.231249999997</v>
      </c>
      <c r="P2560" s="16">
        <v>4.4000000000000004</v>
      </c>
      <c r="Q2560" s="16" t="b">
        <f>FALSE()</f>
        <v>0</v>
      </c>
      <c r="R2560" s="16" t="b">
        <f>TRUE()</f>
        <v>1</v>
      </c>
      <c r="S2560" s="17">
        <f t="shared" si="39"/>
        <v>23.1</v>
      </c>
      <c r="T2560">
        <f>COUNTIF('👤 Customers'!$A:$A, B2560)</f>
        <v>1</v>
      </c>
      <c r="U2560">
        <f>COUNTIF('🚴 Riders'!A2559:A2619, C2560)</f>
        <v>0</v>
      </c>
      <c r="V2560">
        <f>COUNTIF('🏭 Facilities'!A2559:A2567, D2560)</f>
        <v>0</v>
      </c>
    </row>
    <row r="2561" spans="1:22">
      <c r="A2561" s="18" t="s">
        <v>5775</v>
      </c>
      <c r="B2561" s="18" t="s">
        <v>3441</v>
      </c>
      <c r="C2561" s="18" t="s">
        <v>487</v>
      </c>
      <c r="D2561" s="18" t="s">
        <v>137</v>
      </c>
      <c r="E2561" s="26">
        <v>45057</v>
      </c>
      <c r="F2561" s="18" t="s">
        <v>5776</v>
      </c>
      <c r="G2561" s="18" t="s">
        <v>145</v>
      </c>
      <c r="H2561" s="18">
        <v>1.3</v>
      </c>
      <c r="I2561" s="18">
        <v>299</v>
      </c>
      <c r="J2561" s="18">
        <v>0</v>
      </c>
      <c r="K2561" s="18">
        <v>388.7</v>
      </c>
      <c r="L2561" s="18" t="s">
        <v>146</v>
      </c>
      <c r="M2561" s="18" t="s">
        <v>133</v>
      </c>
      <c r="N2561" s="20"/>
      <c r="O2561" s="20"/>
      <c r="P2561" s="20"/>
      <c r="Q2561" s="18" t="b">
        <f>FALSE()</f>
        <v>0</v>
      </c>
      <c r="R2561" s="18" t="b">
        <f>TRUE()</f>
        <v>1</v>
      </c>
      <c r="S2561" s="19" t="str">
        <f t="shared" si="39"/>
        <v>N/A</v>
      </c>
      <c r="T2561">
        <f>COUNTIF('👤 Customers'!$A:$A, B2561)</f>
        <v>1</v>
      </c>
      <c r="U2561">
        <f>COUNTIF('🚴 Riders'!A2560:A2620, C2561)</f>
        <v>0</v>
      </c>
      <c r="V2561">
        <f>COUNTIF('🏭 Facilities'!A2560:A2568, D2561)</f>
        <v>0</v>
      </c>
    </row>
    <row r="2562" spans="1:22">
      <c r="A2562" s="16" t="s">
        <v>5777</v>
      </c>
      <c r="B2562" s="16" t="s">
        <v>753</v>
      </c>
      <c r="C2562" s="16" t="s">
        <v>304</v>
      </c>
      <c r="D2562" s="16" t="s">
        <v>184</v>
      </c>
      <c r="E2562" s="25">
        <v>45585</v>
      </c>
      <c r="F2562" s="16" t="s">
        <v>5778</v>
      </c>
      <c r="G2562" s="16" t="s">
        <v>132</v>
      </c>
      <c r="H2562" s="16">
        <v>1.7</v>
      </c>
      <c r="I2562" s="16">
        <v>399</v>
      </c>
      <c r="J2562" s="16">
        <v>10</v>
      </c>
      <c r="K2562" s="16">
        <v>610.47</v>
      </c>
      <c r="L2562" s="16" t="s">
        <v>126</v>
      </c>
      <c r="M2562" s="16" t="s">
        <v>119</v>
      </c>
      <c r="N2562" s="27">
        <v>45585.90625</v>
      </c>
      <c r="O2562" s="27">
        <v>45586.545138888891</v>
      </c>
      <c r="P2562" s="16">
        <v>4.2</v>
      </c>
      <c r="Q2562" s="16" t="b">
        <f>FALSE()</f>
        <v>0</v>
      </c>
      <c r="R2562" s="16" t="b">
        <f>FALSE()</f>
        <v>0</v>
      </c>
      <c r="S2562" s="17">
        <f t="shared" ref="S2562:S2625" si="40">IF(OR(N2562="",O2562=""),"N/A",ROUND(((O2562-N2562)*24),1))</f>
        <v>15.3</v>
      </c>
      <c r="T2562">
        <f>COUNTIF('👤 Customers'!$A:$A, B2562)</f>
        <v>1</v>
      </c>
      <c r="U2562">
        <f>COUNTIF('🚴 Riders'!A2561:A2621, C2562)</f>
        <v>0</v>
      </c>
      <c r="V2562">
        <f>COUNTIF('🏭 Facilities'!A2561:A2569, D2562)</f>
        <v>0</v>
      </c>
    </row>
    <row r="2563" spans="1:22">
      <c r="A2563" s="18" t="s">
        <v>5779</v>
      </c>
      <c r="B2563" s="18" t="s">
        <v>156</v>
      </c>
      <c r="C2563" s="18" t="s">
        <v>413</v>
      </c>
      <c r="D2563" s="18" t="s">
        <v>123</v>
      </c>
      <c r="E2563" s="26">
        <v>45510</v>
      </c>
      <c r="F2563" s="18" t="s">
        <v>1880</v>
      </c>
      <c r="G2563" s="18" t="s">
        <v>125</v>
      </c>
      <c r="H2563" s="18">
        <v>7.7</v>
      </c>
      <c r="I2563" s="18">
        <v>199</v>
      </c>
      <c r="J2563" s="18">
        <v>0</v>
      </c>
      <c r="K2563" s="18">
        <v>1532.3</v>
      </c>
      <c r="L2563" s="18" t="s">
        <v>146</v>
      </c>
      <c r="M2563" s="18" t="s">
        <v>119</v>
      </c>
      <c r="N2563" s="28">
        <v>45511.09652777778</v>
      </c>
      <c r="O2563" s="28">
        <v>45512.119444444441</v>
      </c>
      <c r="P2563" s="18">
        <v>3.1</v>
      </c>
      <c r="Q2563" s="18" t="b">
        <f>FALSE()</f>
        <v>0</v>
      </c>
      <c r="R2563" s="18" t="b">
        <f>FALSE()</f>
        <v>0</v>
      </c>
      <c r="S2563" s="19">
        <f t="shared" si="40"/>
        <v>24.5</v>
      </c>
      <c r="T2563">
        <f>COUNTIF('👤 Customers'!$A:$A, B2563)</f>
        <v>1</v>
      </c>
      <c r="U2563">
        <f>COUNTIF('🚴 Riders'!A2562:A2622, C2563)</f>
        <v>0</v>
      </c>
      <c r="V2563">
        <f>COUNTIF('🏭 Facilities'!A2562:A2570, D2563)</f>
        <v>0</v>
      </c>
    </row>
    <row r="2564" spans="1:22">
      <c r="A2564" s="16" t="s">
        <v>5780</v>
      </c>
      <c r="B2564" s="16" t="s">
        <v>614</v>
      </c>
      <c r="C2564" s="16" t="s">
        <v>487</v>
      </c>
      <c r="D2564" s="16" t="s">
        <v>115</v>
      </c>
      <c r="E2564" s="25">
        <v>45323</v>
      </c>
      <c r="F2564" s="16" t="s">
        <v>5781</v>
      </c>
      <c r="G2564" s="16" t="s">
        <v>145</v>
      </c>
      <c r="H2564" s="16">
        <v>1.8</v>
      </c>
      <c r="I2564" s="16">
        <v>299</v>
      </c>
      <c r="J2564" s="16">
        <v>20</v>
      </c>
      <c r="K2564" s="16">
        <v>430.56</v>
      </c>
      <c r="L2564" s="16" t="s">
        <v>126</v>
      </c>
      <c r="M2564" s="16" t="s">
        <v>119</v>
      </c>
      <c r="N2564" s="27">
        <v>45323.434027777781</v>
      </c>
      <c r="O2564" s="27">
        <v>45324.131249999999</v>
      </c>
      <c r="P2564" s="16">
        <v>4.7</v>
      </c>
      <c r="Q2564" s="16" t="b">
        <f>FALSE()</f>
        <v>0</v>
      </c>
      <c r="R2564" s="16" t="b">
        <f>FALSE()</f>
        <v>0</v>
      </c>
      <c r="S2564" s="17">
        <f t="shared" si="40"/>
        <v>16.7</v>
      </c>
      <c r="T2564">
        <f>COUNTIF('👤 Customers'!$A:$A, B2564)</f>
        <v>1</v>
      </c>
      <c r="U2564">
        <f>COUNTIF('🚴 Riders'!A2563:A2623, C2564)</f>
        <v>0</v>
      </c>
      <c r="V2564">
        <f>COUNTIF('🏭 Facilities'!A2563:A2571, D2564)</f>
        <v>0</v>
      </c>
    </row>
    <row r="2565" spans="1:22">
      <c r="A2565" s="18" t="s">
        <v>5782</v>
      </c>
      <c r="B2565" s="18" t="s">
        <v>1245</v>
      </c>
      <c r="C2565" s="18" t="s">
        <v>283</v>
      </c>
      <c r="D2565" s="18" t="s">
        <v>184</v>
      </c>
      <c r="E2565" s="26">
        <v>45030</v>
      </c>
      <c r="F2565" s="18" t="s">
        <v>5783</v>
      </c>
      <c r="G2565" s="18" t="s">
        <v>145</v>
      </c>
      <c r="H2565" s="18">
        <v>2</v>
      </c>
      <c r="I2565" s="18">
        <v>299</v>
      </c>
      <c r="J2565" s="18">
        <v>30</v>
      </c>
      <c r="K2565" s="18">
        <v>418.6</v>
      </c>
      <c r="L2565" s="18" t="s">
        <v>146</v>
      </c>
      <c r="M2565" s="18" t="s">
        <v>119</v>
      </c>
      <c r="N2565" s="28">
        <v>45030.738194444442</v>
      </c>
      <c r="O2565" s="28">
        <v>45031.12222222222</v>
      </c>
      <c r="P2565" s="18">
        <v>4.8</v>
      </c>
      <c r="Q2565" s="18" t="b">
        <f>FALSE()</f>
        <v>0</v>
      </c>
      <c r="R2565" s="18" t="b">
        <f>FALSE()</f>
        <v>0</v>
      </c>
      <c r="S2565" s="19">
        <f t="shared" si="40"/>
        <v>9.1999999999999993</v>
      </c>
      <c r="T2565">
        <f>COUNTIF('👤 Customers'!$A:$A, B2565)</f>
        <v>1</v>
      </c>
      <c r="U2565">
        <f>COUNTIF('🚴 Riders'!A2564:A2624, C2565)</f>
        <v>0</v>
      </c>
      <c r="V2565">
        <f>COUNTIF('🏭 Facilities'!A2564:A2572, D2565)</f>
        <v>0</v>
      </c>
    </row>
    <row r="2566" spans="1:22">
      <c r="A2566" s="16" t="s">
        <v>5784</v>
      </c>
      <c r="B2566" s="16" t="s">
        <v>4375</v>
      </c>
      <c r="C2566" s="16" t="s">
        <v>287</v>
      </c>
      <c r="D2566" s="16" t="s">
        <v>130</v>
      </c>
      <c r="E2566" s="25">
        <v>45368</v>
      </c>
      <c r="F2566" s="16" t="s">
        <v>5785</v>
      </c>
      <c r="G2566" s="16" t="s">
        <v>125</v>
      </c>
      <c r="H2566" s="16">
        <v>2.2999999999999998</v>
      </c>
      <c r="I2566" s="16">
        <v>199</v>
      </c>
      <c r="J2566" s="16">
        <v>0</v>
      </c>
      <c r="K2566" s="16">
        <v>457.7</v>
      </c>
      <c r="L2566" s="16" t="s">
        <v>207</v>
      </c>
      <c r="M2566" s="16" t="s">
        <v>119</v>
      </c>
      <c r="N2566" s="27">
        <v>45368.178472222222</v>
      </c>
      <c r="O2566" s="27">
        <v>45368.982638888891</v>
      </c>
      <c r="P2566" s="16">
        <v>3.2</v>
      </c>
      <c r="Q2566" s="16" t="b">
        <f>TRUE()</f>
        <v>1</v>
      </c>
      <c r="R2566" s="16" t="b">
        <f>FALSE()</f>
        <v>0</v>
      </c>
      <c r="S2566" s="17">
        <f t="shared" si="40"/>
        <v>19.3</v>
      </c>
      <c r="T2566">
        <f>COUNTIF('👤 Customers'!$A:$A, B2566)</f>
        <v>1</v>
      </c>
      <c r="U2566">
        <f>COUNTIF('🚴 Riders'!A2565:A2625, C2566)</f>
        <v>0</v>
      </c>
      <c r="V2566">
        <f>COUNTIF('🏭 Facilities'!A2565:A2573, D2566)</f>
        <v>0</v>
      </c>
    </row>
    <row r="2567" spans="1:22">
      <c r="A2567" s="18" t="s">
        <v>5786</v>
      </c>
      <c r="B2567" s="18" t="s">
        <v>1743</v>
      </c>
      <c r="C2567" s="18" t="s">
        <v>300</v>
      </c>
      <c r="D2567" s="18" t="s">
        <v>130</v>
      </c>
      <c r="E2567" s="26">
        <v>45457</v>
      </c>
      <c r="F2567" s="18" t="s">
        <v>5787</v>
      </c>
      <c r="G2567" s="18" t="s">
        <v>117</v>
      </c>
      <c r="H2567" s="18">
        <v>2.2999999999999998</v>
      </c>
      <c r="I2567" s="18">
        <v>149</v>
      </c>
      <c r="J2567" s="18">
        <v>0</v>
      </c>
      <c r="K2567" s="18">
        <v>342.7</v>
      </c>
      <c r="L2567" s="18" t="s">
        <v>126</v>
      </c>
      <c r="M2567" s="18" t="s">
        <v>119</v>
      </c>
      <c r="N2567" s="28">
        <v>45457.761805555558</v>
      </c>
      <c r="O2567" s="28">
        <v>45458.549305555556</v>
      </c>
      <c r="P2567" s="18">
        <v>2.7</v>
      </c>
      <c r="Q2567" s="18" t="b">
        <f>FALSE()</f>
        <v>0</v>
      </c>
      <c r="R2567" s="18" t="b">
        <f>FALSE()</f>
        <v>0</v>
      </c>
      <c r="S2567" s="19">
        <f t="shared" si="40"/>
        <v>18.899999999999999</v>
      </c>
      <c r="T2567">
        <f>COUNTIF('👤 Customers'!$A:$A, B2567)</f>
        <v>1</v>
      </c>
      <c r="U2567">
        <f>COUNTIF('🚴 Riders'!A2566:A2626, C2567)</f>
        <v>0</v>
      </c>
      <c r="V2567">
        <f>COUNTIF('🏭 Facilities'!A2566:A2574, D2567)</f>
        <v>0</v>
      </c>
    </row>
    <row r="2568" spans="1:22">
      <c r="A2568" s="16" t="s">
        <v>5788</v>
      </c>
      <c r="B2568" s="16" t="s">
        <v>1634</v>
      </c>
      <c r="C2568" s="16" t="s">
        <v>149</v>
      </c>
      <c r="D2568" s="16" t="s">
        <v>197</v>
      </c>
      <c r="E2568" s="25">
        <v>45152</v>
      </c>
      <c r="F2568" s="16" t="s">
        <v>5789</v>
      </c>
      <c r="G2568" s="16" t="s">
        <v>132</v>
      </c>
      <c r="H2568" s="16">
        <v>4.7</v>
      </c>
      <c r="I2568" s="16">
        <v>399</v>
      </c>
      <c r="J2568" s="16">
        <v>20</v>
      </c>
      <c r="K2568" s="16">
        <v>1500.24</v>
      </c>
      <c r="L2568" s="16" t="s">
        <v>139</v>
      </c>
      <c r="M2568" s="16" t="s">
        <v>119</v>
      </c>
      <c r="N2568" s="27">
        <v>45152.397916666669</v>
      </c>
      <c r="O2568" s="27">
        <v>45153.036111111112</v>
      </c>
      <c r="P2568" s="16">
        <v>3.6</v>
      </c>
      <c r="Q2568" s="16" t="b">
        <f>TRUE()</f>
        <v>1</v>
      </c>
      <c r="R2568" s="16" t="b">
        <f>FALSE()</f>
        <v>0</v>
      </c>
      <c r="S2568" s="17">
        <f t="shared" si="40"/>
        <v>15.3</v>
      </c>
      <c r="T2568">
        <f>COUNTIF('👤 Customers'!$A:$A, B2568)</f>
        <v>1</v>
      </c>
      <c r="U2568">
        <f>COUNTIF('🚴 Riders'!A2567:A2627, C2568)</f>
        <v>0</v>
      </c>
      <c r="V2568">
        <f>COUNTIF('🏭 Facilities'!A2567:A2575, D2568)</f>
        <v>0</v>
      </c>
    </row>
    <row r="2569" spans="1:22">
      <c r="A2569" s="18" t="s">
        <v>5790</v>
      </c>
      <c r="B2569" s="18" t="s">
        <v>2147</v>
      </c>
      <c r="C2569" s="18" t="s">
        <v>228</v>
      </c>
      <c r="D2569" s="18" t="s">
        <v>205</v>
      </c>
      <c r="E2569" s="26">
        <v>45643</v>
      </c>
      <c r="F2569" s="18" t="s">
        <v>5791</v>
      </c>
      <c r="G2569" s="18" t="s">
        <v>145</v>
      </c>
      <c r="H2569" s="18">
        <v>6.6</v>
      </c>
      <c r="I2569" s="18">
        <v>299</v>
      </c>
      <c r="J2569" s="18">
        <v>10</v>
      </c>
      <c r="K2569" s="18">
        <v>1776.06</v>
      </c>
      <c r="L2569" s="18" t="s">
        <v>207</v>
      </c>
      <c r="M2569" s="18" t="s">
        <v>119</v>
      </c>
      <c r="N2569" s="28">
        <v>45644.048611111109</v>
      </c>
      <c r="O2569" s="28">
        <v>45645.056250000001</v>
      </c>
      <c r="P2569" s="18">
        <v>3.8</v>
      </c>
      <c r="Q2569" s="18" t="b">
        <f>FALSE()</f>
        <v>0</v>
      </c>
      <c r="R2569" s="18" t="b">
        <f>FALSE()</f>
        <v>0</v>
      </c>
      <c r="S2569" s="19">
        <f t="shared" si="40"/>
        <v>24.2</v>
      </c>
      <c r="T2569">
        <f>COUNTIF('👤 Customers'!$A:$A, B2569)</f>
        <v>1</v>
      </c>
      <c r="U2569">
        <f>COUNTIF('🚴 Riders'!A2568:A2628, C2569)</f>
        <v>0</v>
      </c>
      <c r="V2569">
        <f>COUNTIF('🏭 Facilities'!A2568:A2576, D2569)</f>
        <v>0</v>
      </c>
    </row>
    <row r="2570" spans="1:22">
      <c r="A2570" s="16" t="s">
        <v>5792</v>
      </c>
      <c r="B2570" s="16" t="s">
        <v>698</v>
      </c>
      <c r="C2570" s="16" t="s">
        <v>326</v>
      </c>
      <c r="D2570" s="16" t="s">
        <v>205</v>
      </c>
      <c r="E2570" s="25">
        <v>45262</v>
      </c>
      <c r="F2570" s="16" t="s">
        <v>5793</v>
      </c>
      <c r="G2570" s="16" t="s">
        <v>145</v>
      </c>
      <c r="H2570" s="16">
        <v>2.6</v>
      </c>
      <c r="I2570" s="16">
        <v>299</v>
      </c>
      <c r="J2570" s="16">
        <v>0</v>
      </c>
      <c r="K2570" s="16">
        <v>777.4</v>
      </c>
      <c r="L2570" s="16" t="s">
        <v>207</v>
      </c>
      <c r="M2570" s="16" t="s">
        <v>119</v>
      </c>
      <c r="N2570" s="27">
        <v>45262.811805555553</v>
      </c>
      <c r="O2570" s="27">
        <v>45263.540277777778</v>
      </c>
      <c r="P2570" s="16">
        <v>4.0999999999999996</v>
      </c>
      <c r="Q2570" s="16" t="b">
        <f>TRUE()</f>
        <v>1</v>
      </c>
      <c r="R2570" s="16" t="b">
        <f>FALSE()</f>
        <v>0</v>
      </c>
      <c r="S2570" s="17">
        <f t="shared" si="40"/>
        <v>17.5</v>
      </c>
      <c r="T2570">
        <f>COUNTIF('👤 Customers'!$A:$A, B2570)</f>
        <v>1</v>
      </c>
      <c r="U2570">
        <f>COUNTIF('🚴 Riders'!A2569:A2629, C2570)</f>
        <v>0</v>
      </c>
      <c r="V2570">
        <f>COUNTIF('🏭 Facilities'!A2569:A2577, D2570)</f>
        <v>0</v>
      </c>
    </row>
    <row r="2571" spans="1:22">
      <c r="A2571" s="18" t="s">
        <v>5794</v>
      </c>
      <c r="B2571" s="18" t="s">
        <v>1200</v>
      </c>
      <c r="C2571" s="18" t="s">
        <v>717</v>
      </c>
      <c r="D2571" s="18" t="s">
        <v>205</v>
      </c>
      <c r="E2571" s="26">
        <v>44936</v>
      </c>
      <c r="F2571" s="18" t="s">
        <v>5795</v>
      </c>
      <c r="G2571" s="18" t="s">
        <v>117</v>
      </c>
      <c r="H2571" s="18">
        <v>6.5</v>
      </c>
      <c r="I2571" s="18">
        <v>149</v>
      </c>
      <c r="J2571" s="18">
        <v>0</v>
      </c>
      <c r="K2571" s="18">
        <v>968.5</v>
      </c>
      <c r="L2571" s="18" t="s">
        <v>118</v>
      </c>
      <c r="M2571" s="18" t="s">
        <v>133</v>
      </c>
      <c r="N2571" s="20"/>
      <c r="O2571" s="20"/>
      <c r="P2571" s="20"/>
      <c r="Q2571" s="18" t="b">
        <f>TRUE()</f>
        <v>1</v>
      </c>
      <c r="R2571" s="18" t="b">
        <f>FALSE()</f>
        <v>0</v>
      </c>
      <c r="S2571" s="19" t="str">
        <f t="shared" si="40"/>
        <v>N/A</v>
      </c>
      <c r="T2571">
        <f>COUNTIF('👤 Customers'!$A:$A, B2571)</f>
        <v>1</v>
      </c>
      <c r="U2571">
        <f>COUNTIF('🚴 Riders'!A2570:A2630, C2571)</f>
        <v>0</v>
      </c>
      <c r="V2571">
        <f>COUNTIF('🏭 Facilities'!A2570:A2578, D2571)</f>
        <v>0</v>
      </c>
    </row>
    <row r="2572" spans="1:22">
      <c r="A2572" s="16" t="s">
        <v>5796</v>
      </c>
      <c r="B2572" s="16" t="s">
        <v>1061</v>
      </c>
      <c r="C2572" s="16" t="s">
        <v>247</v>
      </c>
      <c r="D2572" s="16" t="s">
        <v>115</v>
      </c>
      <c r="E2572" s="25">
        <v>45175</v>
      </c>
      <c r="F2572" s="16" t="s">
        <v>5797</v>
      </c>
      <c r="G2572" s="16" t="s">
        <v>132</v>
      </c>
      <c r="H2572" s="16">
        <v>4.8</v>
      </c>
      <c r="I2572" s="16">
        <v>399</v>
      </c>
      <c r="J2572" s="16">
        <v>0</v>
      </c>
      <c r="K2572" s="16">
        <v>1915.2</v>
      </c>
      <c r="L2572" s="16" t="s">
        <v>146</v>
      </c>
      <c r="M2572" s="16" t="s">
        <v>119</v>
      </c>
      <c r="N2572" s="27">
        <v>45175.567361111112</v>
      </c>
      <c r="O2572" s="27">
        <v>45176.074305555558</v>
      </c>
      <c r="P2572" s="16">
        <v>3.7</v>
      </c>
      <c r="Q2572" s="16" t="b">
        <f>FALSE()</f>
        <v>0</v>
      </c>
      <c r="R2572" s="16" t="b">
        <f>FALSE()</f>
        <v>0</v>
      </c>
      <c r="S2572" s="17">
        <f t="shared" si="40"/>
        <v>12.2</v>
      </c>
      <c r="T2572">
        <f>COUNTIF('👤 Customers'!$A:$A, B2572)</f>
        <v>1</v>
      </c>
      <c r="U2572">
        <f>COUNTIF('🚴 Riders'!A2571:A2631, C2572)</f>
        <v>0</v>
      </c>
      <c r="V2572">
        <f>COUNTIF('🏭 Facilities'!A2571:A2579, D2572)</f>
        <v>0</v>
      </c>
    </row>
    <row r="2573" spans="1:22">
      <c r="A2573" s="18" t="s">
        <v>5798</v>
      </c>
      <c r="B2573" s="18" t="s">
        <v>243</v>
      </c>
      <c r="C2573" s="18" t="s">
        <v>431</v>
      </c>
      <c r="D2573" s="18" t="s">
        <v>130</v>
      </c>
      <c r="E2573" s="26">
        <v>45490</v>
      </c>
      <c r="F2573" s="18" t="s">
        <v>5799</v>
      </c>
      <c r="G2573" s="18" t="s">
        <v>132</v>
      </c>
      <c r="H2573" s="18">
        <v>8</v>
      </c>
      <c r="I2573" s="18">
        <v>399</v>
      </c>
      <c r="J2573" s="18">
        <v>10</v>
      </c>
      <c r="K2573" s="18">
        <v>2872.8</v>
      </c>
      <c r="L2573" s="18" t="s">
        <v>118</v>
      </c>
      <c r="M2573" s="18" t="s">
        <v>119</v>
      </c>
      <c r="N2573" s="28">
        <v>45491.020833333336</v>
      </c>
      <c r="O2573" s="28">
        <v>45491.536805555559</v>
      </c>
      <c r="P2573" s="18">
        <v>3.3</v>
      </c>
      <c r="Q2573" s="18" t="b">
        <f>FALSE()</f>
        <v>0</v>
      </c>
      <c r="R2573" s="18" t="b">
        <f>TRUE()</f>
        <v>1</v>
      </c>
      <c r="S2573" s="19">
        <f t="shared" si="40"/>
        <v>12.4</v>
      </c>
      <c r="T2573">
        <f>COUNTIF('👤 Customers'!$A:$A, B2573)</f>
        <v>1</v>
      </c>
      <c r="U2573">
        <f>COUNTIF('🚴 Riders'!A2572:A2632, C2573)</f>
        <v>0</v>
      </c>
      <c r="V2573">
        <f>COUNTIF('🏭 Facilities'!A2572:A2580, D2573)</f>
        <v>0</v>
      </c>
    </row>
    <row r="2574" spans="1:22">
      <c r="A2574" s="16" t="s">
        <v>5800</v>
      </c>
      <c r="B2574" s="16" t="s">
        <v>1557</v>
      </c>
      <c r="C2574" s="16" t="s">
        <v>536</v>
      </c>
      <c r="D2574" s="16" t="s">
        <v>184</v>
      </c>
      <c r="E2574" s="25">
        <v>45628</v>
      </c>
      <c r="F2574" s="16" t="s">
        <v>5801</v>
      </c>
      <c r="G2574" s="16" t="s">
        <v>132</v>
      </c>
      <c r="H2574" s="16">
        <v>4.0999999999999996</v>
      </c>
      <c r="I2574" s="16">
        <v>399</v>
      </c>
      <c r="J2574" s="16">
        <v>0</v>
      </c>
      <c r="K2574" s="16">
        <v>1635.9</v>
      </c>
      <c r="L2574" s="16" t="s">
        <v>126</v>
      </c>
      <c r="M2574" s="16" t="s">
        <v>133</v>
      </c>
      <c r="N2574" s="20"/>
      <c r="O2574" s="20"/>
      <c r="P2574" s="20"/>
      <c r="Q2574" s="16" t="b">
        <f>FALSE()</f>
        <v>0</v>
      </c>
      <c r="R2574" s="16" t="b">
        <f>FALSE()</f>
        <v>0</v>
      </c>
      <c r="S2574" s="17" t="str">
        <f t="shared" si="40"/>
        <v>N/A</v>
      </c>
      <c r="T2574">
        <f>COUNTIF('👤 Customers'!$A:$A, B2574)</f>
        <v>1</v>
      </c>
      <c r="U2574">
        <f>COUNTIF('🚴 Riders'!A2573:A2633, C2574)</f>
        <v>0</v>
      </c>
      <c r="V2574">
        <f>COUNTIF('🏭 Facilities'!A2573:A2581, D2574)</f>
        <v>0</v>
      </c>
    </row>
    <row r="2575" spans="1:22">
      <c r="A2575" s="18" t="s">
        <v>5802</v>
      </c>
      <c r="B2575" s="18" t="s">
        <v>1295</v>
      </c>
      <c r="C2575" s="18" t="s">
        <v>232</v>
      </c>
      <c r="D2575" s="18" t="s">
        <v>158</v>
      </c>
      <c r="E2575" s="26">
        <v>45110</v>
      </c>
      <c r="F2575" s="18" t="s">
        <v>5803</v>
      </c>
      <c r="G2575" s="18" t="s">
        <v>132</v>
      </c>
      <c r="H2575" s="18">
        <v>1.1000000000000001</v>
      </c>
      <c r="I2575" s="18">
        <v>399</v>
      </c>
      <c r="J2575" s="18">
        <v>0</v>
      </c>
      <c r="K2575" s="18">
        <v>438.9</v>
      </c>
      <c r="L2575" s="18" t="s">
        <v>146</v>
      </c>
      <c r="M2575" s="18" t="s">
        <v>119</v>
      </c>
      <c r="N2575" s="28">
        <v>45110.536805555559</v>
      </c>
      <c r="O2575" s="28">
        <v>45110.975694444445</v>
      </c>
      <c r="P2575" s="18">
        <v>2.6</v>
      </c>
      <c r="Q2575" s="18" t="b">
        <f>FALSE()</f>
        <v>0</v>
      </c>
      <c r="R2575" s="18" t="b">
        <f>FALSE()</f>
        <v>0</v>
      </c>
      <c r="S2575" s="19">
        <f t="shared" si="40"/>
        <v>10.5</v>
      </c>
      <c r="T2575">
        <f>COUNTIF('👤 Customers'!$A:$A, B2575)</f>
        <v>1</v>
      </c>
      <c r="U2575">
        <f>COUNTIF('🚴 Riders'!A2574:A2634, C2575)</f>
        <v>0</v>
      </c>
      <c r="V2575">
        <f>COUNTIF('🏭 Facilities'!A2574:A2582, D2575)</f>
        <v>0</v>
      </c>
    </row>
    <row r="2576" spans="1:22">
      <c r="A2576" s="16" t="s">
        <v>5804</v>
      </c>
      <c r="B2576" s="16" t="s">
        <v>3267</v>
      </c>
      <c r="C2576" s="16" t="s">
        <v>153</v>
      </c>
      <c r="D2576" s="16" t="s">
        <v>115</v>
      </c>
      <c r="E2576" s="25">
        <v>45209</v>
      </c>
      <c r="F2576" s="16" t="s">
        <v>5805</v>
      </c>
      <c r="G2576" s="16" t="s">
        <v>125</v>
      </c>
      <c r="H2576" s="16">
        <v>2.2999999999999998</v>
      </c>
      <c r="I2576" s="16">
        <v>199</v>
      </c>
      <c r="J2576" s="16">
        <v>0</v>
      </c>
      <c r="K2576" s="16">
        <v>457.7</v>
      </c>
      <c r="L2576" s="16" t="s">
        <v>126</v>
      </c>
      <c r="M2576" s="16" t="s">
        <v>119</v>
      </c>
      <c r="N2576" s="27">
        <v>45209.661111111112</v>
      </c>
      <c r="O2576" s="27">
        <v>45210.511805555558</v>
      </c>
      <c r="P2576" s="16">
        <v>4.3</v>
      </c>
      <c r="Q2576" s="16" t="b">
        <f>FALSE()</f>
        <v>0</v>
      </c>
      <c r="R2576" s="16" t="b">
        <f>FALSE()</f>
        <v>0</v>
      </c>
      <c r="S2576" s="17">
        <f t="shared" si="40"/>
        <v>20.399999999999999</v>
      </c>
      <c r="T2576">
        <f>COUNTIF('👤 Customers'!$A:$A, B2576)</f>
        <v>1</v>
      </c>
      <c r="U2576">
        <f>COUNTIF('🚴 Riders'!A2575:A2635, C2576)</f>
        <v>0</v>
      </c>
      <c r="V2576">
        <f>COUNTIF('🏭 Facilities'!A2575:A2583, D2576)</f>
        <v>0</v>
      </c>
    </row>
    <row r="2577" spans="1:22">
      <c r="A2577" s="18" t="s">
        <v>5806</v>
      </c>
      <c r="B2577" s="18" t="s">
        <v>1434</v>
      </c>
      <c r="C2577" s="18" t="s">
        <v>232</v>
      </c>
      <c r="D2577" s="18" t="s">
        <v>197</v>
      </c>
      <c r="E2577" s="26">
        <v>45137</v>
      </c>
      <c r="F2577" s="18" t="s">
        <v>5807</v>
      </c>
      <c r="G2577" s="18" t="s">
        <v>176</v>
      </c>
      <c r="H2577" s="18">
        <v>3.5</v>
      </c>
      <c r="I2577" s="18">
        <v>599</v>
      </c>
      <c r="J2577" s="18">
        <v>20</v>
      </c>
      <c r="K2577" s="18">
        <v>1677.2</v>
      </c>
      <c r="L2577" s="18" t="s">
        <v>207</v>
      </c>
      <c r="M2577" s="18" t="s">
        <v>119</v>
      </c>
      <c r="N2577" s="28">
        <v>45137.996527777781</v>
      </c>
      <c r="O2577" s="28">
        <v>45139.018750000003</v>
      </c>
      <c r="P2577" s="18">
        <v>4.7</v>
      </c>
      <c r="Q2577" s="18" t="b">
        <f>FALSE()</f>
        <v>0</v>
      </c>
      <c r="R2577" s="18" t="b">
        <f>FALSE()</f>
        <v>0</v>
      </c>
      <c r="S2577" s="19">
        <f t="shared" si="40"/>
        <v>24.5</v>
      </c>
      <c r="T2577">
        <f>COUNTIF('👤 Customers'!$A:$A, B2577)</f>
        <v>1</v>
      </c>
      <c r="U2577">
        <f>COUNTIF('🚴 Riders'!A2576:A2636, C2577)</f>
        <v>0</v>
      </c>
      <c r="V2577">
        <f>COUNTIF('🏭 Facilities'!A2576:A2584, D2577)</f>
        <v>0</v>
      </c>
    </row>
    <row r="2578" spans="1:22">
      <c r="A2578" s="16" t="s">
        <v>5808</v>
      </c>
      <c r="B2578" s="16" t="s">
        <v>282</v>
      </c>
      <c r="C2578" s="16" t="s">
        <v>339</v>
      </c>
      <c r="D2578" s="16" t="s">
        <v>197</v>
      </c>
      <c r="E2578" s="25">
        <v>44970</v>
      </c>
      <c r="F2578" s="16" t="s">
        <v>5809</v>
      </c>
      <c r="G2578" s="16" t="s">
        <v>145</v>
      </c>
      <c r="H2578" s="16">
        <v>6.2</v>
      </c>
      <c r="I2578" s="16">
        <v>299</v>
      </c>
      <c r="J2578" s="16">
        <v>10</v>
      </c>
      <c r="K2578" s="16">
        <v>1668.42</v>
      </c>
      <c r="L2578" s="16" t="s">
        <v>146</v>
      </c>
      <c r="M2578" s="16" t="s">
        <v>119</v>
      </c>
      <c r="N2578" s="27">
        <v>44970.617361111108</v>
      </c>
      <c r="O2578" s="27">
        <v>44971.323611111111</v>
      </c>
      <c r="P2578" s="16">
        <v>2.7</v>
      </c>
      <c r="Q2578" s="16" t="b">
        <f>TRUE()</f>
        <v>1</v>
      </c>
      <c r="R2578" s="16" t="b">
        <f>FALSE()</f>
        <v>0</v>
      </c>
      <c r="S2578" s="17">
        <f t="shared" si="40"/>
        <v>17</v>
      </c>
      <c r="T2578">
        <f>COUNTIF('👤 Customers'!$A:$A, B2578)</f>
        <v>1</v>
      </c>
      <c r="U2578">
        <f>COUNTIF('🚴 Riders'!A2577:A2637, C2578)</f>
        <v>0</v>
      </c>
      <c r="V2578">
        <f>COUNTIF('🏭 Facilities'!A2577:A2585, D2578)</f>
        <v>0</v>
      </c>
    </row>
    <row r="2579" spans="1:22">
      <c r="A2579" s="18" t="s">
        <v>5810</v>
      </c>
      <c r="B2579" s="18" t="s">
        <v>4302</v>
      </c>
      <c r="C2579" s="18" t="s">
        <v>580</v>
      </c>
      <c r="D2579" s="18" t="s">
        <v>197</v>
      </c>
      <c r="E2579" s="26">
        <v>45582</v>
      </c>
      <c r="F2579" s="18" t="s">
        <v>5811</v>
      </c>
      <c r="G2579" s="18" t="s">
        <v>117</v>
      </c>
      <c r="H2579" s="18">
        <v>6.7</v>
      </c>
      <c r="I2579" s="18">
        <v>149</v>
      </c>
      <c r="J2579" s="18">
        <v>0</v>
      </c>
      <c r="K2579" s="18">
        <v>998.3</v>
      </c>
      <c r="L2579" s="18" t="s">
        <v>146</v>
      </c>
      <c r="M2579" s="18" t="s">
        <v>119</v>
      </c>
      <c r="N2579" s="28">
        <v>45583.048611111109</v>
      </c>
      <c r="O2579" s="28">
        <v>45583.9</v>
      </c>
      <c r="P2579" s="18">
        <v>4.7</v>
      </c>
      <c r="Q2579" s="18" t="b">
        <f>TRUE()</f>
        <v>1</v>
      </c>
      <c r="R2579" s="18" t="b">
        <f>FALSE()</f>
        <v>0</v>
      </c>
      <c r="S2579" s="19">
        <f t="shared" si="40"/>
        <v>20.399999999999999</v>
      </c>
      <c r="T2579">
        <f>COUNTIF('👤 Customers'!$A:$A, B2579)</f>
        <v>1</v>
      </c>
      <c r="U2579">
        <f>COUNTIF('🚴 Riders'!A2578:A2638, C2579)</f>
        <v>0</v>
      </c>
      <c r="V2579">
        <f>COUNTIF('🏭 Facilities'!A2578:A2586, D2579)</f>
        <v>0</v>
      </c>
    </row>
    <row r="2580" spans="1:22">
      <c r="A2580" s="16" t="s">
        <v>5812</v>
      </c>
      <c r="B2580" s="16" t="s">
        <v>239</v>
      </c>
      <c r="C2580" s="16" t="s">
        <v>611</v>
      </c>
      <c r="D2580" s="16" t="s">
        <v>115</v>
      </c>
      <c r="E2580" s="25">
        <v>45500</v>
      </c>
      <c r="F2580" s="16" t="s">
        <v>5813</v>
      </c>
      <c r="G2580" s="16" t="s">
        <v>125</v>
      </c>
      <c r="H2580" s="16">
        <v>1.7</v>
      </c>
      <c r="I2580" s="16">
        <v>199</v>
      </c>
      <c r="J2580" s="16">
        <v>0</v>
      </c>
      <c r="K2580" s="16">
        <v>338.3</v>
      </c>
      <c r="L2580" s="16" t="s">
        <v>139</v>
      </c>
      <c r="M2580" s="16" t="s">
        <v>119</v>
      </c>
      <c r="N2580" s="27">
        <v>45500.196527777778</v>
      </c>
      <c r="O2580" s="27">
        <v>45500.851388888892</v>
      </c>
      <c r="P2580" s="16">
        <v>4.4000000000000004</v>
      </c>
      <c r="Q2580" s="16" t="b">
        <f>TRUE()</f>
        <v>1</v>
      </c>
      <c r="R2580" s="16" t="b">
        <f>FALSE()</f>
        <v>0</v>
      </c>
      <c r="S2580" s="17">
        <f t="shared" si="40"/>
        <v>15.7</v>
      </c>
      <c r="T2580">
        <f>COUNTIF('👤 Customers'!$A:$A, B2580)</f>
        <v>1</v>
      </c>
      <c r="U2580">
        <f>COUNTIF('🚴 Riders'!A2579:A2639, C2580)</f>
        <v>0</v>
      </c>
      <c r="V2580">
        <f>COUNTIF('🏭 Facilities'!A2579:A2587, D2580)</f>
        <v>0</v>
      </c>
    </row>
    <row r="2581" spans="1:22">
      <c r="A2581" s="18" t="s">
        <v>5814</v>
      </c>
      <c r="B2581" s="18" t="s">
        <v>1743</v>
      </c>
      <c r="C2581" s="18" t="s">
        <v>717</v>
      </c>
      <c r="D2581" s="18" t="s">
        <v>115</v>
      </c>
      <c r="E2581" s="26">
        <v>45443</v>
      </c>
      <c r="F2581" s="18" t="s">
        <v>5815</v>
      </c>
      <c r="G2581" s="18" t="s">
        <v>132</v>
      </c>
      <c r="H2581" s="18">
        <v>4.9000000000000004</v>
      </c>
      <c r="I2581" s="18">
        <v>399</v>
      </c>
      <c r="J2581" s="18">
        <v>0</v>
      </c>
      <c r="K2581" s="18">
        <v>1955.1</v>
      </c>
      <c r="L2581" s="18" t="s">
        <v>207</v>
      </c>
      <c r="M2581" s="18" t="s">
        <v>119</v>
      </c>
      <c r="N2581" s="28">
        <v>45444.054166666669</v>
      </c>
      <c r="O2581" s="28">
        <v>45444.616666666669</v>
      </c>
      <c r="P2581" s="18">
        <v>3.3</v>
      </c>
      <c r="Q2581" s="18" t="b">
        <f>FALSE()</f>
        <v>0</v>
      </c>
      <c r="R2581" s="18" t="b">
        <f>TRUE()</f>
        <v>1</v>
      </c>
      <c r="S2581" s="19">
        <f t="shared" si="40"/>
        <v>13.5</v>
      </c>
      <c r="T2581">
        <f>COUNTIF('👤 Customers'!$A:$A, B2581)</f>
        <v>1</v>
      </c>
      <c r="U2581">
        <f>COUNTIF('🚴 Riders'!A2580:A2640, C2581)</f>
        <v>0</v>
      </c>
      <c r="V2581">
        <f>COUNTIF('🏭 Facilities'!A2580:A2588, D2581)</f>
        <v>0</v>
      </c>
    </row>
    <row r="2582" spans="1:22">
      <c r="A2582" s="16" t="s">
        <v>5816</v>
      </c>
      <c r="B2582" s="16" t="s">
        <v>2799</v>
      </c>
      <c r="C2582" s="16" t="s">
        <v>129</v>
      </c>
      <c r="D2582" s="16" t="s">
        <v>205</v>
      </c>
      <c r="E2582" s="25">
        <v>45406</v>
      </c>
      <c r="F2582" s="16" t="s">
        <v>5817</v>
      </c>
      <c r="G2582" s="16" t="s">
        <v>117</v>
      </c>
      <c r="H2582" s="16">
        <v>5.5</v>
      </c>
      <c r="I2582" s="16">
        <v>149</v>
      </c>
      <c r="J2582" s="16">
        <v>10</v>
      </c>
      <c r="K2582" s="16">
        <v>737.55</v>
      </c>
      <c r="L2582" s="16" t="s">
        <v>146</v>
      </c>
      <c r="M2582" s="16" t="s">
        <v>119</v>
      </c>
      <c r="N2582" s="27">
        <v>45406.545138888891</v>
      </c>
      <c r="O2582" s="27">
        <v>45407.275694444441</v>
      </c>
      <c r="P2582" s="16">
        <v>3.7</v>
      </c>
      <c r="Q2582" s="16" t="b">
        <f>FALSE()</f>
        <v>0</v>
      </c>
      <c r="R2582" s="16" t="b">
        <f>FALSE()</f>
        <v>0</v>
      </c>
      <c r="S2582" s="17">
        <f t="shared" si="40"/>
        <v>17.5</v>
      </c>
      <c r="T2582">
        <f>COUNTIF('👤 Customers'!$A:$A, B2582)</f>
        <v>1</v>
      </c>
      <c r="U2582">
        <f>COUNTIF('🚴 Riders'!A2581:A2641, C2582)</f>
        <v>0</v>
      </c>
      <c r="V2582">
        <f>COUNTIF('🏭 Facilities'!A2581:A2589, D2582)</f>
        <v>0</v>
      </c>
    </row>
    <row r="2583" spans="1:22">
      <c r="A2583" s="18" t="s">
        <v>5818</v>
      </c>
      <c r="B2583" s="18" t="s">
        <v>2654</v>
      </c>
      <c r="C2583" s="18" t="s">
        <v>308</v>
      </c>
      <c r="D2583" s="18" t="s">
        <v>137</v>
      </c>
      <c r="E2583" s="26">
        <v>45408</v>
      </c>
      <c r="F2583" s="18" t="s">
        <v>5819</v>
      </c>
      <c r="G2583" s="18" t="s">
        <v>176</v>
      </c>
      <c r="H2583" s="18">
        <v>7.1</v>
      </c>
      <c r="I2583" s="18">
        <v>599</v>
      </c>
      <c r="J2583" s="18">
        <v>0</v>
      </c>
      <c r="K2583" s="18">
        <v>4252.8999999999996</v>
      </c>
      <c r="L2583" s="18" t="s">
        <v>118</v>
      </c>
      <c r="M2583" s="18" t="s">
        <v>140</v>
      </c>
      <c r="N2583" s="28">
        <v>45408.227777777778</v>
      </c>
      <c r="O2583" s="28">
        <v>45409.119444444441</v>
      </c>
      <c r="P2583" s="20"/>
      <c r="Q2583" s="18" t="b">
        <f>TRUE()</f>
        <v>1</v>
      </c>
      <c r="R2583" s="18" t="b">
        <f>FALSE()</f>
        <v>0</v>
      </c>
      <c r="S2583" s="19">
        <f t="shared" si="40"/>
        <v>21.4</v>
      </c>
      <c r="T2583">
        <f>COUNTIF('👤 Customers'!$A:$A, B2583)</f>
        <v>1</v>
      </c>
      <c r="U2583">
        <f>COUNTIF('🚴 Riders'!A2582:A2642, C2583)</f>
        <v>0</v>
      </c>
      <c r="V2583">
        <f>COUNTIF('🏭 Facilities'!A2582:A2590, D2583)</f>
        <v>0</v>
      </c>
    </row>
    <row r="2584" spans="1:22">
      <c r="A2584" s="16" t="s">
        <v>5820</v>
      </c>
      <c r="B2584" s="16" t="s">
        <v>329</v>
      </c>
      <c r="C2584" s="16" t="s">
        <v>413</v>
      </c>
      <c r="D2584" s="16" t="s">
        <v>123</v>
      </c>
      <c r="E2584" s="25">
        <v>45115</v>
      </c>
      <c r="F2584" s="16" t="s">
        <v>5821</v>
      </c>
      <c r="G2584" s="16" t="s">
        <v>176</v>
      </c>
      <c r="H2584" s="16">
        <v>4.5</v>
      </c>
      <c r="I2584" s="16">
        <v>599</v>
      </c>
      <c r="J2584" s="16">
        <v>10</v>
      </c>
      <c r="K2584" s="16">
        <v>2425.9499999999998</v>
      </c>
      <c r="L2584" s="16" t="s">
        <v>118</v>
      </c>
      <c r="M2584" s="16" t="s">
        <v>119</v>
      </c>
      <c r="N2584" s="27">
        <v>45115.618750000001</v>
      </c>
      <c r="O2584" s="27">
        <v>45116.536111111112</v>
      </c>
      <c r="P2584" s="16">
        <v>2.8</v>
      </c>
      <c r="Q2584" s="16" t="b">
        <f>FALSE()</f>
        <v>0</v>
      </c>
      <c r="R2584" s="16" t="b">
        <f>FALSE()</f>
        <v>0</v>
      </c>
      <c r="S2584" s="17">
        <f t="shared" si="40"/>
        <v>22</v>
      </c>
      <c r="T2584">
        <f>COUNTIF('👤 Customers'!$A:$A, B2584)</f>
        <v>1</v>
      </c>
      <c r="U2584">
        <f>COUNTIF('🚴 Riders'!A2583:A2643, C2584)</f>
        <v>0</v>
      </c>
      <c r="V2584">
        <f>COUNTIF('🏭 Facilities'!A2583:A2591, D2584)</f>
        <v>0</v>
      </c>
    </row>
    <row r="2585" spans="1:22">
      <c r="A2585" s="18" t="s">
        <v>5822</v>
      </c>
      <c r="B2585" s="18" t="s">
        <v>1073</v>
      </c>
      <c r="C2585" s="18" t="s">
        <v>283</v>
      </c>
      <c r="D2585" s="18" t="s">
        <v>158</v>
      </c>
      <c r="E2585" s="26">
        <v>45107</v>
      </c>
      <c r="F2585" s="18" t="s">
        <v>5823</v>
      </c>
      <c r="G2585" s="18" t="s">
        <v>117</v>
      </c>
      <c r="H2585" s="18">
        <v>6.1</v>
      </c>
      <c r="I2585" s="18">
        <v>149</v>
      </c>
      <c r="J2585" s="18">
        <v>0</v>
      </c>
      <c r="K2585" s="18">
        <v>908.9</v>
      </c>
      <c r="L2585" s="18" t="s">
        <v>139</v>
      </c>
      <c r="M2585" s="18" t="s">
        <v>140</v>
      </c>
      <c r="N2585" s="28">
        <v>45107.673611111109</v>
      </c>
      <c r="O2585" s="28">
        <v>45108.54791666667</v>
      </c>
      <c r="P2585" s="20"/>
      <c r="Q2585" s="18" t="b">
        <f>FALSE()</f>
        <v>0</v>
      </c>
      <c r="R2585" s="18" t="b">
        <f>FALSE()</f>
        <v>0</v>
      </c>
      <c r="S2585" s="19">
        <f t="shared" si="40"/>
        <v>21</v>
      </c>
      <c r="T2585">
        <f>COUNTIF('👤 Customers'!$A:$A, B2585)</f>
        <v>1</v>
      </c>
      <c r="U2585">
        <f>COUNTIF('🚴 Riders'!A2584:A2644, C2585)</f>
        <v>0</v>
      </c>
      <c r="V2585">
        <f>COUNTIF('🏭 Facilities'!A2584:A2592, D2585)</f>
        <v>0</v>
      </c>
    </row>
    <row r="2586" spans="1:22">
      <c r="A2586" s="16" t="s">
        <v>5824</v>
      </c>
      <c r="B2586" s="16" t="s">
        <v>1663</v>
      </c>
      <c r="C2586" s="16" t="s">
        <v>188</v>
      </c>
      <c r="D2586" s="16" t="s">
        <v>137</v>
      </c>
      <c r="E2586" s="25">
        <v>45047</v>
      </c>
      <c r="F2586" s="16" t="s">
        <v>5825</v>
      </c>
      <c r="G2586" s="16" t="s">
        <v>145</v>
      </c>
      <c r="H2586" s="16">
        <v>2.7</v>
      </c>
      <c r="I2586" s="16">
        <v>299</v>
      </c>
      <c r="J2586" s="16">
        <v>30</v>
      </c>
      <c r="K2586" s="16">
        <v>565.11</v>
      </c>
      <c r="L2586" s="16" t="s">
        <v>126</v>
      </c>
      <c r="M2586" s="16" t="s">
        <v>119</v>
      </c>
      <c r="N2586" s="27">
        <v>45047.938194444447</v>
      </c>
      <c r="O2586" s="27">
        <v>45048.947222222225</v>
      </c>
      <c r="P2586" s="16">
        <v>4.5999999999999996</v>
      </c>
      <c r="Q2586" s="16" t="b">
        <f>FALSE()</f>
        <v>0</v>
      </c>
      <c r="R2586" s="16" t="b">
        <f>TRUE()</f>
        <v>1</v>
      </c>
      <c r="S2586" s="17">
        <f t="shared" si="40"/>
        <v>24.2</v>
      </c>
      <c r="T2586">
        <f>COUNTIF('👤 Customers'!$A:$A, B2586)</f>
        <v>1</v>
      </c>
      <c r="U2586">
        <f>COUNTIF('🚴 Riders'!A2585:A2645, C2586)</f>
        <v>0</v>
      </c>
      <c r="V2586">
        <f>COUNTIF('🏭 Facilities'!A2585:A2593, D2586)</f>
        <v>0</v>
      </c>
    </row>
    <row r="2587" spans="1:22">
      <c r="A2587" s="18" t="s">
        <v>5826</v>
      </c>
      <c r="B2587" s="18" t="s">
        <v>2865</v>
      </c>
      <c r="C2587" s="18" t="s">
        <v>224</v>
      </c>
      <c r="D2587" s="18" t="s">
        <v>205</v>
      </c>
      <c r="E2587" s="26">
        <v>45136</v>
      </c>
      <c r="F2587" s="18" t="s">
        <v>5827</v>
      </c>
      <c r="G2587" s="18" t="s">
        <v>125</v>
      </c>
      <c r="H2587" s="18">
        <v>1.8</v>
      </c>
      <c r="I2587" s="18">
        <v>199</v>
      </c>
      <c r="J2587" s="18">
        <v>10</v>
      </c>
      <c r="K2587" s="18">
        <v>322.38</v>
      </c>
      <c r="L2587" s="18" t="s">
        <v>207</v>
      </c>
      <c r="M2587" s="18" t="s">
        <v>119</v>
      </c>
      <c r="N2587" s="28">
        <v>45136.880555555559</v>
      </c>
      <c r="O2587" s="28">
        <v>45137.487500000003</v>
      </c>
      <c r="P2587" s="18">
        <v>4.9000000000000004</v>
      </c>
      <c r="Q2587" s="18" t="b">
        <f>FALSE()</f>
        <v>0</v>
      </c>
      <c r="R2587" s="18" t="b">
        <f>FALSE()</f>
        <v>0</v>
      </c>
      <c r="S2587" s="19">
        <f t="shared" si="40"/>
        <v>14.6</v>
      </c>
      <c r="T2587">
        <f>COUNTIF('👤 Customers'!$A:$A, B2587)</f>
        <v>1</v>
      </c>
      <c r="U2587">
        <f>COUNTIF('🚴 Riders'!A2586:A2646, C2587)</f>
        <v>0</v>
      </c>
      <c r="V2587">
        <f>COUNTIF('🏭 Facilities'!A2586:A2594, D2587)</f>
        <v>0</v>
      </c>
    </row>
    <row r="2588" spans="1:22">
      <c r="A2588" s="16" t="s">
        <v>5828</v>
      </c>
      <c r="B2588" s="16" t="s">
        <v>349</v>
      </c>
      <c r="C2588" s="16" t="s">
        <v>358</v>
      </c>
      <c r="D2588" s="16" t="s">
        <v>205</v>
      </c>
      <c r="E2588" s="25">
        <v>45548</v>
      </c>
      <c r="F2588" s="16" t="s">
        <v>5829</v>
      </c>
      <c r="G2588" s="16" t="s">
        <v>176</v>
      </c>
      <c r="H2588" s="16">
        <v>4.9000000000000004</v>
      </c>
      <c r="I2588" s="16">
        <v>599</v>
      </c>
      <c r="J2588" s="16">
        <v>0</v>
      </c>
      <c r="K2588" s="16">
        <v>2935.1</v>
      </c>
      <c r="L2588" s="16" t="s">
        <v>126</v>
      </c>
      <c r="M2588" s="16" t="s">
        <v>119</v>
      </c>
      <c r="N2588" s="27">
        <v>45548.202777777777</v>
      </c>
      <c r="O2588" s="27">
        <v>45548.862500000003</v>
      </c>
      <c r="P2588" s="16">
        <v>4.4000000000000004</v>
      </c>
      <c r="Q2588" s="16" t="b">
        <f>FALSE()</f>
        <v>0</v>
      </c>
      <c r="R2588" s="16" t="b">
        <f>FALSE()</f>
        <v>0</v>
      </c>
      <c r="S2588" s="17">
        <f t="shared" si="40"/>
        <v>15.8</v>
      </c>
      <c r="T2588">
        <f>COUNTIF('👤 Customers'!$A:$A, B2588)</f>
        <v>1</v>
      </c>
      <c r="U2588">
        <f>COUNTIF('🚴 Riders'!A2587:A2647, C2588)</f>
        <v>0</v>
      </c>
      <c r="V2588">
        <f>COUNTIF('🏭 Facilities'!A2587:A2595, D2588)</f>
        <v>0</v>
      </c>
    </row>
    <row r="2589" spans="1:22">
      <c r="A2589" s="18" t="s">
        <v>5830</v>
      </c>
      <c r="B2589" s="18" t="s">
        <v>734</v>
      </c>
      <c r="C2589" s="18" t="s">
        <v>343</v>
      </c>
      <c r="D2589" s="18" t="s">
        <v>123</v>
      </c>
      <c r="E2589" s="26">
        <v>45084</v>
      </c>
      <c r="F2589" s="18" t="s">
        <v>5831</v>
      </c>
      <c r="G2589" s="18" t="s">
        <v>117</v>
      </c>
      <c r="H2589" s="18">
        <v>7.1</v>
      </c>
      <c r="I2589" s="18">
        <v>149</v>
      </c>
      <c r="J2589" s="18">
        <v>20</v>
      </c>
      <c r="K2589" s="18">
        <v>846.32</v>
      </c>
      <c r="L2589" s="18" t="s">
        <v>146</v>
      </c>
      <c r="M2589" s="18" t="s">
        <v>119</v>
      </c>
      <c r="N2589" s="28">
        <v>45085.006249999999</v>
      </c>
      <c r="O2589" s="28">
        <v>45085.670138888891</v>
      </c>
      <c r="P2589" s="18">
        <v>3.3</v>
      </c>
      <c r="Q2589" s="18" t="b">
        <f>FALSE()</f>
        <v>0</v>
      </c>
      <c r="R2589" s="18" t="b">
        <f>TRUE()</f>
        <v>1</v>
      </c>
      <c r="S2589" s="19">
        <f t="shared" si="40"/>
        <v>15.9</v>
      </c>
      <c r="T2589">
        <f>COUNTIF('👤 Customers'!$A:$A, B2589)</f>
        <v>1</v>
      </c>
      <c r="U2589">
        <f>COUNTIF('🚴 Riders'!A2588:A2648, C2589)</f>
        <v>0</v>
      </c>
      <c r="V2589">
        <f>COUNTIF('🏭 Facilities'!A2588:A2596, D2589)</f>
        <v>0</v>
      </c>
    </row>
    <row r="2590" spans="1:22">
      <c r="A2590" s="16" t="s">
        <v>5832</v>
      </c>
      <c r="B2590" s="16" t="s">
        <v>1351</v>
      </c>
      <c r="C2590" s="16" t="s">
        <v>431</v>
      </c>
      <c r="D2590" s="16" t="s">
        <v>197</v>
      </c>
      <c r="E2590" s="25">
        <v>45558</v>
      </c>
      <c r="F2590" s="16" t="s">
        <v>5833</v>
      </c>
      <c r="G2590" s="16" t="s">
        <v>125</v>
      </c>
      <c r="H2590" s="16">
        <v>5.4</v>
      </c>
      <c r="I2590" s="16">
        <v>199</v>
      </c>
      <c r="J2590" s="16">
        <v>0</v>
      </c>
      <c r="K2590" s="16">
        <v>1074.5999999999999</v>
      </c>
      <c r="L2590" s="16" t="s">
        <v>118</v>
      </c>
      <c r="M2590" s="16" t="s">
        <v>119</v>
      </c>
      <c r="N2590" s="27">
        <v>45558.484722222223</v>
      </c>
      <c r="O2590" s="27">
        <v>45559.270138888889</v>
      </c>
      <c r="P2590" s="16">
        <v>2.7</v>
      </c>
      <c r="Q2590" s="16" t="b">
        <f>FALSE()</f>
        <v>0</v>
      </c>
      <c r="R2590" s="16" t="b">
        <f>TRUE()</f>
        <v>1</v>
      </c>
      <c r="S2590" s="17">
        <f t="shared" si="40"/>
        <v>18.8</v>
      </c>
      <c r="T2590">
        <f>COUNTIF('👤 Customers'!$A:$A, B2590)</f>
        <v>1</v>
      </c>
      <c r="U2590">
        <f>COUNTIF('🚴 Riders'!A2589:A2649, C2590)</f>
        <v>0</v>
      </c>
      <c r="V2590">
        <f>COUNTIF('🏭 Facilities'!A2589:A2597, D2590)</f>
        <v>0</v>
      </c>
    </row>
    <row r="2591" spans="1:22">
      <c r="A2591" s="18" t="s">
        <v>5834</v>
      </c>
      <c r="B2591" s="18" t="s">
        <v>919</v>
      </c>
      <c r="C2591" s="18" t="s">
        <v>220</v>
      </c>
      <c r="D2591" s="18" t="s">
        <v>115</v>
      </c>
      <c r="E2591" s="26">
        <v>45633</v>
      </c>
      <c r="F2591" s="18" t="s">
        <v>5835</v>
      </c>
      <c r="G2591" s="18" t="s">
        <v>145</v>
      </c>
      <c r="H2591" s="18">
        <v>2.9</v>
      </c>
      <c r="I2591" s="18">
        <v>299</v>
      </c>
      <c r="J2591" s="18">
        <v>0</v>
      </c>
      <c r="K2591" s="18">
        <v>867.1</v>
      </c>
      <c r="L2591" s="18" t="s">
        <v>207</v>
      </c>
      <c r="M2591" s="18" t="s">
        <v>133</v>
      </c>
      <c r="N2591" s="20"/>
      <c r="O2591" s="20"/>
      <c r="P2591" s="20"/>
      <c r="Q2591" s="18" t="b">
        <f>FALSE()</f>
        <v>0</v>
      </c>
      <c r="R2591" s="18" t="b">
        <f>FALSE()</f>
        <v>0</v>
      </c>
      <c r="S2591" s="19" t="str">
        <f t="shared" si="40"/>
        <v>N/A</v>
      </c>
      <c r="T2591">
        <f>COUNTIF('👤 Customers'!$A:$A, B2591)</f>
        <v>1</v>
      </c>
      <c r="U2591">
        <f>COUNTIF('🚴 Riders'!A2590:A2650, C2591)</f>
        <v>0</v>
      </c>
      <c r="V2591">
        <f>COUNTIF('🏭 Facilities'!A2590:A2598, D2591)</f>
        <v>0</v>
      </c>
    </row>
    <row r="2592" spans="1:22">
      <c r="A2592" s="16" t="s">
        <v>5836</v>
      </c>
      <c r="B2592" s="16" t="s">
        <v>1682</v>
      </c>
      <c r="C2592" s="16" t="s">
        <v>487</v>
      </c>
      <c r="D2592" s="16" t="s">
        <v>205</v>
      </c>
      <c r="E2592" s="25">
        <v>45178</v>
      </c>
      <c r="F2592" s="16" t="s">
        <v>5837</v>
      </c>
      <c r="G2592" s="16" t="s">
        <v>132</v>
      </c>
      <c r="H2592" s="16">
        <v>5.6</v>
      </c>
      <c r="I2592" s="16">
        <v>399</v>
      </c>
      <c r="J2592" s="16">
        <v>10</v>
      </c>
      <c r="K2592" s="16">
        <v>2010.96</v>
      </c>
      <c r="L2592" s="16" t="s">
        <v>207</v>
      </c>
      <c r="M2592" s="16" t="s">
        <v>133</v>
      </c>
      <c r="N2592" s="20"/>
      <c r="O2592" s="20"/>
      <c r="P2592" s="20"/>
      <c r="Q2592" s="16" t="b">
        <f>FALSE()</f>
        <v>0</v>
      </c>
      <c r="R2592" s="16" t="b">
        <f>TRUE()</f>
        <v>1</v>
      </c>
      <c r="S2592" s="17" t="str">
        <f t="shared" si="40"/>
        <v>N/A</v>
      </c>
      <c r="T2592">
        <f>COUNTIF('👤 Customers'!$A:$A, B2592)</f>
        <v>1</v>
      </c>
      <c r="U2592">
        <f>COUNTIF('🚴 Riders'!A2591:A2651, C2592)</f>
        <v>0</v>
      </c>
      <c r="V2592">
        <f>COUNTIF('🏭 Facilities'!A2591:A2599, D2592)</f>
        <v>0</v>
      </c>
    </row>
    <row r="2593" spans="1:22">
      <c r="A2593" s="18" t="s">
        <v>5838</v>
      </c>
      <c r="B2593" s="18" t="s">
        <v>442</v>
      </c>
      <c r="C2593" s="18" t="s">
        <v>479</v>
      </c>
      <c r="D2593" s="18" t="s">
        <v>137</v>
      </c>
      <c r="E2593" s="26">
        <v>45172</v>
      </c>
      <c r="F2593" s="18" t="s">
        <v>5839</v>
      </c>
      <c r="G2593" s="18" t="s">
        <v>125</v>
      </c>
      <c r="H2593" s="18">
        <v>2.8</v>
      </c>
      <c r="I2593" s="18">
        <v>199</v>
      </c>
      <c r="J2593" s="18">
        <v>30</v>
      </c>
      <c r="K2593" s="18">
        <v>390.04</v>
      </c>
      <c r="L2593" s="18" t="s">
        <v>207</v>
      </c>
      <c r="M2593" s="18" t="s">
        <v>140</v>
      </c>
      <c r="N2593" s="28">
        <v>45172.541666666664</v>
      </c>
      <c r="O2593" s="28">
        <v>45173.301388888889</v>
      </c>
      <c r="P2593" s="20"/>
      <c r="Q2593" s="18" t="b">
        <f>TRUE()</f>
        <v>1</v>
      </c>
      <c r="R2593" s="18" t="b">
        <f>FALSE()</f>
        <v>0</v>
      </c>
      <c r="S2593" s="19">
        <f t="shared" si="40"/>
        <v>18.2</v>
      </c>
      <c r="T2593">
        <f>COUNTIF('👤 Customers'!$A:$A, B2593)</f>
        <v>1</v>
      </c>
      <c r="U2593">
        <f>COUNTIF('🚴 Riders'!A2592:A2652, C2593)</f>
        <v>0</v>
      </c>
      <c r="V2593">
        <f>COUNTIF('🏭 Facilities'!A2592:A2600, D2593)</f>
        <v>0</v>
      </c>
    </row>
    <row r="2594" spans="1:22">
      <c r="A2594" s="16" t="s">
        <v>5840</v>
      </c>
      <c r="B2594" s="16" t="s">
        <v>1361</v>
      </c>
      <c r="C2594" s="16" t="s">
        <v>343</v>
      </c>
      <c r="D2594" s="16" t="s">
        <v>158</v>
      </c>
      <c r="E2594" s="25">
        <v>45558</v>
      </c>
      <c r="F2594" s="16" t="s">
        <v>5841</v>
      </c>
      <c r="G2594" s="16" t="s">
        <v>176</v>
      </c>
      <c r="H2594" s="16">
        <v>2.2000000000000002</v>
      </c>
      <c r="I2594" s="16">
        <v>599</v>
      </c>
      <c r="J2594" s="16">
        <v>0</v>
      </c>
      <c r="K2594" s="16">
        <v>1317.8</v>
      </c>
      <c r="L2594" s="16" t="s">
        <v>118</v>
      </c>
      <c r="M2594" s="16" t="s">
        <v>119</v>
      </c>
      <c r="N2594" s="27">
        <v>45558.461111111108</v>
      </c>
      <c r="O2594" s="27">
        <v>45558.813888888886</v>
      </c>
      <c r="P2594" s="16">
        <v>4.8</v>
      </c>
      <c r="Q2594" s="16" t="b">
        <f>FALSE()</f>
        <v>0</v>
      </c>
      <c r="R2594" s="16" t="b">
        <f>FALSE()</f>
        <v>0</v>
      </c>
      <c r="S2594" s="17">
        <f t="shared" si="40"/>
        <v>8.5</v>
      </c>
      <c r="T2594">
        <f>COUNTIF('👤 Customers'!$A:$A, B2594)</f>
        <v>1</v>
      </c>
      <c r="U2594">
        <f>COUNTIF('🚴 Riders'!A2593:A2653, C2594)</f>
        <v>0</v>
      </c>
      <c r="V2594">
        <f>COUNTIF('🏭 Facilities'!A2593:A2601, D2594)</f>
        <v>0</v>
      </c>
    </row>
    <row r="2595" spans="1:22">
      <c r="A2595" s="18" t="s">
        <v>5842</v>
      </c>
      <c r="B2595" s="18" t="s">
        <v>1631</v>
      </c>
      <c r="C2595" s="18" t="s">
        <v>461</v>
      </c>
      <c r="D2595" s="18" t="s">
        <v>158</v>
      </c>
      <c r="E2595" s="26">
        <v>45424</v>
      </c>
      <c r="F2595" s="18" t="s">
        <v>5843</v>
      </c>
      <c r="G2595" s="18" t="s">
        <v>145</v>
      </c>
      <c r="H2595" s="18">
        <v>7.6</v>
      </c>
      <c r="I2595" s="18">
        <v>299</v>
      </c>
      <c r="J2595" s="18">
        <v>0</v>
      </c>
      <c r="K2595" s="18">
        <v>2272.4</v>
      </c>
      <c r="L2595" s="18" t="s">
        <v>126</v>
      </c>
      <c r="M2595" s="18" t="s">
        <v>140</v>
      </c>
      <c r="N2595" s="28">
        <v>45424.093055555553</v>
      </c>
      <c r="O2595" s="28">
        <v>45425.004166666666</v>
      </c>
      <c r="P2595" s="20"/>
      <c r="Q2595" s="18" t="b">
        <f>FALSE()</f>
        <v>0</v>
      </c>
      <c r="R2595" s="18" t="b">
        <f>FALSE()</f>
        <v>0</v>
      </c>
      <c r="S2595" s="19">
        <f t="shared" si="40"/>
        <v>21.9</v>
      </c>
      <c r="T2595">
        <f>COUNTIF('👤 Customers'!$A:$A, B2595)</f>
        <v>1</v>
      </c>
      <c r="U2595">
        <f>COUNTIF('🚴 Riders'!A2594:A2654, C2595)</f>
        <v>0</v>
      </c>
      <c r="V2595">
        <f>COUNTIF('🏭 Facilities'!A2594:A2602, D2595)</f>
        <v>0</v>
      </c>
    </row>
    <row r="2596" spans="1:22">
      <c r="A2596" s="16" t="s">
        <v>5844</v>
      </c>
      <c r="B2596" s="16" t="s">
        <v>394</v>
      </c>
      <c r="C2596" s="16" t="s">
        <v>287</v>
      </c>
      <c r="D2596" s="16" t="s">
        <v>197</v>
      </c>
      <c r="E2596" s="25">
        <v>45385</v>
      </c>
      <c r="F2596" s="16" t="s">
        <v>5845</v>
      </c>
      <c r="G2596" s="16" t="s">
        <v>145</v>
      </c>
      <c r="H2596" s="16">
        <v>1.8</v>
      </c>
      <c r="I2596" s="16">
        <v>299</v>
      </c>
      <c r="J2596" s="16">
        <v>0</v>
      </c>
      <c r="K2596" s="16">
        <v>538.20000000000005</v>
      </c>
      <c r="L2596" s="16" t="s">
        <v>207</v>
      </c>
      <c r="M2596" s="16" t="s">
        <v>133</v>
      </c>
      <c r="N2596" s="20"/>
      <c r="O2596" s="20"/>
      <c r="P2596" s="20"/>
      <c r="Q2596" s="16" t="b">
        <f>FALSE()</f>
        <v>0</v>
      </c>
      <c r="R2596" s="16" t="b">
        <f>FALSE()</f>
        <v>0</v>
      </c>
      <c r="S2596" s="17" t="str">
        <f t="shared" si="40"/>
        <v>N/A</v>
      </c>
      <c r="T2596">
        <f>COUNTIF('👤 Customers'!$A:$A, B2596)</f>
        <v>1</v>
      </c>
      <c r="U2596">
        <f>COUNTIF('🚴 Riders'!A2595:A2655, C2596)</f>
        <v>0</v>
      </c>
      <c r="V2596">
        <f>COUNTIF('🏭 Facilities'!A2595:A2603, D2596)</f>
        <v>0</v>
      </c>
    </row>
    <row r="2597" spans="1:22">
      <c r="A2597" s="18" t="s">
        <v>5846</v>
      </c>
      <c r="B2597" s="18" t="s">
        <v>2763</v>
      </c>
      <c r="C2597" s="18" t="s">
        <v>153</v>
      </c>
      <c r="D2597" s="18" t="s">
        <v>115</v>
      </c>
      <c r="E2597" s="26">
        <v>45330</v>
      </c>
      <c r="F2597" s="18" t="s">
        <v>5847</v>
      </c>
      <c r="G2597" s="18" t="s">
        <v>145</v>
      </c>
      <c r="H2597" s="18">
        <v>5.2</v>
      </c>
      <c r="I2597" s="18">
        <v>299</v>
      </c>
      <c r="J2597" s="18">
        <v>10</v>
      </c>
      <c r="K2597" s="18">
        <v>1399.32</v>
      </c>
      <c r="L2597" s="18" t="s">
        <v>126</v>
      </c>
      <c r="M2597" s="18" t="s">
        <v>119</v>
      </c>
      <c r="N2597" s="28">
        <v>45330.097222222219</v>
      </c>
      <c r="O2597" s="28">
        <v>45330.402083333334</v>
      </c>
      <c r="P2597" s="18">
        <v>3.4</v>
      </c>
      <c r="Q2597" s="18" t="b">
        <f>TRUE()</f>
        <v>1</v>
      </c>
      <c r="R2597" s="18" t="b">
        <f>TRUE()</f>
        <v>1</v>
      </c>
      <c r="S2597" s="19">
        <f t="shared" si="40"/>
        <v>7.3</v>
      </c>
      <c r="T2597">
        <f>COUNTIF('👤 Customers'!$A:$A, B2597)</f>
        <v>1</v>
      </c>
      <c r="U2597">
        <f>COUNTIF('🚴 Riders'!A2596:A2656, C2597)</f>
        <v>0</v>
      </c>
      <c r="V2597">
        <f>COUNTIF('🏭 Facilities'!A2596:A2604, D2597)</f>
        <v>0</v>
      </c>
    </row>
    <row r="2598" spans="1:22">
      <c r="A2598" s="16" t="s">
        <v>5848</v>
      </c>
      <c r="B2598" s="16" t="s">
        <v>219</v>
      </c>
      <c r="C2598" s="16" t="s">
        <v>174</v>
      </c>
      <c r="D2598" s="16" t="s">
        <v>137</v>
      </c>
      <c r="E2598" s="25">
        <v>45054</v>
      </c>
      <c r="F2598" s="16" t="s">
        <v>5849</v>
      </c>
      <c r="G2598" s="16" t="s">
        <v>117</v>
      </c>
      <c r="H2598" s="16">
        <v>1</v>
      </c>
      <c r="I2598" s="16">
        <v>149</v>
      </c>
      <c r="J2598" s="16">
        <v>10</v>
      </c>
      <c r="K2598" s="16">
        <v>134.1</v>
      </c>
      <c r="L2598" s="16" t="s">
        <v>139</v>
      </c>
      <c r="M2598" s="16" t="s">
        <v>119</v>
      </c>
      <c r="N2598" s="27">
        <v>45054.950694444444</v>
      </c>
      <c r="O2598" s="27">
        <v>45055.351388888892</v>
      </c>
      <c r="P2598" s="16">
        <v>2.9</v>
      </c>
      <c r="Q2598" s="16" t="b">
        <f>FALSE()</f>
        <v>0</v>
      </c>
      <c r="R2598" s="16" t="b">
        <f>FALSE()</f>
        <v>0</v>
      </c>
      <c r="S2598" s="17">
        <f t="shared" si="40"/>
        <v>9.6</v>
      </c>
      <c r="T2598">
        <f>COUNTIF('👤 Customers'!$A:$A, B2598)</f>
        <v>1</v>
      </c>
      <c r="U2598">
        <f>COUNTIF('🚴 Riders'!A2597:A2657, C2598)</f>
        <v>0</v>
      </c>
      <c r="V2598">
        <f>COUNTIF('🏭 Facilities'!A2597:A2605, D2598)</f>
        <v>0</v>
      </c>
    </row>
    <row r="2599" spans="1:22">
      <c r="A2599" s="18" t="s">
        <v>5850</v>
      </c>
      <c r="B2599" s="18" t="s">
        <v>774</v>
      </c>
      <c r="C2599" s="18" t="s">
        <v>343</v>
      </c>
      <c r="D2599" s="18" t="s">
        <v>123</v>
      </c>
      <c r="E2599" s="26">
        <v>45249</v>
      </c>
      <c r="F2599" s="18" t="s">
        <v>5851</v>
      </c>
      <c r="G2599" s="18" t="s">
        <v>176</v>
      </c>
      <c r="H2599" s="18">
        <v>7.7</v>
      </c>
      <c r="I2599" s="18">
        <v>599</v>
      </c>
      <c r="J2599" s="18">
        <v>10</v>
      </c>
      <c r="K2599" s="18">
        <v>4151.07</v>
      </c>
      <c r="L2599" s="18" t="s">
        <v>207</v>
      </c>
      <c r="M2599" s="18" t="s">
        <v>119</v>
      </c>
      <c r="N2599" s="28">
        <v>45249.979861111111</v>
      </c>
      <c r="O2599" s="28">
        <v>45250.349305555559</v>
      </c>
      <c r="P2599" s="18">
        <v>3.4</v>
      </c>
      <c r="Q2599" s="18" t="b">
        <f>FALSE()</f>
        <v>0</v>
      </c>
      <c r="R2599" s="18" t="b">
        <f>FALSE()</f>
        <v>0</v>
      </c>
      <c r="S2599" s="19">
        <f t="shared" si="40"/>
        <v>8.9</v>
      </c>
      <c r="T2599">
        <f>COUNTIF('👤 Customers'!$A:$A, B2599)</f>
        <v>1</v>
      </c>
      <c r="U2599">
        <f>COUNTIF('🚴 Riders'!A2598:A2658, C2599)</f>
        <v>0</v>
      </c>
      <c r="V2599">
        <f>COUNTIF('🏭 Facilities'!A2598:A2606, D2599)</f>
        <v>0</v>
      </c>
    </row>
    <row r="2600" spans="1:22">
      <c r="A2600" s="16" t="s">
        <v>5852</v>
      </c>
      <c r="B2600" s="16" t="s">
        <v>1886</v>
      </c>
      <c r="C2600" s="16" t="s">
        <v>143</v>
      </c>
      <c r="D2600" s="16" t="s">
        <v>197</v>
      </c>
      <c r="E2600" s="25">
        <v>45519</v>
      </c>
      <c r="F2600" s="16" t="s">
        <v>5853</v>
      </c>
      <c r="G2600" s="16" t="s">
        <v>145</v>
      </c>
      <c r="H2600" s="16">
        <v>5.3</v>
      </c>
      <c r="I2600" s="16">
        <v>299</v>
      </c>
      <c r="J2600" s="16">
        <v>20</v>
      </c>
      <c r="K2600" s="16">
        <v>1267.76</v>
      </c>
      <c r="L2600" s="16" t="s">
        <v>118</v>
      </c>
      <c r="M2600" s="16" t="s">
        <v>119</v>
      </c>
      <c r="N2600" s="27">
        <v>45519.625</v>
      </c>
      <c r="O2600" s="27">
        <v>45520.115277777775</v>
      </c>
      <c r="P2600" s="16">
        <v>2.7</v>
      </c>
      <c r="Q2600" s="16" t="b">
        <f>FALSE()</f>
        <v>0</v>
      </c>
      <c r="R2600" s="16" t="b">
        <f>TRUE()</f>
        <v>1</v>
      </c>
      <c r="S2600" s="17">
        <f t="shared" si="40"/>
        <v>11.8</v>
      </c>
      <c r="T2600">
        <f>COUNTIF('👤 Customers'!$A:$A, B2600)</f>
        <v>1</v>
      </c>
      <c r="U2600">
        <f>COUNTIF('🚴 Riders'!A2599:A2659, C2600)</f>
        <v>0</v>
      </c>
      <c r="V2600">
        <f>COUNTIF('🏭 Facilities'!A2599:A2607, D2600)</f>
        <v>0</v>
      </c>
    </row>
    <row r="2601" spans="1:22">
      <c r="A2601" s="18" t="s">
        <v>5854</v>
      </c>
      <c r="B2601" s="18" t="s">
        <v>1356</v>
      </c>
      <c r="C2601" s="18" t="s">
        <v>183</v>
      </c>
      <c r="D2601" s="18" t="s">
        <v>205</v>
      </c>
      <c r="E2601" s="26">
        <v>45231</v>
      </c>
      <c r="F2601" s="18" t="s">
        <v>5855</v>
      </c>
      <c r="G2601" s="18" t="s">
        <v>125</v>
      </c>
      <c r="H2601" s="18">
        <v>5.5</v>
      </c>
      <c r="I2601" s="18">
        <v>199</v>
      </c>
      <c r="J2601" s="18">
        <v>0</v>
      </c>
      <c r="K2601" s="18">
        <v>1094.5</v>
      </c>
      <c r="L2601" s="18" t="s">
        <v>146</v>
      </c>
      <c r="M2601" s="18" t="s">
        <v>119</v>
      </c>
      <c r="N2601" s="28">
        <v>45231.720138888886</v>
      </c>
      <c r="O2601" s="28">
        <v>45232.585416666669</v>
      </c>
      <c r="P2601" s="18">
        <v>3.4</v>
      </c>
      <c r="Q2601" s="18" t="b">
        <f>FALSE()</f>
        <v>0</v>
      </c>
      <c r="R2601" s="18" t="b">
        <f>FALSE()</f>
        <v>0</v>
      </c>
      <c r="S2601" s="19">
        <f t="shared" si="40"/>
        <v>20.8</v>
      </c>
      <c r="T2601">
        <f>COUNTIF('👤 Customers'!$A:$A, B2601)</f>
        <v>1</v>
      </c>
      <c r="U2601">
        <f>COUNTIF('🚴 Riders'!A2600:A2660, C2601)</f>
        <v>0</v>
      </c>
      <c r="V2601">
        <f>COUNTIF('🏭 Facilities'!A2600:A2608, D2601)</f>
        <v>0</v>
      </c>
    </row>
    <row r="2602" spans="1:22">
      <c r="A2602" s="16" t="s">
        <v>5856</v>
      </c>
      <c r="B2602" s="16" t="s">
        <v>1048</v>
      </c>
      <c r="C2602" s="16" t="s">
        <v>580</v>
      </c>
      <c r="D2602" s="16" t="s">
        <v>115</v>
      </c>
      <c r="E2602" s="25">
        <v>45177</v>
      </c>
      <c r="F2602" s="16" t="s">
        <v>5857</v>
      </c>
      <c r="G2602" s="16" t="s">
        <v>176</v>
      </c>
      <c r="H2602" s="16">
        <v>6</v>
      </c>
      <c r="I2602" s="16">
        <v>599</v>
      </c>
      <c r="J2602" s="16">
        <v>0</v>
      </c>
      <c r="K2602" s="16">
        <v>3594</v>
      </c>
      <c r="L2602" s="16" t="s">
        <v>146</v>
      </c>
      <c r="M2602" s="16" t="s">
        <v>119</v>
      </c>
      <c r="N2602" s="27">
        <v>45177.311805555553</v>
      </c>
      <c r="O2602" s="27">
        <v>45178.156944444447</v>
      </c>
      <c r="P2602" s="16">
        <v>3.8</v>
      </c>
      <c r="Q2602" s="16" t="b">
        <f>FALSE()</f>
        <v>0</v>
      </c>
      <c r="R2602" s="16" t="b">
        <f>TRUE()</f>
        <v>1</v>
      </c>
      <c r="S2602" s="17">
        <f t="shared" si="40"/>
        <v>20.3</v>
      </c>
      <c r="T2602">
        <f>COUNTIF('👤 Customers'!$A:$A, B2602)</f>
        <v>1</v>
      </c>
      <c r="U2602">
        <f>COUNTIF('🚴 Riders'!A2601:A2661, C2602)</f>
        <v>0</v>
      </c>
      <c r="V2602">
        <f>COUNTIF('🏭 Facilities'!A2601:A2609, D2602)</f>
        <v>0</v>
      </c>
    </row>
    <row r="2603" spans="1:22">
      <c r="A2603" s="18" t="s">
        <v>5858</v>
      </c>
      <c r="B2603" s="18" t="s">
        <v>436</v>
      </c>
      <c r="C2603" s="18" t="s">
        <v>247</v>
      </c>
      <c r="D2603" s="18" t="s">
        <v>184</v>
      </c>
      <c r="E2603" s="26">
        <v>45171</v>
      </c>
      <c r="F2603" s="18" t="s">
        <v>5859</v>
      </c>
      <c r="G2603" s="18" t="s">
        <v>145</v>
      </c>
      <c r="H2603" s="18">
        <v>4.3</v>
      </c>
      <c r="I2603" s="18">
        <v>299</v>
      </c>
      <c r="J2603" s="18">
        <v>0</v>
      </c>
      <c r="K2603" s="18">
        <v>1285.7</v>
      </c>
      <c r="L2603" s="18" t="s">
        <v>139</v>
      </c>
      <c r="M2603" s="18" t="s">
        <v>133</v>
      </c>
      <c r="N2603" s="20"/>
      <c r="O2603" s="20"/>
      <c r="P2603" s="20"/>
      <c r="Q2603" s="18" t="b">
        <f>FALSE()</f>
        <v>0</v>
      </c>
      <c r="R2603" s="18" t="b">
        <f>FALSE()</f>
        <v>0</v>
      </c>
      <c r="S2603" s="19" t="str">
        <f t="shared" si="40"/>
        <v>N/A</v>
      </c>
      <c r="T2603">
        <f>COUNTIF('👤 Customers'!$A:$A, B2603)</f>
        <v>1</v>
      </c>
      <c r="U2603">
        <f>COUNTIF('🚴 Riders'!A2602:A2662, C2603)</f>
        <v>0</v>
      </c>
      <c r="V2603">
        <f>COUNTIF('🏭 Facilities'!A2602:A2610, D2603)</f>
        <v>0</v>
      </c>
    </row>
    <row r="2604" spans="1:22">
      <c r="A2604" s="16" t="s">
        <v>5860</v>
      </c>
      <c r="B2604" s="16" t="s">
        <v>1070</v>
      </c>
      <c r="C2604" s="16" t="s">
        <v>240</v>
      </c>
      <c r="D2604" s="16" t="s">
        <v>130</v>
      </c>
      <c r="E2604" s="25">
        <v>44958</v>
      </c>
      <c r="F2604" s="16" t="s">
        <v>5861</v>
      </c>
      <c r="G2604" s="16" t="s">
        <v>117</v>
      </c>
      <c r="H2604" s="16">
        <v>5.0999999999999996</v>
      </c>
      <c r="I2604" s="16">
        <v>149</v>
      </c>
      <c r="J2604" s="16">
        <v>10</v>
      </c>
      <c r="K2604" s="16">
        <v>683.91</v>
      </c>
      <c r="L2604" s="16" t="s">
        <v>146</v>
      </c>
      <c r="M2604" s="16" t="s">
        <v>140</v>
      </c>
      <c r="N2604" s="27">
        <v>44958.468055555553</v>
      </c>
      <c r="O2604" s="27">
        <v>44958.837500000001</v>
      </c>
      <c r="P2604" s="20"/>
      <c r="Q2604" s="16" t="b">
        <f>TRUE()</f>
        <v>1</v>
      </c>
      <c r="R2604" s="16" t="b">
        <f>FALSE()</f>
        <v>0</v>
      </c>
      <c r="S2604" s="17">
        <f t="shared" si="40"/>
        <v>8.9</v>
      </c>
      <c r="T2604">
        <f>COUNTIF('👤 Customers'!$A:$A, B2604)</f>
        <v>1</v>
      </c>
      <c r="U2604">
        <f>COUNTIF('🚴 Riders'!A2603:A2663, C2604)</f>
        <v>0</v>
      </c>
      <c r="V2604">
        <f>COUNTIF('🏭 Facilities'!A2603:A2611, D2604)</f>
        <v>0</v>
      </c>
    </row>
    <row r="2605" spans="1:22">
      <c r="A2605" s="18" t="s">
        <v>5862</v>
      </c>
      <c r="B2605" s="18" t="s">
        <v>850</v>
      </c>
      <c r="C2605" s="18" t="s">
        <v>188</v>
      </c>
      <c r="D2605" s="18" t="s">
        <v>158</v>
      </c>
      <c r="E2605" s="26">
        <v>45554</v>
      </c>
      <c r="F2605" s="18" t="s">
        <v>5863</v>
      </c>
      <c r="G2605" s="18" t="s">
        <v>145</v>
      </c>
      <c r="H2605" s="18">
        <v>6.2</v>
      </c>
      <c r="I2605" s="18">
        <v>299</v>
      </c>
      <c r="J2605" s="18">
        <v>20</v>
      </c>
      <c r="K2605" s="18">
        <v>1483.04</v>
      </c>
      <c r="L2605" s="18" t="s">
        <v>126</v>
      </c>
      <c r="M2605" s="18" t="s">
        <v>133</v>
      </c>
      <c r="N2605" s="20"/>
      <c r="O2605" s="20"/>
      <c r="P2605" s="20"/>
      <c r="Q2605" s="18" t="b">
        <f>FALSE()</f>
        <v>0</v>
      </c>
      <c r="R2605" s="18" t="b">
        <f>FALSE()</f>
        <v>0</v>
      </c>
      <c r="S2605" s="19" t="str">
        <f t="shared" si="40"/>
        <v>N/A</v>
      </c>
      <c r="T2605">
        <f>COUNTIF('👤 Customers'!$A:$A, B2605)</f>
        <v>1</v>
      </c>
      <c r="U2605">
        <f>COUNTIF('🚴 Riders'!A2604:A2664, C2605)</f>
        <v>0</v>
      </c>
      <c r="V2605">
        <f>COUNTIF('🏭 Facilities'!A2604:A2612, D2605)</f>
        <v>0</v>
      </c>
    </row>
    <row r="2606" spans="1:22">
      <c r="A2606" s="16" t="s">
        <v>5864</v>
      </c>
      <c r="B2606" s="16" t="s">
        <v>1512</v>
      </c>
      <c r="C2606" s="16" t="s">
        <v>315</v>
      </c>
      <c r="D2606" s="16" t="s">
        <v>197</v>
      </c>
      <c r="E2606" s="25">
        <v>45204</v>
      </c>
      <c r="F2606" s="16" t="s">
        <v>5865</v>
      </c>
      <c r="G2606" s="16" t="s">
        <v>117</v>
      </c>
      <c r="H2606" s="16">
        <v>5.7</v>
      </c>
      <c r="I2606" s="16">
        <v>149</v>
      </c>
      <c r="J2606" s="16">
        <v>20</v>
      </c>
      <c r="K2606" s="16">
        <v>679.44</v>
      </c>
      <c r="L2606" s="16" t="s">
        <v>126</v>
      </c>
      <c r="M2606" s="16" t="s">
        <v>119</v>
      </c>
      <c r="N2606" s="27">
        <v>45204.488888888889</v>
      </c>
      <c r="O2606" s="27">
        <v>45205.215277777781</v>
      </c>
      <c r="P2606" s="16">
        <v>2.7</v>
      </c>
      <c r="Q2606" s="16" t="b">
        <f>FALSE()</f>
        <v>0</v>
      </c>
      <c r="R2606" s="16" t="b">
        <f>FALSE()</f>
        <v>0</v>
      </c>
      <c r="S2606" s="17">
        <f t="shared" si="40"/>
        <v>17.399999999999999</v>
      </c>
      <c r="T2606">
        <f>COUNTIF('👤 Customers'!$A:$A, B2606)</f>
        <v>1</v>
      </c>
      <c r="U2606">
        <f>COUNTIF('🚴 Riders'!A2605:A2665, C2606)</f>
        <v>0</v>
      </c>
      <c r="V2606">
        <f>COUNTIF('🏭 Facilities'!A2605:A2613, D2606)</f>
        <v>0</v>
      </c>
    </row>
    <row r="2607" spans="1:22">
      <c r="A2607" s="18" t="s">
        <v>5866</v>
      </c>
      <c r="B2607" s="18" t="s">
        <v>958</v>
      </c>
      <c r="C2607" s="18" t="s">
        <v>350</v>
      </c>
      <c r="D2607" s="18" t="s">
        <v>123</v>
      </c>
      <c r="E2607" s="26">
        <v>45442</v>
      </c>
      <c r="F2607" s="18" t="s">
        <v>5867</v>
      </c>
      <c r="G2607" s="18" t="s">
        <v>132</v>
      </c>
      <c r="H2607" s="18">
        <v>3.7</v>
      </c>
      <c r="I2607" s="18">
        <v>399</v>
      </c>
      <c r="J2607" s="18">
        <v>20</v>
      </c>
      <c r="K2607" s="18">
        <v>1181.04</v>
      </c>
      <c r="L2607" s="18" t="s">
        <v>118</v>
      </c>
      <c r="M2607" s="18" t="s">
        <v>119</v>
      </c>
      <c r="N2607" s="28">
        <v>45442.343055555553</v>
      </c>
      <c r="O2607" s="28">
        <v>45443.102777777778</v>
      </c>
      <c r="P2607" s="18">
        <v>4</v>
      </c>
      <c r="Q2607" s="18" t="b">
        <f>TRUE()</f>
        <v>1</v>
      </c>
      <c r="R2607" s="18" t="b">
        <f>FALSE()</f>
        <v>0</v>
      </c>
      <c r="S2607" s="19">
        <f t="shared" si="40"/>
        <v>18.2</v>
      </c>
      <c r="T2607">
        <f>COUNTIF('👤 Customers'!$A:$A, B2607)</f>
        <v>1</v>
      </c>
      <c r="U2607">
        <f>COUNTIF('🚴 Riders'!A2606:A2666, C2607)</f>
        <v>0</v>
      </c>
      <c r="V2607">
        <f>COUNTIF('🏭 Facilities'!A2606:A2614, D2607)</f>
        <v>0</v>
      </c>
    </row>
    <row r="2608" spans="1:22">
      <c r="A2608" s="16" t="s">
        <v>5868</v>
      </c>
      <c r="B2608" s="16" t="s">
        <v>1130</v>
      </c>
      <c r="C2608" s="16" t="s">
        <v>213</v>
      </c>
      <c r="D2608" s="16" t="s">
        <v>115</v>
      </c>
      <c r="E2608" s="25">
        <v>45537</v>
      </c>
      <c r="F2608" s="16" t="s">
        <v>5869</v>
      </c>
      <c r="G2608" s="16" t="s">
        <v>176</v>
      </c>
      <c r="H2608" s="16">
        <v>5.4</v>
      </c>
      <c r="I2608" s="16">
        <v>599</v>
      </c>
      <c r="J2608" s="16">
        <v>0</v>
      </c>
      <c r="K2608" s="16">
        <v>3234.6</v>
      </c>
      <c r="L2608" s="16" t="s">
        <v>146</v>
      </c>
      <c r="M2608" s="16" t="s">
        <v>119</v>
      </c>
      <c r="N2608" s="27">
        <v>45537.697916666664</v>
      </c>
      <c r="O2608" s="27">
        <v>45538.130555555559</v>
      </c>
      <c r="P2608" s="16">
        <v>3.3</v>
      </c>
      <c r="Q2608" s="16" t="b">
        <f>FALSE()</f>
        <v>0</v>
      </c>
      <c r="R2608" s="16" t="b">
        <f>FALSE()</f>
        <v>0</v>
      </c>
      <c r="S2608" s="17">
        <f t="shared" si="40"/>
        <v>10.4</v>
      </c>
      <c r="T2608">
        <f>COUNTIF('👤 Customers'!$A:$A, B2608)</f>
        <v>1</v>
      </c>
      <c r="U2608">
        <f>COUNTIF('🚴 Riders'!A2607:A2667, C2608)</f>
        <v>0</v>
      </c>
      <c r="V2608">
        <f>COUNTIF('🏭 Facilities'!A2607:A2615, D2608)</f>
        <v>0</v>
      </c>
    </row>
    <row r="2609" spans="1:22">
      <c r="A2609" s="18" t="s">
        <v>5870</v>
      </c>
      <c r="B2609" s="18" t="s">
        <v>1518</v>
      </c>
      <c r="C2609" s="18" t="s">
        <v>326</v>
      </c>
      <c r="D2609" s="18" t="s">
        <v>205</v>
      </c>
      <c r="E2609" s="26">
        <v>45251</v>
      </c>
      <c r="F2609" s="18" t="s">
        <v>5871</v>
      </c>
      <c r="G2609" s="18" t="s">
        <v>117</v>
      </c>
      <c r="H2609" s="18">
        <v>6.4</v>
      </c>
      <c r="I2609" s="18">
        <v>149</v>
      </c>
      <c r="J2609" s="18">
        <v>0</v>
      </c>
      <c r="K2609" s="18">
        <v>953.6</v>
      </c>
      <c r="L2609" s="18" t="s">
        <v>207</v>
      </c>
      <c r="M2609" s="18" t="s">
        <v>119</v>
      </c>
      <c r="N2609" s="28">
        <v>45251.261805555558</v>
      </c>
      <c r="O2609" s="28">
        <v>45252.244444444441</v>
      </c>
      <c r="P2609" s="18">
        <v>3.3</v>
      </c>
      <c r="Q2609" s="18" t="b">
        <f>FALSE()</f>
        <v>0</v>
      </c>
      <c r="R2609" s="18" t="b">
        <f>FALSE()</f>
        <v>0</v>
      </c>
      <c r="S2609" s="19">
        <f t="shared" si="40"/>
        <v>23.6</v>
      </c>
      <c r="T2609">
        <f>COUNTIF('👤 Customers'!$A:$A, B2609)</f>
        <v>1</v>
      </c>
      <c r="U2609">
        <f>COUNTIF('🚴 Riders'!A2608:A2668, C2609)</f>
        <v>0</v>
      </c>
      <c r="V2609">
        <f>COUNTIF('🏭 Facilities'!A2608:A2616, D2609)</f>
        <v>0</v>
      </c>
    </row>
    <row r="2610" spans="1:22">
      <c r="A2610" s="16" t="s">
        <v>5872</v>
      </c>
      <c r="B2610" s="16" t="s">
        <v>3512</v>
      </c>
      <c r="C2610" s="16" t="s">
        <v>114</v>
      </c>
      <c r="D2610" s="16" t="s">
        <v>137</v>
      </c>
      <c r="E2610" s="25">
        <v>45655</v>
      </c>
      <c r="F2610" s="16" t="s">
        <v>5873</v>
      </c>
      <c r="G2610" s="16" t="s">
        <v>176</v>
      </c>
      <c r="H2610" s="16">
        <v>6.8</v>
      </c>
      <c r="I2610" s="16">
        <v>599</v>
      </c>
      <c r="J2610" s="16">
        <v>0</v>
      </c>
      <c r="K2610" s="16">
        <v>4073.2</v>
      </c>
      <c r="L2610" s="16" t="s">
        <v>207</v>
      </c>
      <c r="M2610" s="16" t="s">
        <v>133</v>
      </c>
      <c r="N2610" s="20"/>
      <c r="O2610" s="20"/>
      <c r="P2610" s="20"/>
      <c r="Q2610" s="16" t="b">
        <f>FALSE()</f>
        <v>0</v>
      </c>
      <c r="R2610" s="16" t="b">
        <f>FALSE()</f>
        <v>0</v>
      </c>
      <c r="S2610" s="17" t="str">
        <f t="shared" si="40"/>
        <v>N/A</v>
      </c>
      <c r="T2610">
        <f>COUNTIF('👤 Customers'!$A:$A, B2610)</f>
        <v>1</v>
      </c>
      <c r="U2610">
        <f>COUNTIF('🚴 Riders'!A2609:A2669, C2610)</f>
        <v>0</v>
      </c>
      <c r="V2610">
        <f>COUNTIF('🏭 Facilities'!A2609:A2617, D2610)</f>
        <v>0</v>
      </c>
    </row>
    <row r="2611" spans="1:22">
      <c r="A2611" s="18" t="s">
        <v>5874</v>
      </c>
      <c r="B2611" s="18" t="s">
        <v>361</v>
      </c>
      <c r="C2611" s="18" t="s">
        <v>236</v>
      </c>
      <c r="D2611" s="18" t="s">
        <v>123</v>
      </c>
      <c r="E2611" s="26">
        <v>45419</v>
      </c>
      <c r="F2611" s="18" t="s">
        <v>5875</v>
      </c>
      <c r="G2611" s="18" t="s">
        <v>132</v>
      </c>
      <c r="H2611" s="18">
        <v>5.3</v>
      </c>
      <c r="I2611" s="18">
        <v>399</v>
      </c>
      <c r="J2611" s="18">
        <v>0</v>
      </c>
      <c r="K2611" s="18">
        <v>2114.6999999999998</v>
      </c>
      <c r="L2611" s="18" t="s">
        <v>146</v>
      </c>
      <c r="M2611" s="18" t="s">
        <v>119</v>
      </c>
      <c r="N2611" s="28">
        <v>45419.927083333336</v>
      </c>
      <c r="O2611" s="28">
        <v>45420.405555555553</v>
      </c>
      <c r="P2611" s="18">
        <v>4.9000000000000004</v>
      </c>
      <c r="Q2611" s="18" t="b">
        <f>FALSE()</f>
        <v>0</v>
      </c>
      <c r="R2611" s="18" t="b">
        <f>TRUE()</f>
        <v>1</v>
      </c>
      <c r="S2611" s="19">
        <f t="shared" si="40"/>
        <v>11.5</v>
      </c>
      <c r="T2611">
        <f>COUNTIF('👤 Customers'!$A:$A, B2611)</f>
        <v>1</v>
      </c>
      <c r="U2611">
        <f>COUNTIF('🚴 Riders'!A2610:A2670, C2611)</f>
        <v>0</v>
      </c>
      <c r="V2611">
        <f>COUNTIF('🏭 Facilities'!A2610:A2618, D2611)</f>
        <v>0</v>
      </c>
    </row>
    <row r="2612" spans="1:22">
      <c r="A2612" s="16" t="s">
        <v>5876</v>
      </c>
      <c r="B2612" s="16" t="s">
        <v>142</v>
      </c>
      <c r="C2612" s="16" t="s">
        <v>162</v>
      </c>
      <c r="D2612" s="16" t="s">
        <v>197</v>
      </c>
      <c r="E2612" s="25">
        <v>44973</v>
      </c>
      <c r="F2612" s="16" t="s">
        <v>5877</v>
      </c>
      <c r="G2612" s="16" t="s">
        <v>132</v>
      </c>
      <c r="H2612" s="16">
        <v>5.7</v>
      </c>
      <c r="I2612" s="16">
        <v>399</v>
      </c>
      <c r="J2612" s="16">
        <v>0</v>
      </c>
      <c r="K2612" s="16">
        <v>2274.3000000000002</v>
      </c>
      <c r="L2612" s="16" t="s">
        <v>207</v>
      </c>
      <c r="M2612" s="16" t="s">
        <v>119</v>
      </c>
      <c r="N2612" s="27">
        <v>44973.859027777777</v>
      </c>
      <c r="O2612" s="27">
        <v>44974.216666666667</v>
      </c>
      <c r="P2612" s="16">
        <v>3.2</v>
      </c>
      <c r="Q2612" s="16" t="b">
        <f>FALSE()</f>
        <v>0</v>
      </c>
      <c r="R2612" s="16" t="b">
        <f>FALSE()</f>
        <v>0</v>
      </c>
      <c r="S2612" s="17">
        <f t="shared" si="40"/>
        <v>8.6</v>
      </c>
      <c r="T2612">
        <f>COUNTIF('👤 Customers'!$A:$A, B2612)</f>
        <v>1</v>
      </c>
      <c r="U2612">
        <f>COUNTIF('🚴 Riders'!A2611:A2671, C2612)</f>
        <v>0</v>
      </c>
      <c r="V2612">
        <f>COUNTIF('🏭 Facilities'!A2611:A2619, D2612)</f>
        <v>0</v>
      </c>
    </row>
    <row r="2613" spans="1:22">
      <c r="A2613" s="18" t="s">
        <v>5878</v>
      </c>
      <c r="B2613" s="18" t="s">
        <v>913</v>
      </c>
      <c r="C2613" s="18" t="s">
        <v>1092</v>
      </c>
      <c r="D2613" s="18" t="s">
        <v>115</v>
      </c>
      <c r="E2613" s="26">
        <v>45291</v>
      </c>
      <c r="F2613" s="18" t="s">
        <v>5879</v>
      </c>
      <c r="G2613" s="18" t="s">
        <v>117</v>
      </c>
      <c r="H2613" s="18">
        <v>2.5</v>
      </c>
      <c r="I2613" s="18">
        <v>149</v>
      </c>
      <c r="J2613" s="18">
        <v>10</v>
      </c>
      <c r="K2613" s="18">
        <v>335.25</v>
      </c>
      <c r="L2613" s="18" t="s">
        <v>139</v>
      </c>
      <c r="M2613" s="18" t="s">
        <v>119</v>
      </c>
      <c r="N2613" s="28">
        <v>45291.923611111109</v>
      </c>
      <c r="O2613" s="28">
        <v>45293.01666666667</v>
      </c>
      <c r="P2613" s="18">
        <v>4.3</v>
      </c>
      <c r="Q2613" s="18" t="b">
        <f>FALSE()</f>
        <v>0</v>
      </c>
      <c r="R2613" s="18" t="b">
        <f>FALSE()</f>
        <v>0</v>
      </c>
      <c r="S2613" s="19">
        <f t="shared" si="40"/>
        <v>26.2</v>
      </c>
      <c r="T2613">
        <f>COUNTIF('👤 Customers'!$A:$A, B2613)</f>
        <v>1</v>
      </c>
      <c r="U2613">
        <f>COUNTIF('🚴 Riders'!A2612:A2672, C2613)</f>
        <v>0</v>
      </c>
      <c r="V2613">
        <f>COUNTIF('🏭 Facilities'!A2612:A2620, D2613)</f>
        <v>0</v>
      </c>
    </row>
    <row r="2614" spans="1:22">
      <c r="A2614" s="16" t="s">
        <v>5880</v>
      </c>
      <c r="B2614" s="16" t="s">
        <v>419</v>
      </c>
      <c r="C2614" s="16" t="s">
        <v>308</v>
      </c>
      <c r="D2614" s="16" t="s">
        <v>158</v>
      </c>
      <c r="E2614" s="25">
        <v>45251</v>
      </c>
      <c r="F2614" s="16" t="s">
        <v>5881</v>
      </c>
      <c r="G2614" s="16" t="s">
        <v>125</v>
      </c>
      <c r="H2614" s="16">
        <v>3.2</v>
      </c>
      <c r="I2614" s="16">
        <v>199</v>
      </c>
      <c r="J2614" s="16">
        <v>10</v>
      </c>
      <c r="K2614" s="16">
        <v>573.12</v>
      </c>
      <c r="L2614" s="16" t="s">
        <v>207</v>
      </c>
      <c r="M2614" s="16" t="s">
        <v>140</v>
      </c>
      <c r="N2614" s="27">
        <v>45251.117361111108</v>
      </c>
      <c r="O2614" s="27">
        <v>45251.654861111114</v>
      </c>
      <c r="P2614" s="20"/>
      <c r="Q2614" s="16" t="b">
        <f>FALSE()</f>
        <v>0</v>
      </c>
      <c r="R2614" s="16" t="b">
        <f>FALSE()</f>
        <v>0</v>
      </c>
      <c r="S2614" s="17">
        <f t="shared" si="40"/>
        <v>12.9</v>
      </c>
      <c r="T2614">
        <f>COUNTIF('👤 Customers'!$A:$A, B2614)</f>
        <v>1</v>
      </c>
      <c r="U2614">
        <f>COUNTIF('🚴 Riders'!A2613:A2673, C2614)</f>
        <v>0</v>
      </c>
      <c r="V2614">
        <f>COUNTIF('🏭 Facilities'!A2613:A2621, D2614)</f>
        <v>0</v>
      </c>
    </row>
    <row r="2615" spans="1:22">
      <c r="A2615" s="18" t="s">
        <v>5882</v>
      </c>
      <c r="B2615" s="18" t="s">
        <v>1345</v>
      </c>
      <c r="C2615" s="18" t="s">
        <v>580</v>
      </c>
      <c r="D2615" s="18" t="s">
        <v>205</v>
      </c>
      <c r="E2615" s="26">
        <v>44986</v>
      </c>
      <c r="F2615" s="18" t="s">
        <v>5883</v>
      </c>
      <c r="G2615" s="18" t="s">
        <v>125</v>
      </c>
      <c r="H2615" s="18">
        <v>4.7</v>
      </c>
      <c r="I2615" s="18">
        <v>199</v>
      </c>
      <c r="J2615" s="18">
        <v>0</v>
      </c>
      <c r="K2615" s="18">
        <v>935.3</v>
      </c>
      <c r="L2615" s="18" t="s">
        <v>146</v>
      </c>
      <c r="M2615" s="18" t="s">
        <v>119</v>
      </c>
      <c r="N2615" s="28">
        <v>44986.257638888892</v>
      </c>
      <c r="O2615" s="28">
        <v>44986.671527777777</v>
      </c>
      <c r="P2615" s="18">
        <v>4.7</v>
      </c>
      <c r="Q2615" s="18" t="b">
        <f>FALSE()</f>
        <v>0</v>
      </c>
      <c r="R2615" s="18" t="b">
        <f>FALSE()</f>
        <v>0</v>
      </c>
      <c r="S2615" s="19">
        <f t="shared" si="40"/>
        <v>9.9</v>
      </c>
      <c r="T2615">
        <f>COUNTIF('👤 Customers'!$A:$A, B2615)</f>
        <v>1</v>
      </c>
      <c r="U2615">
        <f>COUNTIF('🚴 Riders'!A2614:A2674, C2615)</f>
        <v>0</v>
      </c>
      <c r="V2615">
        <f>COUNTIF('🏭 Facilities'!A2614:A2622, D2615)</f>
        <v>0</v>
      </c>
    </row>
    <row r="2616" spans="1:22">
      <c r="A2616" s="16" t="s">
        <v>5884</v>
      </c>
      <c r="B2616" s="16" t="s">
        <v>329</v>
      </c>
      <c r="C2616" s="16" t="s">
        <v>174</v>
      </c>
      <c r="D2616" s="16" t="s">
        <v>130</v>
      </c>
      <c r="E2616" s="25">
        <v>45321</v>
      </c>
      <c r="F2616" s="16" t="s">
        <v>5885</v>
      </c>
      <c r="G2616" s="16" t="s">
        <v>125</v>
      </c>
      <c r="H2616" s="16">
        <v>3</v>
      </c>
      <c r="I2616" s="16">
        <v>199</v>
      </c>
      <c r="J2616" s="16">
        <v>10</v>
      </c>
      <c r="K2616" s="16">
        <v>537.29999999999995</v>
      </c>
      <c r="L2616" s="16" t="s">
        <v>207</v>
      </c>
      <c r="M2616" s="16" t="s">
        <v>133</v>
      </c>
      <c r="N2616" s="20"/>
      <c r="O2616" s="20"/>
      <c r="P2616" s="20"/>
      <c r="Q2616" s="16" t="b">
        <f>FALSE()</f>
        <v>0</v>
      </c>
      <c r="R2616" s="16" t="b">
        <f>FALSE()</f>
        <v>0</v>
      </c>
      <c r="S2616" s="17" t="str">
        <f t="shared" si="40"/>
        <v>N/A</v>
      </c>
      <c r="T2616">
        <f>COUNTIF('👤 Customers'!$A:$A, B2616)</f>
        <v>1</v>
      </c>
      <c r="U2616">
        <f>COUNTIF('🚴 Riders'!A2615:A2675, C2616)</f>
        <v>0</v>
      </c>
      <c r="V2616">
        <f>COUNTIF('🏭 Facilities'!A2615:A2623, D2616)</f>
        <v>0</v>
      </c>
    </row>
    <row r="2617" spans="1:22">
      <c r="A2617" s="18" t="s">
        <v>5886</v>
      </c>
      <c r="B2617" s="18" t="s">
        <v>562</v>
      </c>
      <c r="C2617" s="18" t="s">
        <v>143</v>
      </c>
      <c r="D2617" s="18" t="s">
        <v>158</v>
      </c>
      <c r="E2617" s="26">
        <v>45453</v>
      </c>
      <c r="F2617" s="18" t="s">
        <v>5887</v>
      </c>
      <c r="G2617" s="18" t="s">
        <v>132</v>
      </c>
      <c r="H2617" s="18">
        <v>1.4</v>
      </c>
      <c r="I2617" s="18">
        <v>399</v>
      </c>
      <c r="J2617" s="18">
        <v>20</v>
      </c>
      <c r="K2617" s="18">
        <v>446.88</v>
      </c>
      <c r="L2617" s="18" t="s">
        <v>126</v>
      </c>
      <c r="M2617" s="18" t="s">
        <v>119</v>
      </c>
      <c r="N2617" s="28">
        <v>45453.193749999999</v>
      </c>
      <c r="O2617" s="28">
        <v>45453.907638888886</v>
      </c>
      <c r="P2617" s="18">
        <v>4.2</v>
      </c>
      <c r="Q2617" s="18" t="b">
        <f>FALSE()</f>
        <v>0</v>
      </c>
      <c r="R2617" s="18" t="b">
        <f>FALSE()</f>
        <v>0</v>
      </c>
      <c r="S2617" s="19">
        <f t="shared" si="40"/>
        <v>17.100000000000001</v>
      </c>
      <c r="T2617">
        <f>COUNTIF('👤 Customers'!$A:$A, B2617)</f>
        <v>1</v>
      </c>
      <c r="U2617">
        <f>COUNTIF('🚴 Riders'!A2616:A2676, C2617)</f>
        <v>0</v>
      </c>
      <c r="V2617">
        <f>COUNTIF('🏭 Facilities'!A2616:A2624, D2617)</f>
        <v>0</v>
      </c>
    </row>
    <row r="2618" spans="1:22">
      <c r="A2618" s="16" t="s">
        <v>5888</v>
      </c>
      <c r="B2618" s="16" t="s">
        <v>389</v>
      </c>
      <c r="C2618" s="16" t="s">
        <v>122</v>
      </c>
      <c r="D2618" s="16" t="s">
        <v>130</v>
      </c>
      <c r="E2618" s="25">
        <v>45640</v>
      </c>
      <c r="F2618" s="16" t="s">
        <v>5889</v>
      </c>
      <c r="G2618" s="16" t="s">
        <v>132</v>
      </c>
      <c r="H2618" s="16">
        <v>1.6</v>
      </c>
      <c r="I2618" s="16">
        <v>399</v>
      </c>
      <c r="J2618" s="16">
        <v>0</v>
      </c>
      <c r="K2618" s="16">
        <v>638.4</v>
      </c>
      <c r="L2618" s="16" t="s">
        <v>139</v>
      </c>
      <c r="M2618" s="16" t="s">
        <v>133</v>
      </c>
      <c r="N2618" s="20"/>
      <c r="O2618" s="20"/>
      <c r="P2618" s="20"/>
      <c r="Q2618" s="16" t="b">
        <f>FALSE()</f>
        <v>0</v>
      </c>
      <c r="R2618" s="16" t="b">
        <f>FALSE()</f>
        <v>0</v>
      </c>
      <c r="S2618" s="17" t="str">
        <f t="shared" si="40"/>
        <v>N/A</v>
      </c>
      <c r="T2618">
        <f>COUNTIF('👤 Customers'!$A:$A, B2618)</f>
        <v>1</v>
      </c>
      <c r="U2618">
        <f>COUNTIF('🚴 Riders'!A2617:A2677, C2618)</f>
        <v>0</v>
      </c>
      <c r="V2618">
        <f>COUNTIF('🏭 Facilities'!A2617:A2625, D2618)</f>
        <v>0</v>
      </c>
    </row>
    <row r="2619" spans="1:22">
      <c r="A2619" s="18" t="s">
        <v>5890</v>
      </c>
      <c r="B2619" s="18" t="s">
        <v>161</v>
      </c>
      <c r="C2619" s="18" t="s">
        <v>251</v>
      </c>
      <c r="D2619" s="18" t="s">
        <v>158</v>
      </c>
      <c r="E2619" s="26">
        <v>45650</v>
      </c>
      <c r="F2619" s="18" t="s">
        <v>5891</v>
      </c>
      <c r="G2619" s="18" t="s">
        <v>145</v>
      </c>
      <c r="H2619" s="18">
        <v>4.5</v>
      </c>
      <c r="I2619" s="18">
        <v>299</v>
      </c>
      <c r="J2619" s="18">
        <v>0</v>
      </c>
      <c r="K2619" s="18">
        <v>1345.5</v>
      </c>
      <c r="L2619" s="18" t="s">
        <v>118</v>
      </c>
      <c r="M2619" s="18" t="s">
        <v>119</v>
      </c>
      <c r="N2619" s="28">
        <v>45650.838888888888</v>
      </c>
      <c r="O2619" s="28">
        <v>45651.798611111109</v>
      </c>
      <c r="P2619" s="18">
        <v>3.4</v>
      </c>
      <c r="Q2619" s="18" t="b">
        <f>FALSE()</f>
        <v>0</v>
      </c>
      <c r="R2619" s="18" t="b">
        <f>FALSE()</f>
        <v>0</v>
      </c>
      <c r="S2619" s="19">
        <f t="shared" si="40"/>
        <v>23</v>
      </c>
      <c r="T2619">
        <f>COUNTIF('👤 Customers'!$A:$A, B2619)</f>
        <v>1</v>
      </c>
      <c r="U2619">
        <f>COUNTIF('🚴 Riders'!A2618:A2678, C2619)</f>
        <v>0</v>
      </c>
      <c r="V2619">
        <f>COUNTIF('🏭 Facilities'!A2618:A2626, D2619)</f>
        <v>0</v>
      </c>
    </row>
    <row r="2620" spans="1:22">
      <c r="A2620" s="16" t="s">
        <v>5892</v>
      </c>
      <c r="B2620" s="16" t="s">
        <v>822</v>
      </c>
      <c r="C2620" s="16" t="s">
        <v>265</v>
      </c>
      <c r="D2620" s="16" t="s">
        <v>197</v>
      </c>
      <c r="E2620" s="25">
        <v>44972</v>
      </c>
      <c r="F2620" s="16" t="s">
        <v>5893</v>
      </c>
      <c r="G2620" s="16" t="s">
        <v>132</v>
      </c>
      <c r="H2620" s="16">
        <v>2.8</v>
      </c>
      <c r="I2620" s="16">
        <v>399</v>
      </c>
      <c r="J2620" s="16">
        <v>30</v>
      </c>
      <c r="K2620" s="16">
        <v>782.04</v>
      </c>
      <c r="L2620" s="16" t="s">
        <v>126</v>
      </c>
      <c r="M2620" s="16" t="s">
        <v>119</v>
      </c>
      <c r="N2620" s="27">
        <v>44972.293749999997</v>
      </c>
      <c r="O2620" s="27">
        <v>44973.247916666667</v>
      </c>
      <c r="P2620" s="16">
        <v>4.8</v>
      </c>
      <c r="Q2620" s="16" t="b">
        <f>TRUE()</f>
        <v>1</v>
      </c>
      <c r="R2620" s="16" t="b">
        <f>FALSE()</f>
        <v>0</v>
      </c>
      <c r="S2620" s="17">
        <f t="shared" si="40"/>
        <v>22.9</v>
      </c>
      <c r="T2620">
        <f>COUNTIF('👤 Customers'!$A:$A, B2620)</f>
        <v>1</v>
      </c>
      <c r="U2620">
        <f>COUNTIF('🚴 Riders'!A2619:A2679, C2620)</f>
        <v>0</v>
      </c>
      <c r="V2620">
        <f>COUNTIF('🏭 Facilities'!A2619:A2627, D2620)</f>
        <v>0</v>
      </c>
    </row>
    <row r="2621" spans="1:22">
      <c r="A2621" s="18" t="s">
        <v>5894</v>
      </c>
      <c r="B2621" s="18" t="s">
        <v>1382</v>
      </c>
      <c r="C2621" s="18" t="s">
        <v>129</v>
      </c>
      <c r="D2621" s="18" t="s">
        <v>130</v>
      </c>
      <c r="E2621" s="26">
        <v>45372</v>
      </c>
      <c r="F2621" s="18" t="s">
        <v>5895</v>
      </c>
      <c r="G2621" s="18" t="s">
        <v>117</v>
      </c>
      <c r="H2621" s="18">
        <v>3.6</v>
      </c>
      <c r="I2621" s="18">
        <v>149</v>
      </c>
      <c r="J2621" s="18">
        <v>0</v>
      </c>
      <c r="K2621" s="18">
        <v>536.4</v>
      </c>
      <c r="L2621" s="18" t="s">
        <v>126</v>
      </c>
      <c r="M2621" s="18" t="s">
        <v>119</v>
      </c>
      <c r="N2621" s="28">
        <v>45373.091666666667</v>
      </c>
      <c r="O2621" s="28">
        <v>45373.943749999999</v>
      </c>
      <c r="P2621" s="18">
        <v>3</v>
      </c>
      <c r="Q2621" s="18" t="b">
        <f>FALSE()</f>
        <v>0</v>
      </c>
      <c r="R2621" s="18" t="b">
        <f>FALSE()</f>
        <v>0</v>
      </c>
      <c r="S2621" s="19">
        <f t="shared" si="40"/>
        <v>20.399999999999999</v>
      </c>
      <c r="T2621">
        <f>COUNTIF('👤 Customers'!$A:$A, B2621)</f>
        <v>1</v>
      </c>
      <c r="U2621">
        <f>COUNTIF('🚴 Riders'!A2620:A2680, C2621)</f>
        <v>0</v>
      </c>
      <c r="V2621">
        <f>COUNTIF('🏭 Facilities'!A2620:A2628, D2621)</f>
        <v>0</v>
      </c>
    </row>
    <row r="2622" spans="1:22">
      <c r="A2622" s="16" t="s">
        <v>5896</v>
      </c>
      <c r="B2622" s="16" t="s">
        <v>1191</v>
      </c>
      <c r="C2622" s="16" t="s">
        <v>179</v>
      </c>
      <c r="D2622" s="16" t="s">
        <v>158</v>
      </c>
      <c r="E2622" s="25">
        <v>45168</v>
      </c>
      <c r="F2622" s="16" t="s">
        <v>5897</v>
      </c>
      <c r="G2622" s="16" t="s">
        <v>176</v>
      </c>
      <c r="H2622" s="16">
        <v>3.2</v>
      </c>
      <c r="I2622" s="16">
        <v>599</v>
      </c>
      <c r="J2622" s="16">
        <v>10</v>
      </c>
      <c r="K2622" s="16">
        <v>1725.12</v>
      </c>
      <c r="L2622" s="16" t="s">
        <v>126</v>
      </c>
      <c r="M2622" s="16" t="s">
        <v>119</v>
      </c>
      <c r="N2622" s="27">
        <v>45168.902083333334</v>
      </c>
      <c r="O2622" s="27">
        <v>45169.322222222225</v>
      </c>
      <c r="P2622" s="16">
        <v>3.5</v>
      </c>
      <c r="Q2622" s="16" t="b">
        <f>FALSE()</f>
        <v>0</v>
      </c>
      <c r="R2622" s="16" t="b">
        <f>TRUE()</f>
        <v>1</v>
      </c>
      <c r="S2622" s="17">
        <f t="shared" si="40"/>
        <v>10.1</v>
      </c>
      <c r="T2622">
        <f>COUNTIF('👤 Customers'!$A:$A, B2622)</f>
        <v>1</v>
      </c>
      <c r="U2622">
        <f>COUNTIF('🚴 Riders'!A2621:A2681, C2622)</f>
        <v>0</v>
      </c>
      <c r="V2622">
        <f>COUNTIF('🏭 Facilities'!A2621:A2629, D2622)</f>
        <v>0</v>
      </c>
    </row>
    <row r="2623" spans="1:22">
      <c r="A2623" s="18" t="s">
        <v>5898</v>
      </c>
      <c r="B2623" s="18" t="s">
        <v>279</v>
      </c>
      <c r="C2623" s="18" t="s">
        <v>276</v>
      </c>
      <c r="D2623" s="18" t="s">
        <v>123</v>
      </c>
      <c r="E2623" s="26">
        <v>45418</v>
      </c>
      <c r="F2623" s="18" t="s">
        <v>5899</v>
      </c>
      <c r="G2623" s="18" t="s">
        <v>125</v>
      </c>
      <c r="H2623" s="18">
        <v>6.2</v>
      </c>
      <c r="I2623" s="18">
        <v>199</v>
      </c>
      <c r="J2623" s="18">
        <v>0</v>
      </c>
      <c r="K2623" s="18">
        <v>1233.8</v>
      </c>
      <c r="L2623" s="18" t="s">
        <v>146</v>
      </c>
      <c r="M2623" s="18" t="s">
        <v>133</v>
      </c>
      <c r="N2623" s="20"/>
      <c r="O2623" s="20"/>
      <c r="P2623" s="20"/>
      <c r="Q2623" s="18" t="b">
        <f>FALSE()</f>
        <v>0</v>
      </c>
      <c r="R2623" s="18" t="b">
        <f>FALSE()</f>
        <v>0</v>
      </c>
      <c r="S2623" s="19" t="str">
        <f t="shared" si="40"/>
        <v>N/A</v>
      </c>
      <c r="T2623">
        <f>COUNTIF('👤 Customers'!$A:$A, B2623)</f>
        <v>1</v>
      </c>
      <c r="U2623">
        <f>COUNTIF('🚴 Riders'!A2622:A2682, C2623)</f>
        <v>0</v>
      </c>
      <c r="V2623">
        <f>COUNTIF('🏭 Facilities'!A2622:A2630, D2623)</f>
        <v>0</v>
      </c>
    </row>
    <row r="2624" spans="1:22">
      <c r="A2624" s="16" t="s">
        <v>5900</v>
      </c>
      <c r="B2624" s="16" t="s">
        <v>749</v>
      </c>
      <c r="C2624" s="16" t="s">
        <v>247</v>
      </c>
      <c r="D2624" s="16" t="s">
        <v>205</v>
      </c>
      <c r="E2624" s="25">
        <v>45125</v>
      </c>
      <c r="F2624" s="16" t="s">
        <v>5901</v>
      </c>
      <c r="G2624" s="16" t="s">
        <v>132</v>
      </c>
      <c r="H2624" s="16">
        <v>4.2</v>
      </c>
      <c r="I2624" s="16">
        <v>399</v>
      </c>
      <c r="J2624" s="16">
        <v>20</v>
      </c>
      <c r="K2624" s="16">
        <v>1340.64</v>
      </c>
      <c r="L2624" s="16" t="s">
        <v>139</v>
      </c>
      <c r="M2624" s="16" t="s">
        <v>133</v>
      </c>
      <c r="N2624" s="20"/>
      <c r="O2624" s="20"/>
      <c r="P2624" s="20"/>
      <c r="Q2624" s="16" t="b">
        <f>FALSE()</f>
        <v>0</v>
      </c>
      <c r="R2624" s="16" t="b">
        <f>FALSE()</f>
        <v>0</v>
      </c>
      <c r="S2624" s="17" t="str">
        <f t="shared" si="40"/>
        <v>N/A</v>
      </c>
      <c r="T2624">
        <f>COUNTIF('👤 Customers'!$A:$A, B2624)</f>
        <v>1</v>
      </c>
      <c r="U2624">
        <f>COUNTIF('🚴 Riders'!A2623:A2683, C2624)</f>
        <v>0</v>
      </c>
      <c r="V2624">
        <f>COUNTIF('🏭 Facilities'!A2623:A2631, D2624)</f>
        <v>0</v>
      </c>
    </row>
    <row r="2625" spans="1:22">
      <c r="A2625" s="18" t="s">
        <v>5902</v>
      </c>
      <c r="B2625" s="18" t="s">
        <v>173</v>
      </c>
      <c r="C2625" s="18" t="s">
        <v>315</v>
      </c>
      <c r="D2625" s="18" t="s">
        <v>205</v>
      </c>
      <c r="E2625" s="26">
        <v>45444</v>
      </c>
      <c r="F2625" s="18" t="s">
        <v>5903</v>
      </c>
      <c r="G2625" s="18" t="s">
        <v>125</v>
      </c>
      <c r="H2625" s="18">
        <v>2.1</v>
      </c>
      <c r="I2625" s="18">
        <v>199</v>
      </c>
      <c r="J2625" s="18">
        <v>10</v>
      </c>
      <c r="K2625" s="18">
        <v>376.11</v>
      </c>
      <c r="L2625" s="18" t="s">
        <v>146</v>
      </c>
      <c r="M2625" s="18" t="s">
        <v>119</v>
      </c>
      <c r="N2625" s="28">
        <v>45444.932638888888</v>
      </c>
      <c r="O2625" s="28">
        <v>45445.417361111111</v>
      </c>
      <c r="P2625" s="18">
        <v>3</v>
      </c>
      <c r="Q2625" s="18" t="b">
        <f>FALSE()</f>
        <v>0</v>
      </c>
      <c r="R2625" s="18" t="b">
        <f>FALSE()</f>
        <v>0</v>
      </c>
      <c r="S2625" s="19">
        <f t="shared" si="40"/>
        <v>11.6</v>
      </c>
      <c r="T2625">
        <f>COUNTIF('👤 Customers'!$A:$A, B2625)</f>
        <v>1</v>
      </c>
      <c r="U2625">
        <f>COUNTIF('🚴 Riders'!A2624:A2684, C2625)</f>
        <v>0</v>
      </c>
      <c r="V2625">
        <f>COUNTIF('🏭 Facilities'!A2624:A2632, D2625)</f>
        <v>0</v>
      </c>
    </row>
    <row r="2626" spans="1:22">
      <c r="A2626" s="16" t="s">
        <v>5904</v>
      </c>
      <c r="B2626" s="16" t="s">
        <v>332</v>
      </c>
      <c r="C2626" s="16" t="s">
        <v>300</v>
      </c>
      <c r="D2626" s="16" t="s">
        <v>158</v>
      </c>
      <c r="E2626" s="25">
        <v>45361</v>
      </c>
      <c r="F2626" s="16" t="s">
        <v>5905</v>
      </c>
      <c r="G2626" s="16" t="s">
        <v>176</v>
      </c>
      <c r="H2626" s="16">
        <v>7.3</v>
      </c>
      <c r="I2626" s="16">
        <v>599</v>
      </c>
      <c r="J2626" s="16">
        <v>0</v>
      </c>
      <c r="K2626" s="16">
        <v>4372.7</v>
      </c>
      <c r="L2626" s="16" t="s">
        <v>118</v>
      </c>
      <c r="M2626" s="16" t="s">
        <v>140</v>
      </c>
      <c r="N2626" s="27">
        <v>45361.558333333334</v>
      </c>
      <c r="O2626" s="27">
        <v>45362.63958333333</v>
      </c>
      <c r="P2626" s="20"/>
      <c r="Q2626" s="16" t="b">
        <f>FALSE()</f>
        <v>0</v>
      </c>
      <c r="R2626" s="16" t="b">
        <f>TRUE()</f>
        <v>1</v>
      </c>
      <c r="S2626" s="17">
        <f t="shared" ref="S2626:S2689" si="41">IF(OR(N2626="",O2626=""),"N/A",ROUND(((O2626-N2626)*24),1))</f>
        <v>25.9</v>
      </c>
      <c r="T2626">
        <f>COUNTIF('👤 Customers'!$A:$A, B2626)</f>
        <v>1</v>
      </c>
      <c r="U2626">
        <f>COUNTIF('🚴 Riders'!A2625:A2685, C2626)</f>
        <v>0</v>
      </c>
      <c r="V2626">
        <f>COUNTIF('🏭 Facilities'!A2625:A2633, D2626)</f>
        <v>0</v>
      </c>
    </row>
    <row r="2627" spans="1:22">
      <c r="A2627" s="18" t="s">
        <v>5906</v>
      </c>
      <c r="B2627" s="18" t="s">
        <v>1061</v>
      </c>
      <c r="C2627" s="18" t="s">
        <v>204</v>
      </c>
      <c r="D2627" s="18" t="s">
        <v>205</v>
      </c>
      <c r="E2627" s="26">
        <v>45476</v>
      </c>
      <c r="F2627" s="18" t="s">
        <v>5907</v>
      </c>
      <c r="G2627" s="18" t="s">
        <v>176</v>
      </c>
      <c r="H2627" s="18">
        <v>2.9</v>
      </c>
      <c r="I2627" s="18">
        <v>599</v>
      </c>
      <c r="J2627" s="18">
        <v>20</v>
      </c>
      <c r="K2627" s="18">
        <v>1389.68</v>
      </c>
      <c r="L2627" s="18" t="s">
        <v>207</v>
      </c>
      <c r="M2627" s="18" t="s">
        <v>119</v>
      </c>
      <c r="N2627" s="28">
        <v>45476.157638888886</v>
      </c>
      <c r="O2627" s="28">
        <v>45476.694444444445</v>
      </c>
      <c r="P2627" s="18">
        <v>3.1</v>
      </c>
      <c r="Q2627" s="18" t="b">
        <f>FALSE()</f>
        <v>0</v>
      </c>
      <c r="R2627" s="18" t="b">
        <f>TRUE()</f>
        <v>1</v>
      </c>
      <c r="S2627" s="19">
        <f t="shared" si="41"/>
        <v>12.9</v>
      </c>
      <c r="T2627">
        <f>COUNTIF('👤 Customers'!$A:$A, B2627)</f>
        <v>1</v>
      </c>
      <c r="U2627">
        <f>COUNTIF('🚴 Riders'!A2626:A2686, C2627)</f>
        <v>0</v>
      </c>
      <c r="V2627">
        <f>COUNTIF('🏭 Facilities'!A2626:A2634, D2627)</f>
        <v>0</v>
      </c>
    </row>
    <row r="2628" spans="1:22">
      <c r="A2628" s="16" t="s">
        <v>5908</v>
      </c>
      <c r="B2628" s="16" t="s">
        <v>403</v>
      </c>
      <c r="C2628" s="16" t="s">
        <v>236</v>
      </c>
      <c r="D2628" s="16" t="s">
        <v>184</v>
      </c>
      <c r="E2628" s="25">
        <v>44983</v>
      </c>
      <c r="F2628" s="16" t="s">
        <v>5909</v>
      </c>
      <c r="G2628" s="16" t="s">
        <v>117</v>
      </c>
      <c r="H2628" s="16">
        <v>2.2000000000000002</v>
      </c>
      <c r="I2628" s="16">
        <v>149</v>
      </c>
      <c r="J2628" s="16">
        <v>20</v>
      </c>
      <c r="K2628" s="16">
        <v>262.24</v>
      </c>
      <c r="L2628" s="16" t="s">
        <v>126</v>
      </c>
      <c r="M2628" s="16" t="s">
        <v>140</v>
      </c>
      <c r="N2628" s="27">
        <v>44983.448611111111</v>
      </c>
      <c r="O2628" s="27">
        <v>44984.142361111109</v>
      </c>
      <c r="P2628" s="20"/>
      <c r="Q2628" s="16" t="b">
        <f>FALSE()</f>
        <v>0</v>
      </c>
      <c r="R2628" s="16" t="b">
        <f>FALSE()</f>
        <v>0</v>
      </c>
      <c r="S2628" s="17">
        <f t="shared" si="41"/>
        <v>16.600000000000001</v>
      </c>
      <c r="T2628">
        <f>COUNTIF('👤 Customers'!$A:$A, B2628)</f>
        <v>1</v>
      </c>
      <c r="U2628">
        <f>COUNTIF('🚴 Riders'!A2627:A2687, C2628)</f>
        <v>0</v>
      </c>
      <c r="V2628">
        <f>COUNTIF('🏭 Facilities'!A2627:A2635, D2628)</f>
        <v>0</v>
      </c>
    </row>
    <row r="2629" spans="1:22">
      <c r="A2629" s="18" t="s">
        <v>5910</v>
      </c>
      <c r="B2629" s="18" t="s">
        <v>4356</v>
      </c>
      <c r="C2629" s="18" t="s">
        <v>149</v>
      </c>
      <c r="D2629" s="18" t="s">
        <v>130</v>
      </c>
      <c r="E2629" s="26">
        <v>45306</v>
      </c>
      <c r="F2629" s="18" t="s">
        <v>5911</v>
      </c>
      <c r="G2629" s="18" t="s">
        <v>176</v>
      </c>
      <c r="H2629" s="18">
        <v>5.8</v>
      </c>
      <c r="I2629" s="18">
        <v>599</v>
      </c>
      <c r="J2629" s="18">
        <v>10</v>
      </c>
      <c r="K2629" s="18">
        <v>3126.78</v>
      </c>
      <c r="L2629" s="18" t="s">
        <v>139</v>
      </c>
      <c r="M2629" s="18" t="s">
        <v>119</v>
      </c>
      <c r="N2629" s="28">
        <v>45306.244444444441</v>
      </c>
      <c r="O2629" s="28">
        <v>45306.799305555556</v>
      </c>
      <c r="P2629" s="18">
        <v>3.7</v>
      </c>
      <c r="Q2629" s="18" t="b">
        <f>FALSE()</f>
        <v>0</v>
      </c>
      <c r="R2629" s="18" t="b">
        <f>FALSE()</f>
        <v>0</v>
      </c>
      <c r="S2629" s="19">
        <f t="shared" si="41"/>
        <v>13.3</v>
      </c>
      <c r="T2629">
        <f>COUNTIF('👤 Customers'!$A:$A, B2629)</f>
        <v>1</v>
      </c>
      <c r="U2629">
        <f>COUNTIF('🚴 Riders'!A2628:A2688, C2629)</f>
        <v>0</v>
      </c>
      <c r="V2629">
        <f>COUNTIF('🏭 Facilities'!A2628:A2636, D2629)</f>
        <v>0</v>
      </c>
    </row>
    <row r="2630" spans="1:22">
      <c r="A2630" s="16" t="s">
        <v>5912</v>
      </c>
      <c r="B2630" s="16" t="s">
        <v>260</v>
      </c>
      <c r="C2630" s="16" t="s">
        <v>251</v>
      </c>
      <c r="D2630" s="16" t="s">
        <v>115</v>
      </c>
      <c r="E2630" s="25">
        <v>45628</v>
      </c>
      <c r="F2630" s="16" t="s">
        <v>5913</v>
      </c>
      <c r="G2630" s="16" t="s">
        <v>125</v>
      </c>
      <c r="H2630" s="16">
        <v>6.2</v>
      </c>
      <c r="I2630" s="16">
        <v>199</v>
      </c>
      <c r="J2630" s="16">
        <v>20</v>
      </c>
      <c r="K2630" s="16">
        <v>987.04</v>
      </c>
      <c r="L2630" s="16" t="s">
        <v>126</v>
      </c>
      <c r="M2630" s="16" t="s">
        <v>140</v>
      </c>
      <c r="N2630" s="27">
        <v>45628.947222222225</v>
      </c>
      <c r="O2630" s="27">
        <v>45629.862500000003</v>
      </c>
      <c r="P2630" s="20"/>
      <c r="Q2630" s="16" t="b">
        <f>FALSE()</f>
        <v>0</v>
      </c>
      <c r="R2630" s="16" t="b">
        <f>FALSE()</f>
        <v>0</v>
      </c>
      <c r="S2630" s="17">
        <f t="shared" si="41"/>
        <v>22</v>
      </c>
      <c r="T2630">
        <f>COUNTIF('👤 Customers'!$A:$A, B2630)</f>
        <v>1</v>
      </c>
      <c r="U2630">
        <f>COUNTIF('🚴 Riders'!A2629:A2689, C2630)</f>
        <v>0</v>
      </c>
      <c r="V2630">
        <f>COUNTIF('🏭 Facilities'!A2629:A2637, D2630)</f>
        <v>0</v>
      </c>
    </row>
    <row r="2631" spans="1:22">
      <c r="A2631" s="18" t="s">
        <v>5914</v>
      </c>
      <c r="B2631" s="18" t="s">
        <v>1615</v>
      </c>
      <c r="C2631" s="18" t="s">
        <v>220</v>
      </c>
      <c r="D2631" s="18" t="s">
        <v>137</v>
      </c>
      <c r="E2631" s="26">
        <v>45136</v>
      </c>
      <c r="F2631" s="18" t="s">
        <v>5915</v>
      </c>
      <c r="G2631" s="18" t="s">
        <v>145</v>
      </c>
      <c r="H2631" s="18">
        <v>1.3</v>
      </c>
      <c r="I2631" s="18">
        <v>299</v>
      </c>
      <c r="J2631" s="18">
        <v>0</v>
      </c>
      <c r="K2631" s="18">
        <v>388.7</v>
      </c>
      <c r="L2631" s="18" t="s">
        <v>126</v>
      </c>
      <c r="M2631" s="18" t="s">
        <v>119</v>
      </c>
      <c r="N2631" s="28">
        <v>45136.633333333331</v>
      </c>
      <c r="O2631" s="28">
        <v>45137.423611111109</v>
      </c>
      <c r="P2631" s="18">
        <v>3.5</v>
      </c>
      <c r="Q2631" s="18" t="b">
        <f>FALSE()</f>
        <v>0</v>
      </c>
      <c r="R2631" s="18" t="b">
        <f>FALSE()</f>
        <v>0</v>
      </c>
      <c r="S2631" s="19">
        <f t="shared" si="41"/>
        <v>19</v>
      </c>
      <c r="T2631">
        <f>COUNTIF('👤 Customers'!$A:$A, B2631)</f>
        <v>1</v>
      </c>
      <c r="U2631">
        <f>COUNTIF('🚴 Riders'!A2630:A2690, C2631)</f>
        <v>0</v>
      </c>
      <c r="V2631">
        <f>COUNTIF('🏭 Facilities'!A2630:A2638, D2631)</f>
        <v>0</v>
      </c>
    </row>
    <row r="2632" spans="1:22">
      <c r="A2632" s="16" t="s">
        <v>5916</v>
      </c>
      <c r="B2632" s="16" t="s">
        <v>822</v>
      </c>
      <c r="C2632" s="16" t="s">
        <v>1092</v>
      </c>
      <c r="D2632" s="16" t="s">
        <v>137</v>
      </c>
      <c r="E2632" s="25">
        <v>45581</v>
      </c>
      <c r="F2632" s="16" t="s">
        <v>5917</v>
      </c>
      <c r="G2632" s="16" t="s">
        <v>132</v>
      </c>
      <c r="H2632" s="16">
        <v>4.4000000000000004</v>
      </c>
      <c r="I2632" s="16">
        <v>399</v>
      </c>
      <c r="J2632" s="16">
        <v>0</v>
      </c>
      <c r="K2632" s="16">
        <v>1755.6</v>
      </c>
      <c r="L2632" s="16" t="s">
        <v>146</v>
      </c>
      <c r="M2632" s="16" t="s">
        <v>119</v>
      </c>
      <c r="N2632" s="27">
        <v>45581.927083333336</v>
      </c>
      <c r="O2632" s="27">
        <v>45582.808333333334</v>
      </c>
      <c r="P2632" s="16">
        <v>4.4000000000000004</v>
      </c>
      <c r="Q2632" s="16" t="b">
        <f>FALSE()</f>
        <v>0</v>
      </c>
      <c r="R2632" s="16" t="b">
        <f>FALSE()</f>
        <v>0</v>
      </c>
      <c r="S2632" s="17">
        <f t="shared" si="41"/>
        <v>21.1</v>
      </c>
      <c r="T2632">
        <f>COUNTIF('👤 Customers'!$A:$A, B2632)</f>
        <v>1</v>
      </c>
      <c r="U2632">
        <f>COUNTIF('🚴 Riders'!A2631:A2691, C2632)</f>
        <v>0</v>
      </c>
      <c r="V2632">
        <f>COUNTIF('🏭 Facilities'!A2631:A2639, D2632)</f>
        <v>0</v>
      </c>
    </row>
    <row r="2633" spans="1:22">
      <c r="A2633" s="18" t="s">
        <v>5918</v>
      </c>
      <c r="B2633" s="18" t="s">
        <v>1447</v>
      </c>
      <c r="C2633" s="18" t="s">
        <v>265</v>
      </c>
      <c r="D2633" s="18" t="s">
        <v>205</v>
      </c>
      <c r="E2633" s="26">
        <v>45189</v>
      </c>
      <c r="F2633" s="18" t="s">
        <v>5919</v>
      </c>
      <c r="G2633" s="18" t="s">
        <v>125</v>
      </c>
      <c r="H2633" s="18">
        <v>7.7</v>
      </c>
      <c r="I2633" s="18">
        <v>199</v>
      </c>
      <c r="J2633" s="18">
        <v>10</v>
      </c>
      <c r="K2633" s="18">
        <v>1379.07</v>
      </c>
      <c r="L2633" s="18" t="s">
        <v>139</v>
      </c>
      <c r="M2633" s="18" t="s">
        <v>119</v>
      </c>
      <c r="N2633" s="28">
        <v>45190.034722222219</v>
      </c>
      <c r="O2633" s="28">
        <v>45190.697916666664</v>
      </c>
      <c r="P2633" s="18">
        <v>2.8</v>
      </c>
      <c r="Q2633" s="18" t="b">
        <f>FALSE()</f>
        <v>0</v>
      </c>
      <c r="R2633" s="18" t="b">
        <f>FALSE()</f>
        <v>0</v>
      </c>
      <c r="S2633" s="19">
        <f t="shared" si="41"/>
        <v>15.9</v>
      </c>
      <c r="T2633">
        <f>COUNTIF('👤 Customers'!$A:$A, B2633)</f>
        <v>1</v>
      </c>
      <c r="U2633">
        <f>COUNTIF('🚴 Riders'!A2632:A2692, C2633)</f>
        <v>0</v>
      </c>
      <c r="V2633">
        <f>COUNTIF('🏭 Facilities'!A2632:A2640, D2633)</f>
        <v>0</v>
      </c>
    </row>
    <row r="2634" spans="1:22">
      <c r="A2634" s="16" t="s">
        <v>5920</v>
      </c>
      <c r="B2634" s="16" t="s">
        <v>1375</v>
      </c>
      <c r="C2634" s="16" t="s">
        <v>129</v>
      </c>
      <c r="D2634" s="16" t="s">
        <v>158</v>
      </c>
      <c r="E2634" s="25">
        <v>45453</v>
      </c>
      <c r="F2634" s="16" t="s">
        <v>5921</v>
      </c>
      <c r="G2634" s="16" t="s">
        <v>145</v>
      </c>
      <c r="H2634" s="16">
        <v>1.6</v>
      </c>
      <c r="I2634" s="16">
        <v>299</v>
      </c>
      <c r="J2634" s="16">
        <v>0</v>
      </c>
      <c r="K2634" s="16">
        <v>478.4</v>
      </c>
      <c r="L2634" s="16" t="s">
        <v>207</v>
      </c>
      <c r="M2634" s="16" t="s">
        <v>133</v>
      </c>
      <c r="N2634" s="20"/>
      <c r="O2634" s="20"/>
      <c r="P2634" s="20"/>
      <c r="Q2634" s="16" t="b">
        <f>FALSE()</f>
        <v>0</v>
      </c>
      <c r="R2634" s="16" t="b">
        <f>FALSE()</f>
        <v>0</v>
      </c>
      <c r="S2634" s="17" t="str">
        <f t="shared" si="41"/>
        <v>N/A</v>
      </c>
      <c r="T2634">
        <f>COUNTIF('👤 Customers'!$A:$A, B2634)</f>
        <v>1</v>
      </c>
      <c r="U2634">
        <f>COUNTIF('🚴 Riders'!A2633:A2693, C2634)</f>
        <v>0</v>
      </c>
      <c r="V2634">
        <f>COUNTIF('🏭 Facilities'!A2633:A2641, D2634)</f>
        <v>0</v>
      </c>
    </row>
    <row r="2635" spans="1:22">
      <c r="A2635" s="18" t="s">
        <v>5922</v>
      </c>
      <c r="B2635" s="18" t="s">
        <v>1058</v>
      </c>
      <c r="C2635" s="18" t="s">
        <v>362</v>
      </c>
      <c r="D2635" s="18" t="s">
        <v>205</v>
      </c>
      <c r="E2635" s="26">
        <v>44937</v>
      </c>
      <c r="F2635" s="18" t="s">
        <v>5923</v>
      </c>
      <c r="G2635" s="18" t="s">
        <v>117</v>
      </c>
      <c r="H2635" s="18">
        <v>5</v>
      </c>
      <c r="I2635" s="18">
        <v>149</v>
      </c>
      <c r="J2635" s="18">
        <v>0</v>
      </c>
      <c r="K2635" s="18">
        <v>745</v>
      </c>
      <c r="L2635" s="18" t="s">
        <v>139</v>
      </c>
      <c r="M2635" s="18" t="s">
        <v>119</v>
      </c>
      <c r="N2635" s="28">
        <v>44938.113194444442</v>
      </c>
      <c r="O2635" s="28">
        <v>44938.568055555559</v>
      </c>
      <c r="P2635" s="18">
        <v>5</v>
      </c>
      <c r="Q2635" s="18" t="b">
        <f>FALSE()</f>
        <v>0</v>
      </c>
      <c r="R2635" s="18" t="b">
        <f>FALSE()</f>
        <v>0</v>
      </c>
      <c r="S2635" s="19">
        <f t="shared" si="41"/>
        <v>10.9</v>
      </c>
      <c r="T2635">
        <f>COUNTIF('👤 Customers'!$A:$A, B2635)</f>
        <v>1</v>
      </c>
      <c r="U2635">
        <f>COUNTIF('🚴 Riders'!A2634:A2694, C2635)</f>
        <v>0</v>
      </c>
      <c r="V2635">
        <f>COUNTIF('🏭 Facilities'!A2634:A2642, D2635)</f>
        <v>0</v>
      </c>
    </row>
    <row r="2636" spans="1:22">
      <c r="A2636" s="16" t="s">
        <v>5924</v>
      </c>
      <c r="B2636" s="16" t="s">
        <v>1233</v>
      </c>
      <c r="C2636" s="16" t="s">
        <v>143</v>
      </c>
      <c r="D2636" s="16" t="s">
        <v>158</v>
      </c>
      <c r="E2636" s="25">
        <v>45215</v>
      </c>
      <c r="F2636" s="16" t="s">
        <v>5925</v>
      </c>
      <c r="G2636" s="16" t="s">
        <v>125</v>
      </c>
      <c r="H2636" s="16">
        <v>4.5999999999999996</v>
      </c>
      <c r="I2636" s="16">
        <v>199</v>
      </c>
      <c r="J2636" s="16">
        <v>0</v>
      </c>
      <c r="K2636" s="16">
        <v>915.4</v>
      </c>
      <c r="L2636" s="16" t="s">
        <v>146</v>
      </c>
      <c r="M2636" s="16" t="s">
        <v>133</v>
      </c>
      <c r="N2636" s="20"/>
      <c r="O2636" s="20"/>
      <c r="P2636" s="20"/>
      <c r="Q2636" s="16" t="b">
        <f>FALSE()</f>
        <v>0</v>
      </c>
      <c r="R2636" s="16" t="b">
        <f>FALSE()</f>
        <v>0</v>
      </c>
      <c r="S2636" s="17" t="str">
        <f t="shared" si="41"/>
        <v>N/A</v>
      </c>
      <c r="T2636">
        <f>COUNTIF('👤 Customers'!$A:$A, B2636)</f>
        <v>1</v>
      </c>
      <c r="U2636">
        <f>COUNTIF('🚴 Riders'!A2635:A2695, C2636)</f>
        <v>0</v>
      </c>
      <c r="V2636">
        <f>COUNTIF('🏭 Facilities'!A2635:A2643, D2636)</f>
        <v>0</v>
      </c>
    </row>
    <row r="2637" spans="1:22">
      <c r="A2637" s="18" t="s">
        <v>5926</v>
      </c>
      <c r="B2637" s="18" t="s">
        <v>495</v>
      </c>
      <c r="C2637" s="18" t="s">
        <v>196</v>
      </c>
      <c r="D2637" s="18" t="s">
        <v>158</v>
      </c>
      <c r="E2637" s="26">
        <v>45169</v>
      </c>
      <c r="F2637" s="18" t="s">
        <v>5927</v>
      </c>
      <c r="G2637" s="18" t="s">
        <v>176</v>
      </c>
      <c r="H2637" s="18">
        <v>6.9</v>
      </c>
      <c r="I2637" s="18">
        <v>599</v>
      </c>
      <c r="J2637" s="18">
        <v>10</v>
      </c>
      <c r="K2637" s="18">
        <v>3719.79</v>
      </c>
      <c r="L2637" s="18" t="s">
        <v>207</v>
      </c>
      <c r="M2637" s="18" t="s">
        <v>119</v>
      </c>
      <c r="N2637" s="28">
        <v>45169.356944444444</v>
      </c>
      <c r="O2637" s="28">
        <v>45170.107638888891</v>
      </c>
      <c r="P2637" s="18">
        <v>2.7</v>
      </c>
      <c r="Q2637" s="18" t="b">
        <f>FALSE()</f>
        <v>0</v>
      </c>
      <c r="R2637" s="18" t="b">
        <f>FALSE()</f>
        <v>0</v>
      </c>
      <c r="S2637" s="19">
        <f t="shared" si="41"/>
        <v>18</v>
      </c>
      <c r="T2637">
        <f>COUNTIF('👤 Customers'!$A:$A, B2637)</f>
        <v>1</v>
      </c>
      <c r="U2637">
        <f>COUNTIF('🚴 Riders'!A2636:A2696, C2637)</f>
        <v>0</v>
      </c>
      <c r="V2637">
        <f>COUNTIF('🏭 Facilities'!A2636:A2644, D2637)</f>
        <v>0</v>
      </c>
    </row>
    <row r="2638" spans="1:22">
      <c r="A2638" s="16" t="s">
        <v>5928</v>
      </c>
      <c r="B2638" s="16" t="s">
        <v>1331</v>
      </c>
      <c r="C2638" s="16" t="s">
        <v>536</v>
      </c>
      <c r="D2638" s="16" t="s">
        <v>205</v>
      </c>
      <c r="E2638" s="25">
        <v>45196</v>
      </c>
      <c r="F2638" s="16" t="s">
        <v>5929</v>
      </c>
      <c r="G2638" s="16" t="s">
        <v>132</v>
      </c>
      <c r="H2638" s="16">
        <v>4.5</v>
      </c>
      <c r="I2638" s="16">
        <v>399</v>
      </c>
      <c r="J2638" s="16">
        <v>0</v>
      </c>
      <c r="K2638" s="16">
        <v>1795.5</v>
      </c>
      <c r="L2638" s="16" t="s">
        <v>146</v>
      </c>
      <c r="M2638" s="16" t="s">
        <v>140</v>
      </c>
      <c r="N2638" s="27">
        <v>45196.965277777781</v>
      </c>
      <c r="O2638" s="27">
        <v>45197.754166666666</v>
      </c>
      <c r="P2638" s="20"/>
      <c r="Q2638" s="16" t="b">
        <f>FALSE()</f>
        <v>0</v>
      </c>
      <c r="R2638" s="16" t="b">
        <f>FALSE()</f>
        <v>0</v>
      </c>
      <c r="S2638" s="17">
        <f t="shared" si="41"/>
        <v>18.899999999999999</v>
      </c>
      <c r="T2638">
        <f>COUNTIF('👤 Customers'!$A:$A, B2638)</f>
        <v>1</v>
      </c>
      <c r="U2638">
        <f>COUNTIF('🚴 Riders'!A2637:A2697, C2638)</f>
        <v>0</v>
      </c>
      <c r="V2638">
        <f>COUNTIF('🏭 Facilities'!A2637:A2645, D2638)</f>
        <v>0</v>
      </c>
    </row>
    <row r="2639" spans="1:22">
      <c r="A2639" s="18" t="s">
        <v>5930</v>
      </c>
      <c r="B2639" s="18" t="s">
        <v>1567</v>
      </c>
      <c r="C2639" s="18" t="s">
        <v>487</v>
      </c>
      <c r="D2639" s="18" t="s">
        <v>115</v>
      </c>
      <c r="E2639" s="26">
        <v>45030</v>
      </c>
      <c r="F2639" s="18" t="s">
        <v>5931</v>
      </c>
      <c r="G2639" s="18" t="s">
        <v>132</v>
      </c>
      <c r="H2639" s="18">
        <v>1</v>
      </c>
      <c r="I2639" s="18">
        <v>399</v>
      </c>
      <c r="J2639" s="18">
        <v>0</v>
      </c>
      <c r="K2639" s="18">
        <v>399</v>
      </c>
      <c r="L2639" s="18" t="s">
        <v>139</v>
      </c>
      <c r="M2639" s="18" t="s">
        <v>119</v>
      </c>
      <c r="N2639" s="28">
        <v>45030.479861111111</v>
      </c>
      <c r="O2639" s="28">
        <v>45031.271527777775</v>
      </c>
      <c r="P2639" s="18">
        <v>3</v>
      </c>
      <c r="Q2639" s="18" t="b">
        <f>TRUE()</f>
        <v>1</v>
      </c>
      <c r="R2639" s="18" t="b">
        <f>FALSE()</f>
        <v>0</v>
      </c>
      <c r="S2639" s="19">
        <f t="shared" si="41"/>
        <v>19</v>
      </c>
      <c r="T2639">
        <f>COUNTIF('👤 Customers'!$A:$A, B2639)</f>
        <v>1</v>
      </c>
      <c r="U2639">
        <f>COUNTIF('🚴 Riders'!A2638:A2698, C2639)</f>
        <v>0</v>
      </c>
      <c r="V2639">
        <f>COUNTIF('🏭 Facilities'!A2638:A2646, D2639)</f>
        <v>0</v>
      </c>
    </row>
    <row r="2640" spans="1:22">
      <c r="A2640" s="16" t="s">
        <v>5932</v>
      </c>
      <c r="B2640" s="16" t="s">
        <v>1767</v>
      </c>
      <c r="C2640" s="16" t="s">
        <v>192</v>
      </c>
      <c r="D2640" s="16" t="s">
        <v>158</v>
      </c>
      <c r="E2640" s="25">
        <v>45370</v>
      </c>
      <c r="F2640" s="16" t="s">
        <v>5933</v>
      </c>
      <c r="G2640" s="16" t="s">
        <v>176</v>
      </c>
      <c r="H2640" s="16">
        <v>7</v>
      </c>
      <c r="I2640" s="16">
        <v>599</v>
      </c>
      <c r="J2640" s="16">
        <v>0</v>
      </c>
      <c r="K2640" s="16">
        <v>4193</v>
      </c>
      <c r="L2640" s="16" t="s">
        <v>126</v>
      </c>
      <c r="M2640" s="16" t="s">
        <v>140</v>
      </c>
      <c r="N2640" s="27">
        <v>45370.366666666669</v>
      </c>
      <c r="O2640" s="27">
        <v>45371.315972222219</v>
      </c>
      <c r="P2640" s="20"/>
      <c r="Q2640" s="16" t="b">
        <f>FALSE()</f>
        <v>0</v>
      </c>
      <c r="R2640" s="16" t="b">
        <f>TRUE()</f>
        <v>1</v>
      </c>
      <c r="S2640" s="17">
        <f t="shared" si="41"/>
        <v>22.8</v>
      </c>
      <c r="T2640">
        <f>COUNTIF('👤 Customers'!$A:$A, B2640)</f>
        <v>1</v>
      </c>
      <c r="U2640">
        <f>COUNTIF('🚴 Riders'!A2639:A2699, C2640)</f>
        <v>0</v>
      </c>
      <c r="V2640">
        <f>COUNTIF('🏭 Facilities'!A2639:A2647, D2640)</f>
        <v>0</v>
      </c>
    </row>
    <row r="2641" spans="1:22">
      <c r="A2641" s="18" t="s">
        <v>5934</v>
      </c>
      <c r="B2641" s="18" t="s">
        <v>4388</v>
      </c>
      <c r="C2641" s="18" t="s">
        <v>354</v>
      </c>
      <c r="D2641" s="18" t="s">
        <v>123</v>
      </c>
      <c r="E2641" s="26">
        <v>45076</v>
      </c>
      <c r="F2641" s="18" t="s">
        <v>5935</v>
      </c>
      <c r="G2641" s="18" t="s">
        <v>125</v>
      </c>
      <c r="H2641" s="18">
        <v>3.9</v>
      </c>
      <c r="I2641" s="18">
        <v>199</v>
      </c>
      <c r="J2641" s="18">
        <v>0</v>
      </c>
      <c r="K2641" s="18">
        <v>776.1</v>
      </c>
      <c r="L2641" s="18" t="s">
        <v>207</v>
      </c>
      <c r="M2641" s="18" t="s">
        <v>119</v>
      </c>
      <c r="N2641" s="28">
        <v>45076.68472222222</v>
      </c>
      <c r="O2641" s="28">
        <v>45077.570138888892</v>
      </c>
      <c r="P2641" s="18">
        <v>4.4000000000000004</v>
      </c>
      <c r="Q2641" s="18" t="b">
        <f>FALSE()</f>
        <v>0</v>
      </c>
      <c r="R2641" s="18" t="b">
        <f>FALSE()</f>
        <v>0</v>
      </c>
      <c r="S2641" s="19">
        <f t="shared" si="41"/>
        <v>21.3</v>
      </c>
      <c r="T2641">
        <f>COUNTIF('👤 Customers'!$A:$A, B2641)</f>
        <v>1</v>
      </c>
      <c r="U2641">
        <f>COUNTIF('🚴 Riders'!A2640:A2700, C2641)</f>
        <v>0</v>
      </c>
      <c r="V2641">
        <f>COUNTIF('🏭 Facilities'!A2640:A2648, D2641)</f>
        <v>0</v>
      </c>
    </row>
    <row r="2642" spans="1:22">
      <c r="A2642" s="16" t="s">
        <v>5936</v>
      </c>
      <c r="B2642" s="16" t="s">
        <v>713</v>
      </c>
      <c r="C2642" s="16" t="s">
        <v>308</v>
      </c>
      <c r="D2642" s="16" t="s">
        <v>130</v>
      </c>
      <c r="E2642" s="25">
        <v>44928</v>
      </c>
      <c r="F2642" s="16" t="s">
        <v>5937</v>
      </c>
      <c r="G2642" s="16" t="s">
        <v>117</v>
      </c>
      <c r="H2642" s="16">
        <v>7.2</v>
      </c>
      <c r="I2642" s="16">
        <v>149</v>
      </c>
      <c r="J2642" s="16">
        <v>20</v>
      </c>
      <c r="K2642" s="16">
        <v>858.24</v>
      </c>
      <c r="L2642" s="16" t="s">
        <v>207</v>
      </c>
      <c r="M2642" s="16" t="s">
        <v>140</v>
      </c>
      <c r="N2642" s="27">
        <v>44928.475694444445</v>
      </c>
      <c r="O2642" s="27">
        <v>44929.422222222223</v>
      </c>
      <c r="P2642" s="20"/>
      <c r="Q2642" s="16" t="b">
        <f>FALSE()</f>
        <v>0</v>
      </c>
      <c r="R2642" s="16" t="b">
        <f>FALSE()</f>
        <v>0</v>
      </c>
      <c r="S2642" s="17">
        <f t="shared" si="41"/>
        <v>22.7</v>
      </c>
      <c r="T2642">
        <f>COUNTIF('👤 Customers'!$A:$A, B2642)</f>
        <v>1</v>
      </c>
      <c r="U2642">
        <f>COUNTIF('🚴 Riders'!A2641:A2701, C2642)</f>
        <v>0</v>
      </c>
      <c r="V2642">
        <f>COUNTIF('🏭 Facilities'!A2641:A2649, D2642)</f>
        <v>0</v>
      </c>
    </row>
    <row r="2643" spans="1:22">
      <c r="A2643" s="18" t="s">
        <v>5938</v>
      </c>
      <c r="B2643" s="18" t="s">
        <v>195</v>
      </c>
      <c r="C2643" s="18" t="s">
        <v>192</v>
      </c>
      <c r="D2643" s="18" t="s">
        <v>205</v>
      </c>
      <c r="E2643" s="26">
        <v>45478</v>
      </c>
      <c r="F2643" s="18" t="s">
        <v>5939</v>
      </c>
      <c r="G2643" s="18" t="s">
        <v>145</v>
      </c>
      <c r="H2643" s="18">
        <v>3.1</v>
      </c>
      <c r="I2643" s="18">
        <v>299</v>
      </c>
      <c r="J2643" s="18">
        <v>10</v>
      </c>
      <c r="K2643" s="18">
        <v>834.21</v>
      </c>
      <c r="L2643" s="18" t="s">
        <v>139</v>
      </c>
      <c r="M2643" s="18" t="s">
        <v>119</v>
      </c>
      <c r="N2643" s="28">
        <v>45478.095138888886</v>
      </c>
      <c r="O2643" s="28">
        <v>45478.993055555555</v>
      </c>
      <c r="P2643" s="18">
        <v>2.7</v>
      </c>
      <c r="Q2643" s="18" t="b">
        <f>FALSE()</f>
        <v>0</v>
      </c>
      <c r="R2643" s="18" t="b">
        <f>FALSE()</f>
        <v>0</v>
      </c>
      <c r="S2643" s="19">
        <f t="shared" si="41"/>
        <v>21.6</v>
      </c>
      <c r="T2643">
        <f>COUNTIF('👤 Customers'!$A:$A, B2643)</f>
        <v>1</v>
      </c>
      <c r="U2643">
        <f>COUNTIF('🚴 Riders'!A2642:A2702, C2643)</f>
        <v>0</v>
      </c>
      <c r="V2643">
        <f>COUNTIF('🏭 Facilities'!A2642:A2650, D2643)</f>
        <v>0</v>
      </c>
    </row>
    <row r="2644" spans="1:22">
      <c r="A2644" s="16" t="s">
        <v>5940</v>
      </c>
      <c r="B2644" s="16" t="s">
        <v>3127</v>
      </c>
      <c r="C2644" s="16" t="s">
        <v>166</v>
      </c>
      <c r="D2644" s="16" t="s">
        <v>205</v>
      </c>
      <c r="E2644" s="25">
        <v>45044</v>
      </c>
      <c r="F2644" s="16" t="s">
        <v>5941</v>
      </c>
      <c r="G2644" s="16" t="s">
        <v>125</v>
      </c>
      <c r="H2644" s="16">
        <v>7.8</v>
      </c>
      <c r="I2644" s="16">
        <v>199</v>
      </c>
      <c r="J2644" s="16">
        <v>20</v>
      </c>
      <c r="K2644" s="16">
        <v>1241.76</v>
      </c>
      <c r="L2644" s="16" t="s">
        <v>146</v>
      </c>
      <c r="M2644" s="16" t="s">
        <v>133</v>
      </c>
      <c r="N2644" s="20"/>
      <c r="O2644" s="20"/>
      <c r="P2644" s="20"/>
      <c r="Q2644" s="16" t="b">
        <f>FALSE()</f>
        <v>0</v>
      </c>
      <c r="R2644" s="16" t="b">
        <f>FALSE()</f>
        <v>0</v>
      </c>
      <c r="S2644" s="17" t="str">
        <f t="shared" si="41"/>
        <v>N/A</v>
      </c>
      <c r="T2644">
        <f>COUNTIF('👤 Customers'!$A:$A, B2644)</f>
        <v>1</v>
      </c>
      <c r="U2644">
        <f>COUNTIF('🚴 Riders'!A2643:A2703, C2644)</f>
        <v>0</v>
      </c>
      <c r="V2644">
        <f>COUNTIF('🏭 Facilities'!A2643:A2651, D2644)</f>
        <v>0</v>
      </c>
    </row>
    <row r="2645" spans="1:22">
      <c r="A2645" s="18" t="s">
        <v>5942</v>
      </c>
      <c r="B2645" s="18" t="s">
        <v>371</v>
      </c>
      <c r="C2645" s="18" t="s">
        <v>143</v>
      </c>
      <c r="D2645" s="18" t="s">
        <v>137</v>
      </c>
      <c r="E2645" s="26">
        <v>45034</v>
      </c>
      <c r="F2645" s="18" t="s">
        <v>5943</v>
      </c>
      <c r="G2645" s="18" t="s">
        <v>125</v>
      </c>
      <c r="H2645" s="18">
        <v>4.9000000000000004</v>
      </c>
      <c r="I2645" s="18">
        <v>199</v>
      </c>
      <c r="J2645" s="18">
        <v>0</v>
      </c>
      <c r="K2645" s="18">
        <v>975.1</v>
      </c>
      <c r="L2645" s="18" t="s">
        <v>146</v>
      </c>
      <c r="M2645" s="18" t="s">
        <v>140</v>
      </c>
      <c r="N2645" s="28">
        <v>45034.924305555556</v>
      </c>
      <c r="O2645" s="28">
        <v>45035.931250000001</v>
      </c>
      <c r="P2645" s="20"/>
      <c r="Q2645" s="18" t="b">
        <f>FALSE()</f>
        <v>0</v>
      </c>
      <c r="R2645" s="18" t="b">
        <f>FALSE()</f>
        <v>0</v>
      </c>
      <c r="S2645" s="19">
        <f t="shared" si="41"/>
        <v>24.2</v>
      </c>
      <c r="T2645">
        <f>COUNTIF('👤 Customers'!$A:$A, B2645)</f>
        <v>1</v>
      </c>
      <c r="U2645">
        <f>COUNTIF('🚴 Riders'!A2644:A2704, C2645)</f>
        <v>0</v>
      </c>
      <c r="V2645">
        <f>COUNTIF('🏭 Facilities'!A2644:A2652, D2645)</f>
        <v>0</v>
      </c>
    </row>
    <row r="2646" spans="1:22">
      <c r="A2646" s="16" t="s">
        <v>5944</v>
      </c>
      <c r="B2646" s="16" t="s">
        <v>286</v>
      </c>
      <c r="C2646" s="16" t="s">
        <v>283</v>
      </c>
      <c r="D2646" s="16" t="s">
        <v>123</v>
      </c>
      <c r="E2646" s="25">
        <v>45544</v>
      </c>
      <c r="F2646" s="16" t="s">
        <v>5945</v>
      </c>
      <c r="G2646" s="16" t="s">
        <v>176</v>
      </c>
      <c r="H2646" s="16">
        <v>1.2</v>
      </c>
      <c r="I2646" s="16">
        <v>599</v>
      </c>
      <c r="J2646" s="16">
        <v>20</v>
      </c>
      <c r="K2646" s="16">
        <v>575.04</v>
      </c>
      <c r="L2646" s="16" t="s">
        <v>139</v>
      </c>
      <c r="M2646" s="16" t="s">
        <v>140</v>
      </c>
      <c r="N2646" s="27">
        <v>45544.703472222223</v>
      </c>
      <c r="O2646" s="27">
        <v>45545.302777777775</v>
      </c>
      <c r="P2646" s="20"/>
      <c r="Q2646" s="16" t="b">
        <f>FALSE()</f>
        <v>0</v>
      </c>
      <c r="R2646" s="16" t="b">
        <f>TRUE()</f>
        <v>1</v>
      </c>
      <c r="S2646" s="17">
        <f t="shared" si="41"/>
        <v>14.4</v>
      </c>
      <c r="T2646">
        <f>COUNTIF('👤 Customers'!$A:$A, B2646)</f>
        <v>1</v>
      </c>
      <c r="U2646">
        <f>COUNTIF('🚴 Riders'!A2645:A2705, C2646)</f>
        <v>0</v>
      </c>
      <c r="V2646">
        <f>COUNTIF('🏭 Facilities'!A2645:A2653, D2646)</f>
        <v>0</v>
      </c>
    </row>
    <row r="2647" spans="1:22">
      <c r="A2647" s="18" t="s">
        <v>5946</v>
      </c>
      <c r="B2647" s="18" t="s">
        <v>507</v>
      </c>
      <c r="C2647" s="18" t="s">
        <v>236</v>
      </c>
      <c r="D2647" s="18" t="s">
        <v>184</v>
      </c>
      <c r="E2647" s="26">
        <v>45118</v>
      </c>
      <c r="F2647" s="18" t="s">
        <v>5947</v>
      </c>
      <c r="G2647" s="18" t="s">
        <v>132</v>
      </c>
      <c r="H2647" s="18">
        <v>3.9</v>
      </c>
      <c r="I2647" s="18">
        <v>399</v>
      </c>
      <c r="J2647" s="18">
        <v>20</v>
      </c>
      <c r="K2647" s="18">
        <v>1244.8800000000001</v>
      </c>
      <c r="L2647" s="18" t="s">
        <v>207</v>
      </c>
      <c r="M2647" s="18" t="s">
        <v>133</v>
      </c>
      <c r="N2647" s="20"/>
      <c r="O2647" s="20"/>
      <c r="P2647" s="20"/>
      <c r="Q2647" s="18" t="b">
        <f>FALSE()</f>
        <v>0</v>
      </c>
      <c r="R2647" s="18" t="b">
        <f>FALSE()</f>
        <v>0</v>
      </c>
      <c r="S2647" s="19" t="str">
        <f t="shared" si="41"/>
        <v>N/A</v>
      </c>
      <c r="T2647">
        <f>COUNTIF('👤 Customers'!$A:$A, B2647)</f>
        <v>1</v>
      </c>
      <c r="U2647">
        <f>COUNTIF('🚴 Riders'!A2646:A2706, C2647)</f>
        <v>0</v>
      </c>
      <c r="V2647">
        <f>COUNTIF('🏭 Facilities'!A2646:A2654, D2647)</f>
        <v>0</v>
      </c>
    </row>
    <row r="2648" spans="1:22">
      <c r="A2648" s="16" t="s">
        <v>5948</v>
      </c>
      <c r="B2648" s="16" t="s">
        <v>412</v>
      </c>
      <c r="C2648" s="16" t="s">
        <v>842</v>
      </c>
      <c r="D2648" s="16" t="s">
        <v>123</v>
      </c>
      <c r="E2648" s="25">
        <v>44950</v>
      </c>
      <c r="F2648" s="16" t="s">
        <v>5949</v>
      </c>
      <c r="G2648" s="16" t="s">
        <v>132</v>
      </c>
      <c r="H2648" s="16">
        <v>4.4000000000000004</v>
      </c>
      <c r="I2648" s="16">
        <v>399</v>
      </c>
      <c r="J2648" s="16">
        <v>0</v>
      </c>
      <c r="K2648" s="16">
        <v>1755.6</v>
      </c>
      <c r="L2648" s="16" t="s">
        <v>118</v>
      </c>
      <c r="M2648" s="16" t="s">
        <v>140</v>
      </c>
      <c r="N2648" s="27">
        <v>44951.095138888886</v>
      </c>
      <c r="O2648" s="27">
        <v>44951.895833333336</v>
      </c>
      <c r="P2648" s="20"/>
      <c r="Q2648" s="16" t="b">
        <f>TRUE()</f>
        <v>1</v>
      </c>
      <c r="R2648" s="16" t="b">
        <f>FALSE()</f>
        <v>0</v>
      </c>
      <c r="S2648" s="17">
        <f t="shared" si="41"/>
        <v>19.2</v>
      </c>
      <c r="T2648">
        <f>COUNTIF('👤 Customers'!$A:$A, B2648)</f>
        <v>1</v>
      </c>
      <c r="U2648">
        <f>COUNTIF('🚴 Riders'!A2647:A2707, C2648)</f>
        <v>0</v>
      </c>
      <c r="V2648">
        <f>COUNTIF('🏭 Facilities'!A2647:A2655, D2648)</f>
        <v>0</v>
      </c>
    </row>
    <row r="2649" spans="1:22">
      <c r="A2649" s="18" t="s">
        <v>5950</v>
      </c>
      <c r="B2649" s="18" t="s">
        <v>2799</v>
      </c>
      <c r="C2649" s="18" t="s">
        <v>283</v>
      </c>
      <c r="D2649" s="18" t="s">
        <v>130</v>
      </c>
      <c r="E2649" s="26">
        <v>45461</v>
      </c>
      <c r="F2649" s="18" t="s">
        <v>5951</v>
      </c>
      <c r="G2649" s="18" t="s">
        <v>117</v>
      </c>
      <c r="H2649" s="18">
        <v>3.9</v>
      </c>
      <c r="I2649" s="18">
        <v>149</v>
      </c>
      <c r="J2649" s="18">
        <v>20</v>
      </c>
      <c r="K2649" s="18">
        <v>464.88</v>
      </c>
      <c r="L2649" s="18" t="s">
        <v>126</v>
      </c>
      <c r="M2649" s="18" t="s">
        <v>133</v>
      </c>
      <c r="N2649" s="20"/>
      <c r="O2649" s="20"/>
      <c r="P2649" s="20"/>
      <c r="Q2649" s="18" t="b">
        <f>FALSE()</f>
        <v>0</v>
      </c>
      <c r="R2649" s="18" t="b">
        <f>FALSE()</f>
        <v>0</v>
      </c>
      <c r="S2649" s="19" t="str">
        <f t="shared" si="41"/>
        <v>N/A</v>
      </c>
      <c r="T2649">
        <f>COUNTIF('👤 Customers'!$A:$A, B2649)</f>
        <v>1</v>
      </c>
      <c r="U2649">
        <f>COUNTIF('🚴 Riders'!A2648:A2708, C2649)</f>
        <v>0</v>
      </c>
      <c r="V2649">
        <f>COUNTIF('🏭 Facilities'!A2648:A2656, D2649)</f>
        <v>0</v>
      </c>
    </row>
    <row r="2650" spans="1:22">
      <c r="A2650" s="16" t="s">
        <v>5952</v>
      </c>
      <c r="B2650" s="16" t="s">
        <v>383</v>
      </c>
      <c r="C2650" s="16" t="s">
        <v>350</v>
      </c>
      <c r="D2650" s="16" t="s">
        <v>123</v>
      </c>
      <c r="E2650" s="25">
        <v>45358</v>
      </c>
      <c r="F2650" s="16" t="s">
        <v>5953</v>
      </c>
      <c r="G2650" s="16" t="s">
        <v>125</v>
      </c>
      <c r="H2650" s="16">
        <v>4.2</v>
      </c>
      <c r="I2650" s="16">
        <v>199</v>
      </c>
      <c r="J2650" s="16">
        <v>0</v>
      </c>
      <c r="K2650" s="16">
        <v>835.8</v>
      </c>
      <c r="L2650" s="16" t="s">
        <v>146</v>
      </c>
      <c r="M2650" s="16" t="s">
        <v>140</v>
      </c>
      <c r="N2650" s="27">
        <v>45358.575694444444</v>
      </c>
      <c r="O2650" s="27">
        <v>45359.178472222222</v>
      </c>
      <c r="P2650" s="20"/>
      <c r="Q2650" s="16" t="b">
        <f>FALSE()</f>
        <v>0</v>
      </c>
      <c r="R2650" s="16" t="b">
        <f>FALSE()</f>
        <v>0</v>
      </c>
      <c r="S2650" s="17">
        <f t="shared" si="41"/>
        <v>14.5</v>
      </c>
      <c r="T2650">
        <f>COUNTIF('👤 Customers'!$A:$A, B2650)</f>
        <v>1</v>
      </c>
      <c r="U2650">
        <f>COUNTIF('🚴 Riders'!A2649:A2709, C2650)</f>
        <v>0</v>
      </c>
      <c r="V2650">
        <f>COUNTIF('🏭 Facilities'!A2649:A2657, D2650)</f>
        <v>0</v>
      </c>
    </row>
    <row r="2651" spans="1:22">
      <c r="A2651" s="18" t="s">
        <v>5954</v>
      </c>
      <c r="B2651" s="18" t="s">
        <v>475</v>
      </c>
      <c r="C2651" s="18" t="s">
        <v>114</v>
      </c>
      <c r="D2651" s="18" t="s">
        <v>197</v>
      </c>
      <c r="E2651" s="26">
        <v>45051</v>
      </c>
      <c r="F2651" s="18" t="s">
        <v>5955</v>
      </c>
      <c r="G2651" s="18" t="s">
        <v>176</v>
      </c>
      <c r="H2651" s="18">
        <v>7.7</v>
      </c>
      <c r="I2651" s="18">
        <v>599</v>
      </c>
      <c r="J2651" s="18">
        <v>0</v>
      </c>
      <c r="K2651" s="18">
        <v>4612.3</v>
      </c>
      <c r="L2651" s="18" t="s">
        <v>118</v>
      </c>
      <c r="M2651" s="18" t="s">
        <v>133</v>
      </c>
      <c r="N2651" s="20"/>
      <c r="O2651" s="20"/>
      <c r="P2651" s="20"/>
      <c r="Q2651" s="18" t="b">
        <f>FALSE()</f>
        <v>0</v>
      </c>
      <c r="R2651" s="18" t="b">
        <f>FALSE()</f>
        <v>0</v>
      </c>
      <c r="S2651" s="19" t="str">
        <f t="shared" si="41"/>
        <v>N/A</v>
      </c>
      <c r="T2651">
        <f>COUNTIF('👤 Customers'!$A:$A, B2651)</f>
        <v>1</v>
      </c>
      <c r="U2651">
        <f>COUNTIF('🚴 Riders'!A2650:A2710, C2651)</f>
        <v>0</v>
      </c>
      <c r="V2651">
        <f>COUNTIF('🏭 Facilities'!A2650:A2658, D2651)</f>
        <v>0</v>
      </c>
    </row>
    <row r="2652" spans="1:22">
      <c r="A2652" s="16" t="s">
        <v>5956</v>
      </c>
      <c r="B2652" s="16" t="s">
        <v>586</v>
      </c>
      <c r="C2652" s="16" t="s">
        <v>265</v>
      </c>
      <c r="D2652" s="16" t="s">
        <v>137</v>
      </c>
      <c r="E2652" s="25">
        <v>45248</v>
      </c>
      <c r="F2652" s="16" t="s">
        <v>5957</v>
      </c>
      <c r="G2652" s="16" t="s">
        <v>117</v>
      </c>
      <c r="H2652" s="16">
        <v>5</v>
      </c>
      <c r="I2652" s="16">
        <v>149</v>
      </c>
      <c r="J2652" s="16">
        <v>0</v>
      </c>
      <c r="K2652" s="16">
        <v>745</v>
      </c>
      <c r="L2652" s="16" t="s">
        <v>146</v>
      </c>
      <c r="M2652" s="16" t="s">
        <v>140</v>
      </c>
      <c r="N2652" s="27">
        <v>45248.32916666667</v>
      </c>
      <c r="O2652" s="27">
        <v>45249.3</v>
      </c>
      <c r="P2652" s="20"/>
      <c r="Q2652" s="16" t="b">
        <f>FALSE()</f>
        <v>0</v>
      </c>
      <c r="R2652" s="16" t="b">
        <f>TRUE()</f>
        <v>1</v>
      </c>
      <c r="S2652" s="17">
        <f t="shared" si="41"/>
        <v>23.3</v>
      </c>
      <c r="T2652">
        <f>COUNTIF('👤 Customers'!$A:$A, B2652)</f>
        <v>1</v>
      </c>
      <c r="U2652">
        <f>COUNTIF('🚴 Riders'!A2651:A2711, C2652)</f>
        <v>0</v>
      </c>
      <c r="V2652">
        <f>COUNTIF('🏭 Facilities'!A2651:A2659, D2652)</f>
        <v>0</v>
      </c>
    </row>
    <row r="2653" spans="1:22">
      <c r="A2653" s="18" t="s">
        <v>5958</v>
      </c>
      <c r="B2653" s="18" t="s">
        <v>1554</v>
      </c>
      <c r="C2653" s="18" t="s">
        <v>308</v>
      </c>
      <c r="D2653" s="18" t="s">
        <v>137</v>
      </c>
      <c r="E2653" s="26">
        <v>45030</v>
      </c>
      <c r="F2653" s="18" t="s">
        <v>5959</v>
      </c>
      <c r="G2653" s="18" t="s">
        <v>145</v>
      </c>
      <c r="H2653" s="18">
        <v>1.8</v>
      </c>
      <c r="I2653" s="18">
        <v>299</v>
      </c>
      <c r="J2653" s="18">
        <v>0</v>
      </c>
      <c r="K2653" s="18">
        <v>538.20000000000005</v>
      </c>
      <c r="L2653" s="18" t="s">
        <v>146</v>
      </c>
      <c r="M2653" s="18" t="s">
        <v>119</v>
      </c>
      <c r="N2653" s="28">
        <v>45031.102083333331</v>
      </c>
      <c r="O2653" s="28">
        <v>45031.972222222219</v>
      </c>
      <c r="P2653" s="18">
        <v>3.3</v>
      </c>
      <c r="Q2653" s="18" t="b">
        <f>FALSE()</f>
        <v>0</v>
      </c>
      <c r="R2653" s="18" t="b">
        <f>FALSE()</f>
        <v>0</v>
      </c>
      <c r="S2653" s="19">
        <f t="shared" si="41"/>
        <v>20.9</v>
      </c>
      <c r="T2653">
        <f>COUNTIF('👤 Customers'!$A:$A, B2653)</f>
        <v>1</v>
      </c>
      <c r="U2653">
        <f>COUNTIF('🚴 Riders'!A2652:A2712, C2653)</f>
        <v>0</v>
      </c>
      <c r="V2653">
        <f>COUNTIF('🏭 Facilities'!A2652:A2660, D2653)</f>
        <v>0</v>
      </c>
    </row>
    <row r="2654" spans="1:22">
      <c r="A2654" s="16" t="s">
        <v>5960</v>
      </c>
      <c r="B2654" s="16" t="s">
        <v>447</v>
      </c>
      <c r="C2654" s="16" t="s">
        <v>276</v>
      </c>
      <c r="D2654" s="16" t="s">
        <v>158</v>
      </c>
      <c r="E2654" s="25">
        <v>45157</v>
      </c>
      <c r="F2654" s="16" t="s">
        <v>5961</v>
      </c>
      <c r="G2654" s="16" t="s">
        <v>132</v>
      </c>
      <c r="H2654" s="16">
        <v>5.7</v>
      </c>
      <c r="I2654" s="16">
        <v>399</v>
      </c>
      <c r="J2654" s="16">
        <v>10</v>
      </c>
      <c r="K2654" s="16">
        <v>2046.87</v>
      </c>
      <c r="L2654" s="16" t="s">
        <v>126</v>
      </c>
      <c r="M2654" s="16" t="s">
        <v>119</v>
      </c>
      <c r="N2654" s="27">
        <v>45157.429166666669</v>
      </c>
      <c r="O2654" s="27">
        <v>45158.000694444447</v>
      </c>
      <c r="P2654" s="16">
        <v>4.3</v>
      </c>
      <c r="Q2654" s="16" t="b">
        <f>FALSE()</f>
        <v>0</v>
      </c>
      <c r="R2654" s="16" t="b">
        <f>FALSE()</f>
        <v>0</v>
      </c>
      <c r="S2654" s="17">
        <f t="shared" si="41"/>
        <v>13.7</v>
      </c>
      <c r="T2654">
        <f>COUNTIF('👤 Customers'!$A:$A, B2654)</f>
        <v>1</v>
      </c>
      <c r="U2654">
        <f>COUNTIF('🚴 Riders'!A2653:A2713, C2654)</f>
        <v>0</v>
      </c>
      <c r="V2654">
        <f>COUNTIF('🏭 Facilities'!A2653:A2661, D2654)</f>
        <v>0</v>
      </c>
    </row>
    <row r="2655" spans="1:22">
      <c r="A2655" s="18" t="s">
        <v>5962</v>
      </c>
      <c r="B2655" s="18" t="s">
        <v>2497</v>
      </c>
      <c r="C2655" s="18" t="s">
        <v>350</v>
      </c>
      <c r="D2655" s="18" t="s">
        <v>197</v>
      </c>
      <c r="E2655" s="26">
        <v>45582</v>
      </c>
      <c r="F2655" s="18" t="s">
        <v>5963</v>
      </c>
      <c r="G2655" s="18" t="s">
        <v>145</v>
      </c>
      <c r="H2655" s="18">
        <v>3.4</v>
      </c>
      <c r="I2655" s="18">
        <v>299</v>
      </c>
      <c r="J2655" s="18">
        <v>0</v>
      </c>
      <c r="K2655" s="18">
        <v>1016.6</v>
      </c>
      <c r="L2655" s="18" t="s">
        <v>118</v>
      </c>
      <c r="M2655" s="18" t="s">
        <v>140</v>
      </c>
      <c r="N2655" s="28">
        <v>45582.901388888888</v>
      </c>
      <c r="O2655" s="28">
        <v>45583.938888888886</v>
      </c>
      <c r="P2655" s="20"/>
      <c r="Q2655" s="18" t="b">
        <f>FALSE()</f>
        <v>0</v>
      </c>
      <c r="R2655" s="18" t="b">
        <f>FALSE()</f>
        <v>0</v>
      </c>
      <c r="S2655" s="19">
        <f t="shared" si="41"/>
        <v>24.9</v>
      </c>
      <c r="T2655">
        <f>COUNTIF('👤 Customers'!$A:$A, B2655)</f>
        <v>1</v>
      </c>
      <c r="U2655">
        <f>COUNTIF('🚴 Riders'!A2654:A2714, C2655)</f>
        <v>0</v>
      </c>
      <c r="V2655">
        <f>COUNTIF('🏭 Facilities'!A2654:A2662, D2655)</f>
        <v>0</v>
      </c>
    </row>
    <row r="2656" spans="1:22">
      <c r="A2656" s="16" t="s">
        <v>5964</v>
      </c>
      <c r="B2656" s="16" t="s">
        <v>1165</v>
      </c>
      <c r="C2656" s="16" t="s">
        <v>358</v>
      </c>
      <c r="D2656" s="16" t="s">
        <v>130</v>
      </c>
      <c r="E2656" s="25">
        <v>45505</v>
      </c>
      <c r="F2656" s="16" t="s">
        <v>5965</v>
      </c>
      <c r="G2656" s="16" t="s">
        <v>145</v>
      </c>
      <c r="H2656" s="16">
        <v>4.5999999999999996</v>
      </c>
      <c r="I2656" s="16">
        <v>299</v>
      </c>
      <c r="J2656" s="16">
        <v>0</v>
      </c>
      <c r="K2656" s="16">
        <v>1375.4</v>
      </c>
      <c r="L2656" s="16" t="s">
        <v>139</v>
      </c>
      <c r="M2656" s="16" t="s">
        <v>119</v>
      </c>
      <c r="N2656" s="27">
        <v>45505.617361111108</v>
      </c>
      <c r="O2656" s="27">
        <v>45506.459027777775</v>
      </c>
      <c r="P2656" s="16">
        <v>4.5</v>
      </c>
      <c r="Q2656" s="16" t="b">
        <f>FALSE()</f>
        <v>0</v>
      </c>
      <c r="R2656" s="16" t="b">
        <f>FALSE()</f>
        <v>0</v>
      </c>
      <c r="S2656" s="17">
        <f t="shared" si="41"/>
        <v>20.2</v>
      </c>
      <c r="T2656">
        <f>COUNTIF('👤 Customers'!$A:$A, B2656)</f>
        <v>1</v>
      </c>
      <c r="U2656">
        <f>COUNTIF('🚴 Riders'!A2655:A2715, C2656)</f>
        <v>0</v>
      </c>
      <c r="V2656">
        <f>COUNTIF('🏭 Facilities'!A2655:A2663, D2656)</f>
        <v>0</v>
      </c>
    </row>
    <row r="2657" spans="1:22">
      <c r="A2657" s="18" t="s">
        <v>5966</v>
      </c>
      <c r="B2657" s="18" t="s">
        <v>716</v>
      </c>
      <c r="C2657" s="18" t="s">
        <v>276</v>
      </c>
      <c r="D2657" s="18" t="s">
        <v>184</v>
      </c>
      <c r="E2657" s="26">
        <v>45148</v>
      </c>
      <c r="F2657" s="18" t="s">
        <v>5967</v>
      </c>
      <c r="G2657" s="18" t="s">
        <v>125</v>
      </c>
      <c r="H2657" s="18">
        <v>2.1</v>
      </c>
      <c r="I2657" s="18">
        <v>199</v>
      </c>
      <c r="J2657" s="18">
        <v>0</v>
      </c>
      <c r="K2657" s="18">
        <v>417.9</v>
      </c>
      <c r="L2657" s="18" t="s">
        <v>146</v>
      </c>
      <c r="M2657" s="18" t="s">
        <v>119</v>
      </c>
      <c r="N2657" s="28">
        <v>45148.269444444442</v>
      </c>
      <c r="O2657" s="28">
        <v>45149.009722222225</v>
      </c>
      <c r="P2657" s="18">
        <v>3.7</v>
      </c>
      <c r="Q2657" s="18" t="b">
        <f>TRUE()</f>
        <v>1</v>
      </c>
      <c r="R2657" s="18" t="b">
        <f>FALSE()</f>
        <v>0</v>
      </c>
      <c r="S2657" s="19">
        <f t="shared" si="41"/>
        <v>17.8</v>
      </c>
      <c r="T2657">
        <f>COUNTIF('👤 Customers'!$A:$A, B2657)</f>
        <v>1</v>
      </c>
      <c r="U2657">
        <f>COUNTIF('🚴 Riders'!A2656:A2716, C2657)</f>
        <v>0</v>
      </c>
      <c r="V2657">
        <f>COUNTIF('🏭 Facilities'!A2656:A2664, D2657)</f>
        <v>0</v>
      </c>
    </row>
    <row r="2658" spans="1:22">
      <c r="A2658" s="16" t="s">
        <v>5968</v>
      </c>
      <c r="B2658" s="16" t="s">
        <v>169</v>
      </c>
      <c r="C2658" s="16" t="s">
        <v>228</v>
      </c>
      <c r="D2658" s="16" t="s">
        <v>197</v>
      </c>
      <c r="E2658" s="25">
        <v>45032</v>
      </c>
      <c r="F2658" s="16" t="s">
        <v>5969</v>
      </c>
      <c r="G2658" s="16" t="s">
        <v>125</v>
      </c>
      <c r="H2658" s="16">
        <v>5.7</v>
      </c>
      <c r="I2658" s="16">
        <v>199</v>
      </c>
      <c r="J2658" s="16">
        <v>0</v>
      </c>
      <c r="K2658" s="16">
        <v>1134.3</v>
      </c>
      <c r="L2658" s="16" t="s">
        <v>207</v>
      </c>
      <c r="M2658" s="16" t="s">
        <v>119</v>
      </c>
      <c r="N2658" s="27">
        <v>45032.643750000003</v>
      </c>
      <c r="O2658" s="27">
        <v>45033.515277777777</v>
      </c>
      <c r="P2658" s="16">
        <v>2.5</v>
      </c>
      <c r="Q2658" s="16" t="b">
        <f>FALSE()</f>
        <v>0</v>
      </c>
      <c r="R2658" s="16" t="b">
        <f>FALSE()</f>
        <v>0</v>
      </c>
      <c r="S2658" s="17">
        <f t="shared" si="41"/>
        <v>20.9</v>
      </c>
      <c r="T2658">
        <f>COUNTIF('👤 Customers'!$A:$A, B2658)</f>
        <v>1</v>
      </c>
      <c r="U2658">
        <f>COUNTIF('🚴 Riders'!A2657:A2717, C2658)</f>
        <v>0</v>
      </c>
      <c r="V2658">
        <f>COUNTIF('🏭 Facilities'!A2657:A2665, D2658)</f>
        <v>0</v>
      </c>
    </row>
    <row r="2659" spans="1:22">
      <c r="A2659" s="18" t="s">
        <v>5970</v>
      </c>
      <c r="B2659" s="18" t="s">
        <v>1081</v>
      </c>
      <c r="C2659" s="18" t="s">
        <v>204</v>
      </c>
      <c r="D2659" s="18" t="s">
        <v>123</v>
      </c>
      <c r="E2659" s="26">
        <v>45234</v>
      </c>
      <c r="F2659" s="18" t="s">
        <v>5971</v>
      </c>
      <c r="G2659" s="18" t="s">
        <v>145</v>
      </c>
      <c r="H2659" s="18">
        <v>4</v>
      </c>
      <c r="I2659" s="18">
        <v>299</v>
      </c>
      <c r="J2659" s="18">
        <v>0</v>
      </c>
      <c r="K2659" s="18">
        <v>1196</v>
      </c>
      <c r="L2659" s="18" t="s">
        <v>146</v>
      </c>
      <c r="M2659" s="18" t="s">
        <v>119</v>
      </c>
      <c r="N2659" s="28">
        <v>45234.754166666666</v>
      </c>
      <c r="O2659" s="28">
        <v>45235.232638888891</v>
      </c>
      <c r="P2659" s="18">
        <v>3.1</v>
      </c>
      <c r="Q2659" s="18" t="b">
        <f>FALSE()</f>
        <v>0</v>
      </c>
      <c r="R2659" s="18" t="b">
        <f>FALSE()</f>
        <v>0</v>
      </c>
      <c r="S2659" s="19">
        <f t="shared" si="41"/>
        <v>11.5</v>
      </c>
      <c r="T2659">
        <f>COUNTIF('👤 Customers'!$A:$A, B2659)</f>
        <v>1</v>
      </c>
      <c r="U2659">
        <f>COUNTIF('🚴 Riders'!A2658:A2718, C2659)</f>
        <v>0</v>
      </c>
      <c r="V2659">
        <f>COUNTIF('🏭 Facilities'!A2658:A2666, D2659)</f>
        <v>0</v>
      </c>
    </row>
    <row r="2660" spans="1:22">
      <c r="A2660" s="16" t="s">
        <v>5972</v>
      </c>
      <c r="B2660" s="16" t="s">
        <v>845</v>
      </c>
      <c r="C2660" s="16" t="s">
        <v>236</v>
      </c>
      <c r="D2660" s="16" t="s">
        <v>123</v>
      </c>
      <c r="E2660" s="25">
        <v>45302</v>
      </c>
      <c r="F2660" s="16" t="s">
        <v>5973</v>
      </c>
      <c r="G2660" s="16" t="s">
        <v>125</v>
      </c>
      <c r="H2660" s="16">
        <v>4.2</v>
      </c>
      <c r="I2660" s="16">
        <v>199</v>
      </c>
      <c r="J2660" s="16">
        <v>0</v>
      </c>
      <c r="K2660" s="16">
        <v>835.8</v>
      </c>
      <c r="L2660" s="16" t="s">
        <v>207</v>
      </c>
      <c r="M2660" s="16" t="s">
        <v>140</v>
      </c>
      <c r="N2660" s="27">
        <v>45302.289583333331</v>
      </c>
      <c r="O2660" s="27">
        <v>45302.896527777775</v>
      </c>
      <c r="P2660" s="20"/>
      <c r="Q2660" s="16" t="b">
        <f>FALSE()</f>
        <v>0</v>
      </c>
      <c r="R2660" s="16" t="b">
        <f>FALSE()</f>
        <v>0</v>
      </c>
      <c r="S2660" s="17">
        <f t="shared" si="41"/>
        <v>14.6</v>
      </c>
      <c r="T2660">
        <f>COUNTIF('👤 Customers'!$A:$A, B2660)</f>
        <v>1</v>
      </c>
      <c r="U2660">
        <f>COUNTIF('🚴 Riders'!A2659:A2719, C2660)</f>
        <v>0</v>
      </c>
      <c r="V2660">
        <f>COUNTIF('🏭 Facilities'!A2659:A2667, D2660)</f>
        <v>0</v>
      </c>
    </row>
    <row r="2661" spans="1:22">
      <c r="A2661" s="18" t="s">
        <v>5974</v>
      </c>
      <c r="B2661" s="18" t="s">
        <v>2451</v>
      </c>
      <c r="C2661" s="18" t="s">
        <v>304</v>
      </c>
      <c r="D2661" s="18" t="s">
        <v>205</v>
      </c>
      <c r="E2661" s="26">
        <v>44953</v>
      </c>
      <c r="F2661" s="18" t="s">
        <v>5975</v>
      </c>
      <c r="G2661" s="18" t="s">
        <v>117</v>
      </c>
      <c r="H2661" s="18">
        <v>2.8</v>
      </c>
      <c r="I2661" s="18">
        <v>149</v>
      </c>
      <c r="J2661" s="18">
        <v>20</v>
      </c>
      <c r="K2661" s="18">
        <v>333.76</v>
      </c>
      <c r="L2661" s="18" t="s">
        <v>118</v>
      </c>
      <c r="M2661" s="18" t="s">
        <v>119</v>
      </c>
      <c r="N2661" s="28">
        <v>44953.490972222222</v>
      </c>
      <c r="O2661" s="28">
        <v>44953.861111111109</v>
      </c>
      <c r="P2661" s="18">
        <v>5</v>
      </c>
      <c r="Q2661" s="18" t="b">
        <f>FALSE()</f>
        <v>0</v>
      </c>
      <c r="R2661" s="18" t="b">
        <f>FALSE()</f>
        <v>0</v>
      </c>
      <c r="S2661" s="19">
        <f t="shared" si="41"/>
        <v>8.9</v>
      </c>
      <c r="T2661">
        <f>COUNTIF('👤 Customers'!$A:$A, B2661)</f>
        <v>1</v>
      </c>
      <c r="U2661">
        <f>COUNTIF('🚴 Riders'!A2660:A2720, C2661)</f>
        <v>0</v>
      </c>
      <c r="V2661">
        <f>COUNTIF('🏭 Facilities'!A2660:A2668, D2661)</f>
        <v>0</v>
      </c>
    </row>
    <row r="2662" spans="1:22">
      <c r="A2662" s="16" t="s">
        <v>5976</v>
      </c>
      <c r="B2662" s="16" t="s">
        <v>3301</v>
      </c>
      <c r="C2662" s="16" t="s">
        <v>350</v>
      </c>
      <c r="D2662" s="16" t="s">
        <v>137</v>
      </c>
      <c r="E2662" s="25">
        <v>45311</v>
      </c>
      <c r="F2662" s="16" t="s">
        <v>5977</v>
      </c>
      <c r="G2662" s="16" t="s">
        <v>132</v>
      </c>
      <c r="H2662" s="16">
        <v>6</v>
      </c>
      <c r="I2662" s="16">
        <v>399</v>
      </c>
      <c r="J2662" s="16">
        <v>0</v>
      </c>
      <c r="K2662" s="16">
        <v>2394</v>
      </c>
      <c r="L2662" s="16" t="s">
        <v>118</v>
      </c>
      <c r="M2662" s="16" t="s">
        <v>119</v>
      </c>
      <c r="N2662" s="27">
        <v>45311.693749999999</v>
      </c>
      <c r="O2662" s="27">
        <v>45312.406944444447</v>
      </c>
      <c r="P2662" s="16">
        <v>3</v>
      </c>
      <c r="Q2662" s="16" t="b">
        <f>TRUE()</f>
        <v>1</v>
      </c>
      <c r="R2662" s="16" t="b">
        <f>FALSE()</f>
        <v>0</v>
      </c>
      <c r="S2662" s="17">
        <f t="shared" si="41"/>
        <v>17.100000000000001</v>
      </c>
      <c r="T2662">
        <f>COUNTIF('👤 Customers'!$A:$A, B2662)</f>
        <v>1</v>
      </c>
      <c r="U2662">
        <f>COUNTIF('🚴 Riders'!A2661:A2721, C2662)</f>
        <v>0</v>
      </c>
      <c r="V2662">
        <f>COUNTIF('🏭 Facilities'!A2661:A2669, D2662)</f>
        <v>0</v>
      </c>
    </row>
    <row r="2663" spans="1:22">
      <c r="A2663" s="18" t="s">
        <v>5978</v>
      </c>
      <c r="B2663" s="18" t="s">
        <v>1295</v>
      </c>
      <c r="C2663" s="18" t="s">
        <v>174</v>
      </c>
      <c r="D2663" s="18" t="s">
        <v>184</v>
      </c>
      <c r="E2663" s="26">
        <v>45549</v>
      </c>
      <c r="F2663" s="18" t="s">
        <v>5979</v>
      </c>
      <c r="G2663" s="18" t="s">
        <v>132</v>
      </c>
      <c r="H2663" s="18">
        <v>4</v>
      </c>
      <c r="I2663" s="18">
        <v>399</v>
      </c>
      <c r="J2663" s="18">
        <v>20</v>
      </c>
      <c r="K2663" s="18">
        <v>1276.8</v>
      </c>
      <c r="L2663" s="18" t="s">
        <v>146</v>
      </c>
      <c r="M2663" s="18" t="s">
        <v>119</v>
      </c>
      <c r="N2663" s="28">
        <v>45549.069444444445</v>
      </c>
      <c r="O2663" s="28">
        <v>45550.164583333331</v>
      </c>
      <c r="P2663" s="18">
        <v>3.3</v>
      </c>
      <c r="Q2663" s="18" t="b">
        <f>TRUE()</f>
        <v>1</v>
      </c>
      <c r="R2663" s="18" t="b">
        <f>TRUE()</f>
        <v>1</v>
      </c>
      <c r="S2663" s="19">
        <f t="shared" si="41"/>
        <v>26.3</v>
      </c>
      <c r="T2663">
        <f>COUNTIF('👤 Customers'!$A:$A, B2663)</f>
        <v>1</v>
      </c>
      <c r="U2663">
        <f>COUNTIF('🚴 Riders'!A2662:A2722, C2663)</f>
        <v>0</v>
      </c>
      <c r="V2663">
        <f>COUNTIF('🏭 Facilities'!A2662:A2670, D2663)</f>
        <v>0</v>
      </c>
    </row>
    <row r="2664" spans="1:22">
      <c r="A2664" s="16" t="s">
        <v>5980</v>
      </c>
      <c r="B2664" s="16" t="s">
        <v>2398</v>
      </c>
      <c r="C2664" s="16" t="s">
        <v>183</v>
      </c>
      <c r="D2664" s="16" t="s">
        <v>184</v>
      </c>
      <c r="E2664" s="25">
        <v>44997</v>
      </c>
      <c r="F2664" s="16" t="s">
        <v>5981</v>
      </c>
      <c r="G2664" s="16" t="s">
        <v>117</v>
      </c>
      <c r="H2664" s="16">
        <v>3.7</v>
      </c>
      <c r="I2664" s="16">
        <v>149</v>
      </c>
      <c r="J2664" s="16">
        <v>20</v>
      </c>
      <c r="K2664" s="16">
        <v>441.04</v>
      </c>
      <c r="L2664" s="16" t="s">
        <v>126</v>
      </c>
      <c r="M2664" s="16" t="s">
        <v>133</v>
      </c>
      <c r="N2664" s="20"/>
      <c r="O2664" s="20"/>
      <c r="P2664" s="20"/>
      <c r="Q2664" s="16" t="b">
        <f>FALSE()</f>
        <v>0</v>
      </c>
      <c r="R2664" s="16" t="b">
        <f>FALSE()</f>
        <v>0</v>
      </c>
      <c r="S2664" s="17" t="str">
        <f t="shared" si="41"/>
        <v>N/A</v>
      </c>
      <c r="T2664">
        <f>COUNTIF('👤 Customers'!$A:$A, B2664)</f>
        <v>1</v>
      </c>
      <c r="U2664">
        <f>COUNTIF('🚴 Riders'!A2663:A2723, C2664)</f>
        <v>0</v>
      </c>
      <c r="V2664">
        <f>COUNTIF('🏭 Facilities'!A2663:A2671, D2664)</f>
        <v>0</v>
      </c>
    </row>
    <row r="2665" spans="1:22">
      <c r="A2665" s="18" t="s">
        <v>5982</v>
      </c>
      <c r="B2665" s="18" t="s">
        <v>223</v>
      </c>
      <c r="C2665" s="18" t="s">
        <v>350</v>
      </c>
      <c r="D2665" s="18" t="s">
        <v>158</v>
      </c>
      <c r="E2665" s="26">
        <v>45655</v>
      </c>
      <c r="F2665" s="18" t="s">
        <v>5983</v>
      </c>
      <c r="G2665" s="18" t="s">
        <v>117</v>
      </c>
      <c r="H2665" s="18">
        <v>2.8</v>
      </c>
      <c r="I2665" s="18">
        <v>149</v>
      </c>
      <c r="J2665" s="18">
        <v>0</v>
      </c>
      <c r="K2665" s="18">
        <v>417.2</v>
      </c>
      <c r="L2665" s="18" t="s">
        <v>146</v>
      </c>
      <c r="M2665" s="18" t="s">
        <v>140</v>
      </c>
      <c r="N2665" s="28">
        <v>45655.763888888891</v>
      </c>
      <c r="O2665" s="28">
        <v>45656.328472222223</v>
      </c>
      <c r="P2665" s="20"/>
      <c r="Q2665" s="18" t="b">
        <f>FALSE()</f>
        <v>0</v>
      </c>
      <c r="R2665" s="18" t="b">
        <f>FALSE()</f>
        <v>0</v>
      </c>
      <c r="S2665" s="19">
        <f t="shared" si="41"/>
        <v>13.5</v>
      </c>
      <c r="T2665">
        <f>COUNTIF('👤 Customers'!$A:$A, B2665)</f>
        <v>1</v>
      </c>
      <c r="U2665">
        <f>COUNTIF('🚴 Riders'!A2664:A2724, C2665)</f>
        <v>0</v>
      </c>
      <c r="V2665">
        <f>COUNTIF('🏭 Facilities'!A2664:A2672, D2665)</f>
        <v>0</v>
      </c>
    </row>
    <row r="2666" spans="1:22">
      <c r="A2666" s="16" t="s">
        <v>5984</v>
      </c>
      <c r="B2666" s="16" t="s">
        <v>1603</v>
      </c>
      <c r="C2666" s="16" t="s">
        <v>183</v>
      </c>
      <c r="D2666" s="16" t="s">
        <v>130</v>
      </c>
      <c r="E2666" s="25">
        <v>44952</v>
      </c>
      <c r="F2666" s="16" t="s">
        <v>5985</v>
      </c>
      <c r="G2666" s="16" t="s">
        <v>176</v>
      </c>
      <c r="H2666" s="16">
        <v>5.2</v>
      </c>
      <c r="I2666" s="16">
        <v>599</v>
      </c>
      <c r="J2666" s="16">
        <v>0</v>
      </c>
      <c r="K2666" s="16">
        <v>3114.8</v>
      </c>
      <c r="L2666" s="16" t="s">
        <v>207</v>
      </c>
      <c r="M2666" s="16" t="s">
        <v>119</v>
      </c>
      <c r="N2666" s="27">
        <v>44952.29583333333</v>
      </c>
      <c r="O2666" s="27">
        <v>44952.873611111114</v>
      </c>
      <c r="P2666" s="16">
        <v>2.8</v>
      </c>
      <c r="Q2666" s="16" t="b">
        <f>FALSE()</f>
        <v>0</v>
      </c>
      <c r="R2666" s="16" t="b">
        <f>FALSE()</f>
        <v>0</v>
      </c>
      <c r="S2666" s="17">
        <f t="shared" si="41"/>
        <v>13.9</v>
      </c>
      <c r="T2666">
        <f>COUNTIF('👤 Customers'!$A:$A, B2666)</f>
        <v>1</v>
      </c>
      <c r="U2666">
        <f>COUNTIF('🚴 Riders'!A2665:A2725, C2666)</f>
        <v>0</v>
      </c>
      <c r="V2666">
        <f>COUNTIF('🏭 Facilities'!A2665:A2673, D2666)</f>
        <v>0</v>
      </c>
    </row>
    <row r="2667" spans="1:22">
      <c r="A2667" s="18" t="s">
        <v>5986</v>
      </c>
      <c r="B2667" s="18" t="s">
        <v>1551</v>
      </c>
      <c r="C2667" s="18" t="s">
        <v>580</v>
      </c>
      <c r="D2667" s="18" t="s">
        <v>184</v>
      </c>
      <c r="E2667" s="26">
        <v>45024</v>
      </c>
      <c r="F2667" s="18" t="s">
        <v>5987</v>
      </c>
      <c r="G2667" s="18" t="s">
        <v>176</v>
      </c>
      <c r="H2667" s="18">
        <v>5.5</v>
      </c>
      <c r="I2667" s="18">
        <v>599</v>
      </c>
      <c r="J2667" s="18">
        <v>10</v>
      </c>
      <c r="K2667" s="18">
        <v>2965.05</v>
      </c>
      <c r="L2667" s="18" t="s">
        <v>207</v>
      </c>
      <c r="M2667" s="18" t="s">
        <v>140</v>
      </c>
      <c r="N2667" s="28">
        <v>45024.798611111109</v>
      </c>
      <c r="O2667" s="28">
        <v>45025.571527777778</v>
      </c>
      <c r="P2667" s="20"/>
      <c r="Q2667" s="18" t="b">
        <f>FALSE()</f>
        <v>0</v>
      </c>
      <c r="R2667" s="18" t="b">
        <f>FALSE()</f>
        <v>0</v>
      </c>
      <c r="S2667" s="19">
        <f t="shared" si="41"/>
        <v>18.600000000000001</v>
      </c>
      <c r="T2667">
        <f>COUNTIF('👤 Customers'!$A:$A, B2667)</f>
        <v>1</v>
      </c>
      <c r="U2667">
        <f>COUNTIF('🚴 Riders'!A2666:A2726, C2667)</f>
        <v>0</v>
      </c>
      <c r="V2667">
        <f>COUNTIF('🏭 Facilities'!A2666:A2674, D2667)</f>
        <v>0</v>
      </c>
    </row>
    <row r="2668" spans="1:22">
      <c r="A2668" s="16" t="s">
        <v>5988</v>
      </c>
      <c r="B2668" s="16" t="s">
        <v>3700</v>
      </c>
      <c r="C2668" s="16" t="s">
        <v>157</v>
      </c>
      <c r="D2668" s="16" t="s">
        <v>184</v>
      </c>
      <c r="E2668" s="25">
        <v>45594</v>
      </c>
      <c r="F2668" s="16" t="s">
        <v>5989</v>
      </c>
      <c r="G2668" s="16" t="s">
        <v>125</v>
      </c>
      <c r="H2668" s="16">
        <v>5</v>
      </c>
      <c r="I2668" s="16">
        <v>199</v>
      </c>
      <c r="J2668" s="16">
        <v>0</v>
      </c>
      <c r="K2668" s="16">
        <v>995</v>
      </c>
      <c r="L2668" s="16" t="s">
        <v>207</v>
      </c>
      <c r="M2668" s="16" t="s">
        <v>133</v>
      </c>
      <c r="N2668" s="20"/>
      <c r="O2668" s="20"/>
      <c r="P2668" s="20"/>
      <c r="Q2668" s="16" t="b">
        <f>FALSE()</f>
        <v>0</v>
      </c>
      <c r="R2668" s="16" t="b">
        <f>TRUE()</f>
        <v>1</v>
      </c>
      <c r="S2668" s="17" t="str">
        <f t="shared" si="41"/>
        <v>N/A</v>
      </c>
      <c r="T2668">
        <f>COUNTIF('👤 Customers'!$A:$A, B2668)</f>
        <v>1</v>
      </c>
      <c r="U2668">
        <f>COUNTIF('🚴 Riders'!A2667:A2727, C2668)</f>
        <v>0</v>
      </c>
      <c r="V2668">
        <f>COUNTIF('🏭 Facilities'!A2667:A2675, D2668)</f>
        <v>0</v>
      </c>
    </row>
    <row r="2669" spans="1:22">
      <c r="A2669" s="18" t="s">
        <v>5990</v>
      </c>
      <c r="B2669" s="18" t="s">
        <v>878</v>
      </c>
      <c r="C2669" s="18" t="s">
        <v>563</v>
      </c>
      <c r="D2669" s="18" t="s">
        <v>137</v>
      </c>
      <c r="E2669" s="26">
        <v>45360</v>
      </c>
      <c r="F2669" s="18" t="s">
        <v>5991</v>
      </c>
      <c r="G2669" s="18" t="s">
        <v>176</v>
      </c>
      <c r="H2669" s="18">
        <v>6</v>
      </c>
      <c r="I2669" s="18">
        <v>599</v>
      </c>
      <c r="J2669" s="18">
        <v>10</v>
      </c>
      <c r="K2669" s="18">
        <v>3234.6</v>
      </c>
      <c r="L2669" s="18" t="s">
        <v>146</v>
      </c>
      <c r="M2669" s="18" t="s">
        <v>119</v>
      </c>
      <c r="N2669" s="28">
        <v>45360.350694444445</v>
      </c>
      <c r="O2669" s="28">
        <v>45361.04791666667</v>
      </c>
      <c r="P2669" s="18">
        <v>3.9</v>
      </c>
      <c r="Q2669" s="18" t="b">
        <f>FALSE()</f>
        <v>0</v>
      </c>
      <c r="R2669" s="18" t="b">
        <f>FALSE()</f>
        <v>0</v>
      </c>
      <c r="S2669" s="19">
        <f t="shared" si="41"/>
        <v>16.7</v>
      </c>
      <c r="T2669">
        <f>COUNTIF('👤 Customers'!$A:$A, B2669)</f>
        <v>1</v>
      </c>
      <c r="U2669">
        <f>COUNTIF('🚴 Riders'!A2668:A2728, C2669)</f>
        <v>0</v>
      </c>
      <c r="V2669">
        <f>COUNTIF('🏭 Facilities'!A2668:A2676, D2669)</f>
        <v>0</v>
      </c>
    </row>
    <row r="2670" spans="1:22">
      <c r="A2670" s="16" t="s">
        <v>5992</v>
      </c>
      <c r="B2670" s="16" t="s">
        <v>1095</v>
      </c>
      <c r="C2670" s="16" t="s">
        <v>136</v>
      </c>
      <c r="D2670" s="16" t="s">
        <v>130</v>
      </c>
      <c r="E2670" s="25">
        <v>44982</v>
      </c>
      <c r="F2670" s="16" t="s">
        <v>5993</v>
      </c>
      <c r="G2670" s="16" t="s">
        <v>132</v>
      </c>
      <c r="H2670" s="16">
        <v>6.5</v>
      </c>
      <c r="I2670" s="16">
        <v>399</v>
      </c>
      <c r="J2670" s="16">
        <v>20</v>
      </c>
      <c r="K2670" s="16">
        <v>2074.8000000000002</v>
      </c>
      <c r="L2670" s="16" t="s">
        <v>146</v>
      </c>
      <c r="M2670" s="16" t="s">
        <v>119</v>
      </c>
      <c r="N2670" s="27">
        <v>44982.288194444445</v>
      </c>
      <c r="O2670" s="27">
        <v>44983.071527777778</v>
      </c>
      <c r="P2670" s="16">
        <v>3.7</v>
      </c>
      <c r="Q2670" s="16" t="b">
        <f>FALSE()</f>
        <v>0</v>
      </c>
      <c r="R2670" s="16" t="b">
        <f>FALSE()</f>
        <v>0</v>
      </c>
      <c r="S2670" s="17">
        <f t="shared" si="41"/>
        <v>18.8</v>
      </c>
      <c r="T2670">
        <f>COUNTIF('👤 Customers'!$A:$A, B2670)</f>
        <v>1</v>
      </c>
      <c r="U2670">
        <f>COUNTIF('🚴 Riders'!A2669:A2729, C2670)</f>
        <v>0</v>
      </c>
      <c r="V2670">
        <f>COUNTIF('🏭 Facilities'!A2669:A2677, D2670)</f>
        <v>0</v>
      </c>
    </row>
    <row r="2671" spans="1:22">
      <c r="A2671" s="18" t="s">
        <v>5994</v>
      </c>
      <c r="B2671" s="18" t="s">
        <v>713</v>
      </c>
      <c r="C2671" s="18" t="s">
        <v>461</v>
      </c>
      <c r="D2671" s="18" t="s">
        <v>115</v>
      </c>
      <c r="E2671" s="26">
        <v>45078</v>
      </c>
      <c r="F2671" s="18" t="s">
        <v>5995</v>
      </c>
      <c r="G2671" s="18" t="s">
        <v>125</v>
      </c>
      <c r="H2671" s="18">
        <v>4.7</v>
      </c>
      <c r="I2671" s="18">
        <v>199</v>
      </c>
      <c r="J2671" s="18">
        <v>0</v>
      </c>
      <c r="K2671" s="18">
        <v>935.3</v>
      </c>
      <c r="L2671" s="18" t="s">
        <v>126</v>
      </c>
      <c r="M2671" s="18" t="s">
        <v>119</v>
      </c>
      <c r="N2671" s="28">
        <v>45078.069444444445</v>
      </c>
      <c r="O2671" s="28">
        <v>45078.926388888889</v>
      </c>
      <c r="P2671" s="18">
        <v>3</v>
      </c>
      <c r="Q2671" s="18" t="b">
        <f>FALSE()</f>
        <v>0</v>
      </c>
      <c r="R2671" s="18" t="b">
        <f>FALSE()</f>
        <v>0</v>
      </c>
      <c r="S2671" s="19">
        <f t="shared" si="41"/>
        <v>20.6</v>
      </c>
      <c r="T2671">
        <f>COUNTIF('👤 Customers'!$A:$A, B2671)</f>
        <v>1</v>
      </c>
      <c r="U2671">
        <f>COUNTIF('🚴 Riders'!A2670:A2730, C2671)</f>
        <v>0</v>
      </c>
      <c r="V2671">
        <f>COUNTIF('🏭 Facilities'!A2670:A2678, D2671)</f>
        <v>0</v>
      </c>
    </row>
    <row r="2672" spans="1:22">
      <c r="A2672" s="16" t="s">
        <v>5996</v>
      </c>
      <c r="B2672" s="16" t="s">
        <v>539</v>
      </c>
      <c r="C2672" s="16" t="s">
        <v>240</v>
      </c>
      <c r="D2672" s="16" t="s">
        <v>197</v>
      </c>
      <c r="E2672" s="25">
        <v>45056</v>
      </c>
      <c r="F2672" s="16" t="s">
        <v>5997</v>
      </c>
      <c r="G2672" s="16" t="s">
        <v>125</v>
      </c>
      <c r="H2672" s="16">
        <v>4.3</v>
      </c>
      <c r="I2672" s="16">
        <v>199</v>
      </c>
      <c r="J2672" s="16">
        <v>0</v>
      </c>
      <c r="K2672" s="16">
        <v>855.7</v>
      </c>
      <c r="L2672" s="16" t="s">
        <v>126</v>
      </c>
      <c r="M2672" s="16" t="s">
        <v>119</v>
      </c>
      <c r="N2672" s="27">
        <v>45056.693749999999</v>
      </c>
      <c r="O2672" s="27">
        <v>45057.408333333333</v>
      </c>
      <c r="P2672" s="16">
        <v>4.5</v>
      </c>
      <c r="Q2672" s="16" t="b">
        <f>FALSE()</f>
        <v>0</v>
      </c>
      <c r="R2672" s="16" t="b">
        <f>TRUE()</f>
        <v>1</v>
      </c>
      <c r="S2672" s="17">
        <f t="shared" si="41"/>
        <v>17.2</v>
      </c>
      <c r="T2672">
        <f>COUNTIF('👤 Customers'!$A:$A, B2672)</f>
        <v>1</v>
      </c>
      <c r="U2672">
        <f>COUNTIF('🚴 Riders'!A2671:A2731, C2672)</f>
        <v>0</v>
      </c>
      <c r="V2672">
        <f>COUNTIF('🏭 Facilities'!A2671:A2679, D2672)</f>
        <v>0</v>
      </c>
    </row>
    <row r="2673" spans="1:22">
      <c r="A2673" s="18" t="s">
        <v>5998</v>
      </c>
      <c r="B2673" s="18" t="s">
        <v>1572</v>
      </c>
      <c r="C2673" s="18" t="s">
        <v>322</v>
      </c>
      <c r="D2673" s="18" t="s">
        <v>137</v>
      </c>
      <c r="E2673" s="26">
        <v>45266</v>
      </c>
      <c r="F2673" s="18" t="s">
        <v>5999</v>
      </c>
      <c r="G2673" s="18" t="s">
        <v>145</v>
      </c>
      <c r="H2673" s="18">
        <v>3.8</v>
      </c>
      <c r="I2673" s="18">
        <v>299</v>
      </c>
      <c r="J2673" s="18">
        <v>0</v>
      </c>
      <c r="K2673" s="18">
        <v>1136.2</v>
      </c>
      <c r="L2673" s="18" t="s">
        <v>126</v>
      </c>
      <c r="M2673" s="18" t="s">
        <v>119</v>
      </c>
      <c r="N2673" s="28">
        <v>45267.088888888888</v>
      </c>
      <c r="O2673" s="28">
        <v>45268.186805555553</v>
      </c>
      <c r="P2673" s="18">
        <v>4.7</v>
      </c>
      <c r="Q2673" s="18" t="b">
        <f>TRUE()</f>
        <v>1</v>
      </c>
      <c r="R2673" s="18" t="b">
        <f>TRUE()</f>
        <v>1</v>
      </c>
      <c r="S2673" s="19">
        <f t="shared" si="41"/>
        <v>26.3</v>
      </c>
      <c r="T2673">
        <f>COUNTIF('👤 Customers'!$A:$A, B2673)</f>
        <v>1</v>
      </c>
      <c r="U2673">
        <f>COUNTIF('🚴 Riders'!A2672:A2732, C2673)</f>
        <v>0</v>
      </c>
      <c r="V2673">
        <f>COUNTIF('🏭 Facilities'!A2672:A2680, D2673)</f>
        <v>0</v>
      </c>
    </row>
    <row r="2674" spans="1:22">
      <c r="A2674" s="16" t="s">
        <v>6000</v>
      </c>
      <c r="B2674" s="16" t="s">
        <v>1545</v>
      </c>
      <c r="C2674" s="16" t="s">
        <v>563</v>
      </c>
      <c r="D2674" s="16" t="s">
        <v>184</v>
      </c>
      <c r="E2674" s="25">
        <v>45271</v>
      </c>
      <c r="F2674" s="16" t="s">
        <v>6001</v>
      </c>
      <c r="G2674" s="16" t="s">
        <v>117</v>
      </c>
      <c r="H2674" s="16">
        <v>6.6</v>
      </c>
      <c r="I2674" s="16">
        <v>149</v>
      </c>
      <c r="J2674" s="16">
        <v>0</v>
      </c>
      <c r="K2674" s="16">
        <v>983.4</v>
      </c>
      <c r="L2674" s="16" t="s">
        <v>207</v>
      </c>
      <c r="M2674" s="16" t="s">
        <v>119</v>
      </c>
      <c r="N2674" s="27">
        <v>45271.88958333333</v>
      </c>
      <c r="O2674" s="27">
        <v>45272.761111111111</v>
      </c>
      <c r="P2674" s="16">
        <v>3.5</v>
      </c>
      <c r="Q2674" s="16" t="b">
        <f>FALSE()</f>
        <v>0</v>
      </c>
      <c r="R2674" s="16" t="b">
        <f>FALSE()</f>
        <v>0</v>
      </c>
      <c r="S2674" s="17">
        <f t="shared" si="41"/>
        <v>20.9</v>
      </c>
      <c r="T2674">
        <f>COUNTIF('👤 Customers'!$A:$A, B2674)</f>
        <v>1</v>
      </c>
      <c r="U2674">
        <f>COUNTIF('🚴 Riders'!A2673:A2733, C2674)</f>
        <v>0</v>
      </c>
      <c r="V2674">
        <f>COUNTIF('🏭 Facilities'!A2673:A2681, D2674)</f>
        <v>0</v>
      </c>
    </row>
    <row r="2675" spans="1:22">
      <c r="A2675" s="18" t="s">
        <v>6002</v>
      </c>
      <c r="B2675" s="18" t="s">
        <v>1226</v>
      </c>
      <c r="C2675" s="18" t="s">
        <v>114</v>
      </c>
      <c r="D2675" s="18" t="s">
        <v>205</v>
      </c>
      <c r="E2675" s="26">
        <v>45301</v>
      </c>
      <c r="F2675" s="18" t="s">
        <v>1835</v>
      </c>
      <c r="G2675" s="18" t="s">
        <v>125</v>
      </c>
      <c r="H2675" s="18">
        <v>5.2</v>
      </c>
      <c r="I2675" s="18">
        <v>199</v>
      </c>
      <c r="J2675" s="18">
        <v>10</v>
      </c>
      <c r="K2675" s="18">
        <v>931.32</v>
      </c>
      <c r="L2675" s="18" t="s">
        <v>139</v>
      </c>
      <c r="M2675" s="18" t="s">
        <v>119</v>
      </c>
      <c r="N2675" s="28">
        <v>45301.647222222222</v>
      </c>
      <c r="O2675" s="28">
        <v>45302.370138888888</v>
      </c>
      <c r="P2675" s="18">
        <v>2.7</v>
      </c>
      <c r="Q2675" s="18" t="b">
        <f>FALSE()</f>
        <v>0</v>
      </c>
      <c r="R2675" s="18" t="b">
        <f>FALSE()</f>
        <v>0</v>
      </c>
      <c r="S2675" s="19">
        <f t="shared" si="41"/>
        <v>17.3</v>
      </c>
      <c r="T2675">
        <f>COUNTIF('👤 Customers'!$A:$A, B2675)</f>
        <v>1</v>
      </c>
      <c r="U2675">
        <f>COUNTIF('🚴 Riders'!A2674:A2734, C2675)</f>
        <v>0</v>
      </c>
      <c r="V2675">
        <f>COUNTIF('🏭 Facilities'!A2674:A2682, D2675)</f>
        <v>0</v>
      </c>
    </row>
    <row r="2676" spans="1:22">
      <c r="A2676" s="16" t="s">
        <v>6003</v>
      </c>
      <c r="B2676" s="16" t="s">
        <v>620</v>
      </c>
      <c r="C2676" s="16" t="s">
        <v>265</v>
      </c>
      <c r="D2676" s="16" t="s">
        <v>137</v>
      </c>
      <c r="E2676" s="25">
        <v>45580</v>
      </c>
      <c r="F2676" s="16" t="s">
        <v>6004</v>
      </c>
      <c r="G2676" s="16" t="s">
        <v>145</v>
      </c>
      <c r="H2676" s="16">
        <v>4.3</v>
      </c>
      <c r="I2676" s="16">
        <v>299</v>
      </c>
      <c r="J2676" s="16">
        <v>0</v>
      </c>
      <c r="K2676" s="16">
        <v>1285.7</v>
      </c>
      <c r="L2676" s="16" t="s">
        <v>118</v>
      </c>
      <c r="M2676" s="16" t="s">
        <v>119</v>
      </c>
      <c r="N2676" s="27">
        <v>45580.668055555558</v>
      </c>
      <c r="O2676" s="27">
        <v>45581.545138888891</v>
      </c>
      <c r="P2676" s="16">
        <v>3.6</v>
      </c>
      <c r="Q2676" s="16" t="b">
        <f>FALSE()</f>
        <v>0</v>
      </c>
      <c r="R2676" s="16" t="b">
        <f>FALSE()</f>
        <v>0</v>
      </c>
      <c r="S2676" s="17">
        <f t="shared" si="41"/>
        <v>21</v>
      </c>
      <c r="T2676">
        <f>COUNTIF('👤 Customers'!$A:$A, B2676)</f>
        <v>1</v>
      </c>
      <c r="U2676">
        <f>COUNTIF('🚴 Riders'!A2675:A2735, C2676)</f>
        <v>0</v>
      </c>
      <c r="V2676">
        <f>COUNTIF('🏭 Facilities'!A2675:A2683, D2676)</f>
        <v>0</v>
      </c>
    </row>
    <row r="2677" spans="1:22">
      <c r="A2677" s="18" t="s">
        <v>6005</v>
      </c>
      <c r="B2677" s="18" t="s">
        <v>2585</v>
      </c>
      <c r="C2677" s="18" t="s">
        <v>483</v>
      </c>
      <c r="D2677" s="18" t="s">
        <v>184</v>
      </c>
      <c r="E2677" s="26">
        <v>45453</v>
      </c>
      <c r="F2677" s="18" t="s">
        <v>6006</v>
      </c>
      <c r="G2677" s="18" t="s">
        <v>176</v>
      </c>
      <c r="H2677" s="18">
        <v>4.7</v>
      </c>
      <c r="I2677" s="18">
        <v>599</v>
      </c>
      <c r="J2677" s="18">
        <v>30</v>
      </c>
      <c r="K2677" s="18">
        <v>1970.71</v>
      </c>
      <c r="L2677" s="18" t="s">
        <v>126</v>
      </c>
      <c r="M2677" s="18" t="s">
        <v>119</v>
      </c>
      <c r="N2677" s="28">
        <v>45453.599305555559</v>
      </c>
      <c r="O2677" s="28">
        <v>45454.275694444441</v>
      </c>
      <c r="P2677" s="18">
        <v>4.5</v>
      </c>
      <c r="Q2677" s="18" t="b">
        <f>FALSE()</f>
        <v>0</v>
      </c>
      <c r="R2677" s="18" t="b">
        <f>TRUE()</f>
        <v>1</v>
      </c>
      <c r="S2677" s="19">
        <f t="shared" si="41"/>
        <v>16.2</v>
      </c>
      <c r="T2677">
        <f>COUNTIF('👤 Customers'!$A:$A, B2677)</f>
        <v>1</v>
      </c>
      <c r="U2677">
        <f>COUNTIF('🚴 Riders'!A2676:A2736, C2677)</f>
        <v>0</v>
      </c>
      <c r="V2677">
        <f>COUNTIF('🏭 Facilities'!A2676:A2684, D2677)</f>
        <v>0</v>
      </c>
    </row>
    <row r="2678" spans="1:22">
      <c r="A2678" s="16" t="s">
        <v>6007</v>
      </c>
      <c r="B2678" s="16" t="s">
        <v>3055</v>
      </c>
      <c r="C2678" s="16" t="s">
        <v>265</v>
      </c>
      <c r="D2678" s="16" t="s">
        <v>197</v>
      </c>
      <c r="E2678" s="25">
        <v>45645</v>
      </c>
      <c r="F2678" s="16" t="s">
        <v>6008</v>
      </c>
      <c r="G2678" s="16" t="s">
        <v>125</v>
      </c>
      <c r="H2678" s="16">
        <v>6.7</v>
      </c>
      <c r="I2678" s="16">
        <v>199</v>
      </c>
      <c r="J2678" s="16">
        <v>0</v>
      </c>
      <c r="K2678" s="16">
        <v>1333.3</v>
      </c>
      <c r="L2678" s="16" t="s">
        <v>118</v>
      </c>
      <c r="M2678" s="16" t="s">
        <v>119</v>
      </c>
      <c r="N2678" s="27">
        <v>45645.940972222219</v>
      </c>
      <c r="O2678" s="27">
        <v>45646.438888888886</v>
      </c>
      <c r="P2678" s="16">
        <v>3.6</v>
      </c>
      <c r="Q2678" s="16" t="b">
        <f>FALSE()</f>
        <v>0</v>
      </c>
      <c r="R2678" s="16" t="b">
        <f>FALSE()</f>
        <v>0</v>
      </c>
      <c r="S2678" s="17">
        <f t="shared" si="41"/>
        <v>12</v>
      </c>
      <c r="T2678">
        <f>COUNTIF('👤 Customers'!$A:$A, B2678)</f>
        <v>1</v>
      </c>
      <c r="U2678">
        <f>COUNTIF('🚴 Riders'!A2677:A2737, C2678)</f>
        <v>0</v>
      </c>
      <c r="V2678">
        <f>COUNTIF('🏭 Facilities'!A2677:A2685, D2678)</f>
        <v>0</v>
      </c>
    </row>
    <row r="2679" spans="1:22">
      <c r="A2679" s="18" t="s">
        <v>6009</v>
      </c>
      <c r="B2679" s="18" t="s">
        <v>2334</v>
      </c>
      <c r="C2679" s="18" t="s">
        <v>362</v>
      </c>
      <c r="D2679" s="18" t="s">
        <v>197</v>
      </c>
      <c r="E2679" s="26">
        <v>44955</v>
      </c>
      <c r="F2679" s="18" t="s">
        <v>6010</v>
      </c>
      <c r="G2679" s="18" t="s">
        <v>117</v>
      </c>
      <c r="H2679" s="18">
        <v>1.4</v>
      </c>
      <c r="I2679" s="18">
        <v>149</v>
      </c>
      <c r="J2679" s="18">
        <v>0</v>
      </c>
      <c r="K2679" s="18">
        <v>208.6</v>
      </c>
      <c r="L2679" s="18" t="s">
        <v>146</v>
      </c>
      <c r="M2679" s="18" t="s">
        <v>133</v>
      </c>
      <c r="N2679" s="20"/>
      <c r="O2679" s="20"/>
      <c r="P2679" s="20"/>
      <c r="Q2679" s="18" t="b">
        <f>FALSE()</f>
        <v>0</v>
      </c>
      <c r="R2679" s="18" t="b">
        <f>FALSE()</f>
        <v>0</v>
      </c>
      <c r="S2679" s="19" t="str">
        <f t="shared" si="41"/>
        <v>N/A</v>
      </c>
      <c r="T2679">
        <f>COUNTIF('👤 Customers'!$A:$A, B2679)</f>
        <v>1</v>
      </c>
      <c r="U2679">
        <f>COUNTIF('🚴 Riders'!A2678:A2738, C2679)</f>
        <v>0</v>
      </c>
      <c r="V2679">
        <f>COUNTIF('🏭 Facilities'!A2678:A2686, D2679)</f>
        <v>0</v>
      </c>
    </row>
    <row r="2680" spans="1:22">
      <c r="A2680" s="16" t="s">
        <v>6011</v>
      </c>
      <c r="B2680" s="16" t="s">
        <v>2619</v>
      </c>
      <c r="C2680" s="16" t="s">
        <v>149</v>
      </c>
      <c r="D2680" s="16" t="s">
        <v>205</v>
      </c>
      <c r="E2680" s="25">
        <v>45472</v>
      </c>
      <c r="F2680" s="16" t="s">
        <v>6012</v>
      </c>
      <c r="G2680" s="16" t="s">
        <v>125</v>
      </c>
      <c r="H2680" s="16">
        <v>2.2000000000000002</v>
      </c>
      <c r="I2680" s="16">
        <v>199</v>
      </c>
      <c r="J2680" s="16">
        <v>0</v>
      </c>
      <c r="K2680" s="16">
        <v>437.8</v>
      </c>
      <c r="L2680" s="16" t="s">
        <v>139</v>
      </c>
      <c r="M2680" s="16" t="s">
        <v>133</v>
      </c>
      <c r="N2680" s="20"/>
      <c r="O2680" s="20"/>
      <c r="P2680" s="20"/>
      <c r="Q2680" s="16" t="b">
        <f>FALSE()</f>
        <v>0</v>
      </c>
      <c r="R2680" s="16" t="b">
        <f>FALSE()</f>
        <v>0</v>
      </c>
      <c r="S2680" s="17" t="str">
        <f t="shared" si="41"/>
        <v>N/A</v>
      </c>
      <c r="T2680">
        <f>COUNTIF('👤 Customers'!$A:$A, B2680)</f>
        <v>1</v>
      </c>
      <c r="U2680">
        <f>COUNTIF('🚴 Riders'!A2679:A2739, C2680)</f>
        <v>0</v>
      </c>
      <c r="V2680">
        <f>COUNTIF('🏭 Facilities'!A2679:A2687, D2680)</f>
        <v>0</v>
      </c>
    </row>
    <row r="2681" spans="1:22">
      <c r="A2681" s="18" t="s">
        <v>6013</v>
      </c>
      <c r="B2681" s="18" t="s">
        <v>2289</v>
      </c>
      <c r="C2681" s="18" t="s">
        <v>717</v>
      </c>
      <c r="D2681" s="18" t="s">
        <v>184</v>
      </c>
      <c r="E2681" s="26">
        <v>45087</v>
      </c>
      <c r="F2681" s="18" t="s">
        <v>6014</v>
      </c>
      <c r="G2681" s="18" t="s">
        <v>176</v>
      </c>
      <c r="H2681" s="18">
        <v>5</v>
      </c>
      <c r="I2681" s="18">
        <v>599</v>
      </c>
      <c r="J2681" s="18">
        <v>0</v>
      </c>
      <c r="K2681" s="18">
        <v>2995</v>
      </c>
      <c r="L2681" s="18" t="s">
        <v>118</v>
      </c>
      <c r="M2681" s="18" t="s">
        <v>133</v>
      </c>
      <c r="N2681" s="20"/>
      <c r="O2681" s="20"/>
      <c r="P2681" s="20"/>
      <c r="Q2681" s="18" t="b">
        <f>TRUE()</f>
        <v>1</v>
      </c>
      <c r="R2681" s="18" t="b">
        <f>FALSE()</f>
        <v>0</v>
      </c>
      <c r="S2681" s="19" t="str">
        <f t="shared" si="41"/>
        <v>N/A</v>
      </c>
      <c r="T2681">
        <f>COUNTIF('👤 Customers'!$A:$A, B2681)</f>
        <v>1</v>
      </c>
      <c r="U2681">
        <f>COUNTIF('🚴 Riders'!A2680:A2740, C2681)</f>
        <v>0</v>
      </c>
      <c r="V2681">
        <f>COUNTIF('🏭 Facilities'!A2680:A2688, D2681)</f>
        <v>0</v>
      </c>
    </row>
    <row r="2682" spans="1:22">
      <c r="A2682" s="16" t="s">
        <v>6015</v>
      </c>
      <c r="B2682" s="16" t="s">
        <v>498</v>
      </c>
      <c r="C2682" s="16" t="s">
        <v>461</v>
      </c>
      <c r="D2682" s="16" t="s">
        <v>130</v>
      </c>
      <c r="E2682" s="25">
        <v>45605</v>
      </c>
      <c r="F2682" s="16" t="s">
        <v>6016</v>
      </c>
      <c r="G2682" s="16" t="s">
        <v>117</v>
      </c>
      <c r="H2682" s="16">
        <v>6.1</v>
      </c>
      <c r="I2682" s="16">
        <v>149</v>
      </c>
      <c r="J2682" s="16">
        <v>20</v>
      </c>
      <c r="K2682" s="16">
        <v>727.12</v>
      </c>
      <c r="L2682" s="16" t="s">
        <v>207</v>
      </c>
      <c r="M2682" s="16" t="s">
        <v>140</v>
      </c>
      <c r="N2682" s="27">
        <v>45605.732638888891</v>
      </c>
      <c r="O2682" s="27">
        <v>45606.213888888888</v>
      </c>
      <c r="P2682" s="20"/>
      <c r="Q2682" s="16" t="b">
        <f>FALSE()</f>
        <v>0</v>
      </c>
      <c r="R2682" s="16" t="b">
        <f>FALSE()</f>
        <v>0</v>
      </c>
      <c r="S2682" s="17">
        <f t="shared" si="41"/>
        <v>11.5</v>
      </c>
      <c r="T2682">
        <f>COUNTIF('👤 Customers'!$A:$A, B2682)</f>
        <v>1</v>
      </c>
      <c r="U2682">
        <f>COUNTIF('🚴 Riders'!A2681:A2741, C2682)</f>
        <v>0</v>
      </c>
      <c r="V2682">
        <f>COUNTIF('🏭 Facilities'!A2681:A2689, D2682)</f>
        <v>0</v>
      </c>
    </row>
    <row r="2683" spans="1:22">
      <c r="A2683" s="18" t="s">
        <v>6017</v>
      </c>
      <c r="B2683" s="18" t="s">
        <v>1302</v>
      </c>
      <c r="C2683" s="18" t="s">
        <v>611</v>
      </c>
      <c r="D2683" s="18" t="s">
        <v>158</v>
      </c>
      <c r="E2683" s="26">
        <v>45500</v>
      </c>
      <c r="F2683" s="18" t="s">
        <v>6018</v>
      </c>
      <c r="G2683" s="18" t="s">
        <v>132</v>
      </c>
      <c r="H2683" s="18">
        <v>4.2</v>
      </c>
      <c r="I2683" s="18">
        <v>399</v>
      </c>
      <c r="J2683" s="18">
        <v>0</v>
      </c>
      <c r="K2683" s="18">
        <v>1675.8</v>
      </c>
      <c r="L2683" s="18" t="s">
        <v>146</v>
      </c>
      <c r="M2683" s="18" t="s">
        <v>140</v>
      </c>
      <c r="N2683" s="28">
        <v>45501.084027777775</v>
      </c>
      <c r="O2683" s="28">
        <v>45501.943749999999</v>
      </c>
      <c r="P2683" s="20"/>
      <c r="Q2683" s="18" t="b">
        <f>FALSE()</f>
        <v>0</v>
      </c>
      <c r="R2683" s="18" t="b">
        <f>FALSE()</f>
        <v>0</v>
      </c>
      <c r="S2683" s="19">
        <f t="shared" si="41"/>
        <v>20.6</v>
      </c>
      <c r="T2683">
        <f>COUNTIF('👤 Customers'!$A:$A, B2683)</f>
        <v>1</v>
      </c>
      <c r="U2683">
        <f>COUNTIF('🚴 Riders'!A2682:A2742, C2683)</f>
        <v>0</v>
      </c>
      <c r="V2683">
        <f>COUNTIF('🏭 Facilities'!A2682:A2690, D2683)</f>
        <v>0</v>
      </c>
    </row>
    <row r="2684" spans="1:22">
      <c r="A2684" s="16" t="s">
        <v>6019</v>
      </c>
      <c r="B2684" s="16" t="s">
        <v>307</v>
      </c>
      <c r="C2684" s="16" t="s">
        <v>143</v>
      </c>
      <c r="D2684" s="16" t="s">
        <v>123</v>
      </c>
      <c r="E2684" s="25">
        <v>45121</v>
      </c>
      <c r="F2684" s="16" t="s">
        <v>6020</v>
      </c>
      <c r="G2684" s="16" t="s">
        <v>145</v>
      </c>
      <c r="H2684" s="16">
        <v>3.9</v>
      </c>
      <c r="I2684" s="16">
        <v>299</v>
      </c>
      <c r="J2684" s="16">
        <v>20</v>
      </c>
      <c r="K2684" s="16">
        <v>932.88</v>
      </c>
      <c r="L2684" s="16" t="s">
        <v>139</v>
      </c>
      <c r="M2684" s="16" t="s">
        <v>119</v>
      </c>
      <c r="N2684" s="27">
        <v>45122.021527777775</v>
      </c>
      <c r="O2684" s="27">
        <v>45122.388888888891</v>
      </c>
      <c r="P2684" s="16">
        <v>3.9</v>
      </c>
      <c r="Q2684" s="16" t="b">
        <f>FALSE()</f>
        <v>0</v>
      </c>
      <c r="R2684" s="16" t="b">
        <f>FALSE()</f>
        <v>0</v>
      </c>
      <c r="S2684" s="17">
        <f t="shared" si="41"/>
        <v>8.8000000000000007</v>
      </c>
      <c r="T2684">
        <f>COUNTIF('👤 Customers'!$A:$A, B2684)</f>
        <v>1</v>
      </c>
      <c r="U2684">
        <f>COUNTIF('🚴 Riders'!A2683:A2743, C2684)</f>
        <v>0</v>
      </c>
      <c r="V2684">
        <f>COUNTIF('🏭 Facilities'!A2683:A2691, D2684)</f>
        <v>0</v>
      </c>
    </row>
    <row r="2685" spans="1:22">
      <c r="A2685" s="18" t="s">
        <v>6021</v>
      </c>
      <c r="B2685" s="18" t="s">
        <v>583</v>
      </c>
      <c r="C2685" s="18" t="s">
        <v>483</v>
      </c>
      <c r="D2685" s="18" t="s">
        <v>123</v>
      </c>
      <c r="E2685" s="26">
        <v>45071</v>
      </c>
      <c r="F2685" s="18" t="s">
        <v>6022</v>
      </c>
      <c r="G2685" s="18" t="s">
        <v>145</v>
      </c>
      <c r="H2685" s="18">
        <v>4.7</v>
      </c>
      <c r="I2685" s="18">
        <v>299</v>
      </c>
      <c r="J2685" s="18">
        <v>0</v>
      </c>
      <c r="K2685" s="18">
        <v>1405.3</v>
      </c>
      <c r="L2685" s="18" t="s">
        <v>126</v>
      </c>
      <c r="M2685" s="18" t="s">
        <v>119</v>
      </c>
      <c r="N2685" s="28">
        <v>45071.175000000003</v>
      </c>
      <c r="O2685" s="28">
        <v>45072.07708333333</v>
      </c>
      <c r="P2685" s="18">
        <v>4.4000000000000004</v>
      </c>
      <c r="Q2685" s="18" t="b">
        <f>FALSE()</f>
        <v>0</v>
      </c>
      <c r="R2685" s="18" t="b">
        <f>TRUE()</f>
        <v>1</v>
      </c>
      <c r="S2685" s="19">
        <f t="shared" si="41"/>
        <v>21.6</v>
      </c>
      <c r="T2685">
        <f>COUNTIF('👤 Customers'!$A:$A, B2685)</f>
        <v>1</v>
      </c>
      <c r="U2685">
        <f>COUNTIF('🚴 Riders'!A2684:A2744, C2685)</f>
        <v>0</v>
      </c>
      <c r="V2685">
        <f>COUNTIF('🏭 Facilities'!A2684:A2692, D2685)</f>
        <v>0</v>
      </c>
    </row>
    <row r="2686" spans="1:22">
      <c r="A2686" s="16" t="s">
        <v>6023</v>
      </c>
      <c r="B2686" s="16" t="s">
        <v>1697</v>
      </c>
      <c r="C2686" s="16" t="s">
        <v>265</v>
      </c>
      <c r="D2686" s="16" t="s">
        <v>130</v>
      </c>
      <c r="E2686" s="25">
        <v>45472</v>
      </c>
      <c r="F2686" s="16" t="s">
        <v>6024</v>
      </c>
      <c r="G2686" s="16" t="s">
        <v>132</v>
      </c>
      <c r="H2686" s="16">
        <v>2</v>
      </c>
      <c r="I2686" s="16">
        <v>399</v>
      </c>
      <c r="J2686" s="16">
        <v>10</v>
      </c>
      <c r="K2686" s="16">
        <v>718.2</v>
      </c>
      <c r="L2686" s="16" t="s">
        <v>146</v>
      </c>
      <c r="M2686" s="16" t="s">
        <v>119</v>
      </c>
      <c r="N2686" s="27">
        <v>45472.171527777777</v>
      </c>
      <c r="O2686" s="27">
        <v>45473.107638888891</v>
      </c>
      <c r="P2686" s="16">
        <v>3.1</v>
      </c>
      <c r="Q2686" s="16" t="b">
        <f>FALSE()</f>
        <v>0</v>
      </c>
      <c r="R2686" s="16" t="b">
        <f>FALSE()</f>
        <v>0</v>
      </c>
      <c r="S2686" s="17">
        <f t="shared" si="41"/>
        <v>22.5</v>
      </c>
      <c r="T2686">
        <f>COUNTIF('👤 Customers'!$A:$A, B2686)</f>
        <v>1</v>
      </c>
      <c r="U2686">
        <f>COUNTIF('🚴 Riders'!A2685:A2745, C2686)</f>
        <v>0</v>
      </c>
      <c r="V2686">
        <f>COUNTIF('🏭 Facilities'!A2685:A2693, D2686)</f>
        <v>0</v>
      </c>
    </row>
    <row r="2687" spans="1:22">
      <c r="A2687" s="18" t="s">
        <v>6025</v>
      </c>
      <c r="B2687" s="18" t="s">
        <v>165</v>
      </c>
      <c r="C2687" s="18" t="s">
        <v>611</v>
      </c>
      <c r="D2687" s="18" t="s">
        <v>130</v>
      </c>
      <c r="E2687" s="26">
        <v>45207</v>
      </c>
      <c r="F2687" s="18" t="s">
        <v>6026</v>
      </c>
      <c r="G2687" s="18" t="s">
        <v>117</v>
      </c>
      <c r="H2687" s="18">
        <v>3.4</v>
      </c>
      <c r="I2687" s="18">
        <v>149</v>
      </c>
      <c r="J2687" s="18">
        <v>0</v>
      </c>
      <c r="K2687" s="18">
        <v>506.6</v>
      </c>
      <c r="L2687" s="18" t="s">
        <v>126</v>
      </c>
      <c r="M2687" s="18" t="s">
        <v>133</v>
      </c>
      <c r="N2687" s="20"/>
      <c r="O2687" s="20"/>
      <c r="P2687" s="20"/>
      <c r="Q2687" s="18" t="b">
        <f>FALSE()</f>
        <v>0</v>
      </c>
      <c r="R2687" s="18" t="b">
        <f>TRUE()</f>
        <v>1</v>
      </c>
      <c r="S2687" s="19" t="str">
        <f t="shared" si="41"/>
        <v>N/A</v>
      </c>
      <c r="T2687">
        <f>COUNTIF('👤 Customers'!$A:$A, B2687)</f>
        <v>1</v>
      </c>
      <c r="U2687">
        <f>COUNTIF('🚴 Riders'!A2686:A2746, C2687)</f>
        <v>0</v>
      </c>
      <c r="V2687">
        <f>COUNTIF('🏭 Facilities'!A2686:A2694, D2687)</f>
        <v>0</v>
      </c>
    </row>
    <row r="2688" spans="1:22">
      <c r="A2688" s="16" t="s">
        <v>6027</v>
      </c>
      <c r="B2688" s="16" t="s">
        <v>779</v>
      </c>
      <c r="C2688" s="16" t="s">
        <v>232</v>
      </c>
      <c r="D2688" s="16" t="s">
        <v>205</v>
      </c>
      <c r="E2688" s="25">
        <v>45618</v>
      </c>
      <c r="F2688" s="16" t="s">
        <v>6028</v>
      </c>
      <c r="G2688" s="16" t="s">
        <v>132</v>
      </c>
      <c r="H2688" s="16">
        <v>3.4</v>
      </c>
      <c r="I2688" s="16">
        <v>399</v>
      </c>
      <c r="J2688" s="16">
        <v>0</v>
      </c>
      <c r="K2688" s="16">
        <v>1356.6</v>
      </c>
      <c r="L2688" s="16" t="s">
        <v>118</v>
      </c>
      <c r="M2688" s="16" t="s">
        <v>119</v>
      </c>
      <c r="N2688" s="27">
        <v>45618.855555555558</v>
      </c>
      <c r="O2688" s="27">
        <v>45619.27847222222</v>
      </c>
      <c r="P2688" s="16">
        <v>4.7</v>
      </c>
      <c r="Q2688" s="16" t="b">
        <f>TRUE()</f>
        <v>1</v>
      </c>
      <c r="R2688" s="16" t="b">
        <f>FALSE()</f>
        <v>0</v>
      </c>
      <c r="S2688" s="17">
        <f t="shared" si="41"/>
        <v>10.1</v>
      </c>
      <c r="T2688">
        <f>COUNTIF('👤 Customers'!$A:$A, B2688)</f>
        <v>1</v>
      </c>
      <c r="U2688">
        <f>COUNTIF('🚴 Riders'!A2687:A2747, C2688)</f>
        <v>0</v>
      </c>
      <c r="V2688">
        <f>COUNTIF('🏭 Facilities'!A2687:A2695, D2688)</f>
        <v>0</v>
      </c>
    </row>
    <row r="2689" spans="1:22">
      <c r="A2689" s="18" t="s">
        <v>6029</v>
      </c>
      <c r="B2689" s="18" t="s">
        <v>1067</v>
      </c>
      <c r="C2689" s="18" t="s">
        <v>143</v>
      </c>
      <c r="D2689" s="18" t="s">
        <v>137</v>
      </c>
      <c r="E2689" s="26">
        <v>45377</v>
      </c>
      <c r="F2689" s="18" t="s">
        <v>6030</v>
      </c>
      <c r="G2689" s="18" t="s">
        <v>176</v>
      </c>
      <c r="H2689" s="18">
        <v>7.7</v>
      </c>
      <c r="I2689" s="18">
        <v>599</v>
      </c>
      <c r="J2689" s="18">
        <v>0</v>
      </c>
      <c r="K2689" s="18">
        <v>4612.3</v>
      </c>
      <c r="L2689" s="18" t="s">
        <v>126</v>
      </c>
      <c r="M2689" s="18" t="s">
        <v>119</v>
      </c>
      <c r="N2689" s="28">
        <v>45377.249305555553</v>
      </c>
      <c r="O2689" s="28">
        <v>45378.18472222222</v>
      </c>
      <c r="P2689" s="18">
        <v>3</v>
      </c>
      <c r="Q2689" s="18" t="b">
        <f>FALSE()</f>
        <v>0</v>
      </c>
      <c r="R2689" s="18" t="b">
        <f>FALSE()</f>
        <v>0</v>
      </c>
      <c r="S2689" s="19">
        <f t="shared" si="41"/>
        <v>22.5</v>
      </c>
      <c r="T2689">
        <f>COUNTIF('👤 Customers'!$A:$A, B2689)</f>
        <v>1</v>
      </c>
      <c r="U2689">
        <f>COUNTIF('🚴 Riders'!A2688:A2748, C2689)</f>
        <v>0</v>
      </c>
      <c r="V2689">
        <f>COUNTIF('🏭 Facilities'!A2688:A2696, D2689)</f>
        <v>0</v>
      </c>
    </row>
    <row r="2690" spans="1:22">
      <c r="A2690" s="16" t="s">
        <v>6031</v>
      </c>
      <c r="B2690" s="16" t="s">
        <v>830</v>
      </c>
      <c r="C2690" s="16" t="s">
        <v>362</v>
      </c>
      <c r="D2690" s="16" t="s">
        <v>123</v>
      </c>
      <c r="E2690" s="25">
        <v>44973</v>
      </c>
      <c r="F2690" s="16" t="s">
        <v>6032</v>
      </c>
      <c r="G2690" s="16" t="s">
        <v>176</v>
      </c>
      <c r="H2690" s="16">
        <v>3.9</v>
      </c>
      <c r="I2690" s="16">
        <v>599</v>
      </c>
      <c r="J2690" s="16">
        <v>20</v>
      </c>
      <c r="K2690" s="16">
        <v>1868.88</v>
      </c>
      <c r="L2690" s="16" t="s">
        <v>139</v>
      </c>
      <c r="M2690" s="16" t="s">
        <v>119</v>
      </c>
      <c r="N2690" s="27">
        <v>44973.509722222225</v>
      </c>
      <c r="O2690" s="27">
        <v>44974.061111111114</v>
      </c>
      <c r="P2690" s="16">
        <v>3.5</v>
      </c>
      <c r="Q2690" s="16" t="b">
        <f>FALSE()</f>
        <v>0</v>
      </c>
      <c r="R2690" s="16" t="b">
        <f>FALSE()</f>
        <v>0</v>
      </c>
      <c r="S2690" s="17">
        <f t="shared" ref="S2690:S2753" si="42">IF(OR(N2690="",O2690=""),"N/A",ROUND(((O2690-N2690)*24),1))</f>
        <v>13.2</v>
      </c>
      <c r="T2690">
        <f>COUNTIF('👤 Customers'!$A:$A, B2690)</f>
        <v>1</v>
      </c>
      <c r="U2690">
        <f>COUNTIF('🚴 Riders'!A2689:A2749, C2690)</f>
        <v>0</v>
      </c>
      <c r="V2690">
        <f>COUNTIF('🏭 Facilities'!A2689:A2697, D2690)</f>
        <v>0</v>
      </c>
    </row>
    <row r="2691" spans="1:22">
      <c r="A2691" s="18" t="s">
        <v>6033</v>
      </c>
      <c r="B2691" s="18" t="s">
        <v>203</v>
      </c>
      <c r="C2691" s="18" t="s">
        <v>272</v>
      </c>
      <c r="D2691" s="18" t="s">
        <v>123</v>
      </c>
      <c r="E2691" s="26">
        <v>45605</v>
      </c>
      <c r="F2691" s="18" t="s">
        <v>6034</v>
      </c>
      <c r="G2691" s="18" t="s">
        <v>176</v>
      </c>
      <c r="H2691" s="18">
        <v>2.2000000000000002</v>
      </c>
      <c r="I2691" s="18">
        <v>599</v>
      </c>
      <c r="J2691" s="18">
        <v>0</v>
      </c>
      <c r="K2691" s="18">
        <v>1317.8</v>
      </c>
      <c r="L2691" s="18" t="s">
        <v>139</v>
      </c>
      <c r="M2691" s="18" t="s">
        <v>119</v>
      </c>
      <c r="N2691" s="28">
        <v>45605.4</v>
      </c>
      <c r="O2691" s="28">
        <v>45606.114583333336</v>
      </c>
      <c r="P2691" s="18">
        <v>3.7</v>
      </c>
      <c r="Q2691" s="18" t="b">
        <f>FALSE()</f>
        <v>0</v>
      </c>
      <c r="R2691" s="18" t="b">
        <f>FALSE()</f>
        <v>0</v>
      </c>
      <c r="S2691" s="19">
        <f t="shared" si="42"/>
        <v>17.2</v>
      </c>
      <c r="T2691">
        <f>COUNTIF('👤 Customers'!$A:$A, B2691)</f>
        <v>1</v>
      </c>
      <c r="U2691">
        <f>COUNTIF('🚴 Riders'!A2690:A2750, C2691)</f>
        <v>0</v>
      </c>
      <c r="V2691">
        <f>COUNTIF('🏭 Facilities'!A2690:A2698, D2691)</f>
        <v>0</v>
      </c>
    </row>
    <row r="2692" spans="1:22">
      <c r="A2692" s="16" t="s">
        <v>6035</v>
      </c>
      <c r="B2692" s="16" t="s">
        <v>264</v>
      </c>
      <c r="C2692" s="16" t="s">
        <v>354</v>
      </c>
      <c r="D2692" s="16" t="s">
        <v>137</v>
      </c>
      <c r="E2692" s="25">
        <v>45089</v>
      </c>
      <c r="F2692" s="16" t="s">
        <v>6036</v>
      </c>
      <c r="G2692" s="16" t="s">
        <v>125</v>
      </c>
      <c r="H2692" s="16">
        <v>3.8</v>
      </c>
      <c r="I2692" s="16">
        <v>199</v>
      </c>
      <c r="J2692" s="16">
        <v>0</v>
      </c>
      <c r="K2692" s="16">
        <v>756.2</v>
      </c>
      <c r="L2692" s="16" t="s">
        <v>146</v>
      </c>
      <c r="M2692" s="16" t="s">
        <v>133</v>
      </c>
      <c r="N2692" s="20"/>
      <c r="O2692" s="20"/>
      <c r="P2692" s="20"/>
      <c r="Q2692" s="16" t="b">
        <f>FALSE()</f>
        <v>0</v>
      </c>
      <c r="R2692" s="16" t="b">
        <f>FALSE()</f>
        <v>0</v>
      </c>
      <c r="S2692" s="17" t="str">
        <f t="shared" si="42"/>
        <v>N/A</v>
      </c>
      <c r="T2692">
        <f>COUNTIF('👤 Customers'!$A:$A, B2692)</f>
        <v>1</v>
      </c>
      <c r="U2692">
        <f>COUNTIF('🚴 Riders'!A2691:A2751, C2692)</f>
        <v>0</v>
      </c>
      <c r="V2692">
        <f>COUNTIF('🏭 Facilities'!A2691:A2699, D2692)</f>
        <v>0</v>
      </c>
    </row>
    <row r="2693" spans="1:22">
      <c r="A2693" s="18" t="s">
        <v>6037</v>
      </c>
      <c r="B2693" s="18" t="s">
        <v>670</v>
      </c>
      <c r="C2693" s="18" t="s">
        <v>461</v>
      </c>
      <c r="D2693" s="18" t="s">
        <v>197</v>
      </c>
      <c r="E2693" s="26">
        <v>45088</v>
      </c>
      <c r="F2693" s="18" t="s">
        <v>6038</v>
      </c>
      <c r="G2693" s="18" t="s">
        <v>145</v>
      </c>
      <c r="H2693" s="18">
        <v>3.2</v>
      </c>
      <c r="I2693" s="18">
        <v>299</v>
      </c>
      <c r="J2693" s="18">
        <v>0</v>
      </c>
      <c r="K2693" s="18">
        <v>956.8</v>
      </c>
      <c r="L2693" s="18" t="s">
        <v>139</v>
      </c>
      <c r="M2693" s="18" t="s">
        <v>119</v>
      </c>
      <c r="N2693" s="28">
        <v>45088.293055555558</v>
      </c>
      <c r="O2693" s="28">
        <v>45089.10833333333</v>
      </c>
      <c r="P2693" s="18">
        <v>4.5</v>
      </c>
      <c r="Q2693" s="18" t="b">
        <f>FALSE()</f>
        <v>0</v>
      </c>
      <c r="R2693" s="18" t="b">
        <f>FALSE()</f>
        <v>0</v>
      </c>
      <c r="S2693" s="19">
        <f t="shared" si="42"/>
        <v>19.600000000000001</v>
      </c>
      <c r="T2693">
        <f>COUNTIF('👤 Customers'!$A:$A, B2693)</f>
        <v>1</v>
      </c>
      <c r="U2693">
        <f>COUNTIF('🚴 Riders'!A2692:A2752, C2693)</f>
        <v>0</v>
      </c>
      <c r="V2693">
        <f>COUNTIF('🏭 Facilities'!A2692:A2700, D2693)</f>
        <v>0</v>
      </c>
    </row>
    <row r="2694" spans="1:22">
      <c r="A2694" s="16" t="s">
        <v>6039</v>
      </c>
      <c r="B2694" s="16" t="s">
        <v>1428</v>
      </c>
      <c r="C2694" s="16" t="s">
        <v>188</v>
      </c>
      <c r="D2694" s="16" t="s">
        <v>158</v>
      </c>
      <c r="E2694" s="25">
        <v>45476</v>
      </c>
      <c r="F2694" s="16" t="s">
        <v>6040</v>
      </c>
      <c r="G2694" s="16" t="s">
        <v>132</v>
      </c>
      <c r="H2694" s="16">
        <v>7</v>
      </c>
      <c r="I2694" s="16">
        <v>399</v>
      </c>
      <c r="J2694" s="16">
        <v>10</v>
      </c>
      <c r="K2694" s="16">
        <v>2513.6999999999998</v>
      </c>
      <c r="L2694" s="16" t="s">
        <v>207</v>
      </c>
      <c r="M2694" s="16" t="s">
        <v>119</v>
      </c>
      <c r="N2694" s="27">
        <v>45476.584027777775</v>
      </c>
      <c r="O2694" s="27">
        <v>45477.000694444447</v>
      </c>
      <c r="P2694" s="16">
        <v>4.4000000000000004</v>
      </c>
      <c r="Q2694" s="16" t="b">
        <f>FALSE()</f>
        <v>0</v>
      </c>
      <c r="R2694" s="16" t="b">
        <f>FALSE()</f>
        <v>0</v>
      </c>
      <c r="S2694" s="17">
        <f t="shared" si="42"/>
        <v>10</v>
      </c>
      <c r="T2694">
        <f>COUNTIF('👤 Customers'!$A:$A, B2694)</f>
        <v>1</v>
      </c>
      <c r="U2694">
        <f>COUNTIF('🚴 Riders'!A2693:A2753, C2694)</f>
        <v>0</v>
      </c>
      <c r="V2694">
        <f>COUNTIF('🏭 Facilities'!A2693:A2701, D2694)</f>
        <v>0</v>
      </c>
    </row>
    <row r="2695" spans="1:22">
      <c r="A2695" s="18" t="s">
        <v>6041</v>
      </c>
      <c r="B2695" s="18" t="s">
        <v>216</v>
      </c>
      <c r="C2695" s="18" t="s">
        <v>251</v>
      </c>
      <c r="D2695" s="18" t="s">
        <v>158</v>
      </c>
      <c r="E2695" s="26">
        <v>45038</v>
      </c>
      <c r="F2695" s="18" t="s">
        <v>6042</v>
      </c>
      <c r="G2695" s="18" t="s">
        <v>176</v>
      </c>
      <c r="H2695" s="18">
        <v>2.9</v>
      </c>
      <c r="I2695" s="18">
        <v>599</v>
      </c>
      <c r="J2695" s="18">
        <v>20</v>
      </c>
      <c r="K2695" s="18">
        <v>1389.68</v>
      </c>
      <c r="L2695" s="18" t="s">
        <v>207</v>
      </c>
      <c r="M2695" s="18" t="s">
        <v>119</v>
      </c>
      <c r="N2695" s="28">
        <v>45038.628472222219</v>
      </c>
      <c r="O2695" s="28">
        <v>45039.527083333334</v>
      </c>
      <c r="P2695" s="18">
        <v>2.9</v>
      </c>
      <c r="Q2695" s="18" t="b">
        <f>FALSE()</f>
        <v>0</v>
      </c>
      <c r="R2695" s="18" t="b">
        <f>TRUE()</f>
        <v>1</v>
      </c>
      <c r="S2695" s="19">
        <f t="shared" si="42"/>
        <v>21.6</v>
      </c>
      <c r="T2695">
        <f>COUNTIF('👤 Customers'!$A:$A, B2695)</f>
        <v>1</v>
      </c>
      <c r="U2695">
        <f>COUNTIF('🚴 Riders'!A2694:A2754, C2695)</f>
        <v>0</v>
      </c>
      <c r="V2695">
        <f>COUNTIF('🏭 Facilities'!A2694:A2702, D2695)</f>
        <v>0</v>
      </c>
    </row>
    <row r="2696" spans="1:22">
      <c r="A2696" s="16" t="s">
        <v>6043</v>
      </c>
      <c r="B2696" s="16" t="s">
        <v>338</v>
      </c>
      <c r="C2696" s="16" t="s">
        <v>276</v>
      </c>
      <c r="D2696" s="16" t="s">
        <v>184</v>
      </c>
      <c r="E2696" s="25">
        <v>45577</v>
      </c>
      <c r="F2696" s="16" t="s">
        <v>6044</v>
      </c>
      <c r="G2696" s="16" t="s">
        <v>125</v>
      </c>
      <c r="H2696" s="16">
        <v>5.4</v>
      </c>
      <c r="I2696" s="16">
        <v>199</v>
      </c>
      <c r="J2696" s="16">
        <v>0</v>
      </c>
      <c r="K2696" s="16">
        <v>1074.5999999999999</v>
      </c>
      <c r="L2696" s="16" t="s">
        <v>126</v>
      </c>
      <c r="M2696" s="16" t="s">
        <v>133</v>
      </c>
      <c r="N2696" s="20"/>
      <c r="O2696" s="20"/>
      <c r="P2696" s="20"/>
      <c r="Q2696" s="16" t="b">
        <f>FALSE()</f>
        <v>0</v>
      </c>
      <c r="R2696" s="16" t="b">
        <f>FALSE()</f>
        <v>0</v>
      </c>
      <c r="S2696" s="17" t="str">
        <f t="shared" si="42"/>
        <v>N/A</v>
      </c>
      <c r="T2696">
        <f>COUNTIF('👤 Customers'!$A:$A, B2696)</f>
        <v>1</v>
      </c>
      <c r="U2696">
        <f>COUNTIF('🚴 Riders'!A2695:A2755, C2696)</f>
        <v>0</v>
      </c>
      <c r="V2696">
        <f>COUNTIF('🏭 Facilities'!A2695:A2703, D2696)</f>
        <v>0</v>
      </c>
    </row>
    <row r="2697" spans="1:22">
      <c r="A2697" s="18" t="s">
        <v>6045</v>
      </c>
      <c r="B2697" s="18" t="s">
        <v>1314</v>
      </c>
      <c r="C2697" s="18" t="s">
        <v>563</v>
      </c>
      <c r="D2697" s="18" t="s">
        <v>197</v>
      </c>
      <c r="E2697" s="26">
        <v>44931</v>
      </c>
      <c r="F2697" s="18" t="s">
        <v>6046</v>
      </c>
      <c r="G2697" s="18" t="s">
        <v>117</v>
      </c>
      <c r="H2697" s="18">
        <v>3.9</v>
      </c>
      <c r="I2697" s="18">
        <v>149</v>
      </c>
      <c r="J2697" s="18">
        <v>0</v>
      </c>
      <c r="K2697" s="18">
        <v>581.1</v>
      </c>
      <c r="L2697" s="18" t="s">
        <v>139</v>
      </c>
      <c r="M2697" s="18" t="s">
        <v>119</v>
      </c>
      <c r="N2697" s="28">
        <v>44931.844444444447</v>
      </c>
      <c r="O2697" s="28">
        <v>44932.622916666667</v>
      </c>
      <c r="P2697" s="18">
        <v>4.7</v>
      </c>
      <c r="Q2697" s="18" t="b">
        <f>TRUE()</f>
        <v>1</v>
      </c>
      <c r="R2697" s="18" t="b">
        <f>FALSE()</f>
        <v>0</v>
      </c>
      <c r="S2697" s="19">
        <f t="shared" si="42"/>
        <v>18.7</v>
      </c>
      <c r="T2697">
        <f>COUNTIF('👤 Customers'!$A:$A, B2697)</f>
        <v>1</v>
      </c>
      <c r="U2697">
        <f>COUNTIF('🚴 Riders'!A2696:A2756, C2697)</f>
        <v>0</v>
      </c>
      <c r="V2697">
        <f>COUNTIF('🏭 Facilities'!A2696:A2704, D2697)</f>
        <v>0</v>
      </c>
    </row>
    <row r="2698" spans="1:22">
      <c r="A2698" s="16" t="s">
        <v>6047</v>
      </c>
      <c r="B2698" s="16" t="s">
        <v>406</v>
      </c>
      <c r="C2698" s="16" t="s">
        <v>192</v>
      </c>
      <c r="D2698" s="16" t="s">
        <v>137</v>
      </c>
      <c r="E2698" s="25">
        <v>44983</v>
      </c>
      <c r="F2698" s="16" t="s">
        <v>6048</v>
      </c>
      <c r="G2698" s="16" t="s">
        <v>125</v>
      </c>
      <c r="H2698" s="16">
        <v>3.9</v>
      </c>
      <c r="I2698" s="16">
        <v>199</v>
      </c>
      <c r="J2698" s="16">
        <v>10</v>
      </c>
      <c r="K2698" s="16">
        <v>698.49</v>
      </c>
      <c r="L2698" s="16" t="s">
        <v>126</v>
      </c>
      <c r="M2698" s="16" t="s">
        <v>133</v>
      </c>
      <c r="N2698" s="20"/>
      <c r="O2698" s="20"/>
      <c r="P2698" s="20"/>
      <c r="Q2698" s="16" t="b">
        <f>FALSE()</f>
        <v>0</v>
      </c>
      <c r="R2698" s="16" t="b">
        <f>TRUE()</f>
        <v>1</v>
      </c>
      <c r="S2698" s="17" t="str">
        <f t="shared" si="42"/>
        <v>N/A</v>
      </c>
      <c r="T2698">
        <f>COUNTIF('👤 Customers'!$A:$A, B2698)</f>
        <v>1</v>
      </c>
      <c r="U2698">
        <f>COUNTIF('🚴 Riders'!A2697:A2757, C2698)</f>
        <v>0</v>
      </c>
      <c r="V2698">
        <f>COUNTIF('🏭 Facilities'!A2697:A2705, D2698)</f>
        <v>0</v>
      </c>
    </row>
    <row r="2699" spans="1:22">
      <c r="A2699" s="18" t="s">
        <v>6049</v>
      </c>
      <c r="B2699" s="18" t="s">
        <v>450</v>
      </c>
      <c r="C2699" s="18" t="s">
        <v>563</v>
      </c>
      <c r="D2699" s="18" t="s">
        <v>184</v>
      </c>
      <c r="E2699" s="26">
        <v>45065</v>
      </c>
      <c r="F2699" s="18" t="s">
        <v>6050</v>
      </c>
      <c r="G2699" s="18" t="s">
        <v>117</v>
      </c>
      <c r="H2699" s="18">
        <v>2.1</v>
      </c>
      <c r="I2699" s="18">
        <v>149</v>
      </c>
      <c r="J2699" s="18">
        <v>0</v>
      </c>
      <c r="K2699" s="18">
        <v>312.89999999999998</v>
      </c>
      <c r="L2699" s="18" t="s">
        <v>139</v>
      </c>
      <c r="M2699" s="18" t="s">
        <v>133</v>
      </c>
      <c r="N2699" s="20"/>
      <c r="O2699" s="20"/>
      <c r="P2699" s="20"/>
      <c r="Q2699" s="18" t="b">
        <f>TRUE()</f>
        <v>1</v>
      </c>
      <c r="R2699" s="18" t="b">
        <f>TRUE()</f>
        <v>1</v>
      </c>
      <c r="S2699" s="19" t="str">
        <f t="shared" si="42"/>
        <v>N/A</v>
      </c>
      <c r="T2699">
        <f>COUNTIF('👤 Customers'!$A:$A, B2699)</f>
        <v>1</v>
      </c>
      <c r="U2699">
        <f>COUNTIF('🚴 Riders'!A2698:A2758, C2699)</f>
        <v>0</v>
      </c>
      <c r="V2699">
        <f>COUNTIF('🏭 Facilities'!A2698:A2706, D2699)</f>
        <v>0</v>
      </c>
    </row>
    <row r="2700" spans="1:22">
      <c r="A2700" s="16" t="s">
        <v>6051</v>
      </c>
      <c r="B2700" s="16" t="s">
        <v>1439</v>
      </c>
      <c r="C2700" s="16" t="s">
        <v>308</v>
      </c>
      <c r="D2700" s="16" t="s">
        <v>205</v>
      </c>
      <c r="E2700" s="25">
        <v>45645</v>
      </c>
      <c r="F2700" s="16" t="s">
        <v>6052</v>
      </c>
      <c r="G2700" s="16" t="s">
        <v>125</v>
      </c>
      <c r="H2700" s="16">
        <v>5.8</v>
      </c>
      <c r="I2700" s="16">
        <v>199</v>
      </c>
      <c r="J2700" s="16">
        <v>10</v>
      </c>
      <c r="K2700" s="16">
        <v>1038.78</v>
      </c>
      <c r="L2700" s="16" t="s">
        <v>126</v>
      </c>
      <c r="M2700" s="16" t="s">
        <v>133</v>
      </c>
      <c r="N2700" s="20"/>
      <c r="O2700" s="20"/>
      <c r="P2700" s="20"/>
      <c r="Q2700" s="16" t="b">
        <f>FALSE()</f>
        <v>0</v>
      </c>
      <c r="R2700" s="16" t="b">
        <f>FALSE()</f>
        <v>0</v>
      </c>
      <c r="S2700" s="17" t="str">
        <f t="shared" si="42"/>
        <v>N/A</v>
      </c>
      <c r="T2700">
        <f>COUNTIF('👤 Customers'!$A:$A, B2700)</f>
        <v>1</v>
      </c>
      <c r="U2700">
        <f>COUNTIF('🚴 Riders'!A2699:A2759, C2700)</f>
        <v>0</v>
      </c>
      <c r="V2700">
        <f>COUNTIF('🏭 Facilities'!A2699:A2707, D2700)</f>
        <v>0</v>
      </c>
    </row>
    <row r="2701" spans="1:22">
      <c r="A2701" s="18" t="s">
        <v>6053</v>
      </c>
      <c r="B2701" s="18" t="s">
        <v>670</v>
      </c>
      <c r="C2701" s="18" t="s">
        <v>343</v>
      </c>
      <c r="D2701" s="18" t="s">
        <v>115</v>
      </c>
      <c r="E2701" s="26">
        <v>45000</v>
      </c>
      <c r="F2701" s="18" t="s">
        <v>6054</v>
      </c>
      <c r="G2701" s="18" t="s">
        <v>117</v>
      </c>
      <c r="H2701" s="18">
        <v>4.8</v>
      </c>
      <c r="I2701" s="18">
        <v>149</v>
      </c>
      <c r="J2701" s="18">
        <v>0</v>
      </c>
      <c r="K2701" s="18">
        <v>715.2</v>
      </c>
      <c r="L2701" s="18" t="s">
        <v>146</v>
      </c>
      <c r="M2701" s="18" t="s">
        <v>119</v>
      </c>
      <c r="N2701" s="28">
        <v>45000.35</v>
      </c>
      <c r="O2701" s="28">
        <v>45001.265972222223</v>
      </c>
      <c r="P2701" s="18">
        <v>4.4000000000000004</v>
      </c>
      <c r="Q2701" s="18" t="b">
        <f>FALSE()</f>
        <v>0</v>
      </c>
      <c r="R2701" s="18" t="b">
        <f>FALSE()</f>
        <v>0</v>
      </c>
      <c r="S2701" s="19">
        <f t="shared" si="42"/>
        <v>22</v>
      </c>
      <c r="T2701">
        <f>COUNTIF('👤 Customers'!$A:$A, B2701)</f>
        <v>1</v>
      </c>
      <c r="U2701">
        <f>COUNTIF('🚴 Riders'!A2700:A2760, C2701)</f>
        <v>0</v>
      </c>
      <c r="V2701">
        <f>COUNTIF('🏭 Facilities'!A2700:A2708, D2701)</f>
        <v>0</v>
      </c>
    </row>
    <row r="2702" spans="1:22">
      <c r="A2702" s="16" t="s">
        <v>6055</v>
      </c>
      <c r="B2702" s="16" t="s">
        <v>919</v>
      </c>
      <c r="C2702" s="16" t="s">
        <v>315</v>
      </c>
      <c r="D2702" s="16" t="s">
        <v>184</v>
      </c>
      <c r="E2702" s="25">
        <v>44978</v>
      </c>
      <c r="F2702" s="16" t="s">
        <v>6056</v>
      </c>
      <c r="G2702" s="16" t="s">
        <v>132</v>
      </c>
      <c r="H2702" s="16">
        <v>4.9000000000000004</v>
      </c>
      <c r="I2702" s="16">
        <v>399</v>
      </c>
      <c r="J2702" s="16">
        <v>10</v>
      </c>
      <c r="K2702" s="16">
        <v>1759.59</v>
      </c>
      <c r="L2702" s="16" t="s">
        <v>207</v>
      </c>
      <c r="M2702" s="16" t="s">
        <v>133</v>
      </c>
      <c r="N2702" s="20"/>
      <c r="O2702" s="20"/>
      <c r="P2702" s="20"/>
      <c r="Q2702" s="16" t="b">
        <f>FALSE()</f>
        <v>0</v>
      </c>
      <c r="R2702" s="16" t="b">
        <f>FALSE()</f>
        <v>0</v>
      </c>
      <c r="S2702" s="17" t="str">
        <f t="shared" si="42"/>
        <v>N/A</v>
      </c>
      <c r="T2702">
        <f>COUNTIF('👤 Customers'!$A:$A, B2702)</f>
        <v>1</v>
      </c>
      <c r="U2702">
        <f>COUNTIF('🚴 Riders'!A2701:A2761, C2702)</f>
        <v>0</v>
      </c>
      <c r="V2702">
        <f>COUNTIF('🏭 Facilities'!A2701:A2709, D2702)</f>
        <v>0</v>
      </c>
    </row>
    <row r="2703" spans="1:22">
      <c r="A2703" s="18" t="s">
        <v>6057</v>
      </c>
      <c r="B2703" s="18" t="s">
        <v>1361</v>
      </c>
      <c r="C2703" s="18" t="s">
        <v>487</v>
      </c>
      <c r="D2703" s="18" t="s">
        <v>115</v>
      </c>
      <c r="E2703" s="26">
        <v>45353</v>
      </c>
      <c r="F2703" s="18" t="s">
        <v>6058</v>
      </c>
      <c r="G2703" s="18" t="s">
        <v>125</v>
      </c>
      <c r="H2703" s="18">
        <v>3.5</v>
      </c>
      <c r="I2703" s="18">
        <v>199</v>
      </c>
      <c r="J2703" s="18">
        <v>10</v>
      </c>
      <c r="K2703" s="18">
        <v>626.85</v>
      </c>
      <c r="L2703" s="18" t="s">
        <v>139</v>
      </c>
      <c r="M2703" s="18" t="s">
        <v>119</v>
      </c>
      <c r="N2703" s="28">
        <v>45353.418055555558</v>
      </c>
      <c r="O2703" s="28">
        <v>45354.411111111112</v>
      </c>
      <c r="P2703" s="18">
        <v>3.9</v>
      </c>
      <c r="Q2703" s="18" t="b">
        <f>TRUE()</f>
        <v>1</v>
      </c>
      <c r="R2703" s="18" t="b">
        <f>FALSE()</f>
        <v>0</v>
      </c>
      <c r="S2703" s="19">
        <f t="shared" si="42"/>
        <v>23.8</v>
      </c>
      <c r="T2703">
        <f>COUNTIF('👤 Customers'!$A:$A, B2703)</f>
        <v>1</v>
      </c>
      <c r="U2703">
        <f>COUNTIF('🚴 Riders'!A2702:A2762, C2703)</f>
        <v>0</v>
      </c>
      <c r="V2703">
        <f>COUNTIF('🏭 Facilities'!A2702:A2710, D2703)</f>
        <v>0</v>
      </c>
    </row>
    <row r="2704" spans="1:22">
      <c r="A2704" s="16" t="s">
        <v>6059</v>
      </c>
      <c r="B2704" s="16" t="s">
        <v>2164</v>
      </c>
      <c r="C2704" s="16" t="s">
        <v>166</v>
      </c>
      <c r="D2704" s="16" t="s">
        <v>137</v>
      </c>
      <c r="E2704" s="25">
        <v>45250</v>
      </c>
      <c r="F2704" s="16" t="s">
        <v>6060</v>
      </c>
      <c r="G2704" s="16" t="s">
        <v>176</v>
      </c>
      <c r="H2704" s="16">
        <v>4</v>
      </c>
      <c r="I2704" s="16">
        <v>599</v>
      </c>
      <c r="J2704" s="16">
        <v>0</v>
      </c>
      <c r="K2704" s="16">
        <v>2396</v>
      </c>
      <c r="L2704" s="16" t="s">
        <v>118</v>
      </c>
      <c r="M2704" s="16" t="s">
        <v>119</v>
      </c>
      <c r="N2704" s="27">
        <v>45251.081250000003</v>
      </c>
      <c r="O2704" s="27">
        <v>45251.981944444444</v>
      </c>
      <c r="P2704" s="16">
        <v>4.4000000000000004</v>
      </c>
      <c r="Q2704" s="16" t="b">
        <f>FALSE()</f>
        <v>0</v>
      </c>
      <c r="R2704" s="16" t="b">
        <f>FALSE()</f>
        <v>0</v>
      </c>
      <c r="S2704" s="17">
        <f t="shared" si="42"/>
        <v>21.6</v>
      </c>
      <c r="T2704">
        <f>COUNTIF('👤 Customers'!$A:$A, B2704)</f>
        <v>1</v>
      </c>
      <c r="U2704">
        <f>COUNTIF('🚴 Riders'!A2703:A2763, C2704)</f>
        <v>0</v>
      </c>
      <c r="V2704">
        <f>COUNTIF('🏭 Facilities'!A2703:A2711, D2704)</f>
        <v>0</v>
      </c>
    </row>
    <row r="2705" spans="1:22">
      <c r="A2705" s="18" t="s">
        <v>6061</v>
      </c>
      <c r="B2705" s="18" t="s">
        <v>2347</v>
      </c>
      <c r="C2705" s="18" t="s">
        <v>236</v>
      </c>
      <c r="D2705" s="18" t="s">
        <v>123</v>
      </c>
      <c r="E2705" s="26">
        <v>45393</v>
      </c>
      <c r="F2705" s="18" t="s">
        <v>6062</v>
      </c>
      <c r="G2705" s="18" t="s">
        <v>117</v>
      </c>
      <c r="H2705" s="18">
        <v>2.7</v>
      </c>
      <c r="I2705" s="18">
        <v>149</v>
      </c>
      <c r="J2705" s="18">
        <v>0</v>
      </c>
      <c r="K2705" s="18">
        <v>402.3</v>
      </c>
      <c r="L2705" s="18" t="s">
        <v>146</v>
      </c>
      <c r="M2705" s="18" t="s">
        <v>140</v>
      </c>
      <c r="N2705" s="28">
        <v>45393.772916666669</v>
      </c>
      <c r="O2705" s="28">
        <v>45394.400694444441</v>
      </c>
      <c r="P2705" s="20"/>
      <c r="Q2705" s="18" t="b">
        <f>FALSE()</f>
        <v>0</v>
      </c>
      <c r="R2705" s="18" t="b">
        <f>TRUE()</f>
        <v>1</v>
      </c>
      <c r="S2705" s="19">
        <f t="shared" si="42"/>
        <v>15.1</v>
      </c>
      <c r="T2705">
        <f>COUNTIF('👤 Customers'!$A:$A, B2705)</f>
        <v>1</v>
      </c>
      <c r="U2705">
        <f>COUNTIF('🚴 Riders'!A2704:A2764, C2705)</f>
        <v>0</v>
      </c>
      <c r="V2705">
        <f>COUNTIF('🏭 Facilities'!A2704:A2712, D2705)</f>
        <v>0</v>
      </c>
    </row>
    <row r="2706" spans="1:22">
      <c r="A2706" s="16" t="s">
        <v>6063</v>
      </c>
      <c r="B2706" s="16" t="s">
        <v>1713</v>
      </c>
      <c r="C2706" s="16" t="s">
        <v>257</v>
      </c>
      <c r="D2706" s="16" t="s">
        <v>130</v>
      </c>
      <c r="E2706" s="25">
        <v>45113</v>
      </c>
      <c r="F2706" s="16" t="s">
        <v>6064</v>
      </c>
      <c r="G2706" s="16" t="s">
        <v>176</v>
      </c>
      <c r="H2706" s="16">
        <v>2.6</v>
      </c>
      <c r="I2706" s="16">
        <v>599</v>
      </c>
      <c r="J2706" s="16">
        <v>30</v>
      </c>
      <c r="K2706" s="16">
        <v>1090.18</v>
      </c>
      <c r="L2706" s="16" t="s">
        <v>139</v>
      </c>
      <c r="M2706" s="16" t="s">
        <v>119</v>
      </c>
      <c r="N2706" s="27">
        <v>45113.214583333334</v>
      </c>
      <c r="O2706" s="27">
        <v>45114.269444444442</v>
      </c>
      <c r="P2706" s="16">
        <v>4.0999999999999996</v>
      </c>
      <c r="Q2706" s="16" t="b">
        <f>FALSE()</f>
        <v>0</v>
      </c>
      <c r="R2706" s="16" t="b">
        <f>FALSE()</f>
        <v>0</v>
      </c>
      <c r="S2706" s="17">
        <f t="shared" si="42"/>
        <v>25.3</v>
      </c>
      <c r="T2706">
        <f>COUNTIF('👤 Customers'!$A:$A, B2706)</f>
        <v>1</v>
      </c>
      <c r="U2706">
        <f>COUNTIF('🚴 Riders'!A2705:A2765, C2706)</f>
        <v>0</v>
      </c>
      <c r="V2706">
        <f>COUNTIF('🏭 Facilities'!A2705:A2713, D2706)</f>
        <v>0</v>
      </c>
    </row>
    <row r="2707" spans="1:22">
      <c r="A2707" s="18" t="s">
        <v>6065</v>
      </c>
      <c r="B2707" s="18" t="s">
        <v>3278</v>
      </c>
      <c r="C2707" s="18" t="s">
        <v>308</v>
      </c>
      <c r="D2707" s="18" t="s">
        <v>158</v>
      </c>
      <c r="E2707" s="26">
        <v>45380</v>
      </c>
      <c r="F2707" s="18" t="s">
        <v>6066</v>
      </c>
      <c r="G2707" s="18" t="s">
        <v>176</v>
      </c>
      <c r="H2707" s="18">
        <v>2.9</v>
      </c>
      <c r="I2707" s="18">
        <v>599</v>
      </c>
      <c r="J2707" s="18">
        <v>20</v>
      </c>
      <c r="K2707" s="18">
        <v>1389.68</v>
      </c>
      <c r="L2707" s="18" t="s">
        <v>118</v>
      </c>
      <c r="M2707" s="18" t="s">
        <v>133</v>
      </c>
      <c r="N2707" s="20"/>
      <c r="O2707" s="20"/>
      <c r="P2707" s="20"/>
      <c r="Q2707" s="18" t="b">
        <f>FALSE()</f>
        <v>0</v>
      </c>
      <c r="R2707" s="18" t="b">
        <f>FALSE()</f>
        <v>0</v>
      </c>
      <c r="S2707" s="19" t="str">
        <f t="shared" si="42"/>
        <v>N/A</v>
      </c>
      <c r="T2707">
        <f>COUNTIF('👤 Customers'!$A:$A, B2707)</f>
        <v>1</v>
      </c>
      <c r="U2707">
        <f>COUNTIF('🚴 Riders'!A2706:A2766, C2707)</f>
        <v>0</v>
      </c>
      <c r="V2707">
        <f>COUNTIF('🏭 Facilities'!A2706:A2714, D2707)</f>
        <v>0</v>
      </c>
    </row>
    <row r="2708" spans="1:22">
      <c r="A2708" s="16" t="s">
        <v>6067</v>
      </c>
      <c r="B2708" s="16" t="s">
        <v>3301</v>
      </c>
      <c r="C2708" s="16" t="s">
        <v>196</v>
      </c>
      <c r="D2708" s="16" t="s">
        <v>123</v>
      </c>
      <c r="E2708" s="25">
        <v>45246</v>
      </c>
      <c r="F2708" s="16" t="s">
        <v>6068</v>
      </c>
      <c r="G2708" s="16" t="s">
        <v>132</v>
      </c>
      <c r="H2708" s="16">
        <v>6.8</v>
      </c>
      <c r="I2708" s="16">
        <v>399</v>
      </c>
      <c r="J2708" s="16">
        <v>0</v>
      </c>
      <c r="K2708" s="16">
        <v>2713.2</v>
      </c>
      <c r="L2708" s="16" t="s">
        <v>146</v>
      </c>
      <c r="M2708" s="16" t="s">
        <v>119</v>
      </c>
      <c r="N2708" s="27">
        <v>45246.689583333333</v>
      </c>
      <c r="O2708" s="27">
        <v>45247.618055555555</v>
      </c>
      <c r="P2708" s="16">
        <v>4.5999999999999996</v>
      </c>
      <c r="Q2708" s="16" t="b">
        <f>FALSE()</f>
        <v>0</v>
      </c>
      <c r="R2708" s="16" t="b">
        <f>FALSE()</f>
        <v>0</v>
      </c>
      <c r="S2708" s="17">
        <f t="shared" si="42"/>
        <v>22.3</v>
      </c>
      <c r="T2708">
        <f>COUNTIF('👤 Customers'!$A:$A, B2708)</f>
        <v>1</v>
      </c>
      <c r="U2708">
        <f>COUNTIF('🚴 Riders'!A2707:A2767, C2708)</f>
        <v>0</v>
      </c>
      <c r="V2708">
        <f>COUNTIF('🏭 Facilities'!A2707:A2715, D2708)</f>
        <v>0</v>
      </c>
    </row>
    <row r="2709" spans="1:22">
      <c r="A2709" s="18" t="s">
        <v>6069</v>
      </c>
      <c r="B2709" s="18" t="s">
        <v>3531</v>
      </c>
      <c r="C2709" s="18" t="s">
        <v>213</v>
      </c>
      <c r="D2709" s="18" t="s">
        <v>123</v>
      </c>
      <c r="E2709" s="26">
        <v>44948</v>
      </c>
      <c r="F2709" s="18" t="s">
        <v>6070</v>
      </c>
      <c r="G2709" s="18" t="s">
        <v>117</v>
      </c>
      <c r="H2709" s="18">
        <v>1.8</v>
      </c>
      <c r="I2709" s="18">
        <v>149</v>
      </c>
      <c r="J2709" s="18">
        <v>0</v>
      </c>
      <c r="K2709" s="18">
        <v>268.2</v>
      </c>
      <c r="L2709" s="18" t="s">
        <v>118</v>
      </c>
      <c r="M2709" s="18" t="s">
        <v>119</v>
      </c>
      <c r="N2709" s="28">
        <v>44948.628472222219</v>
      </c>
      <c r="O2709" s="28">
        <v>44949.052777777775</v>
      </c>
      <c r="P2709" s="18">
        <v>3.1</v>
      </c>
      <c r="Q2709" s="18" t="b">
        <f>FALSE()</f>
        <v>0</v>
      </c>
      <c r="R2709" s="18" t="b">
        <f>FALSE()</f>
        <v>0</v>
      </c>
      <c r="S2709" s="19">
        <f t="shared" si="42"/>
        <v>10.199999999999999</v>
      </c>
      <c r="T2709">
        <f>COUNTIF('👤 Customers'!$A:$A, B2709)</f>
        <v>1</v>
      </c>
      <c r="U2709">
        <f>COUNTIF('🚴 Riders'!A2708:A2768, C2709)</f>
        <v>0</v>
      </c>
      <c r="V2709">
        <f>COUNTIF('🏭 Facilities'!A2708:A2716, D2709)</f>
        <v>0</v>
      </c>
    </row>
    <row r="2710" spans="1:22">
      <c r="A2710" s="16" t="s">
        <v>6071</v>
      </c>
      <c r="B2710" s="16" t="s">
        <v>640</v>
      </c>
      <c r="C2710" s="16" t="s">
        <v>265</v>
      </c>
      <c r="D2710" s="16" t="s">
        <v>158</v>
      </c>
      <c r="E2710" s="25">
        <v>45010</v>
      </c>
      <c r="F2710" s="16" t="s">
        <v>6072</v>
      </c>
      <c r="G2710" s="16" t="s">
        <v>125</v>
      </c>
      <c r="H2710" s="16">
        <v>4.3</v>
      </c>
      <c r="I2710" s="16">
        <v>199</v>
      </c>
      <c r="J2710" s="16">
        <v>0</v>
      </c>
      <c r="K2710" s="16">
        <v>855.7</v>
      </c>
      <c r="L2710" s="16" t="s">
        <v>146</v>
      </c>
      <c r="M2710" s="16" t="s">
        <v>119</v>
      </c>
      <c r="N2710" s="27">
        <v>45010.426388888889</v>
      </c>
      <c r="O2710" s="27">
        <v>45010.742361111108</v>
      </c>
      <c r="P2710" s="16">
        <v>4.2</v>
      </c>
      <c r="Q2710" s="16" t="b">
        <f>FALSE()</f>
        <v>0</v>
      </c>
      <c r="R2710" s="16" t="b">
        <f>FALSE()</f>
        <v>0</v>
      </c>
      <c r="S2710" s="17">
        <f t="shared" si="42"/>
        <v>7.6</v>
      </c>
      <c r="T2710">
        <f>COUNTIF('👤 Customers'!$A:$A, B2710)</f>
        <v>1</v>
      </c>
      <c r="U2710">
        <f>COUNTIF('🚴 Riders'!A2709:A2769, C2710)</f>
        <v>0</v>
      </c>
      <c r="V2710">
        <f>COUNTIF('🏭 Facilities'!A2709:A2717, D2710)</f>
        <v>0</v>
      </c>
    </row>
    <row r="2711" spans="1:22">
      <c r="A2711" s="18" t="s">
        <v>6073</v>
      </c>
      <c r="B2711" s="18" t="s">
        <v>250</v>
      </c>
      <c r="C2711" s="18" t="s">
        <v>188</v>
      </c>
      <c r="D2711" s="18" t="s">
        <v>184</v>
      </c>
      <c r="E2711" s="26">
        <v>45338</v>
      </c>
      <c r="F2711" s="18" t="s">
        <v>6074</v>
      </c>
      <c r="G2711" s="18" t="s">
        <v>145</v>
      </c>
      <c r="H2711" s="18">
        <v>3.3</v>
      </c>
      <c r="I2711" s="18">
        <v>299</v>
      </c>
      <c r="J2711" s="18">
        <v>20</v>
      </c>
      <c r="K2711" s="18">
        <v>789.36</v>
      </c>
      <c r="L2711" s="18" t="s">
        <v>139</v>
      </c>
      <c r="M2711" s="18" t="s">
        <v>119</v>
      </c>
      <c r="N2711" s="28">
        <v>45338.720138888886</v>
      </c>
      <c r="O2711" s="28">
        <v>45339.647222222222</v>
      </c>
      <c r="P2711" s="18">
        <v>2.8</v>
      </c>
      <c r="Q2711" s="18" t="b">
        <f>FALSE()</f>
        <v>0</v>
      </c>
      <c r="R2711" s="18" t="b">
        <f>FALSE()</f>
        <v>0</v>
      </c>
      <c r="S2711" s="19">
        <f t="shared" si="42"/>
        <v>22.3</v>
      </c>
      <c r="T2711">
        <f>COUNTIF('👤 Customers'!$A:$A, B2711)</f>
        <v>1</v>
      </c>
      <c r="U2711">
        <f>COUNTIF('🚴 Riders'!A2710:A2770, C2711)</f>
        <v>0</v>
      </c>
      <c r="V2711">
        <f>COUNTIF('🏭 Facilities'!A2710:A2718, D2711)</f>
        <v>0</v>
      </c>
    </row>
    <row r="2712" spans="1:22">
      <c r="A2712" s="16" t="s">
        <v>6075</v>
      </c>
      <c r="B2712" s="16" t="s">
        <v>817</v>
      </c>
      <c r="C2712" s="16" t="s">
        <v>232</v>
      </c>
      <c r="D2712" s="16" t="s">
        <v>158</v>
      </c>
      <c r="E2712" s="25">
        <v>45523</v>
      </c>
      <c r="F2712" s="16" t="s">
        <v>6076</v>
      </c>
      <c r="G2712" s="16" t="s">
        <v>117</v>
      </c>
      <c r="H2712" s="16">
        <v>7</v>
      </c>
      <c r="I2712" s="16">
        <v>149</v>
      </c>
      <c r="J2712" s="16">
        <v>10</v>
      </c>
      <c r="K2712" s="16">
        <v>938.7</v>
      </c>
      <c r="L2712" s="16" t="s">
        <v>146</v>
      </c>
      <c r="M2712" s="16" t="s">
        <v>119</v>
      </c>
      <c r="N2712" s="27">
        <v>45523.160416666666</v>
      </c>
      <c r="O2712" s="27">
        <v>45523.46597222222</v>
      </c>
      <c r="P2712" s="16">
        <v>4</v>
      </c>
      <c r="Q2712" s="16" t="b">
        <f>FALSE()</f>
        <v>0</v>
      </c>
      <c r="R2712" s="16" t="b">
        <f>TRUE()</f>
        <v>1</v>
      </c>
      <c r="S2712" s="17">
        <f t="shared" si="42"/>
        <v>7.3</v>
      </c>
      <c r="T2712">
        <f>COUNTIF('👤 Customers'!$A:$A, B2712)</f>
        <v>1</v>
      </c>
      <c r="U2712">
        <f>COUNTIF('🚴 Riders'!A2711:A2771, C2712)</f>
        <v>0</v>
      </c>
      <c r="V2712">
        <f>COUNTIF('🏭 Facilities'!A2711:A2719, D2712)</f>
        <v>0</v>
      </c>
    </row>
    <row r="2713" spans="1:22">
      <c r="A2713" s="18" t="s">
        <v>6077</v>
      </c>
      <c r="B2713" s="18" t="s">
        <v>282</v>
      </c>
      <c r="C2713" s="18" t="s">
        <v>204</v>
      </c>
      <c r="D2713" s="18" t="s">
        <v>205</v>
      </c>
      <c r="E2713" s="26">
        <v>45579</v>
      </c>
      <c r="F2713" s="18" t="s">
        <v>6078</v>
      </c>
      <c r="G2713" s="18" t="s">
        <v>132</v>
      </c>
      <c r="H2713" s="18">
        <v>6.5</v>
      </c>
      <c r="I2713" s="18">
        <v>399</v>
      </c>
      <c r="J2713" s="18">
        <v>10</v>
      </c>
      <c r="K2713" s="18">
        <v>2334.15</v>
      </c>
      <c r="L2713" s="18" t="s">
        <v>126</v>
      </c>
      <c r="M2713" s="18" t="s">
        <v>133</v>
      </c>
      <c r="N2713" s="20"/>
      <c r="O2713" s="20"/>
      <c r="P2713" s="20"/>
      <c r="Q2713" s="18" t="b">
        <f>FALSE()</f>
        <v>0</v>
      </c>
      <c r="R2713" s="18" t="b">
        <f>TRUE()</f>
        <v>1</v>
      </c>
      <c r="S2713" s="19" t="str">
        <f t="shared" si="42"/>
        <v>N/A</v>
      </c>
      <c r="T2713">
        <f>COUNTIF('👤 Customers'!$A:$A, B2713)</f>
        <v>1</v>
      </c>
      <c r="U2713">
        <f>COUNTIF('🚴 Riders'!A2712:A2772, C2713)</f>
        <v>0</v>
      </c>
      <c r="V2713">
        <f>COUNTIF('🏭 Facilities'!A2712:A2720, D2713)</f>
        <v>0</v>
      </c>
    </row>
    <row r="2714" spans="1:22">
      <c r="A2714" s="16" t="s">
        <v>6079</v>
      </c>
      <c r="B2714" s="16" t="s">
        <v>695</v>
      </c>
      <c r="C2714" s="16" t="s">
        <v>136</v>
      </c>
      <c r="D2714" s="16" t="s">
        <v>184</v>
      </c>
      <c r="E2714" s="25">
        <v>45399</v>
      </c>
      <c r="F2714" s="16" t="s">
        <v>6080</v>
      </c>
      <c r="G2714" s="16" t="s">
        <v>117</v>
      </c>
      <c r="H2714" s="16">
        <v>4.4000000000000004</v>
      </c>
      <c r="I2714" s="16">
        <v>149</v>
      </c>
      <c r="J2714" s="16">
        <v>0</v>
      </c>
      <c r="K2714" s="16">
        <v>655.6</v>
      </c>
      <c r="L2714" s="16" t="s">
        <v>207</v>
      </c>
      <c r="M2714" s="16" t="s">
        <v>119</v>
      </c>
      <c r="N2714" s="27">
        <v>45399.136111111111</v>
      </c>
      <c r="O2714" s="27">
        <v>45399.797222222223</v>
      </c>
      <c r="P2714" s="16">
        <v>4.2</v>
      </c>
      <c r="Q2714" s="16" t="b">
        <f>TRUE()</f>
        <v>1</v>
      </c>
      <c r="R2714" s="16" t="b">
        <f>TRUE()</f>
        <v>1</v>
      </c>
      <c r="S2714" s="17">
        <f t="shared" si="42"/>
        <v>15.9</v>
      </c>
      <c r="T2714">
        <f>COUNTIF('👤 Customers'!$A:$A, B2714)</f>
        <v>1</v>
      </c>
      <c r="U2714">
        <f>COUNTIF('🚴 Riders'!A2713:A2773, C2714)</f>
        <v>0</v>
      </c>
      <c r="V2714">
        <f>COUNTIF('🏭 Facilities'!A2713:A2721, D2714)</f>
        <v>0</v>
      </c>
    </row>
    <row r="2715" spans="1:22">
      <c r="A2715" s="18" t="s">
        <v>6081</v>
      </c>
      <c r="B2715" s="18" t="s">
        <v>223</v>
      </c>
      <c r="C2715" s="18" t="s">
        <v>236</v>
      </c>
      <c r="D2715" s="18" t="s">
        <v>158</v>
      </c>
      <c r="E2715" s="26">
        <v>45291</v>
      </c>
      <c r="F2715" s="18" t="s">
        <v>6082</v>
      </c>
      <c r="G2715" s="18" t="s">
        <v>176</v>
      </c>
      <c r="H2715" s="18">
        <v>1.5</v>
      </c>
      <c r="I2715" s="18">
        <v>599</v>
      </c>
      <c r="J2715" s="18">
        <v>0</v>
      </c>
      <c r="K2715" s="18">
        <v>898.5</v>
      </c>
      <c r="L2715" s="18" t="s">
        <v>118</v>
      </c>
      <c r="M2715" s="18" t="s">
        <v>119</v>
      </c>
      <c r="N2715" s="28">
        <v>45292.109027777777</v>
      </c>
      <c r="O2715" s="28">
        <v>45292.836805555555</v>
      </c>
      <c r="P2715" s="18">
        <v>2.9</v>
      </c>
      <c r="Q2715" s="18" t="b">
        <f>FALSE()</f>
        <v>0</v>
      </c>
      <c r="R2715" s="18" t="b">
        <f>FALSE()</f>
        <v>0</v>
      </c>
      <c r="S2715" s="19">
        <f t="shared" si="42"/>
        <v>17.5</v>
      </c>
      <c r="T2715">
        <f>COUNTIF('👤 Customers'!$A:$A, B2715)</f>
        <v>1</v>
      </c>
      <c r="U2715">
        <f>COUNTIF('🚴 Riders'!A2714:A2774, C2715)</f>
        <v>0</v>
      </c>
      <c r="V2715">
        <f>COUNTIF('🏭 Facilities'!A2714:A2722, D2715)</f>
        <v>0</v>
      </c>
    </row>
    <row r="2716" spans="1:22">
      <c r="A2716" s="16" t="s">
        <v>6083</v>
      </c>
      <c r="B2716" s="16" t="s">
        <v>785</v>
      </c>
      <c r="C2716" s="16" t="s">
        <v>149</v>
      </c>
      <c r="D2716" s="16" t="s">
        <v>158</v>
      </c>
      <c r="E2716" s="25">
        <v>45105</v>
      </c>
      <c r="F2716" s="16" t="s">
        <v>6084</v>
      </c>
      <c r="G2716" s="16" t="s">
        <v>176</v>
      </c>
      <c r="H2716" s="16">
        <v>2.5</v>
      </c>
      <c r="I2716" s="16">
        <v>599</v>
      </c>
      <c r="J2716" s="16">
        <v>0</v>
      </c>
      <c r="K2716" s="16">
        <v>1497.5</v>
      </c>
      <c r="L2716" s="16" t="s">
        <v>126</v>
      </c>
      <c r="M2716" s="16" t="s">
        <v>133</v>
      </c>
      <c r="N2716" s="20"/>
      <c r="O2716" s="20"/>
      <c r="P2716" s="20"/>
      <c r="Q2716" s="16" t="b">
        <f>FALSE()</f>
        <v>0</v>
      </c>
      <c r="R2716" s="16" t="b">
        <f>FALSE()</f>
        <v>0</v>
      </c>
      <c r="S2716" s="17" t="str">
        <f t="shared" si="42"/>
        <v>N/A</v>
      </c>
      <c r="T2716">
        <f>COUNTIF('👤 Customers'!$A:$A, B2716)</f>
        <v>1</v>
      </c>
      <c r="U2716">
        <f>COUNTIF('🚴 Riders'!A2715:A2775, C2716)</f>
        <v>0</v>
      </c>
      <c r="V2716">
        <f>COUNTIF('🏭 Facilities'!A2715:A2723, D2716)</f>
        <v>0</v>
      </c>
    </row>
    <row r="2717" spans="1:22">
      <c r="A2717" s="18" t="s">
        <v>6085</v>
      </c>
      <c r="B2717" s="18" t="s">
        <v>2170</v>
      </c>
      <c r="C2717" s="18" t="s">
        <v>300</v>
      </c>
      <c r="D2717" s="18" t="s">
        <v>123</v>
      </c>
      <c r="E2717" s="26">
        <v>45195</v>
      </c>
      <c r="F2717" s="18" t="s">
        <v>6086</v>
      </c>
      <c r="G2717" s="18" t="s">
        <v>132</v>
      </c>
      <c r="H2717" s="18">
        <v>2.2999999999999998</v>
      </c>
      <c r="I2717" s="18">
        <v>399</v>
      </c>
      <c r="J2717" s="18">
        <v>20</v>
      </c>
      <c r="K2717" s="18">
        <v>734.16</v>
      </c>
      <c r="L2717" s="18" t="s">
        <v>146</v>
      </c>
      <c r="M2717" s="18" t="s">
        <v>119</v>
      </c>
      <c r="N2717" s="28">
        <v>45195.681944444441</v>
      </c>
      <c r="O2717" s="28">
        <v>45196.263194444444</v>
      </c>
      <c r="P2717" s="18">
        <v>4.5</v>
      </c>
      <c r="Q2717" s="18" t="b">
        <f>FALSE()</f>
        <v>0</v>
      </c>
      <c r="R2717" s="18" t="b">
        <f>FALSE()</f>
        <v>0</v>
      </c>
      <c r="S2717" s="19">
        <f t="shared" si="42"/>
        <v>14</v>
      </c>
      <c r="T2717">
        <f>COUNTIF('👤 Customers'!$A:$A, B2717)</f>
        <v>1</v>
      </c>
      <c r="U2717">
        <f>COUNTIF('🚴 Riders'!A2716:A2776, C2717)</f>
        <v>0</v>
      </c>
      <c r="V2717">
        <f>COUNTIF('🏭 Facilities'!A2716:A2724, D2717)</f>
        <v>0</v>
      </c>
    </row>
    <row r="2718" spans="1:22">
      <c r="A2718" s="16" t="s">
        <v>6087</v>
      </c>
      <c r="B2718" s="16" t="s">
        <v>1452</v>
      </c>
      <c r="C2718" s="16" t="s">
        <v>196</v>
      </c>
      <c r="D2718" s="16" t="s">
        <v>184</v>
      </c>
      <c r="E2718" s="25">
        <v>45280</v>
      </c>
      <c r="F2718" s="16" t="s">
        <v>6088</v>
      </c>
      <c r="G2718" s="16" t="s">
        <v>117</v>
      </c>
      <c r="H2718" s="16">
        <v>2.9</v>
      </c>
      <c r="I2718" s="16">
        <v>149</v>
      </c>
      <c r="J2718" s="16">
        <v>0</v>
      </c>
      <c r="K2718" s="16">
        <v>432.1</v>
      </c>
      <c r="L2718" s="16" t="s">
        <v>146</v>
      </c>
      <c r="M2718" s="16" t="s">
        <v>140</v>
      </c>
      <c r="N2718" s="27">
        <v>45280.786805555559</v>
      </c>
      <c r="O2718" s="27">
        <v>45281.45416666667</v>
      </c>
      <c r="P2718" s="20"/>
      <c r="Q2718" s="16" t="b">
        <f>FALSE()</f>
        <v>0</v>
      </c>
      <c r="R2718" s="16" t="b">
        <f>FALSE()</f>
        <v>0</v>
      </c>
      <c r="S2718" s="17">
        <f t="shared" si="42"/>
        <v>16</v>
      </c>
      <c r="T2718">
        <f>COUNTIF('👤 Customers'!$A:$A, B2718)</f>
        <v>1</v>
      </c>
      <c r="U2718">
        <f>COUNTIF('🚴 Riders'!A2717:A2777, C2718)</f>
        <v>0</v>
      </c>
      <c r="V2718">
        <f>COUNTIF('🏭 Facilities'!A2717:A2725, D2718)</f>
        <v>0</v>
      </c>
    </row>
    <row r="2719" spans="1:22">
      <c r="A2719" s="18" t="s">
        <v>6089</v>
      </c>
      <c r="B2719" s="18" t="s">
        <v>342</v>
      </c>
      <c r="C2719" s="18" t="s">
        <v>192</v>
      </c>
      <c r="D2719" s="18" t="s">
        <v>158</v>
      </c>
      <c r="E2719" s="26">
        <v>44979</v>
      </c>
      <c r="F2719" s="18" t="s">
        <v>6090</v>
      </c>
      <c r="G2719" s="18" t="s">
        <v>176</v>
      </c>
      <c r="H2719" s="18">
        <v>3.2</v>
      </c>
      <c r="I2719" s="18">
        <v>599</v>
      </c>
      <c r="J2719" s="18">
        <v>20</v>
      </c>
      <c r="K2719" s="18">
        <v>1533.44</v>
      </c>
      <c r="L2719" s="18" t="s">
        <v>126</v>
      </c>
      <c r="M2719" s="18" t="s">
        <v>119</v>
      </c>
      <c r="N2719" s="28">
        <v>44979.865277777775</v>
      </c>
      <c r="O2719" s="28">
        <v>44980.449305555558</v>
      </c>
      <c r="P2719" s="18">
        <v>4.4000000000000004</v>
      </c>
      <c r="Q2719" s="18" t="b">
        <f>TRUE()</f>
        <v>1</v>
      </c>
      <c r="R2719" s="18" t="b">
        <f>FALSE()</f>
        <v>0</v>
      </c>
      <c r="S2719" s="19">
        <f t="shared" si="42"/>
        <v>14</v>
      </c>
      <c r="T2719">
        <f>COUNTIF('👤 Customers'!$A:$A, B2719)</f>
        <v>1</v>
      </c>
      <c r="U2719">
        <f>COUNTIF('🚴 Riders'!A2718:A2778, C2719)</f>
        <v>0</v>
      </c>
      <c r="V2719">
        <f>COUNTIF('🏭 Facilities'!A2718:A2726, D2719)</f>
        <v>0</v>
      </c>
    </row>
    <row r="2720" spans="1:22">
      <c r="A2720" s="16" t="s">
        <v>6091</v>
      </c>
      <c r="B2720" s="16" t="s">
        <v>935</v>
      </c>
      <c r="C2720" s="16" t="s">
        <v>174</v>
      </c>
      <c r="D2720" s="16" t="s">
        <v>184</v>
      </c>
      <c r="E2720" s="25">
        <v>45460</v>
      </c>
      <c r="F2720" s="16" t="s">
        <v>6092</v>
      </c>
      <c r="G2720" s="16" t="s">
        <v>117</v>
      </c>
      <c r="H2720" s="16">
        <v>1.1000000000000001</v>
      </c>
      <c r="I2720" s="16">
        <v>149</v>
      </c>
      <c r="J2720" s="16">
        <v>0</v>
      </c>
      <c r="K2720" s="16">
        <v>163.9</v>
      </c>
      <c r="L2720" s="16" t="s">
        <v>118</v>
      </c>
      <c r="M2720" s="16" t="s">
        <v>119</v>
      </c>
      <c r="N2720" s="27">
        <v>45460.838194444441</v>
      </c>
      <c r="O2720" s="27">
        <v>45461.814583333333</v>
      </c>
      <c r="P2720" s="16">
        <v>4.5</v>
      </c>
      <c r="Q2720" s="16" t="b">
        <f>FALSE()</f>
        <v>0</v>
      </c>
      <c r="R2720" s="16" t="b">
        <f>FALSE()</f>
        <v>0</v>
      </c>
      <c r="S2720" s="17">
        <f t="shared" si="42"/>
        <v>23.4</v>
      </c>
      <c r="T2720">
        <f>COUNTIF('👤 Customers'!$A:$A, B2720)</f>
        <v>1</v>
      </c>
      <c r="U2720">
        <f>COUNTIF('🚴 Riders'!A2719:A2779, C2720)</f>
        <v>0</v>
      </c>
      <c r="V2720">
        <f>COUNTIF('🏭 Facilities'!A2719:A2727, D2720)</f>
        <v>0</v>
      </c>
    </row>
    <row r="2721" spans="1:22">
      <c r="A2721" s="18" t="s">
        <v>6093</v>
      </c>
      <c r="B2721" s="18" t="s">
        <v>3512</v>
      </c>
      <c r="C2721" s="18" t="s">
        <v>228</v>
      </c>
      <c r="D2721" s="18" t="s">
        <v>115</v>
      </c>
      <c r="E2721" s="26">
        <v>45613</v>
      </c>
      <c r="F2721" s="18" t="s">
        <v>6094</v>
      </c>
      <c r="G2721" s="18" t="s">
        <v>117</v>
      </c>
      <c r="H2721" s="18">
        <v>4</v>
      </c>
      <c r="I2721" s="18">
        <v>149</v>
      </c>
      <c r="J2721" s="18">
        <v>10</v>
      </c>
      <c r="K2721" s="18">
        <v>536.4</v>
      </c>
      <c r="L2721" s="18" t="s">
        <v>139</v>
      </c>
      <c r="M2721" s="18" t="s">
        <v>119</v>
      </c>
      <c r="N2721" s="28">
        <v>45613.381249999999</v>
      </c>
      <c r="O2721" s="28">
        <v>45614.390972222223</v>
      </c>
      <c r="P2721" s="18">
        <v>4.5</v>
      </c>
      <c r="Q2721" s="18" t="b">
        <f>FALSE()</f>
        <v>0</v>
      </c>
      <c r="R2721" s="18" t="b">
        <f>FALSE()</f>
        <v>0</v>
      </c>
      <c r="S2721" s="19">
        <f t="shared" si="42"/>
        <v>24.2</v>
      </c>
      <c r="T2721">
        <f>COUNTIF('👤 Customers'!$A:$A, B2721)</f>
        <v>1</v>
      </c>
      <c r="U2721">
        <f>COUNTIF('🚴 Riders'!A2720:A2780, C2721)</f>
        <v>0</v>
      </c>
      <c r="V2721">
        <f>COUNTIF('🏭 Facilities'!A2720:A2728, D2721)</f>
        <v>0</v>
      </c>
    </row>
    <row r="2722" spans="1:22">
      <c r="A2722" s="16" t="s">
        <v>6095</v>
      </c>
      <c r="B2722" s="16" t="s">
        <v>1466</v>
      </c>
      <c r="C2722" s="16" t="s">
        <v>183</v>
      </c>
      <c r="D2722" s="16" t="s">
        <v>197</v>
      </c>
      <c r="E2722" s="25">
        <v>45644</v>
      </c>
      <c r="F2722" s="16" t="s">
        <v>6096</v>
      </c>
      <c r="G2722" s="16" t="s">
        <v>176</v>
      </c>
      <c r="H2722" s="16">
        <v>5.0999999999999996</v>
      </c>
      <c r="I2722" s="16">
        <v>599</v>
      </c>
      <c r="J2722" s="16">
        <v>0</v>
      </c>
      <c r="K2722" s="16">
        <v>3054.9</v>
      </c>
      <c r="L2722" s="16" t="s">
        <v>126</v>
      </c>
      <c r="M2722" s="16" t="s">
        <v>133</v>
      </c>
      <c r="N2722" s="20"/>
      <c r="O2722" s="20"/>
      <c r="P2722" s="20"/>
      <c r="Q2722" s="16" t="b">
        <f>FALSE()</f>
        <v>0</v>
      </c>
      <c r="R2722" s="16" t="b">
        <f>FALSE()</f>
        <v>0</v>
      </c>
      <c r="S2722" s="17" t="str">
        <f t="shared" si="42"/>
        <v>N/A</v>
      </c>
      <c r="T2722">
        <f>COUNTIF('👤 Customers'!$A:$A, B2722)</f>
        <v>1</v>
      </c>
      <c r="U2722">
        <f>COUNTIF('🚴 Riders'!A2721:A2781, C2722)</f>
        <v>0</v>
      </c>
      <c r="V2722">
        <f>COUNTIF('🏭 Facilities'!A2721:A2729, D2722)</f>
        <v>0</v>
      </c>
    </row>
    <row r="2723" spans="1:22">
      <c r="A2723" s="18" t="s">
        <v>6097</v>
      </c>
      <c r="B2723" s="18" t="s">
        <v>2050</v>
      </c>
      <c r="C2723" s="18" t="s">
        <v>315</v>
      </c>
      <c r="D2723" s="18" t="s">
        <v>197</v>
      </c>
      <c r="E2723" s="26">
        <v>45268</v>
      </c>
      <c r="F2723" s="18" t="s">
        <v>6098</v>
      </c>
      <c r="G2723" s="18" t="s">
        <v>176</v>
      </c>
      <c r="H2723" s="18">
        <v>7.4</v>
      </c>
      <c r="I2723" s="18">
        <v>599</v>
      </c>
      <c r="J2723" s="18">
        <v>0</v>
      </c>
      <c r="K2723" s="18">
        <v>4432.6000000000004</v>
      </c>
      <c r="L2723" s="18" t="s">
        <v>146</v>
      </c>
      <c r="M2723" s="18" t="s">
        <v>119</v>
      </c>
      <c r="N2723" s="28">
        <v>45268.646527777775</v>
      </c>
      <c r="O2723" s="28">
        <v>45269.294444444444</v>
      </c>
      <c r="P2723" s="18">
        <v>4.9000000000000004</v>
      </c>
      <c r="Q2723" s="18" t="b">
        <f>FALSE()</f>
        <v>0</v>
      </c>
      <c r="R2723" s="18" t="b">
        <f>FALSE()</f>
        <v>0</v>
      </c>
      <c r="S2723" s="19">
        <f t="shared" si="42"/>
        <v>15.6</v>
      </c>
      <c r="T2723">
        <f>COUNTIF('👤 Customers'!$A:$A, B2723)</f>
        <v>1</v>
      </c>
      <c r="U2723">
        <f>COUNTIF('🚴 Riders'!A2722:A2782, C2723)</f>
        <v>0</v>
      </c>
      <c r="V2723">
        <f>COUNTIF('🏭 Facilities'!A2722:A2730, D2723)</f>
        <v>0</v>
      </c>
    </row>
    <row r="2724" spans="1:22">
      <c r="A2724" s="16" t="s">
        <v>6099</v>
      </c>
      <c r="B2724" s="16" t="s">
        <v>637</v>
      </c>
      <c r="C2724" s="16" t="s">
        <v>315</v>
      </c>
      <c r="D2724" s="16" t="s">
        <v>123</v>
      </c>
      <c r="E2724" s="25">
        <v>45018</v>
      </c>
      <c r="F2724" s="16" t="s">
        <v>6100</v>
      </c>
      <c r="G2724" s="16" t="s">
        <v>132</v>
      </c>
      <c r="H2724" s="16">
        <v>6.9</v>
      </c>
      <c r="I2724" s="16">
        <v>399</v>
      </c>
      <c r="J2724" s="16">
        <v>10</v>
      </c>
      <c r="K2724" s="16">
        <v>2477.79</v>
      </c>
      <c r="L2724" s="16" t="s">
        <v>146</v>
      </c>
      <c r="M2724" s="16" t="s">
        <v>133</v>
      </c>
      <c r="N2724" s="20"/>
      <c r="O2724" s="20"/>
      <c r="P2724" s="20"/>
      <c r="Q2724" s="16" t="b">
        <f>FALSE()</f>
        <v>0</v>
      </c>
      <c r="R2724" s="16" t="b">
        <f>FALSE()</f>
        <v>0</v>
      </c>
      <c r="S2724" s="17" t="str">
        <f t="shared" si="42"/>
        <v>N/A</v>
      </c>
      <c r="T2724">
        <f>COUNTIF('👤 Customers'!$A:$A, B2724)</f>
        <v>1</v>
      </c>
      <c r="U2724">
        <f>COUNTIF('🚴 Riders'!A2723:A2783, C2724)</f>
        <v>0</v>
      </c>
      <c r="V2724">
        <f>COUNTIF('🏭 Facilities'!A2723:A2731, D2724)</f>
        <v>0</v>
      </c>
    </row>
    <row r="2725" spans="1:22">
      <c r="A2725" s="18" t="s">
        <v>6101</v>
      </c>
      <c r="B2725" s="18" t="s">
        <v>1322</v>
      </c>
      <c r="C2725" s="18" t="s">
        <v>162</v>
      </c>
      <c r="D2725" s="18" t="s">
        <v>205</v>
      </c>
      <c r="E2725" s="26">
        <v>45412</v>
      </c>
      <c r="F2725" s="18" t="s">
        <v>6102</v>
      </c>
      <c r="G2725" s="18" t="s">
        <v>145</v>
      </c>
      <c r="H2725" s="18">
        <v>1.2</v>
      </c>
      <c r="I2725" s="18">
        <v>299</v>
      </c>
      <c r="J2725" s="18">
        <v>0</v>
      </c>
      <c r="K2725" s="18">
        <v>358.8</v>
      </c>
      <c r="L2725" s="18" t="s">
        <v>207</v>
      </c>
      <c r="M2725" s="18" t="s">
        <v>119</v>
      </c>
      <c r="N2725" s="28">
        <v>45412.204861111109</v>
      </c>
      <c r="O2725" s="28">
        <v>45412.840277777781</v>
      </c>
      <c r="P2725" s="18">
        <v>3.7</v>
      </c>
      <c r="Q2725" s="18" t="b">
        <f>FALSE()</f>
        <v>0</v>
      </c>
      <c r="R2725" s="18" t="b">
        <f>FALSE()</f>
        <v>0</v>
      </c>
      <c r="S2725" s="19">
        <f t="shared" si="42"/>
        <v>15.3</v>
      </c>
      <c r="T2725">
        <f>COUNTIF('👤 Customers'!$A:$A, B2725)</f>
        <v>1</v>
      </c>
      <c r="U2725">
        <f>COUNTIF('🚴 Riders'!A2724:A2784, C2725)</f>
        <v>0</v>
      </c>
      <c r="V2725">
        <f>COUNTIF('🏭 Facilities'!A2724:A2732, D2725)</f>
        <v>0</v>
      </c>
    </row>
    <row r="2726" spans="1:22">
      <c r="A2726" s="16" t="s">
        <v>6103</v>
      </c>
      <c r="B2726" s="16" t="s">
        <v>2404</v>
      </c>
      <c r="C2726" s="16" t="s">
        <v>308</v>
      </c>
      <c r="D2726" s="16" t="s">
        <v>115</v>
      </c>
      <c r="E2726" s="25">
        <v>45143</v>
      </c>
      <c r="F2726" s="16" t="s">
        <v>6104</v>
      </c>
      <c r="G2726" s="16" t="s">
        <v>132</v>
      </c>
      <c r="H2726" s="16">
        <v>4.2</v>
      </c>
      <c r="I2726" s="16">
        <v>399</v>
      </c>
      <c r="J2726" s="16">
        <v>0</v>
      </c>
      <c r="K2726" s="16">
        <v>1675.8</v>
      </c>
      <c r="L2726" s="16" t="s">
        <v>126</v>
      </c>
      <c r="M2726" s="16" t="s">
        <v>119</v>
      </c>
      <c r="N2726" s="27">
        <v>45143.104861111111</v>
      </c>
      <c r="O2726" s="27">
        <v>45143.706250000003</v>
      </c>
      <c r="P2726" s="16">
        <v>3.6</v>
      </c>
      <c r="Q2726" s="16" t="b">
        <f>FALSE()</f>
        <v>0</v>
      </c>
      <c r="R2726" s="16" t="b">
        <f>FALSE()</f>
        <v>0</v>
      </c>
      <c r="S2726" s="17">
        <f t="shared" si="42"/>
        <v>14.4</v>
      </c>
      <c r="T2726">
        <f>COUNTIF('👤 Customers'!$A:$A, B2726)</f>
        <v>1</v>
      </c>
      <c r="U2726">
        <f>COUNTIF('🚴 Riders'!A2725:A2785, C2726)</f>
        <v>0</v>
      </c>
      <c r="V2726">
        <f>COUNTIF('🏭 Facilities'!A2725:A2733, D2726)</f>
        <v>0</v>
      </c>
    </row>
    <row r="2727" spans="1:22">
      <c r="A2727" s="18" t="s">
        <v>6105</v>
      </c>
      <c r="B2727" s="18" t="s">
        <v>436</v>
      </c>
      <c r="C2727" s="18" t="s">
        <v>358</v>
      </c>
      <c r="D2727" s="18" t="s">
        <v>158</v>
      </c>
      <c r="E2727" s="26">
        <v>45352</v>
      </c>
      <c r="F2727" s="18" t="s">
        <v>6106</v>
      </c>
      <c r="G2727" s="18" t="s">
        <v>125</v>
      </c>
      <c r="H2727" s="18">
        <v>2.9</v>
      </c>
      <c r="I2727" s="18">
        <v>199</v>
      </c>
      <c r="J2727" s="18">
        <v>0</v>
      </c>
      <c r="K2727" s="18">
        <v>577.1</v>
      </c>
      <c r="L2727" s="18" t="s">
        <v>126</v>
      </c>
      <c r="M2727" s="18" t="s">
        <v>119</v>
      </c>
      <c r="N2727" s="28">
        <v>45352.23541666667</v>
      </c>
      <c r="O2727" s="28">
        <v>45353.081250000003</v>
      </c>
      <c r="P2727" s="18">
        <v>2.9</v>
      </c>
      <c r="Q2727" s="18" t="b">
        <f>FALSE()</f>
        <v>0</v>
      </c>
      <c r="R2727" s="18" t="b">
        <f>FALSE()</f>
        <v>0</v>
      </c>
      <c r="S2727" s="19">
        <f t="shared" si="42"/>
        <v>20.3</v>
      </c>
      <c r="T2727">
        <f>COUNTIF('👤 Customers'!$A:$A, B2727)</f>
        <v>1</v>
      </c>
      <c r="U2727">
        <f>COUNTIF('🚴 Riders'!A2726:A2786, C2727)</f>
        <v>0</v>
      </c>
      <c r="V2727">
        <f>COUNTIF('🏭 Facilities'!A2726:A2734, D2727)</f>
        <v>0</v>
      </c>
    </row>
    <row r="2728" spans="1:22">
      <c r="A2728" s="16" t="s">
        <v>6107</v>
      </c>
      <c r="B2728" s="16" t="s">
        <v>2220</v>
      </c>
      <c r="C2728" s="16" t="s">
        <v>750</v>
      </c>
      <c r="D2728" s="16" t="s">
        <v>137</v>
      </c>
      <c r="E2728" s="25">
        <v>44966</v>
      </c>
      <c r="F2728" s="16" t="s">
        <v>6108</v>
      </c>
      <c r="G2728" s="16" t="s">
        <v>145</v>
      </c>
      <c r="H2728" s="16">
        <v>3.2</v>
      </c>
      <c r="I2728" s="16">
        <v>299</v>
      </c>
      <c r="J2728" s="16">
        <v>10</v>
      </c>
      <c r="K2728" s="16">
        <v>861.12</v>
      </c>
      <c r="L2728" s="16" t="s">
        <v>207</v>
      </c>
      <c r="M2728" s="16" t="s">
        <v>119</v>
      </c>
      <c r="N2728" s="27">
        <v>44966.680555555555</v>
      </c>
      <c r="O2728" s="27">
        <v>44967.440972222219</v>
      </c>
      <c r="P2728" s="16">
        <v>4.3</v>
      </c>
      <c r="Q2728" s="16" t="b">
        <f>FALSE()</f>
        <v>0</v>
      </c>
      <c r="R2728" s="16" t="b">
        <f>FALSE()</f>
        <v>0</v>
      </c>
      <c r="S2728" s="17">
        <f t="shared" si="42"/>
        <v>18.2</v>
      </c>
      <c r="T2728">
        <f>COUNTIF('👤 Customers'!$A:$A, B2728)</f>
        <v>1</v>
      </c>
      <c r="U2728">
        <f>COUNTIF('🚴 Riders'!A2727:A2787, C2728)</f>
        <v>0</v>
      </c>
      <c r="V2728">
        <f>COUNTIF('🏭 Facilities'!A2727:A2735, D2728)</f>
        <v>0</v>
      </c>
    </row>
    <row r="2729" spans="1:22">
      <c r="A2729" s="18" t="s">
        <v>6109</v>
      </c>
      <c r="B2729" s="18" t="s">
        <v>734</v>
      </c>
      <c r="C2729" s="18" t="s">
        <v>240</v>
      </c>
      <c r="D2729" s="18" t="s">
        <v>137</v>
      </c>
      <c r="E2729" s="26">
        <v>45508</v>
      </c>
      <c r="F2729" s="18" t="s">
        <v>6110</v>
      </c>
      <c r="G2729" s="18" t="s">
        <v>117</v>
      </c>
      <c r="H2729" s="18">
        <v>2.1</v>
      </c>
      <c r="I2729" s="18">
        <v>149</v>
      </c>
      <c r="J2729" s="18">
        <v>20</v>
      </c>
      <c r="K2729" s="18">
        <v>250.32</v>
      </c>
      <c r="L2729" s="18" t="s">
        <v>118</v>
      </c>
      <c r="M2729" s="18" t="s">
        <v>140</v>
      </c>
      <c r="N2729" s="28">
        <v>45508.947916666664</v>
      </c>
      <c r="O2729" s="28">
        <v>45510.045138888891</v>
      </c>
      <c r="P2729" s="20"/>
      <c r="Q2729" s="18" t="b">
        <f>TRUE()</f>
        <v>1</v>
      </c>
      <c r="R2729" s="18" t="b">
        <f>FALSE()</f>
        <v>0</v>
      </c>
      <c r="S2729" s="19">
        <f t="shared" si="42"/>
        <v>26.3</v>
      </c>
      <c r="T2729">
        <f>COUNTIF('👤 Customers'!$A:$A, B2729)</f>
        <v>1</v>
      </c>
      <c r="U2729">
        <f>COUNTIF('🚴 Riders'!A2728:A2788, C2729)</f>
        <v>0</v>
      </c>
      <c r="V2729">
        <f>COUNTIF('🏭 Facilities'!A2728:A2736, D2729)</f>
        <v>0</v>
      </c>
    </row>
    <row r="2730" spans="1:22">
      <c r="A2730" s="16" t="s">
        <v>6111</v>
      </c>
      <c r="B2730" s="16" t="s">
        <v>1452</v>
      </c>
      <c r="C2730" s="16" t="s">
        <v>717</v>
      </c>
      <c r="D2730" s="16" t="s">
        <v>205</v>
      </c>
      <c r="E2730" s="25">
        <v>45641</v>
      </c>
      <c r="F2730" s="16" t="s">
        <v>6112</v>
      </c>
      <c r="G2730" s="16" t="s">
        <v>176</v>
      </c>
      <c r="H2730" s="16">
        <v>4.4000000000000004</v>
      </c>
      <c r="I2730" s="16">
        <v>599</v>
      </c>
      <c r="J2730" s="16">
        <v>0</v>
      </c>
      <c r="K2730" s="16">
        <v>2635.6</v>
      </c>
      <c r="L2730" s="16" t="s">
        <v>146</v>
      </c>
      <c r="M2730" s="16" t="s">
        <v>119</v>
      </c>
      <c r="N2730" s="27">
        <v>45641.432638888888</v>
      </c>
      <c r="O2730" s="27">
        <v>45642.368750000001</v>
      </c>
      <c r="P2730" s="16">
        <v>4.8</v>
      </c>
      <c r="Q2730" s="16" t="b">
        <f>FALSE()</f>
        <v>0</v>
      </c>
      <c r="R2730" s="16" t="b">
        <f>FALSE()</f>
        <v>0</v>
      </c>
      <c r="S2730" s="17">
        <f t="shared" si="42"/>
        <v>22.5</v>
      </c>
      <c r="T2730">
        <f>COUNTIF('👤 Customers'!$A:$A, B2730)</f>
        <v>1</v>
      </c>
      <c r="U2730">
        <f>COUNTIF('🚴 Riders'!A2729:A2789, C2730)</f>
        <v>0</v>
      </c>
      <c r="V2730">
        <f>COUNTIF('🏭 Facilities'!A2729:A2737, D2730)</f>
        <v>0</v>
      </c>
    </row>
    <row r="2731" spans="1:22">
      <c r="A2731" s="18" t="s">
        <v>6113</v>
      </c>
      <c r="B2731" s="18" t="s">
        <v>1562</v>
      </c>
      <c r="C2731" s="18" t="s">
        <v>220</v>
      </c>
      <c r="D2731" s="18" t="s">
        <v>137</v>
      </c>
      <c r="E2731" s="26">
        <v>45445</v>
      </c>
      <c r="F2731" s="18" t="s">
        <v>6114</v>
      </c>
      <c r="G2731" s="18" t="s">
        <v>132</v>
      </c>
      <c r="H2731" s="18">
        <v>7.7</v>
      </c>
      <c r="I2731" s="18">
        <v>399</v>
      </c>
      <c r="J2731" s="18">
        <v>0</v>
      </c>
      <c r="K2731" s="18">
        <v>3072.3</v>
      </c>
      <c r="L2731" s="18" t="s">
        <v>118</v>
      </c>
      <c r="M2731" s="18" t="s">
        <v>119</v>
      </c>
      <c r="N2731" s="28">
        <v>45445.224305555559</v>
      </c>
      <c r="O2731" s="28">
        <v>45446.17291666667</v>
      </c>
      <c r="P2731" s="18">
        <v>4.0999999999999996</v>
      </c>
      <c r="Q2731" s="18" t="b">
        <f>FALSE()</f>
        <v>0</v>
      </c>
      <c r="R2731" s="18" t="b">
        <f>FALSE()</f>
        <v>0</v>
      </c>
      <c r="S2731" s="19">
        <f t="shared" si="42"/>
        <v>22.8</v>
      </c>
      <c r="T2731">
        <f>COUNTIF('👤 Customers'!$A:$A, B2731)</f>
        <v>1</v>
      </c>
      <c r="U2731">
        <f>COUNTIF('🚴 Riders'!A2730:A2790, C2731)</f>
        <v>0</v>
      </c>
      <c r="V2731">
        <f>COUNTIF('🏭 Facilities'!A2730:A2738, D2731)</f>
        <v>0</v>
      </c>
    </row>
    <row r="2732" spans="1:22">
      <c r="A2732" s="16" t="s">
        <v>6115</v>
      </c>
      <c r="B2732" s="16" t="s">
        <v>779</v>
      </c>
      <c r="C2732" s="16" t="s">
        <v>413</v>
      </c>
      <c r="D2732" s="16" t="s">
        <v>130</v>
      </c>
      <c r="E2732" s="25">
        <v>45465</v>
      </c>
      <c r="F2732" s="16" t="s">
        <v>6116</v>
      </c>
      <c r="G2732" s="16" t="s">
        <v>145</v>
      </c>
      <c r="H2732" s="16">
        <v>4.2</v>
      </c>
      <c r="I2732" s="16">
        <v>299</v>
      </c>
      <c r="J2732" s="16">
        <v>0</v>
      </c>
      <c r="K2732" s="16">
        <v>1255.8</v>
      </c>
      <c r="L2732" s="16" t="s">
        <v>126</v>
      </c>
      <c r="M2732" s="16" t="s">
        <v>119</v>
      </c>
      <c r="N2732" s="27">
        <v>45465.550694444442</v>
      </c>
      <c r="O2732" s="27">
        <v>45465.896527777775</v>
      </c>
      <c r="P2732" s="16">
        <v>3.1</v>
      </c>
      <c r="Q2732" s="16" t="b">
        <f>FALSE()</f>
        <v>0</v>
      </c>
      <c r="R2732" s="16" t="b">
        <f>TRUE()</f>
        <v>1</v>
      </c>
      <c r="S2732" s="17">
        <f t="shared" si="42"/>
        <v>8.3000000000000007</v>
      </c>
      <c r="T2732">
        <f>COUNTIF('👤 Customers'!$A:$A, B2732)</f>
        <v>1</v>
      </c>
      <c r="U2732">
        <f>COUNTIF('🚴 Riders'!A2731:A2791, C2732)</f>
        <v>0</v>
      </c>
      <c r="V2732">
        <f>COUNTIF('🏭 Facilities'!A2731:A2739, D2732)</f>
        <v>0</v>
      </c>
    </row>
    <row r="2733" spans="1:22">
      <c r="A2733" s="18" t="s">
        <v>6117</v>
      </c>
      <c r="B2733" s="18" t="s">
        <v>1776</v>
      </c>
      <c r="C2733" s="18" t="s">
        <v>842</v>
      </c>
      <c r="D2733" s="18" t="s">
        <v>115</v>
      </c>
      <c r="E2733" s="26">
        <v>45219</v>
      </c>
      <c r="F2733" s="18" t="s">
        <v>6118</v>
      </c>
      <c r="G2733" s="18" t="s">
        <v>125</v>
      </c>
      <c r="H2733" s="18">
        <v>1.3</v>
      </c>
      <c r="I2733" s="18">
        <v>199</v>
      </c>
      <c r="J2733" s="18">
        <v>0</v>
      </c>
      <c r="K2733" s="18">
        <v>258.7</v>
      </c>
      <c r="L2733" s="18" t="s">
        <v>126</v>
      </c>
      <c r="M2733" s="18" t="s">
        <v>119</v>
      </c>
      <c r="N2733" s="28">
        <v>45219.92083333333</v>
      </c>
      <c r="O2733" s="28">
        <v>45220.551388888889</v>
      </c>
      <c r="P2733" s="18">
        <v>3.6</v>
      </c>
      <c r="Q2733" s="18" t="b">
        <f>FALSE()</f>
        <v>0</v>
      </c>
      <c r="R2733" s="18" t="b">
        <f>FALSE()</f>
        <v>0</v>
      </c>
      <c r="S2733" s="19">
        <f t="shared" si="42"/>
        <v>15.1</v>
      </c>
      <c r="T2733">
        <f>COUNTIF('👤 Customers'!$A:$A, B2733)</f>
        <v>1</v>
      </c>
      <c r="U2733">
        <f>COUNTIF('🚴 Riders'!A2732:A2792, C2733)</f>
        <v>0</v>
      </c>
      <c r="V2733">
        <f>COUNTIF('🏭 Facilities'!A2732:A2740, D2733)</f>
        <v>0</v>
      </c>
    </row>
    <row r="2734" spans="1:22">
      <c r="A2734" s="16" t="s">
        <v>6119</v>
      </c>
      <c r="B2734" s="16" t="s">
        <v>219</v>
      </c>
      <c r="C2734" s="16" t="s">
        <v>413</v>
      </c>
      <c r="D2734" s="16" t="s">
        <v>137</v>
      </c>
      <c r="E2734" s="25">
        <v>45374</v>
      </c>
      <c r="F2734" s="16" t="s">
        <v>6120</v>
      </c>
      <c r="G2734" s="16" t="s">
        <v>145</v>
      </c>
      <c r="H2734" s="16">
        <v>1.7</v>
      </c>
      <c r="I2734" s="16">
        <v>299</v>
      </c>
      <c r="J2734" s="16">
        <v>0</v>
      </c>
      <c r="K2734" s="16">
        <v>508.3</v>
      </c>
      <c r="L2734" s="16" t="s">
        <v>139</v>
      </c>
      <c r="M2734" s="16" t="s">
        <v>140</v>
      </c>
      <c r="N2734" s="27">
        <v>45374.283333333333</v>
      </c>
      <c r="O2734" s="27">
        <v>45374.654861111114</v>
      </c>
      <c r="P2734" s="20"/>
      <c r="Q2734" s="16" t="b">
        <f>FALSE()</f>
        <v>0</v>
      </c>
      <c r="R2734" s="16" t="b">
        <f>FALSE()</f>
        <v>0</v>
      </c>
      <c r="S2734" s="17">
        <f t="shared" si="42"/>
        <v>8.9</v>
      </c>
      <c r="T2734">
        <f>COUNTIF('👤 Customers'!$A:$A, B2734)</f>
        <v>1</v>
      </c>
      <c r="U2734">
        <f>COUNTIF('🚴 Riders'!A2733:A2793, C2734)</f>
        <v>0</v>
      </c>
      <c r="V2734">
        <f>COUNTIF('🏭 Facilities'!A2733:A2741, D2734)</f>
        <v>0</v>
      </c>
    </row>
    <row r="2735" spans="1:22">
      <c r="A2735" s="18" t="s">
        <v>6121</v>
      </c>
      <c r="B2735" s="18" t="s">
        <v>293</v>
      </c>
      <c r="C2735" s="18" t="s">
        <v>354</v>
      </c>
      <c r="D2735" s="18" t="s">
        <v>137</v>
      </c>
      <c r="E2735" s="26">
        <v>45639</v>
      </c>
      <c r="F2735" s="18" t="s">
        <v>6122</v>
      </c>
      <c r="G2735" s="18" t="s">
        <v>125</v>
      </c>
      <c r="H2735" s="18">
        <v>5.8</v>
      </c>
      <c r="I2735" s="18">
        <v>199</v>
      </c>
      <c r="J2735" s="18">
        <v>0</v>
      </c>
      <c r="K2735" s="18">
        <v>1154.2</v>
      </c>
      <c r="L2735" s="18" t="s">
        <v>207</v>
      </c>
      <c r="M2735" s="18" t="s">
        <v>133</v>
      </c>
      <c r="N2735" s="20"/>
      <c r="O2735" s="20"/>
      <c r="P2735" s="20"/>
      <c r="Q2735" s="18" t="b">
        <f>FALSE()</f>
        <v>0</v>
      </c>
      <c r="R2735" s="18" t="b">
        <f>FALSE()</f>
        <v>0</v>
      </c>
      <c r="S2735" s="19" t="str">
        <f t="shared" si="42"/>
        <v>N/A</v>
      </c>
      <c r="T2735">
        <f>COUNTIF('👤 Customers'!$A:$A, B2735)</f>
        <v>1</v>
      </c>
      <c r="U2735">
        <f>COUNTIF('🚴 Riders'!A2734:A2794, C2735)</f>
        <v>0</v>
      </c>
      <c r="V2735">
        <f>COUNTIF('🏭 Facilities'!A2734:A2742, D2735)</f>
        <v>0</v>
      </c>
    </row>
    <row r="2736" spans="1:22">
      <c r="A2736" s="16" t="s">
        <v>6123</v>
      </c>
      <c r="B2736" s="16" t="s">
        <v>2147</v>
      </c>
      <c r="C2736" s="16" t="s">
        <v>431</v>
      </c>
      <c r="D2736" s="16" t="s">
        <v>123</v>
      </c>
      <c r="E2736" s="25">
        <v>45038</v>
      </c>
      <c r="F2736" s="16" t="s">
        <v>6124</v>
      </c>
      <c r="G2736" s="16" t="s">
        <v>117</v>
      </c>
      <c r="H2736" s="16">
        <v>3.2</v>
      </c>
      <c r="I2736" s="16">
        <v>149</v>
      </c>
      <c r="J2736" s="16">
        <v>30</v>
      </c>
      <c r="K2736" s="16">
        <v>333.76</v>
      </c>
      <c r="L2736" s="16" t="s">
        <v>139</v>
      </c>
      <c r="M2736" s="16" t="s">
        <v>119</v>
      </c>
      <c r="N2736" s="27">
        <v>45038.834722222222</v>
      </c>
      <c r="O2736" s="27">
        <v>45039.918055555558</v>
      </c>
      <c r="P2736" s="16">
        <v>3.2</v>
      </c>
      <c r="Q2736" s="16" t="b">
        <f>FALSE()</f>
        <v>0</v>
      </c>
      <c r="R2736" s="16" t="b">
        <f>FALSE()</f>
        <v>0</v>
      </c>
      <c r="S2736" s="17">
        <f t="shared" si="42"/>
        <v>26</v>
      </c>
      <c r="T2736">
        <f>COUNTIF('👤 Customers'!$A:$A, B2736)</f>
        <v>1</v>
      </c>
      <c r="U2736">
        <f>COUNTIF('🚴 Riders'!A2735:A2795, C2736)</f>
        <v>0</v>
      </c>
      <c r="V2736">
        <f>COUNTIF('🏭 Facilities'!A2735:A2743, D2736)</f>
        <v>0</v>
      </c>
    </row>
    <row r="2737" spans="1:22">
      <c r="A2737" s="18" t="s">
        <v>6125</v>
      </c>
      <c r="B2737" s="18" t="s">
        <v>1067</v>
      </c>
      <c r="C2737" s="18" t="s">
        <v>157</v>
      </c>
      <c r="D2737" s="18" t="s">
        <v>184</v>
      </c>
      <c r="E2737" s="26">
        <v>44969</v>
      </c>
      <c r="F2737" s="18" t="s">
        <v>6126</v>
      </c>
      <c r="G2737" s="18" t="s">
        <v>117</v>
      </c>
      <c r="H2737" s="18">
        <v>3.7</v>
      </c>
      <c r="I2737" s="18">
        <v>149</v>
      </c>
      <c r="J2737" s="18">
        <v>0</v>
      </c>
      <c r="K2737" s="18">
        <v>551.29999999999995</v>
      </c>
      <c r="L2737" s="18" t="s">
        <v>139</v>
      </c>
      <c r="M2737" s="18" t="s">
        <v>133</v>
      </c>
      <c r="N2737" s="20"/>
      <c r="O2737" s="20"/>
      <c r="P2737" s="20"/>
      <c r="Q2737" s="18" t="b">
        <f>FALSE()</f>
        <v>0</v>
      </c>
      <c r="R2737" s="18" t="b">
        <f>TRUE()</f>
        <v>1</v>
      </c>
      <c r="S2737" s="19" t="str">
        <f t="shared" si="42"/>
        <v>N/A</v>
      </c>
      <c r="T2737">
        <f>COUNTIF('👤 Customers'!$A:$A, B2737)</f>
        <v>1</v>
      </c>
      <c r="U2737">
        <f>COUNTIF('🚴 Riders'!A2736:A2796, C2737)</f>
        <v>0</v>
      </c>
      <c r="V2737">
        <f>COUNTIF('🏭 Facilities'!A2736:A2744, D2737)</f>
        <v>0</v>
      </c>
    </row>
    <row r="2738" spans="1:22">
      <c r="A2738" s="16" t="s">
        <v>6127</v>
      </c>
      <c r="B2738" s="16" t="s">
        <v>3825</v>
      </c>
      <c r="C2738" s="16" t="s">
        <v>1092</v>
      </c>
      <c r="D2738" s="16" t="s">
        <v>115</v>
      </c>
      <c r="E2738" s="25">
        <v>45478</v>
      </c>
      <c r="F2738" s="16" t="s">
        <v>6128</v>
      </c>
      <c r="G2738" s="16" t="s">
        <v>117</v>
      </c>
      <c r="H2738" s="16">
        <v>1.2</v>
      </c>
      <c r="I2738" s="16">
        <v>149</v>
      </c>
      <c r="J2738" s="16">
        <v>20</v>
      </c>
      <c r="K2738" s="16">
        <v>143.04</v>
      </c>
      <c r="L2738" s="16" t="s">
        <v>207</v>
      </c>
      <c r="M2738" s="16" t="s">
        <v>119</v>
      </c>
      <c r="N2738" s="27">
        <v>45478.649305555555</v>
      </c>
      <c r="O2738" s="27">
        <v>45479.121527777781</v>
      </c>
      <c r="P2738" s="16">
        <v>2.7</v>
      </c>
      <c r="Q2738" s="16" t="b">
        <f>TRUE()</f>
        <v>1</v>
      </c>
      <c r="R2738" s="16" t="b">
        <f>FALSE()</f>
        <v>0</v>
      </c>
      <c r="S2738" s="17">
        <f t="shared" si="42"/>
        <v>11.3</v>
      </c>
      <c r="T2738">
        <f>COUNTIF('👤 Customers'!$A:$A, B2738)</f>
        <v>1</v>
      </c>
      <c r="U2738">
        <f>COUNTIF('🚴 Riders'!A2737:A2797, C2738)</f>
        <v>0</v>
      </c>
      <c r="V2738">
        <f>COUNTIF('🏭 Facilities'!A2737:A2745, D2738)</f>
        <v>0</v>
      </c>
    </row>
    <row r="2739" spans="1:22">
      <c r="A2739" s="18" t="s">
        <v>6129</v>
      </c>
      <c r="B2739" s="18" t="s">
        <v>710</v>
      </c>
      <c r="C2739" s="18" t="s">
        <v>304</v>
      </c>
      <c r="D2739" s="18" t="s">
        <v>205</v>
      </c>
      <c r="E2739" s="26">
        <v>45448</v>
      </c>
      <c r="F2739" s="18" t="s">
        <v>6130</v>
      </c>
      <c r="G2739" s="18" t="s">
        <v>125</v>
      </c>
      <c r="H2739" s="18">
        <v>6.7</v>
      </c>
      <c r="I2739" s="18">
        <v>199</v>
      </c>
      <c r="J2739" s="18">
        <v>10</v>
      </c>
      <c r="K2739" s="18">
        <v>1199.97</v>
      </c>
      <c r="L2739" s="18" t="s">
        <v>207</v>
      </c>
      <c r="M2739" s="18" t="s">
        <v>119</v>
      </c>
      <c r="N2739" s="28">
        <v>45449.054166666669</v>
      </c>
      <c r="O2739" s="28">
        <v>45449.677083333336</v>
      </c>
      <c r="P2739" s="18">
        <v>4.3</v>
      </c>
      <c r="Q2739" s="18" t="b">
        <f>FALSE()</f>
        <v>0</v>
      </c>
      <c r="R2739" s="18" t="b">
        <f>TRUE()</f>
        <v>1</v>
      </c>
      <c r="S2739" s="19">
        <f t="shared" si="42"/>
        <v>15</v>
      </c>
      <c r="T2739">
        <f>COUNTIF('👤 Customers'!$A:$A, B2739)</f>
        <v>1</v>
      </c>
      <c r="U2739">
        <f>COUNTIF('🚴 Riders'!A2738:A2798, C2739)</f>
        <v>0</v>
      </c>
      <c r="V2739">
        <f>COUNTIF('🏭 Facilities'!A2738:A2746, D2739)</f>
        <v>0</v>
      </c>
    </row>
    <row r="2740" spans="1:22">
      <c r="A2740" s="16" t="s">
        <v>6131</v>
      </c>
      <c r="B2740" s="16" t="s">
        <v>1679</v>
      </c>
      <c r="C2740" s="16" t="s">
        <v>431</v>
      </c>
      <c r="D2740" s="16" t="s">
        <v>158</v>
      </c>
      <c r="E2740" s="25">
        <v>45433</v>
      </c>
      <c r="F2740" s="16" t="s">
        <v>6132</v>
      </c>
      <c r="G2740" s="16" t="s">
        <v>125</v>
      </c>
      <c r="H2740" s="16">
        <v>5.8</v>
      </c>
      <c r="I2740" s="16">
        <v>199</v>
      </c>
      <c r="J2740" s="16">
        <v>0</v>
      </c>
      <c r="K2740" s="16">
        <v>1154.2</v>
      </c>
      <c r="L2740" s="16" t="s">
        <v>126</v>
      </c>
      <c r="M2740" s="16" t="s">
        <v>133</v>
      </c>
      <c r="N2740" s="20"/>
      <c r="O2740" s="20"/>
      <c r="P2740" s="20"/>
      <c r="Q2740" s="16" t="b">
        <f>FALSE()</f>
        <v>0</v>
      </c>
      <c r="R2740" s="16" t="b">
        <f>FALSE()</f>
        <v>0</v>
      </c>
      <c r="S2740" s="17" t="str">
        <f t="shared" si="42"/>
        <v>N/A</v>
      </c>
      <c r="T2740">
        <f>COUNTIF('👤 Customers'!$A:$A, B2740)</f>
        <v>1</v>
      </c>
      <c r="U2740">
        <f>COUNTIF('🚴 Riders'!A2739:A2799, C2740)</f>
        <v>0</v>
      </c>
      <c r="V2740">
        <f>COUNTIF('🏭 Facilities'!A2739:A2747, D2740)</f>
        <v>0</v>
      </c>
    </row>
    <row r="2741" spans="1:22">
      <c r="A2741" s="18" t="s">
        <v>6133</v>
      </c>
      <c r="B2741" s="18" t="s">
        <v>614</v>
      </c>
      <c r="C2741" s="18" t="s">
        <v>192</v>
      </c>
      <c r="D2741" s="18" t="s">
        <v>158</v>
      </c>
      <c r="E2741" s="26">
        <v>45211</v>
      </c>
      <c r="F2741" s="18" t="s">
        <v>6134</v>
      </c>
      <c r="G2741" s="18" t="s">
        <v>176</v>
      </c>
      <c r="H2741" s="18">
        <v>7.2</v>
      </c>
      <c r="I2741" s="18">
        <v>599</v>
      </c>
      <c r="J2741" s="18">
        <v>0</v>
      </c>
      <c r="K2741" s="18">
        <v>4312.8</v>
      </c>
      <c r="L2741" s="18" t="s">
        <v>139</v>
      </c>
      <c r="M2741" s="18" t="s">
        <v>133</v>
      </c>
      <c r="N2741" s="20"/>
      <c r="O2741" s="20"/>
      <c r="P2741" s="20"/>
      <c r="Q2741" s="18" t="b">
        <f>FALSE()</f>
        <v>0</v>
      </c>
      <c r="R2741" s="18" t="b">
        <f>FALSE()</f>
        <v>0</v>
      </c>
      <c r="S2741" s="19" t="str">
        <f t="shared" si="42"/>
        <v>N/A</v>
      </c>
      <c r="T2741">
        <f>COUNTIF('👤 Customers'!$A:$A, B2741)</f>
        <v>1</v>
      </c>
      <c r="U2741">
        <f>COUNTIF('🚴 Riders'!A2740:A2800, C2741)</f>
        <v>0</v>
      </c>
      <c r="V2741">
        <f>COUNTIF('🏭 Facilities'!A2740:A2748, D2741)</f>
        <v>0</v>
      </c>
    </row>
    <row r="2742" spans="1:22">
      <c r="A2742" s="16" t="s">
        <v>6135</v>
      </c>
      <c r="B2742" s="16" t="s">
        <v>2546</v>
      </c>
      <c r="C2742" s="16" t="s">
        <v>304</v>
      </c>
      <c r="D2742" s="16" t="s">
        <v>205</v>
      </c>
      <c r="E2742" s="25">
        <v>45635</v>
      </c>
      <c r="F2742" s="16" t="s">
        <v>6136</v>
      </c>
      <c r="G2742" s="16" t="s">
        <v>176</v>
      </c>
      <c r="H2742" s="16">
        <v>3.7</v>
      </c>
      <c r="I2742" s="16">
        <v>599</v>
      </c>
      <c r="J2742" s="16">
        <v>0</v>
      </c>
      <c r="K2742" s="16">
        <v>2216.3000000000002</v>
      </c>
      <c r="L2742" s="16" t="s">
        <v>118</v>
      </c>
      <c r="M2742" s="16" t="s">
        <v>119</v>
      </c>
      <c r="N2742" s="27">
        <v>45635.89166666667</v>
      </c>
      <c r="O2742" s="27">
        <v>45636.276388888888</v>
      </c>
      <c r="P2742" s="16">
        <v>5</v>
      </c>
      <c r="Q2742" s="16" t="b">
        <f>TRUE()</f>
        <v>1</v>
      </c>
      <c r="R2742" s="16" t="b">
        <f>FALSE()</f>
        <v>0</v>
      </c>
      <c r="S2742" s="17">
        <f t="shared" si="42"/>
        <v>9.1999999999999993</v>
      </c>
      <c r="T2742">
        <f>COUNTIF('👤 Customers'!$A:$A, B2742)</f>
        <v>1</v>
      </c>
      <c r="U2742">
        <f>COUNTIF('🚴 Riders'!A2741:A2801, C2742)</f>
        <v>0</v>
      </c>
      <c r="V2742">
        <f>COUNTIF('🏭 Facilities'!A2741:A2749, D2742)</f>
        <v>0</v>
      </c>
    </row>
    <row r="2743" spans="1:22">
      <c r="A2743" s="18" t="s">
        <v>6137</v>
      </c>
      <c r="B2743" s="18" t="s">
        <v>2170</v>
      </c>
      <c r="C2743" s="18" t="s">
        <v>179</v>
      </c>
      <c r="D2743" s="18" t="s">
        <v>130</v>
      </c>
      <c r="E2743" s="26">
        <v>45048</v>
      </c>
      <c r="F2743" s="18" t="s">
        <v>6138</v>
      </c>
      <c r="G2743" s="18" t="s">
        <v>176</v>
      </c>
      <c r="H2743" s="18">
        <v>7.6</v>
      </c>
      <c r="I2743" s="18">
        <v>599</v>
      </c>
      <c r="J2743" s="18">
        <v>0</v>
      </c>
      <c r="K2743" s="18">
        <v>4552.3999999999996</v>
      </c>
      <c r="L2743" s="18" t="s">
        <v>118</v>
      </c>
      <c r="M2743" s="18" t="s">
        <v>119</v>
      </c>
      <c r="N2743" s="28">
        <v>45048.60833333333</v>
      </c>
      <c r="O2743" s="28">
        <v>45049.588888888888</v>
      </c>
      <c r="P2743" s="18">
        <v>4.8</v>
      </c>
      <c r="Q2743" s="18" t="b">
        <f>FALSE()</f>
        <v>0</v>
      </c>
      <c r="R2743" s="18" t="b">
        <f>FALSE()</f>
        <v>0</v>
      </c>
      <c r="S2743" s="19">
        <f t="shared" si="42"/>
        <v>23.5</v>
      </c>
      <c r="T2743">
        <f>COUNTIF('👤 Customers'!$A:$A, B2743)</f>
        <v>1</v>
      </c>
      <c r="U2743">
        <f>COUNTIF('🚴 Riders'!A2742:A2802, C2743)</f>
        <v>0</v>
      </c>
      <c r="V2743">
        <f>COUNTIF('🏭 Facilities'!A2742:A2750, D2743)</f>
        <v>0</v>
      </c>
    </row>
    <row r="2744" spans="1:22">
      <c r="A2744" s="16" t="s">
        <v>6139</v>
      </c>
      <c r="B2744" s="16" t="s">
        <v>282</v>
      </c>
      <c r="C2744" s="16" t="s">
        <v>114</v>
      </c>
      <c r="D2744" s="16" t="s">
        <v>158</v>
      </c>
      <c r="E2744" s="25">
        <v>45469</v>
      </c>
      <c r="F2744" s="16" t="s">
        <v>6140</v>
      </c>
      <c r="G2744" s="16" t="s">
        <v>176</v>
      </c>
      <c r="H2744" s="16">
        <v>5.0999999999999996</v>
      </c>
      <c r="I2744" s="16">
        <v>599</v>
      </c>
      <c r="J2744" s="16">
        <v>10</v>
      </c>
      <c r="K2744" s="16">
        <v>2749.41</v>
      </c>
      <c r="L2744" s="16" t="s">
        <v>126</v>
      </c>
      <c r="M2744" s="16" t="s">
        <v>119</v>
      </c>
      <c r="N2744" s="27">
        <v>45469.76666666667</v>
      </c>
      <c r="O2744" s="27">
        <v>45470.578472222223</v>
      </c>
      <c r="P2744" s="16">
        <v>2.6</v>
      </c>
      <c r="Q2744" s="16" t="b">
        <f>FALSE()</f>
        <v>0</v>
      </c>
      <c r="R2744" s="16" t="b">
        <f>FALSE()</f>
        <v>0</v>
      </c>
      <c r="S2744" s="17">
        <f t="shared" si="42"/>
        <v>19.5</v>
      </c>
      <c r="T2744">
        <f>COUNTIF('👤 Customers'!$A:$A, B2744)</f>
        <v>1</v>
      </c>
      <c r="U2744">
        <f>COUNTIF('🚴 Riders'!A2743:A2803, C2744)</f>
        <v>0</v>
      </c>
      <c r="V2744">
        <f>COUNTIF('🏭 Facilities'!A2743:A2751, D2744)</f>
        <v>0</v>
      </c>
    </row>
    <row r="2745" spans="1:22">
      <c r="A2745" s="18" t="s">
        <v>6141</v>
      </c>
      <c r="B2745" s="18" t="s">
        <v>239</v>
      </c>
      <c r="C2745" s="18" t="s">
        <v>1092</v>
      </c>
      <c r="D2745" s="18" t="s">
        <v>130</v>
      </c>
      <c r="E2745" s="26">
        <v>45195</v>
      </c>
      <c r="F2745" s="18" t="s">
        <v>6142</v>
      </c>
      <c r="G2745" s="18" t="s">
        <v>125</v>
      </c>
      <c r="H2745" s="18">
        <v>3.6</v>
      </c>
      <c r="I2745" s="18">
        <v>199</v>
      </c>
      <c r="J2745" s="18">
        <v>0</v>
      </c>
      <c r="K2745" s="18">
        <v>716.4</v>
      </c>
      <c r="L2745" s="18" t="s">
        <v>139</v>
      </c>
      <c r="M2745" s="18" t="s">
        <v>133</v>
      </c>
      <c r="N2745" s="20"/>
      <c r="O2745" s="20"/>
      <c r="P2745" s="20"/>
      <c r="Q2745" s="18" t="b">
        <f>FALSE()</f>
        <v>0</v>
      </c>
      <c r="R2745" s="18" t="b">
        <f>FALSE()</f>
        <v>0</v>
      </c>
      <c r="S2745" s="19" t="str">
        <f t="shared" si="42"/>
        <v>N/A</v>
      </c>
      <c r="T2745">
        <f>COUNTIF('👤 Customers'!$A:$A, B2745)</f>
        <v>1</v>
      </c>
      <c r="U2745">
        <f>COUNTIF('🚴 Riders'!A2744:A2804, C2745)</f>
        <v>0</v>
      </c>
      <c r="V2745">
        <f>COUNTIF('🏭 Facilities'!A2744:A2752, D2745)</f>
        <v>0</v>
      </c>
    </row>
    <row r="2746" spans="1:22">
      <c r="A2746" s="16" t="s">
        <v>6143</v>
      </c>
      <c r="B2746" s="16" t="s">
        <v>791</v>
      </c>
      <c r="C2746" s="16" t="s">
        <v>1092</v>
      </c>
      <c r="D2746" s="16" t="s">
        <v>205</v>
      </c>
      <c r="E2746" s="25">
        <v>45186</v>
      </c>
      <c r="F2746" s="16" t="s">
        <v>6144</v>
      </c>
      <c r="G2746" s="16" t="s">
        <v>132</v>
      </c>
      <c r="H2746" s="16">
        <v>1.5</v>
      </c>
      <c r="I2746" s="16">
        <v>399</v>
      </c>
      <c r="J2746" s="16">
        <v>30</v>
      </c>
      <c r="K2746" s="16">
        <v>418.95</v>
      </c>
      <c r="L2746" s="16" t="s">
        <v>146</v>
      </c>
      <c r="M2746" s="16" t="s">
        <v>119</v>
      </c>
      <c r="N2746" s="27">
        <v>45187.009722222225</v>
      </c>
      <c r="O2746" s="27">
        <v>45187.574305555558</v>
      </c>
      <c r="P2746" s="16">
        <v>4.0999999999999996</v>
      </c>
      <c r="Q2746" s="16" t="b">
        <f>FALSE()</f>
        <v>0</v>
      </c>
      <c r="R2746" s="16" t="b">
        <f>FALSE()</f>
        <v>0</v>
      </c>
      <c r="S2746" s="17">
        <f t="shared" si="42"/>
        <v>13.5</v>
      </c>
      <c r="T2746">
        <f>COUNTIF('👤 Customers'!$A:$A, B2746)</f>
        <v>1</v>
      </c>
      <c r="U2746">
        <f>COUNTIF('🚴 Riders'!A2745:A2805, C2746)</f>
        <v>0</v>
      </c>
      <c r="V2746">
        <f>COUNTIF('🏭 Facilities'!A2745:A2753, D2746)</f>
        <v>0</v>
      </c>
    </row>
    <row r="2747" spans="1:22">
      <c r="A2747" s="18" t="s">
        <v>6145</v>
      </c>
      <c r="B2747" s="18" t="s">
        <v>835</v>
      </c>
      <c r="C2747" s="18" t="s">
        <v>183</v>
      </c>
      <c r="D2747" s="18" t="s">
        <v>205</v>
      </c>
      <c r="E2747" s="26">
        <v>45309</v>
      </c>
      <c r="F2747" s="18" t="s">
        <v>6146</v>
      </c>
      <c r="G2747" s="18" t="s">
        <v>145</v>
      </c>
      <c r="H2747" s="18">
        <v>5.8</v>
      </c>
      <c r="I2747" s="18">
        <v>299</v>
      </c>
      <c r="J2747" s="18">
        <v>0</v>
      </c>
      <c r="K2747" s="18">
        <v>1734.2</v>
      </c>
      <c r="L2747" s="18" t="s">
        <v>207</v>
      </c>
      <c r="M2747" s="18" t="s">
        <v>119</v>
      </c>
      <c r="N2747" s="28">
        <v>45309.62777777778</v>
      </c>
      <c r="O2747" s="28">
        <v>45310.009027777778</v>
      </c>
      <c r="P2747" s="18">
        <v>4.8</v>
      </c>
      <c r="Q2747" s="18" t="b">
        <f>FALSE()</f>
        <v>0</v>
      </c>
      <c r="R2747" s="18" t="b">
        <f>FALSE()</f>
        <v>0</v>
      </c>
      <c r="S2747" s="19">
        <f t="shared" si="42"/>
        <v>9.1</v>
      </c>
      <c r="T2747">
        <f>COUNTIF('👤 Customers'!$A:$A, B2747)</f>
        <v>1</v>
      </c>
      <c r="U2747">
        <f>COUNTIF('🚴 Riders'!A2746:A2806, C2747)</f>
        <v>0</v>
      </c>
      <c r="V2747">
        <f>COUNTIF('🏭 Facilities'!A2746:A2754, D2747)</f>
        <v>0</v>
      </c>
    </row>
    <row r="2748" spans="1:22">
      <c r="A2748" s="16" t="s">
        <v>6147</v>
      </c>
      <c r="B2748" s="16" t="s">
        <v>1051</v>
      </c>
      <c r="C2748" s="16" t="s">
        <v>149</v>
      </c>
      <c r="D2748" s="16" t="s">
        <v>197</v>
      </c>
      <c r="E2748" s="25">
        <v>45187</v>
      </c>
      <c r="F2748" s="16" t="s">
        <v>6148</v>
      </c>
      <c r="G2748" s="16" t="s">
        <v>132</v>
      </c>
      <c r="H2748" s="16">
        <v>2.1</v>
      </c>
      <c r="I2748" s="16">
        <v>399</v>
      </c>
      <c r="J2748" s="16">
        <v>0</v>
      </c>
      <c r="K2748" s="16">
        <v>837.9</v>
      </c>
      <c r="L2748" s="16" t="s">
        <v>126</v>
      </c>
      <c r="M2748" s="16" t="s">
        <v>140</v>
      </c>
      <c r="N2748" s="27">
        <v>45187.638194444444</v>
      </c>
      <c r="O2748" s="27">
        <v>45188.671527777777</v>
      </c>
      <c r="P2748" s="20"/>
      <c r="Q2748" s="16" t="b">
        <f>TRUE()</f>
        <v>1</v>
      </c>
      <c r="R2748" s="16" t="b">
        <f>FALSE()</f>
        <v>0</v>
      </c>
      <c r="S2748" s="17">
        <f t="shared" si="42"/>
        <v>24.8</v>
      </c>
      <c r="T2748">
        <f>COUNTIF('👤 Customers'!$A:$A, B2748)</f>
        <v>1</v>
      </c>
      <c r="U2748">
        <f>COUNTIF('🚴 Riders'!A2747:A2807, C2748)</f>
        <v>0</v>
      </c>
      <c r="V2748">
        <f>COUNTIF('🏭 Facilities'!A2747:A2755, D2748)</f>
        <v>0</v>
      </c>
    </row>
    <row r="2749" spans="1:22">
      <c r="A2749" s="18" t="s">
        <v>6149</v>
      </c>
      <c r="B2749" s="18" t="s">
        <v>2384</v>
      </c>
      <c r="C2749" s="18" t="s">
        <v>287</v>
      </c>
      <c r="D2749" s="18" t="s">
        <v>123</v>
      </c>
      <c r="E2749" s="26">
        <v>45010</v>
      </c>
      <c r="F2749" s="18" t="s">
        <v>6150</v>
      </c>
      <c r="G2749" s="18" t="s">
        <v>132</v>
      </c>
      <c r="H2749" s="18">
        <v>5.0999999999999996</v>
      </c>
      <c r="I2749" s="18">
        <v>399</v>
      </c>
      <c r="J2749" s="18">
        <v>0</v>
      </c>
      <c r="K2749" s="18">
        <v>2034.9</v>
      </c>
      <c r="L2749" s="18" t="s">
        <v>207</v>
      </c>
      <c r="M2749" s="18" t="s">
        <v>133</v>
      </c>
      <c r="N2749" s="20"/>
      <c r="O2749" s="20"/>
      <c r="P2749" s="20"/>
      <c r="Q2749" s="18" t="b">
        <f>FALSE()</f>
        <v>0</v>
      </c>
      <c r="R2749" s="18" t="b">
        <f>FALSE()</f>
        <v>0</v>
      </c>
      <c r="S2749" s="19" t="str">
        <f t="shared" si="42"/>
        <v>N/A</v>
      </c>
      <c r="T2749">
        <f>COUNTIF('👤 Customers'!$A:$A, B2749)</f>
        <v>1</v>
      </c>
      <c r="U2749">
        <f>COUNTIF('🚴 Riders'!A2748:A2808, C2749)</f>
        <v>0</v>
      </c>
      <c r="V2749">
        <f>COUNTIF('🏭 Facilities'!A2748:A2756, D2749)</f>
        <v>0</v>
      </c>
    </row>
    <row r="2750" spans="1:22">
      <c r="A2750" s="16" t="s">
        <v>6151</v>
      </c>
      <c r="B2750" s="16" t="s">
        <v>785</v>
      </c>
      <c r="C2750" s="16" t="s">
        <v>580</v>
      </c>
      <c r="D2750" s="16" t="s">
        <v>158</v>
      </c>
      <c r="E2750" s="25">
        <v>45161</v>
      </c>
      <c r="F2750" s="16" t="s">
        <v>6152</v>
      </c>
      <c r="G2750" s="16" t="s">
        <v>176</v>
      </c>
      <c r="H2750" s="16">
        <v>5.7</v>
      </c>
      <c r="I2750" s="16">
        <v>599</v>
      </c>
      <c r="J2750" s="16">
        <v>20</v>
      </c>
      <c r="K2750" s="16">
        <v>2731.44</v>
      </c>
      <c r="L2750" s="16" t="s">
        <v>146</v>
      </c>
      <c r="M2750" s="16" t="s">
        <v>140</v>
      </c>
      <c r="N2750" s="27">
        <v>45161.728472222225</v>
      </c>
      <c r="O2750" s="27">
        <v>45162.579861111109</v>
      </c>
      <c r="P2750" s="20"/>
      <c r="Q2750" s="16" t="b">
        <f>TRUE()</f>
        <v>1</v>
      </c>
      <c r="R2750" s="16" t="b">
        <f>FALSE()</f>
        <v>0</v>
      </c>
      <c r="S2750" s="17">
        <f t="shared" si="42"/>
        <v>20.399999999999999</v>
      </c>
      <c r="T2750">
        <f>COUNTIF('👤 Customers'!$A:$A, B2750)</f>
        <v>1</v>
      </c>
      <c r="U2750">
        <f>COUNTIF('🚴 Riders'!A2749:A2809, C2750)</f>
        <v>0</v>
      </c>
      <c r="V2750">
        <f>COUNTIF('🏭 Facilities'!A2749:A2757, D2750)</f>
        <v>0</v>
      </c>
    </row>
    <row r="2751" spans="1:22">
      <c r="A2751" s="18" t="s">
        <v>6153</v>
      </c>
      <c r="B2751" s="18" t="s">
        <v>2195</v>
      </c>
      <c r="C2751" s="18" t="s">
        <v>304</v>
      </c>
      <c r="D2751" s="18" t="s">
        <v>205</v>
      </c>
      <c r="E2751" s="26">
        <v>45394</v>
      </c>
      <c r="F2751" s="18" t="s">
        <v>6154</v>
      </c>
      <c r="G2751" s="18" t="s">
        <v>132</v>
      </c>
      <c r="H2751" s="18">
        <v>1.1000000000000001</v>
      </c>
      <c r="I2751" s="18">
        <v>399</v>
      </c>
      <c r="J2751" s="18">
        <v>0</v>
      </c>
      <c r="K2751" s="18">
        <v>438.9</v>
      </c>
      <c r="L2751" s="18" t="s">
        <v>146</v>
      </c>
      <c r="M2751" s="18" t="s">
        <v>119</v>
      </c>
      <c r="N2751" s="28">
        <v>45394.246527777781</v>
      </c>
      <c r="O2751" s="28">
        <v>45394.993750000001</v>
      </c>
      <c r="P2751" s="18">
        <v>2.6</v>
      </c>
      <c r="Q2751" s="18" t="b">
        <f>TRUE()</f>
        <v>1</v>
      </c>
      <c r="R2751" s="18" t="b">
        <f>TRUE()</f>
        <v>1</v>
      </c>
      <c r="S2751" s="19">
        <f t="shared" si="42"/>
        <v>17.899999999999999</v>
      </c>
      <c r="T2751">
        <f>COUNTIF('👤 Customers'!$A:$A, B2751)</f>
        <v>1</v>
      </c>
      <c r="U2751">
        <f>COUNTIF('🚴 Riders'!A2750:A2810, C2751)</f>
        <v>0</v>
      </c>
      <c r="V2751">
        <f>COUNTIF('🏭 Facilities'!A2750:A2758, D2751)</f>
        <v>0</v>
      </c>
    </row>
    <row r="2752" spans="1:22">
      <c r="A2752" s="16" t="s">
        <v>6155</v>
      </c>
      <c r="B2752" s="16" t="s">
        <v>545</v>
      </c>
      <c r="C2752" s="16" t="s">
        <v>174</v>
      </c>
      <c r="D2752" s="16" t="s">
        <v>205</v>
      </c>
      <c r="E2752" s="25">
        <v>45095</v>
      </c>
      <c r="F2752" s="16" t="s">
        <v>6156</v>
      </c>
      <c r="G2752" s="16" t="s">
        <v>117</v>
      </c>
      <c r="H2752" s="16">
        <v>6</v>
      </c>
      <c r="I2752" s="16">
        <v>149</v>
      </c>
      <c r="J2752" s="16">
        <v>0</v>
      </c>
      <c r="K2752" s="16">
        <v>894</v>
      </c>
      <c r="L2752" s="16" t="s">
        <v>139</v>
      </c>
      <c r="M2752" s="16" t="s">
        <v>119</v>
      </c>
      <c r="N2752" s="27">
        <v>45095.363194444442</v>
      </c>
      <c r="O2752" s="27">
        <v>45096.268055555556</v>
      </c>
      <c r="P2752" s="16">
        <v>5</v>
      </c>
      <c r="Q2752" s="16" t="b">
        <f>FALSE()</f>
        <v>0</v>
      </c>
      <c r="R2752" s="16" t="b">
        <f>FALSE()</f>
        <v>0</v>
      </c>
      <c r="S2752" s="17">
        <f t="shared" si="42"/>
        <v>21.7</v>
      </c>
      <c r="T2752">
        <f>COUNTIF('👤 Customers'!$A:$A, B2752)</f>
        <v>1</v>
      </c>
      <c r="U2752">
        <f>COUNTIF('🚴 Riders'!A2751:A2811, C2752)</f>
        <v>0</v>
      </c>
      <c r="V2752">
        <f>COUNTIF('🏭 Facilities'!A2751:A2759, D2752)</f>
        <v>0</v>
      </c>
    </row>
    <row r="2753" spans="1:22">
      <c r="A2753" s="18" t="s">
        <v>6157</v>
      </c>
      <c r="B2753" s="18" t="s">
        <v>1322</v>
      </c>
      <c r="C2753" s="18" t="s">
        <v>129</v>
      </c>
      <c r="D2753" s="18" t="s">
        <v>197</v>
      </c>
      <c r="E2753" s="26">
        <v>45425</v>
      </c>
      <c r="F2753" s="18" t="s">
        <v>1401</v>
      </c>
      <c r="G2753" s="18" t="s">
        <v>176</v>
      </c>
      <c r="H2753" s="18">
        <v>6</v>
      </c>
      <c r="I2753" s="18">
        <v>599</v>
      </c>
      <c r="J2753" s="18">
        <v>10</v>
      </c>
      <c r="K2753" s="18">
        <v>3234.6</v>
      </c>
      <c r="L2753" s="18" t="s">
        <v>126</v>
      </c>
      <c r="M2753" s="18" t="s">
        <v>133</v>
      </c>
      <c r="N2753" s="20"/>
      <c r="O2753" s="20"/>
      <c r="P2753" s="20"/>
      <c r="Q2753" s="18" t="b">
        <f>FALSE()</f>
        <v>0</v>
      </c>
      <c r="R2753" s="18" t="b">
        <f>FALSE()</f>
        <v>0</v>
      </c>
      <c r="S2753" s="19" t="str">
        <f t="shared" si="42"/>
        <v>N/A</v>
      </c>
      <c r="T2753">
        <f>COUNTIF('👤 Customers'!$A:$A, B2753)</f>
        <v>1</v>
      </c>
      <c r="U2753">
        <f>COUNTIF('🚴 Riders'!A2752:A2812, C2753)</f>
        <v>0</v>
      </c>
      <c r="V2753">
        <f>COUNTIF('🏭 Facilities'!A2752:A2760, D2753)</f>
        <v>0</v>
      </c>
    </row>
    <row r="2754" spans="1:22">
      <c r="A2754" s="16" t="s">
        <v>6158</v>
      </c>
      <c r="B2754" s="16" t="s">
        <v>279</v>
      </c>
      <c r="C2754" s="16" t="s">
        <v>247</v>
      </c>
      <c r="D2754" s="16" t="s">
        <v>115</v>
      </c>
      <c r="E2754" s="25">
        <v>45162</v>
      </c>
      <c r="F2754" s="16" t="s">
        <v>6159</v>
      </c>
      <c r="G2754" s="16" t="s">
        <v>145</v>
      </c>
      <c r="H2754" s="16">
        <v>1.2</v>
      </c>
      <c r="I2754" s="16">
        <v>299</v>
      </c>
      <c r="J2754" s="16">
        <v>0</v>
      </c>
      <c r="K2754" s="16">
        <v>358.8</v>
      </c>
      <c r="L2754" s="16" t="s">
        <v>139</v>
      </c>
      <c r="M2754" s="16" t="s">
        <v>140</v>
      </c>
      <c r="N2754" s="27">
        <v>45162.736111111109</v>
      </c>
      <c r="O2754" s="27">
        <v>45163.786111111112</v>
      </c>
      <c r="P2754" s="20"/>
      <c r="Q2754" s="16" t="b">
        <f>FALSE()</f>
        <v>0</v>
      </c>
      <c r="R2754" s="16" t="b">
        <f>TRUE()</f>
        <v>1</v>
      </c>
      <c r="S2754" s="17">
        <f t="shared" ref="S2754:S2817" si="43">IF(OR(N2754="",O2754=""),"N/A",ROUND(((O2754-N2754)*24),1))</f>
        <v>25.2</v>
      </c>
      <c r="T2754">
        <f>COUNTIF('👤 Customers'!$A:$A, B2754)</f>
        <v>1</v>
      </c>
      <c r="U2754">
        <f>COUNTIF('🚴 Riders'!A2753:A2813, C2754)</f>
        <v>0</v>
      </c>
      <c r="V2754">
        <f>COUNTIF('🏭 Facilities'!A2753:A2761, D2754)</f>
        <v>0</v>
      </c>
    </row>
    <row r="2755" spans="1:22">
      <c r="A2755" s="18" t="s">
        <v>6160</v>
      </c>
      <c r="B2755" s="18" t="s">
        <v>678</v>
      </c>
      <c r="C2755" s="18" t="s">
        <v>174</v>
      </c>
      <c r="D2755" s="18" t="s">
        <v>115</v>
      </c>
      <c r="E2755" s="26">
        <v>45016</v>
      </c>
      <c r="F2755" s="18" t="s">
        <v>6161</v>
      </c>
      <c r="G2755" s="18" t="s">
        <v>132</v>
      </c>
      <c r="H2755" s="18">
        <v>5.9</v>
      </c>
      <c r="I2755" s="18">
        <v>399</v>
      </c>
      <c r="J2755" s="18">
        <v>10</v>
      </c>
      <c r="K2755" s="18">
        <v>2118.69</v>
      </c>
      <c r="L2755" s="18" t="s">
        <v>118</v>
      </c>
      <c r="M2755" s="18" t="s">
        <v>119</v>
      </c>
      <c r="N2755" s="28">
        <v>45016.23333333333</v>
      </c>
      <c r="O2755" s="28">
        <v>45017.206250000003</v>
      </c>
      <c r="P2755" s="18">
        <v>4.0999999999999996</v>
      </c>
      <c r="Q2755" s="18" t="b">
        <f>FALSE()</f>
        <v>0</v>
      </c>
      <c r="R2755" s="18" t="b">
        <f>FALSE()</f>
        <v>0</v>
      </c>
      <c r="S2755" s="19">
        <f t="shared" si="43"/>
        <v>23.4</v>
      </c>
      <c r="T2755">
        <f>COUNTIF('👤 Customers'!$A:$A, B2755)</f>
        <v>1</v>
      </c>
      <c r="U2755">
        <f>COUNTIF('🚴 Riders'!A2754:A2814, C2755)</f>
        <v>0</v>
      </c>
      <c r="V2755">
        <f>COUNTIF('🏭 Facilities'!A2754:A2762, D2755)</f>
        <v>0</v>
      </c>
    </row>
    <row r="2756" spans="1:22">
      <c r="A2756" s="16" t="s">
        <v>6162</v>
      </c>
      <c r="B2756" s="16" t="s">
        <v>1282</v>
      </c>
      <c r="C2756" s="16" t="s">
        <v>842</v>
      </c>
      <c r="D2756" s="16" t="s">
        <v>184</v>
      </c>
      <c r="E2756" s="25">
        <v>45131</v>
      </c>
      <c r="F2756" s="16" t="s">
        <v>6163</v>
      </c>
      <c r="G2756" s="16" t="s">
        <v>176</v>
      </c>
      <c r="H2756" s="16">
        <v>7.3</v>
      </c>
      <c r="I2756" s="16">
        <v>599</v>
      </c>
      <c r="J2756" s="16">
        <v>10</v>
      </c>
      <c r="K2756" s="16">
        <v>3935.43</v>
      </c>
      <c r="L2756" s="16" t="s">
        <v>207</v>
      </c>
      <c r="M2756" s="16" t="s">
        <v>133</v>
      </c>
      <c r="N2756" s="20"/>
      <c r="O2756" s="20"/>
      <c r="P2756" s="20"/>
      <c r="Q2756" s="16" t="b">
        <f>FALSE()</f>
        <v>0</v>
      </c>
      <c r="R2756" s="16" t="b">
        <f>FALSE()</f>
        <v>0</v>
      </c>
      <c r="S2756" s="17" t="str">
        <f t="shared" si="43"/>
        <v>N/A</v>
      </c>
      <c r="T2756">
        <f>COUNTIF('👤 Customers'!$A:$A, B2756)</f>
        <v>1</v>
      </c>
      <c r="U2756">
        <f>COUNTIF('🚴 Riders'!A2755:A2815, C2756)</f>
        <v>0</v>
      </c>
      <c r="V2756">
        <f>COUNTIF('🏭 Facilities'!A2755:A2763, D2756)</f>
        <v>0</v>
      </c>
    </row>
    <row r="2757" spans="1:22">
      <c r="A2757" s="18" t="s">
        <v>6164</v>
      </c>
      <c r="B2757" s="18" t="s">
        <v>562</v>
      </c>
      <c r="C2757" s="18" t="s">
        <v>354</v>
      </c>
      <c r="D2757" s="18" t="s">
        <v>205</v>
      </c>
      <c r="E2757" s="26">
        <v>45128</v>
      </c>
      <c r="F2757" s="18" t="s">
        <v>6165</v>
      </c>
      <c r="G2757" s="18" t="s">
        <v>145</v>
      </c>
      <c r="H2757" s="18">
        <v>3.6</v>
      </c>
      <c r="I2757" s="18">
        <v>299</v>
      </c>
      <c r="J2757" s="18">
        <v>30</v>
      </c>
      <c r="K2757" s="18">
        <v>753.48</v>
      </c>
      <c r="L2757" s="18" t="s">
        <v>139</v>
      </c>
      <c r="M2757" s="18" t="s">
        <v>119</v>
      </c>
      <c r="N2757" s="28">
        <v>45128.820833333331</v>
      </c>
      <c r="O2757" s="28">
        <v>45129.798611111109</v>
      </c>
      <c r="P2757" s="18">
        <v>4.5999999999999996</v>
      </c>
      <c r="Q2757" s="18" t="b">
        <f>FALSE()</f>
        <v>0</v>
      </c>
      <c r="R2757" s="18" t="b">
        <f>FALSE()</f>
        <v>0</v>
      </c>
      <c r="S2757" s="19">
        <f t="shared" si="43"/>
        <v>23.5</v>
      </c>
      <c r="T2757">
        <f>COUNTIF('👤 Customers'!$A:$A, B2757)</f>
        <v>1</v>
      </c>
      <c r="U2757">
        <f>COUNTIF('🚴 Riders'!A2756:A2816, C2757)</f>
        <v>0</v>
      </c>
      <c r="V2757">
        <f>COUNTIF('🏭 Facilities'!A2756:A2764, D2757)</f>
        <v>0</v>
      </c>
    </row>
    <row r="2758" spans="1:22">
      <c r="A2758" s="16" t="s">
        <v>6166</v>
      </c>
      <c r="B2758" s="16" t="s">
        <v>1480</v>
      </c>
      <c r="C2758" s="16" t="s">
        <v>257</v>
      </c>
      <c r="D2758" s="16" t="s">
        <v>158</v>
      </c>
      <c r="E2758" s="25">
        <v>45090</v>
      </c>
      <c r="F2758" s="16" t="s">
        <v>6167</v>
      </c>
      <c r="G2758" s="16" t="s">
        <v>125</v>
      </c>
      <c r="H2758" s="16">
        <v>3</v>
      </c>
      <c r="I2758" s="16">
        <v>199</v>
      </c>
      <c r="J2758" s="16">
        <v>0</v>
      </c>
      <c r="K2758" s="16">
        <v>597</v>
      </c>
      <c r="L2758" s="16" t="s">
        <v>118</v>
      </c>
      <c r="M2758" s="16" t="s">
        <v>119</v>
      </c>
      <c r="N2758" s="27">
        <v>45091.09652777778</v>
      </c>
      <c r="O2758" s="27">
        <v>45091.693055555559</v>
      </c>
      <c r="P2758" s="16">
        <v>4.0999999999999996</v>
      </c>
      <c r="Q2758" s="16" t="b">
        <f>FALSE()</f>
        <v>0</v>
      </c>
      <c r="R2758" s="16" t="b">
        <f>FALSE()</f>
        <v>0</v>
      </c>
      <c r="S2758" s="17">
        <f t="shared" si="43"/>
        <v>14.3</v>
      </c>
      <c r="T2758">
        <f>COUNTIF('👤 Customers'!$A:$A, B2758)</f>
        <v>1</v>
      </c>
      <c r="U2758">
        <f>COUNTIF('🚴 Riders'!A2757:A2817, C2758)</f>
        <v>0</v>
      </c>
      <c r="V2758">
        <f>COUNTIF('🏭 Facilities'!A2757:A2765, D2758)</f>
        <v>0</v>
      </c>
    </row>
    <row r="2759" spans="1:22">
      <c r="A2759" s="18" t="s">
        <v>6168</v>
      </c>
      <c r="B2759" s="18" t="s">
        <v>673</v>
      </c>
      <c r="C2759" s="18" t="s">
        <v>179</v>
      </c>
      <c r="D2759" s="18" t="s">
        <v>130</v>
      </c>
      <c r="E2759" s="26">
        <v>45337</v>
      </c>
      <c r="F2759" s="18" t="s">
        <v>6169</v>
      </c>
      <c r="G2759" s="18" t="s">
        <v>145</v>
      </c>
      <c r="H2759" s="18">
        <v>2</v>
      </c>
      <c r="I2759" s="18">
        <v>299</v>
      </c>
      <c r="J2759" s="18">
        <v>10</v>
      </c>
      <c r="K2759" s="18">
        <v>538.20000000000005</v>
      </c>
      <c r="L2759" s="18" t="s">
        <v>126</v>
      </c>
      <c r="M2759" s="18" t="s">
        <v>133</v>
      </c>
      <c r="N2759" s="20"/>
      <c r="O2759" s="20"/>
      <c r="P2759" s="20"/>
      <c r="Q2759" s="18" t="b">
        <f>FALSE()</f>
        <v>0</v>
      </c>
      <c r="R2759" s="18" t="b">
        <f>TRUE()</f>
        <v>1</v>
      </c>
      <c r="S2759" s="19" t="str">
        <f t="shared" si="43"/>
        <v>N/A</v>
      </c>
      <c r="T2759">
        <f>COUNTIF('👤 Customers'!$A:$A, B2759)</f>
        <v>1</v>
      </c>
      <c r="U2759">
        <f>COUNTIF('🚴 Riders'!A2758:A2818, C2759)</f>
        <v>0</v>
      </c>
      <c r="V2759">
        <f>COUNTIF('🏭 Facilities'!A2758:A2766, D2759)</f>
        <v>0</v>
      </c>
    </row>
    <row r="2760" spans="1:22">
      <c r="A2760" s="16" t="s">
        <v>6170</v>
      </c>
      <c r="B2760" s="16" t="s">
        <v>2577</v>
      </c>
      <c r="C2760" s="16" t="s">
        <v>1092</v>
      </c>
      <c r="D2760" s="16" t="s">
        <v>205</v>
      </c>
      <c r="E2760" s="25">
        <v>45137</v>
      </c>
      <c r="F2760" s="16" t="s">
        <v>6171</v>
      </c>
      <c r="G2760" s="16" t="s">
        <v>176</v>
      </c>
      <c r="H2760" s="16">
        <v>7.4</v>
      </c>
      <c r="I2760" s="16">
        <v>599</v>
      </c>
      <c r="J2760" s="16">
        <v>0</v>
      </c>
      <c r="K2760" s="16">
        <v>4432.6000000000004</v>
      </c>
      <c r="L2760" s="16" t="s">
        <v>118</v>
      </c>
      <c r="M2760" s="16" t="s">
        <v>119</v>
      </c>
      <c r="N2760" s="27">
        <v>45137.813888888886</v>
      </c>
      <c r="O2760" s="27">
        <v>45138.489583333336</v>
      </c>
      <c r="P2760" s="16">
        <v>3.7</v>
      </c>
      <c r="Q2760" s="16" t="b">
        <f>FALSE()</f>
        <v>0</v>
      </c>
      <c r="R2760" s="16" t="b">
        <f>FALSE()</f>
        <v>0</v>
      </c>
      <c r="S2760" s="17">
        <f t="shared" si="43"/>
        <v>16.2</v>
      </c>
      <c r="T2760">
        <f>COUNTIF('👤 Customers'!$A:$A, B2760)</f>
        <v>1</v>
      </c>
      <c r="U2760">
        <f>COUNTIF('🚴 Riders'!A2759:A2819, C2760)</f>
        <v>0</v>
      </c>
      <c r="V2760">
        <f>COUNTIF('🏭 Facilities'!A2759:A2767, D2760)</f>
        <v>0</v>
      </c>
    </row>
    <row r="2761" spans="1:22">
      <c r="A2761" s="18" t="s">
        <v>6172</v>
      </c>
      <c r="B2761" s="18" t="s">
        <v>3703</v>
      </c>
      <c r="C2761" s="18" t="s">
        <v>192</v>
      </c>
      <c r="D2761" s="18" t="s">
        <v>205</v>
      </c>
      <c r="E2761" s="26">
        <v>45318</v>
      </c>
      <c r="F2761" s="18" t="s">
        <v>6173</v>
      </c>
      <c r="G2761" s="18" t="s">
        <v>125</v>
      </c>
      <c r="H2761" s="18">
        <v>5.8</v>
      </c>
      <c r="I2761" s="18">
        <v>199</v>
      </c>
      <c r="J2761" s="18">
        <v>20</v>
      </c>
      <c r="K2761" s="18">
        <v>923.36</v>
      </c>
      <c r="L2761" s="18" t="s">
        <v>118</v>
      </c>
      <c r="M2761" s="18" t="s">
        <v>119</v>
      </c>
      <c r="N2761" s="28">
        <v>45318.561805555553</v>
      </c>
      <c r="O2761" s="28">
        <v>45319.168055555558</v>
      </c>
      <c r="P2761" s="18">
        <v>4.0999999999999996</v>
      </c>
      <c r="Q2761" s="18" t="b">
        <f>FALSE()</f>
        <v>0</v>
      </c>
      <c r="R2761" s="18" t="b">
        <f>FALSE()</f>
        <v>0</v>
      </c>
      <c r="S2761" s="19">
        <f t="shared" si="43"/>
        <v>14.6</v>
      </c>
      <c r="T2761">
        <f>COUNTIF('👤 Customers'!$A:$A, B2761)</f>
        <v>1</v>
      </c>
      <c r="U2761">
        <f>COUNTIF('🚴 Riders'!A2760:A2820, C2761)</f>
        <v>0</v>
      </c>
      <c r="V2761">
        <f>COUNTIF('🏭 Facilities'!A2760:A2768, D2761)</f>
        <v>0</v>
      </c>
    </row>
    <row r="2762" spans="1:22">
      <c r="A2762" s="16" t="s">
        <v>6174</v>
      </c>
      <c r="B2762" s="16" t="s">
        <v>1191</v>
      </c>
      <c r="C2762" s="16" t="s">
        <v>157</v>
      </c>
      <c r="D2762" s="16" t="s">
        <v>158</v>
      </c>
      <c r="E2762" s="25">
        <v>45451</v>
      </c>
      <c r="F2762" s="16" t="s">
        <v>6175</v>
      </c>
      <c r="G2762" s="16" t="s">
        <v>145</v>
      </c>
      <c r="H2762" s="16">
        <v>4.5999999999999996</v>
      </c>
      <c r="I2762" s="16">
        <v>299</v>
      </c>
      <c r="J2762" s="16">
        <v>0</v>
      </c>
      <c r="K2762" s="16">
        <v>1375.4</v>
      </c>
      <c r="L2762" s="16" t="s">
        <v>118</v>
      </c>
      <c r="M2762" s="16" t="s">
        <v>133</v>
      </c>
      <c r="N2762" s="20"/>
      <c r="O2762" s="20"/>
      <c r="P2762" s="20"/>
      <c r="Q2762" s="16" t="b">
        <f>FALSE()</f>
        <v>0</v>
      </c>
      <c r="R2762" s="16" t="b">
        <f>TRUE()</f>
        <v>1</v>
      </c>
      <c r="S2762" s="17" t="str">
        <f t="shared" si="43"/>
        <v>N/A</v>
      </c>
      <c r="T2762">
        <f>COUNTIF('👤 Customers'!$A:$A, B2762)</f>
        <v>1</v>
      </c>
      <c r="U2762">
        <f>COUNTIF('🚴 Riders'!A2761:A2821, C2762)</f>
        <v>0</v>
      </c>
      <c r="V2762">
        <f>COUNTIF('🏭 Facilities'!A2761:A2769, D2762)</f>
        <v>0</v>
      </c>
    </row>
    <row r="2763" spans="1:22">
      <c r="A2763" s="18" t="s">
        <v>6176</v>
      </c>
      <c r="B2763" s="18" t="s">
        <v>212</v>
      </c>
      <c r="C2763" s="18" t="s">
        <v>129</v>
      </c>
      <c r="D2763" s="18" t="s">
        <v>197</v>
      </c>
      <c r="E2763" s="26">
        <v>45214</v>
      </c>
      <c r="F2763" s="18" t="s">
        <v>6177</v>
      </c>
      <c r="G2763" s="18" t="s">
        <v>176</v>
      </c>
      <c r="H2763" s="18">
        <v>3.9</v>
      </c>
      <c r="I2763" s="18">
        <v>599</v>
      </c>
      <c r="J2763" s="18">
        <v>0</v>
      </c>
      <c r="K2763" s="18">
        <v>2336.1</v>
      </c>
      <c r="L2763" s="18" t="s">
        <v>207</v>
      </c>
      <c r="M2763" s="18" t="s">
        <v>119</v>
      </c>
      <c r="N2763" s="28">
        <v>45214.825694444444</v>
      </c>
      <c r="O2763" s="28">
        <v>45215.259722222225</v>
      </c>
      <c r="P2763" s="18">
        <v>3.7</v>
      </c>
      <c r="Q2763" s="18" t="b">
        <f>FALSE()</f>
        <v>0</v>
      </c>
      <c r="R2763" s="18" t="b">
        <f>FALSE()</f>
        <v>0</v>
      </c>
      <c r="S2763" s="19">
        <f t="shared" si="43"/>
        <v>10.4</v>
      </c>
      <c r="T2763">
        <f>COUNTIF('👤 Customers'!$A:$A, B2763)</f>
        <v>1</v>
      </c>
      <c r="U2763">
        <f>COUNTIF('🚴 Riders'!A2762:A2822, C2763)</f>
        <v>0</v>
      </c>
      <c r="V2763">
        <f>COUNTIF('🏭 Facilities'!A2762:A2770, D2763)</f>
        <v>0</v>
      </c>
    </row>
    <row r="2764" spans="1:22">
      <c r="A2764" s="16" t="s">
        <v>6178</v>
      </c>
      <c r="B2764" s="16" t="s">
        <v>1837</v>
      </c>
      <c r="C2764" s="16" t="s">
        <v>240</v>
      </c>
      <c r="D2764" s="16" t="s">
        <v>184</v>
      </c>
      <c r="E2764" s="25">
        <v>45340</v>
      </c>
      <c r="F2764" s="16" t="s">
        <v>6179</v>
      </c>
      <c r="G2764" s="16" t="s">
        <v>132</v>
      </c>
      <c r="H2764" s="16">
        <v>5.3</v>
      </c>
      <c r="I2764" s="16">
        <v>399</v>
      </c>
      <c r="J2764" s="16">
        <v>10</v>
      </c>
      <c r="K2764" s="16">
        <v>1903.23</v>
      </c>
      <c r="L2764" s="16" t="s">
        <v>207</v>
      </c>
      <c r="M2764" s="16" t="s">
        <v>119</v>
      </c>
      <c r="N2764" s="27">
        <v>45340.706944444442</v>
      </c>
      <c r="O2764" s="27">
        <v>45341.513888888891</v>
      </c>
      <c r="P2764" s="16">
        <v>4.8</v>
      </c>
      <c r="Q2764" s="16" t="b">
        <f>FALSE()</f>
        <v>0</v>
      </c>
      <c r="R2764" s="16" t="b">
        <f>FALSE()</f>
        <v>0</v>
      </c>
      <c r="S2764" s="17">
        <f t="shared" si="43"/>
        <v>19.399999999999999</v>
      </c>
      <c r="T2764">
        <f>COUNTIF('👤 Customers'!$A:$A, B2764)</f>
        <v>1</v>
      </c>
      <c r="U2764">
        <f>COUNTIF('🚴 Riders'!A2763:A2823, C2764)</f>
        <v>0</v>
      </c>
      <c r="V2764">
        <f>COUNTIF('🏭 Facilities'!A2763:A2771, D2764)</f>
        <v>0</v>
      </c>
    </row>
    <row r="2765" spans="1:22">
      <c r="A2765" s="18" t="s">
        <v>6180</v>
      </c>
      <c r="B2765" s="18" t="s">
        <v>958</v>
      </c>
      <c r="C2765" s="18" t="s">
        <v>483</v>
      </c>
      <c r="D2765" s="18" t="s">
        <v>123</v>
      </c>
      <c r="E2765" s="26">
        <v>45582</v>
      </c>
      <c r="F2765" s="18" t="s">
        <v>6181</v>
      </c>
      <c r="G2765" s="18" t="s">
        <v>132</v>
      </c>
      <c r="H2765" s="18">
        <v>7.3</v>
      </c>
      <c r="I2765" s="18">
        <v>399</v>
      </c>
      <c r="J2765" s="18">
        <v>0</v>
      </c>
      <c r="K2765" s="18">
        <v>2912.7</v>
      </c>
      <c r="L2765" s="18" t="s">
        <v>118</v>
      </c>
      <c r="M2765" s="18" t="s">
        <v>119</v>
      </c>
      <c r="N2765" s="28">
        <v>45582.960416666669</v>
      </c>
      <c r="O2765" s="28">
        <v>45583.762499999997</v>
      </c>
      <c r="P2765" s="18">
        <v>4.7</v>
      </c>
      <c r="Q2765" s="18" t="b">
        <f>TRUE()</f>
        <v>1</v>
      </c>
      <c r="R2765" s="18" t="b">
        <f>FALSE()</f>
        <v>0</v>
      </c>
      <c r="S2765" s="19">
        <f t="shared" si="43"/>
        <v>19.2</v>
      </c>
      <c r="T2765">
        <f>COUNTIF('👤 Customers'!$A:$A, B2765)</f>
        <v>1</v>
      </c>
      <c r="U2765">
        <f>COUNTIF('🚴 Riders'!A2764:A2824, C2765)</f>
        <v>0</v>
      </c>
      <c r="V2765">
        <f>COUNTIF('🏭 Facilities'!A2764:A2772, D2765)</f>
        <v>0</v>
      </c>
    </row>
    <row r="2766" spans="1:22">
      <c r="A2766" s="16" t="s">
        <v>6182</v>
      </c>
      <c r="B2766" s="16" t="s">
        <v>586</v>
      </c>
      <c r="C2766" s="16" t="s">
        <v>143</v>
      </c>
      <c r="D2766" s="16" t="s">
        <v>123</v>
      </c>
      <c r="E2766" s="25">
        <v>45440</v>
      </c>
      <c r="F2766" s="16" t="s">
        <v>6183</v>
      </c>
      <c r="G2766" s="16" t="s">
        <v>176</v>
      </c>
      <c r="H2766" s="16">
        <v>3</v>
      </c>
      <c r="I2766" s="16">
        <v>599</v>
      </c>
      <c r="J2766" s="16">
        <v>0</v>
      </c>
      <c r="K2766" s="16">
        <v>1797</v>
      </c>
      <c r="L2766" s="16" t="s">
        <v>207</v>
      </c>
      <c r="M2766" s="16" t="s">
        <v>119</v>
      </c>
      <c r="N2766" s="27">
        <v>45440.174305555556</v>
      </c>
      <c r="O2766" s="27">
        <v>45440.756944444445</v>
      </c>
      <c r="P2766" s="16">
        <v>4.0999999999999996</v>
      </c>
      <c r="Q2766" s="16" t="b">
        <f>TRUE()</f>
        <v>1</v>
      </c>
      <c r="R2766" s="16" t="b">
        <f>FALSE()</f>
        <v>0</v>
      </c>
      <c r="S2766" s="17">
        <f t="shared" si="43"/>
        <v>14</v>
      </c>
      <c r="T2766">
        <f>COUNTIF('👤 Customers'!$A:$A, B2766)</f>
        <v>1</v>
      </c>
      <c r="U2766">
        <f>COUNTIF('🚴 Riders'!A2765:A2825, C2766)</f>
        <v>0</v>
      </c>
      <c r="V2766">
        <f>COUNTIF('🏭 Facilities'!A2765:A2773, D2766)</f>
        <v>0</v>
      </c>
    </row>
    <row r="2767" spans="1:22">
      <c r="A2767" s="18" t="s">
        <v>6184</v>
      </c>
      <c r="B2767" s="18" t="s">
        <v>1873</v>
      </c>
      <c r="C2767" s="18" t="s">
        <v>174</v>
      </c>
      <c r="D2767" s="18" t="s">
        <v>158</v>
      </c>
      <c r="E2767" s="26">
        <v>45112</v>
      </c>
      <c r="F2767" s="18" t="s">
        <v>6185</v>
      </c>
      <c r="G2767" s="18" t="s">
        <v>125</v>
      </c>
      <c r="H2767" s="18">
        <v>6.8</v>
      </c>
      <c r="I2767" s="18">
        <v>199</v>
      </c>
      <c r="J2767" s="18">
        <v>0</v>
      </c>
      <c r="K2767" s="18">
        <v>1353.2</v>
      </c>
      <c r="L2767" s="18" t="s">
        <v>139</v>
      </c>
      <c r="M2767" s="18" t="s">
        <v>140</v>
      </c>
      <c r="N2767" s="28">
        <v>45112.248611111114</v>
      </c>
      <c r="O2767" s="28">
        <v>45113.336111111108</v>
      </c>
      <c r="P2767" s="20"/>
      <c r="Q2767" s="18" t="b">
        <f>FALSE()</f>
        <v>0</v>
      </c>
      <c r="R2767" s="18" t="b">
        <f>FALSE()</f>
        <v>0</v>
      </c>
      <c r="S2767" s="19">
        <f t="shared" si="43"/>
        <v>26.1</v>
      </c>
      <c r="T2767">
        <f>COUNTIF('👤 Customers'!$A:$A, B2767)</f>
        <v>1</v>
      </c>
      <c r="U2767">
        <f>COUNTIF('🚴 Riders'!A2766:A2826, C2767)</f>
        <v>0</v>
      </c>
      <c r="V2767">
        <f>COUNTIF('🏭 Facilities'!A2766:A2774, D2767)</f>
        <v>0</v>
      </c>
    </row>
    <row r="2768" spans="1:22">
      <c r="A2768" s="16" t="s">
        <v>6186</v>
      </c>
      <c r="B2768" s="16" t="s">
        <v>1886</v>
      </c>
      <c r="C2768" s="16" t="s">
        <v>413</v>
      </c>
      <c r="D2768" s="16" t="s">
        <v>184</v>
      </c>
      <c r="E2768" s="25">
        <v>45126</v>
      </c>
      <c r="F2768" s="16" t="s">
        <v>6187</v>
      </c>
      <c r="G2768" s="16" t="s">
        <v>145</v>
      </c>
      <c r="H2768" s="16">
        <v>4.4000000000000004</v>
      </c>
      <c r="I2768" s="16">
        <v>299</v>
      </c>
      <c r="J2768" s="16">
        <v>10</v>
      </c>
      <c r="K2768" s="16">
        <v>1184.04</v>
      </c>
      <c r="L2768" s="16" t="s">
        <v>146</v>
      </c>
      <c r="M2768" s="16" t="s">
        <v>119</v>
      </c>
      <c r="N2768" s="27">
        <v>45126.747916666667</v>
      </c>
      <c r="O2768" s="27">
        <v>45127.168055555558</v>
      </c>
      <c r="P2768" s="16">
        <v>3.1</v>
      </c>
      <c r="Q2768" s="16" t="b">
        <f>FALSE()</f>
        <v>0</v>
      </c>
      <c r="R2768" s="16" t="b">
        <f>FALSE()</f>
        <v>0</v>
      </c>
      <c r="S2768" s="17">
        <f t="shared" si="43"/>
        <v>10.1</v>
      </c>
      <c r="T2768">
        <f>COUNTIF('👤 Customers'!$A:$A, B2768)</f>
        <v>1</v>
      </c>
      <c r="U2768">
        <f>COUNTIF('🚴 Riders'!A2767:A2827, C2768)</f>
        <v>0</v>
      </c>
      <c r="V2768">
        <f>COUNTIF('🏭 Facilities'!A2767:A2775, D2768)</f>
        <v>0</v>
      </c>
    </row>
    <row r="2769" spans="1:22">
      <c r="A2769" s="18" t="s">
        <v>6188</v>
      </c>
      <c r="B2769" s="18" t="s">
        <v>667</v>
      </c>
      <c r="C2769" s="18" t="s">
        <v>157</v>
      </c>
      <c r="D2769" s="18" t="s">
        <v>205</v>
      </c>
      <c r="E2769" s="26">
        <v>45584</v>
      </c>
      <c r="F2769" s="18" t="s">
        <v>6189</v>
      </c>
      <c r="G2769" s="18" t="s">
        <v>176</v>
      </c>
      <c r="H2769" s="18">
        <v>2.2000000000000002</v>
      </c>
      <c r="I2769" s="18">
        <v>599</v>
      </c>
      <c r="J2769" s="18">
        <v>0</v>
      </c>
      <c r="K2769" s="18">
        <v>1317.8</v>
      </c>
      <c r="L2769" s="18" t="s">
        <v>207</v>
      </c>
      <c r="M2769" s="18" t="s">
        <v>119</v>
      </c>
      <c r="N2769" s="28">
        <v>45584.365277777775</v>
      </c>
      <c r="O2769" s="28">
        <v>45585.051388888889</v>
      </c>
      <c r="P2769" s="18">
        <v>3</v>
      </c>
      <c r="Q2769" s="18" t="b">
        <f>FALSE()</f>
        <v>0</v>
      </c>
      <c r="R2769" s="18" t="b">
        <f>FALSE()</f>
        <v>0</v>
      </c>
      <c r="S2769" s="19">
        <f t="shared" si="43"/>
        <v>16.5</v>
      </c>
      <c r="T2769">
        <f>COUNTIF('👤 Customers'!$A:$A, B2769)</f>
        <v>1</v>
      </c>
      <c r="U2769">
        <f>COUNTIF('🚴 Riders'!A2768:A2828, C2769)</f>
        <v>0</v>
      </c>
      <c r="V2769">
        <f>COUNTIF('🏭 Facilities'!A2768:A2776, D2769)</f>
        <v>0</v>
      </c>
    </row>
    <row r="2770" spans="1:22">
      <c r="A2770" s="16" t="s">
        <v>6190</v>
      </c>
      <c r="B2770" s="16" t="s">
        <v>1165</v>
      </c>
      <c r="C2770" s="16" t="s">
        <v>236</v>
      </c>
      <c r="D2770" s="16" t="s">
        <v>115</v>
      </c>
      <c r="E2770" s="25">
        <v>45037</v>
      </c>
      <c r="F2770" s="16" t="s">
        <v>6191</v>
      </c>
      <c r="G2770" s="16" t="s">
        <v>132</v>
      </c>
      <c r="H2770" s="16">
        <v>3.3</v>
      </c>
      <c r="I2770" s="16">
        <v>399</v>
      </c>
      <c r="J2770" s="16">
        <v>0</v>
      </c>
      <c r="K2770" s="16">
        <v>1316.7</v>
      </c>
      <c r="L2770" s="16" t="s">
        <v>139</v>
      </c>
      <c r="M2770" s="16" t="s">
        <v>133</v>
      </c>
      <c r="N2770" s="20"/>
      <c r="O2770" s="20"/>
      <c r="P2770" s="20"/>
      <c r="Q2770" s="16" t="b">
        <f>FALSE()</f>
        <v>0</v>
      </c>
      <c r="R2770" s="16" t="b">
        <f>FALSE()</f>
        <v>0</v>
      </c>
      <c r="S2770" s="17" t="str">
        <f t="shared" si="43"/>
        <v>N/A</v>
      </c>
      <c r="T2770">
        <f>COUNTIF('👤 Customers'!$A:$A, B2770)</f>
        <v>1</v>
      </c>
      <c r="U2770">
        <f>COUNTIF('🚴 Riders'!A2769:A2829, C2770)</f>
        <v>0</v>
      </c>
      <c r="V2770">
        <f>COUNTIF('🏭 Facilities'!A2769:A2777, D2770)</f>
        <v>0</v>
      </c>
    </row>
    <row r="2771" spans="1:22">
      <c r="A2771" s="18" t="s">
        <v>6192</v>
      </c>
      <c r="B2771" s="18" t="s">
        <v>357</v>
      </c>
      <c r="C2771" s="18" t="s">
        <v>265</v>
      </c>
      <c r="D2771" s="18" t="s">
        <v>137</v>
      </c>
      <c r="E2771" s="26">
        <v>45122</v>
      </c>
      <c r="F2771" s="18" t="s">
        <v>6193</v>
      </c>
      <c r="G2771" s="18" t="s">
        <v>117</v>
      </c>
      <c r="H2771" s="18">
        <v>4.0999999999999996</v>
      </c>
      <c r="I2771" s="18">
        <v>149</v>
      </c>
      <c r="J2771" s="18">
        <v>0</v>
      </c>
      <c r="K2771" s="18">
        <v>610.9</v>
      </c>
      <c r="L2771" s="18" t="s">
        <v>126</v>
      </c>
      <c r="M2771" s="18" t="s">
        <v>119</v>
      </c>
      <c r="N2771" s="28">
        <v>45123.097222222219</v>
      </c>
      <c r="O2771" s="28">
        <v>45123.926388888889</v>
      </c>
      <c r="P2771" s="18">
        <v>2.7</v>
      </c>
      <c r="Q2771" s="18" t="b">
        <f>FALSE()</f>
        <v>0</v>
      </c>
      <c r="R2771" s="18" t="b">
        <f>FALSE()</f>
        <v>0</v>
      </c>
      <c r="S2771" s="19">
        <f t="shared" si="43"/>
        <v>19.899999999999999</v>
      </c>
      <c r="T2771">
        <f>COUNTIF('👤 Customers'!$A:$A, B2771)</f>
        <v>1</v>
      </c>
      <c r="U2771">
        <f>COUNTIF('🚴 Riders'!A2770:A2830, C2771)</f>
        <v>0</v>
      </c>
      <c r="V2771">
        <f>COUNTIF('🏭 Facilities'!A2770:A2778, D2771)</f>
        <v>0</v>
      </c>
    </row>
    <row r="2772" spans="1:22">
      <c r="A2772" s="16" t="s">
        <v>6194</v>
      </c>
      <c r="B2772" s="16" t="s">
        <v>782</v>
      </c>
      <c r="C2772" s="16" t="s">
        <v>236</v>
      </c>
      <c r="D2772" s="16" t="s">
        <v>123</v>
      </c>
      <c r="E2772" s="25">
        <v>45262</v>
      </c>
      <c r="F2772" s="16" t="s">
        <v>6195</v>
      </c>
      <c r="G2772" s="16" t="s">
        <v>125</v>
      </c>
      <c r="H2772" s="16">
        <v>2.6</v>
      </c>
      <c r="I2772" s="16">
        <v>199</v>
      </c>
      <c r="J2772" s="16">
        <v>0</v>
      </c>
      <c r="K2772" s="16">
        <v>517.4</v>
      </c>
      <c r="L2772" s="16" t="s">
        <v>207</v>
      </c>
      <c r="M2772" s="16" t="s">
        <v>133</v>
      </c>
      <c r="N2772" s="20"/>
      <c r="O2772" s="20"/>
      <c r="P2772" s="20"/>
      <c r="Q2772" s="16" t="b">
        <f>FALSE()</f>
        <v>0</v>
      </c>
      <c r="R2772" s="16" t="b">
        <f>TRUE()</f>
        <v>1</v>
      </c>
      <c r="S2772" s="17" t="str">
        <f t="shared" si="43"/>
        <v>N/A</v>
      </c>
      <c r="T2772">
        <f>COUNTIF('👤 Customers'!$A:$A, B2772)</f>
        <v>1</v>
      </c>
      <c r="U2772">
        <f>COUNTIF('🚴 Riders'!A2771:A2831, C2772)</f>
        <v>0</v>
      </c>
      <c r="V2772">
        <f>COUNTIF('🏭 Facilities'!A2771:A2779, D2772)</f>
        <v>0</v>
      </c>
    </row>
    <row r="2773" spans="1:22">
      <c r="A2773" s="18" t="s">
        <v>6196</v>
      </c>
      <c r="B2773" s="18" t="s">
        <v>922</v>
      </c>
      <c r="C2773" s="18" t="s">
        <v>322</v>
      </c>
      <c r="D2773" s="18" t="s">
        <v>123</v>
      </c>
      <c r="E2773" s="26">
        <v>45508</v>
      </c>
      <c r="F2773" s="18" t="s">
        <v>6197</v>
      </c>
      <c r="G2773" s="18" t="s">
        <v>117</v>
      </c>
      <c r="H2773" s="18">
        <v>4.2</v>
      </c>
      <c r="I2773" s="18">
        <v>149</v>
      </c>
      <c r="J2773" s="18">
        <v>20</v>
      </c>
      <c r="K2773" s="18">
        <v>500.64</v>
      </c>
      <c r="L2773" s="18" t="s">
        <v>139</v>
      </c>
      <c r="M2773" s="18" t="s">
        <v>140</v>
      </c>
      <c r="N2773" s="28">
        <v>45508.171527777777</v>
      </c>
      <c r="O2773" s="28">
        <v>45508.950694444444</v>
      </c>
      <c r="P2773" s="20"/>
      <c r="Q2773" s="18" t="b">
        <f>FALSE()</f>
        <v>0</v>
      </c>
      <c r="R2773" s="18" t="b">
        <f>TRUE()</f>
        <v>1</v>
      </c>
      <c r="S2773" s="19">
        <f t="shared" si="43"/>
        <v>18.7</v>
      </c>
      <c r="T2773">
        <f>COUNTIF('👤 Customers'!$A:$A, B2773)</f>
        <v>1</v>
      </c>
      <c r="U2773">
        <f>COUNTIF('🚴 Riders'!A2772:A2832, C2773)</f>
        <v>0</v>
      </c>
      <c r="V2773">
        <f>COUNTIF('🏭 Facilities'!A2772:A2780, D2773)</f>
        <v>0</v>
      </c>
    </row>
    <row r="2774" spans="1:22">
      <c r="A2774" s="16" t="s">
        <v>6198</v>
      </c>
      <c r="B2774" s="16" t="s">
        <v>958</v>
      </c>
      <c r="C2774" s="16" t="s">
        <v>143</v>
      </c>
      <c r="D2774" s="16" t="s">
        <v>184</v>
      </c>
      <c r="E2774" s="25">
        <v>45224</v>
      </c>
      <c r="F2774" s="16" t="s">
        <v>6199</v>
      </c>
      <c r="G2774" s="16" t="s">
        <v>176</v>
      </c>
      <c r="H2774" s="16">
        <v>5.9</v>
      </c>
      <c r="I2774" s="16">
        <v>599</v>
      </c>
      <c r="J2774" s="16">
        <v>10</v>
      </c>
      <c r="K2774" s="16">
        <v>3180.69</v>
      </c>
      <c r="L2774" s="16" t="s">
        <v>207</v>
      </c>
      <c r="M2774" s="16" t="s">
        <v>119</v>
      </c>
      <c r="N2774" s="27">
        <v>45224.852777777778</v>
      </c>
      <c r="O2774" s="27">
        <v>45225.305555555555</v>
      </c>
      <c r="P2774" s="16">
        <v>5</v>
      </c>
      <c r="Q2774" s="16" t="b">
        <f>FALSE()</f>
        <v>0</v>
      </c>
      <c r="R2774" s="16" t="b">
        <f>FALSE()</f>
        <v>0</v>
      </c>
      <c r="S2774" s="17">
        <f t="shared" si="43"/>
        <v>10.9</v>
      </c>
      <c r="T2774">
        <f>COUNTIF('👤 Customers'!$A:$A, B2774)</f>
        <v>1</v>
      </c>
      <c r="U2774">
        <f>COUNTIF('🚴 Riders'!A2773:A2833, C2774)</f>
        <v>0</v>
      </c>
      <c r="V2774">
        <f>COUNTIF('🏭 Facilities'!A2773:A2781, D2774)</f>
        <v>0</v>
      </c>
    </row>
    <row r="2775" spans="1:22">
      <c r="A2775" s="18" t="s">
        <v>6200</v>
      </c>
      <c r="B2775" s="18" t="s">
        <v>436</v>
      </c>
      <c r="C2775" s="18" t="s">
        <v>143</v>
      </c>
      <c r="D2775" s="18" t="s">
        <v>115</v>
      </c>
      <c r="E2775" s="26">
        <v>44990</v>
      </c>
      <c r="F2775" s="18" t="s">
        <v>6201</v>
      </c>
      <c r="G2775" s="18" t="s">
        <v>145</v>
      </c>
      <c r="H2775" s="18">
        <v>6</v>
      </c>
      <c r="I2775" s="18">
        <v>299</v>
      </c>
      <c r="J2775" s="18">
        <v>10</v>
      </c>
      <c r="K2775" s="18">
        <v>1614.6</v>
      </c>
      <c r="L2775" s="18" t="s">
        <v>146</v>
      </c>
      <c r="M2775" s="18" t="s">
        <v>119</v>
      </c>
      <c r="N2775" s="28">
        <v>44990.1875</v>
      </c>
      <c r="O2775" s="28">
        <v>44990.758333333331</v>
      </c>
      <c r="P2775" s="18">
        <v>4.2</v>
      </c>
      <c r="Q2775" s="18" t="b">
        <f>TRUE()</f>
        <v>1</v>
      </c>
      <c r="R2775" s="18" t="b">
        <f>FALSE()</f>
        <v>0</v>
      </c>
      <c r="S2775" s="19">
        <f t="shared" si="43"/>
        <v>13.7</v>
      </c>
      <c r="T2775">
        <f>COUNTIF('👤 Customers'!$A:$A, B2775)</f>
        <v>1</v>
      </c>
      <c r="U2775">
        <f>COUNTIF('🚴 Riders'!A2774:A2834, C2775)</f>
        <v>0</v>
      </c>
      <c r="V2775">
        <f>COUNTIF('🏭 Facilities'!A2774:A2782, D2775)</f>
        <v>0</v>
      </c>
    </row>
    <row r="2776" spans="1:22">
      <c r="A2776" s="16" t="s">
        <v>6202</v>
      </c>
      <c r="B2776" s="16" t="s">
        <v>997</v>
      </c>
      <c r="C2776" s="16" t="s">
        <v>114</v>
      </c>
      <c r="D2776" s="16" t="s">
        <v>123</v>
      </c>
      <c r="E2776" s="25">
        <v>45369</v>
      </c>
      <c r="F2776" s="16" t="s">
        <v>6203</v>
      </c>
      <c r="G2776" s="16" t="s">
        <v>176</v>
      </c>
      <c r="H2776" s="16">
        <v>6.5</v>
      </c>
      <c r="I2776" s="16">
        <v>599</v>
      </c>
      <c r="J2776" s="16">
        <v>0</v>
      </c>
      <c r="K2776" s="16">
        <v>3893.5</v>
      </c>
      <c r="L2776" s="16" t="s">
        <v>118</v>
      </c>
      <c r="M2776" s="16" t="s">
        <v>119</v>
      </c>
      <c r="N2776" s="27">
        <v>45369.478472222225</v>
      </c>
      <c r="O2776" s="27">
        <v>45369.847222222219</v>
      </c>
      <c r="P2776" s="16">
        <v>4.9000000000000004</v>
      </c>
      <c r="Q2776" s="16" t="b">
        <f>FALSE()</f>
        <v>0</v>
      </c>
      <c r="R2776" s="16" t="b">
        <f>FALSE()</f>
        <v>0</v>
      </c>
      <c r="S2776" s="17">
        <f t="shared" si="43"/>
        <v>8.8000000000000007</v>
      </c>
      <c r="T2776">
        <f>COUNTIF('👤 Customers'!$A:$A, B2776)</f>
        <v>1</v>
      </c>
      <c r="U2776">
        <f>COUNTIF('🚴 Riders'!A2775:A2835, C2776)</f>
        <v>0</v>
      </c>
      <c r="V2776">
        <f>COUNTIF('🏭 Facilities'!A2775:A2783, D2776)</f>
        <v>0</v>
      </c>
    </row>
    <row r="2777" spans="1:22">
      <c r="A2777" s="18" t="s">
        <v>6204</v>
      </c>
      <c r="B2777" s="18" t="s">
        <v>1036</v>
      </c>
      <c r="C2777" s="18" t="s">
        <v>174</v>
      </c>
      <c r="D2777" s="18" t="s">
        <v>197</v>
      </c>
      <c r="E2777" s="26">
        <v>44977</v>
      </c>
      <c r="F2777" s="18" t="s">
        <v>6205</v>
      </c>
      <c r="G2777" s="18" t="s">
        <v>125</v>
      </c>
      <c r="H2777" s="18">
        <v>6</v>
      </c>
      <c r="I2777" s="18">
        <v>199</v>
      </c>
      <c r="J2777" s="18">
        <v>0</v>
      </c>
      <c r="K2777" s="18">
        <v>1194</v>
      </c>
      <c r="L2777" s="18" t="s">
        <v>146</v>
      </c>
      <c r="M2777" s="18" t="s">
        <v>119</v>
      </c>
      <c r="N2777" s="28">
        <v>44977.255555555559</v>
      </c>
      <c r="O2777" s="28">
        <v>44978.289583333331</v>
      </c>
      <c r="P2777" s="18">
        <v>3.2</v>
      </c>
      <c r="Q2777" s="18" t="b">
        <f>FALSE()</f>
        <v>0</v>
      </c>
      <c r="R2777" s="18" t="b">
        <f>FALSE()</f>
        <v>0</v>
      </c>
      <c r="S2777" s="19">
        <f t="shared" si="43"/>
        <v>24.8</v>
      </c>
      <c r="T2777">
        <f>COUNTIF('👤 Customers'!$A:$A, B2777)</f>
        <v>1</v>
      </c>
      <c r="U2777">
        <f>COUNTIF('🚴 Riders'!A2776:A2836, C2777)</f>
        <v>0</v>
      </c>
      <c r="V2777">
        <f>COUNTIF('🏭 Facilities'!A2776:A2784, D2777)</f>
        <v>0</v>
      </c>
    </row>
    <row r="2778" spans="1:22">
      <c r="A2778" s="16" t="s">
        <v>6206</v>
      </c>
      <c r="B2778" s="16" t="s">
        <v>1396</v>
      </c>
      <c r="C2778" s="16" t="s">
        <v>483</v>
      </c>
      <c r="D2778" s="16" t="s">
        <v>115</v>
      </c>
      <c r="E2778" s="25">
        <v>45255</v>
      </c>
      <c r="F2778" s="16" t="s">
        <v>4445</v>
      </c>
      <c r="G2778" s="16" t="s">
        <v>132</v>
      </c>
      <c r="H2778" s="16">
        <v>3.8</v>
      </c>
      <c r="I2778" s="16">
        <v>399</v>
      </c>
      <c r="J2778" s="16">
        <v>0</v>
      </c>
      <c r="K2778" s="16">
        <v>1516.2</v>
      </c>
      <c r="L2778" s="16" t="s">
        <v>139</v>
      </c>
      <c r="M2778" s="16" t="s">
        <v>133</v>
      </c>
      <c r="N2778" s="20"/>
      <c r="O2778" s="20"/>
      <c r="P2778" s="20"/>
      <c r="Q2778" s="16" t="b">
        <f>FALSE()</f>
        <v>0</v>
      </c>
      <c r="R2778" s="16" t="b">
        <f>FALSE()</f>
        <v>0</v>
      </c>
      <c r="S2778" s="17" t="str">
        <f t="shared" si="43"/>
        <v>N/A</v>
      </c>
      <c r="T2778">
        <f>COUNTIF('👤 Customers'!$A:$A, B2778)</f>
        <v>1</v>
      </c>
      <c r="U2778">
        <f>COUNTIF('🚴 Riders'!A2777:A2837, C2778)</f>
        <v>0</v>
      </c>
      <c r="V2778">
        <f>COUNTIF('🏭 Facilities'!A2777:A2785, D2778)</f>
        <v>0</v>
      </c>
    </row>
    <row r="2779" spans="1:22">
      <c r="A2779" s="18" t="s">
        <v>6207</v>
      </c>
      <c r="B2779" s="18" t="s">
        <v>2858</v>
      </c>
      <c r="C2779" s="18" t="s">
        <v>308</v>
      </c>
      <c r="D2779" s="18" t="s">
        <v>197</v>
      </c>
      <c r="E2779" s="26">
        <v>45357</v>
      </c>
      <c r="F2779" s="18" t="s">
        <v>6208</v>
      </c>
      <c r="G2779" s="18" t="s">
        <v>132</v>
      </c>
      <c r="H2779" s="18">
        <v>6.7</v>
      </c>
      <c r="I2779" s="18">
        <v>399</v>
      </c>
      <c r="J2779" s="18">
        <v>10</v>
      </c>
      <c r="K2779" s="18">
        <v>2405.9699999999998</v>
      </c>
      <c r="L2779" s="18" t="s">
        <v>118</v>
      </c>
      <c r="M2779" s="18" t="s">
        <v>119</v>
      </c>
      <c r="N2779" s="28">
        <v>45357.296527777777</v>
      </c>
      <c r="O2779" s="28">
        <v>45358.137499999997</v>
      </c>
      <c r="P2779" s="18">
        <v>2.9</v>
      </c>
      <c r="Q2779" s="18" t="b">
        <f>FALSE()</f>
        <v>0</v>
      </c>
      <c r="R2779" s="18" t="b">
        <f>FALSE()</f>
        <v>0</v>
      </c>
      <c r="S2779" s="19">
        <f t="shared" si="43"/>
        <v>20.2</v>
      </c>
      <c r="T2779">
        <f>COUNTIF('👤 Customers'!$A:$A, B2779)</f>
        <v>1</v>
      </c>
      <c r="U2779">
        <f>COUNTIF('🚴 Riders'!A2778:A2838, C2779)</f>
        <v>0</v>
      </c>
      <c r="V2779">
        <f>COUNTIF('🏭 Facilities'!A2778:A2786, D2779)</f>
        <v>0</v>
      </c>
    </row>
    <row r="2780" spans="1:22">
      <c r="A2780" s="16" t="s">
        <v>6209</v>
      </c>
      <c r="B2780" s="16" t="s">
        <v>4307</v>
      </c>
      <c r="C2780" s="16" t="s">
        <v>220</v>
      </c>
      <c r="D2780" s="16" t="s">
        <v>184</v>
      </c>
      <c r="E2780" s="25">
        <v>45390</v>
      </c>
      <c r="F2780" s="16" t="s">
        <v>6210</v>
      </c>
      <c r="G2780" s="16" t="s">
        <v>125</v>
      </c>
      <c r="H2780" s="16">
        <v>3.8</v>
      </c>
      <c r="I2780" s="16">
        <v>199</v>
      </c>
      <c r="J2780" s="16">
        <v>0</v>
      </c>
      <c r="K2780" s="16">
        <v>756.2</v>
      </c>
      <c r="L2780" s="16" t="s">
        <v>146</v>
      </c>
      <c r="M2780" s="16" t="s">
        <v>119</v>
      </c>
      <c r="N2780" s="27">
        <v>45390.135416666664</v>
      </c>
      <c r="O2780" s="27">
        <v>45390.875694444447</v>
      </c>
      <c r="P2780" s="16">
        <v>4.2</v>
      </c>
      <c r="Q2780" s="16" t="b">
        <f>FALSE()</f>
        <v>0</v>
      </c>
      <c r="R2780" s="16" t="b">
        <f>FALSE()</f>
        <v>0</v>
      </c>
      <c r="S2780" s="17">
        <f t="shared" si="43"/>
        <v>17.8</v>
      </c>
      <c r="T2780">
        <f>COUNTIF('👤 Customers'!$A:$A, B2780)</f>
        <v>1</v>
      </c>
      <c r="U2780">
        <f>COUNTIF('🚴 Riders'!A2779:A2839, C2780)</f>
        <v>0</v>
      </c>
      <c r="V2780">
        <f>COUNTIF('🏭 Facilities'!A2779:A2787, D2780)</f>
        <v>0</v>
      </c>
    </row>
    <row r="2781" spans="1:22">
      <c r="A2781" s="18" t="s">
        <v>6211</v>
      </c>
      <c r="B2781" s="18" t="s">
        <v>866</v>
      </c>
      <c r="C2781" s="18" t="s">
        <v>580</v>
      </c>
      <c r="D2781" s="18" t="s">
        <v>137</v>
      </c>
      <c r="E2781" s="26">
        <v>45536</v>
      </c>
      <c r="F2781" s="18" t="s">
        <v>6212</v>
      </c>
      <c r="G2781" s="18" t="s">
        <v>125</v>
      </c>
      <c r="H2781" s="18">
        <v>5.6</v>
      </c>
      <c r="I2781" s="18">
        <v>199</v>
      </c>
      <c r="J2781" s="18">
        <v>0</v>
      </c>
      <c r="K2781" s="18">
        <v>1114.4000000000001</v>
      </c>
      <c r="L2781" s="18" t="s">
        <v>118</v>
      </c>
      <c r="M2781" s="18" t="s">
        <v>140</v>
      </c>
      <c r="N2781" s="28">
        <v>45536.4</v>
      </c>
      <c r="O2781" s="28">
        <v>45537.439583333333</v>
      </c>
      <c r="P2781" s="20"/>
      <c r="Q2781" s="18" t="b">
        <f>FALSE()</f>
        <v>0</v>
      </c>
      <c r="R2781" s="18" t="b">
        <f>TRUE()</f>
        <v>1</v>
      </c>
      <c r="S2781" s="19">
        <f t="shared" si="43"/>
        <v>24.9</v>
      </c>
      <c r="T2781">
        <f>COUNTIF('👤 Customers'!$A:$A, B2781)</f>
        <v>1</v>
      </c>
      <c r="U2781">
        <f>COUNTIF('🚴 Riders'!A2780:A2840, C2781)</f>
        <v>0</v>
      </c>
      <c r="V2781">
        <f>COUNTIF('🏭 Facilities'!A2780:A2788, D2781)</f>
        <v>0</v>
      </c>
    </row>
    <row r="2782" spans="1:22">
      <c r="A2782" s="16" t="s">
        <v>6213</v>
      </c>
      <c r="B2782" s="16" t="s">
        <v>1970</v>
      </c>
      <c r="C2782" s="16" t="s">
        <v>157</v>
      </c>
      <c r="D2782" s="16" t="s">
        <v>123</v>
      </c>
      <c r="E2782" s="25">
        <v>45593</v>
      </c>
      <c r="F2782" s="16" t="s">
        <v>6214</v>
      </c>
      <c r="G2782" s="16" t="s">
        <v>117</v>
      </c>
      <c r="H2782" s="16">
        <v>7.1</v>
      </c>
      <c r="I2782" s="16">
        <v>149</v>
      </c>
      <c r="J2782" s="16">
        <v>10</v>
      </c>
      <c r="K2782" s="16">
        <v>952.11</v>
      </c>
      <c r="L2782" s="16" t="s">
        <v>146</v>
      </c>
      <c r="M2782" s="16" t="s">
        <v>133</v>
      </c>
      <c r="N2782" s="20"/>
      <c r="O2782" s="20"/>
      <c r="P2782" s="20"/>
      <c r="Q2782" s="16" t="b">
        <f>FALSE()</f>
        <v>0</v>
      </c>
      <c r="R2782" s="16" t="b">
        <f>TRUE()</f>
        <v>1</v>
      </c>
      <c r="S2782" s="17" t="str">
        <f t="shared" si="43"/>
        <v>N/A</v>
      </c>
      <c r="T2782">
        <f>COUNTIF('👤 Customers'!$A:$A, B2782)</f>
        <v>1</v>
      </c>
      <c r="U2782">
        <f>COUNTIF('🚴 Riders'!A2781:A2841, C2782)</f>
        <v>0</v>
      </c>
      <c r="V2782">
        <f>COUNTIF('🏭 Facilities'!A2781:A2789, D2782)</f>
        <v>0</v>
      </c>
    </row>
    <row r="2783" spans="1:22">
      <c r="A2783" s="18" t="s">
        <v>6215</v>
      </c>
      <c r="B2783" s="18" t="s">
        <v>3055</v>
      </c>
      <c r="C2783" s="18" t="s">
        <v>170</v>
      </c>
      <c r="D2783" s="18" t="s">
        <v>123</v>
      </c>
      <c r="E2783" s="26">
        <v>45195</v>
      </c>
      <c r="F2783" s="18" t="s">
        <v>6216</v>
      </c>
      <c r="G2783" s="18" t="s">
        <v>125</v>
      </c>
      <c r="H2783" s="18">
        <v>4.2</v>
      </c>
      <c r="I2783" s="18">
        <v>199</v>
      </c>
      <c r="J2783" s="18">
        <v>0</v>
      </c>
      <c r="K2783" s="18">
        <v>835.8</v>
      </c>
      <c r="L2783" s="18" t="s">
        <v>207</v>
      </c>
      <c r="M2783" s="18" t="s">
        <v>119</v>
      </c>
      <c r="N2783" s="28">
        <v>45195.355555555558</v>
      </c>
      <c r="O2783" s="28">
        <v>45195.749305555553</v>
      </c>
      <c r="P2783" s="18">
        <v>4.4000000000000004</v>
      </c>
      <c r="Q2783" s="18" t="b">
        <f>FALSE()</f>
        <v>0</v>
      </c>
      <c r="R2783" s="18" t="b">
        <f>FALSE()</f>
        <v>0</v>
      </c>
      <c r="S2783" s="19">
        <f t="shared" si="43"/>
        <v>9.4</v>
      </c>
      <c r="T2783">
        <f>COUNTIF('👤 Customers'!$A:$A, B2783)</f>
        <v>1</v>
      </c>
      <c r="U2783">
        <f>COUNTIF('🚴 Riders'!A2782:A2842, C2783)</f>
        <v>0</v>
      </c>
      <c r="V2783">
        <f>COUNTIF('🏭 Facilities'!A2782:A2790, D2783)</f>
        <v>0</v>
      </c>
    </row>
    <row r="2784" spans="1:22">
      <c r="A2784" s="16" t="s">
        <v>6217</v>
      </c>
      <c r="B2784" s="16" t="s">
        <v>667</v>
      </c>
      <c r="C2784" s="16" t="s">
        <v>240</v>
      </c>
      <c r="D2784" s="16" t="s">
        <v>137</v>
      </c>
      <c r="E2784" s="25">
        <v>45262</v>
      </c>
      <c r="F2784" s="16" t="s">
        <v>6218</v>
      </c>
      <c r="G2784" s="16" t="s">
        <v>145</v>
      </c>
      <c r="H2784" s="16">
        <v>3.6</v>
      </c>
      <c r="I2784" s="16">
        <v>299</v>
      </c>
      <c r="J2784" s="16">
        <v>0</v>
      </c>
      <c r="K2784" s="16">
        <v>1076.4000000000001</v>
      </c>
      <c r="L2784" s="16" t="s">
        <v>139</v>
      </c>
      <c r="M2784" s="16" t="s">
        <v>119</v>
      </c>
      <c r="N2784" s="27">
        <v>45262.652777777781</v>
      </c>
      <c r="O2784" s="27">
        <v>45263.179166666669</v>
      </c>
      <c r="P2784" s="16">
        <v>4.5</v>
      </c>
      <c r="Q2784" s="16" t="b">
        <f>FALSE()</f>
        <v>0</v>
      </c>
      <c r="R2784" s="16" t="b">
        <f>FALSE()</f>
        <v>0</v>
      </c>
      <c r="S2784" s="17">
        <f t="shared" si="43"/>
        <v>12.6</v>
      </c>
      <c r="T2784">
        <f>COUNTIF('👤 Customers'!$A:$A, B2784)</f>
        <v>1</v>
      </c>
      <c r="U2784">
        <f>COUNTIF('🚴 Riders'!A2783:A2843, C2784)</f>
        <v>0</v>
      </c>
      <c r="V2784">
        <f>COUNTIF('🏭 Facilities'!A2783:A2791, D2784)</f>
        <v>0</v>
      </c>
    </row>
    <row r="2785" spans="1:22">
      <c r="A2785" s="18" t="s">
        <v>6219</v>
      </c>
      <c r="B2785" s="18" t="s">
        <v>2170</v>
      </c>
      <c r="C2785" s="18" t="s">
        <v>343</v>
      </c>
      <c r="D2785" s="18" t="s">
        <v>184</v>
      </c>
      <c r="E2785" s="26">
        <v>45301</v>
      </c>
      <c r="F2785" s="18" t="s">
        <v>6220</v>
      </c>
      <c r="G2785" s="18" t="s">
        <v>117</v>
      </c>
      <c r="H2785" s="18">
        <v>1.3</v>
      </c>
      <c r="I2785" s="18">
        <v>149</v>
      </c>
      <c r="J2785" s="18">
        <v>10</v>
      </c>
      <c r="K2785" s="18">
        <v>174.33</v>
      </c>
      <c r="L2785" s="18" t="s">
        <v>139</v>
      </c>
      <c r="M2785" s="18" t="s">
        <v>119</v>
      </c>
      <c r="N2785" s="28">
        <v>45301.527083333334</v>
      </c>
      <c r="O2785" s="28">
        <v>45302.34097222222</v>
      </c>
      <c r="P2785" s="18">
        <v>4.8</v>
      </c>
      <c r="Q2785" s="18" t="b">
        <f>TRUE()</f>
        <v>1</v>
      </c>
      <c r="R2785" s="18" t="b">
        <f>FALSE()</f>
        <v>0</v>
      </c>
      <c r="S2785" s="19">
        <f t="shared" si="43"/>
        <v>19.5</v>
      </c>
      <c r="T2785">
        <f>COUNTIF('👤 Customers'!$A:$A, B2785)</f>
        <v>1</v>
      </c>
      <c r="U2785">
        <f>COUNTIF('🚴 Riders'!A2784:A2844, C2785)</f>
        <v>0</v>
      </c>
      <c r="V2785">
        <f>COUNTIF('🏭 Facilities'!A2784:A2792, D2785)</f>
        <v>0</v>
      </c>
    </row>
    <row r="2786" spans="1:22">
      <c r="A2786" s="16" t="s">
        <v>6221</v>
      </c>
      <c r="B2786" s="16" t="s">
        <v>4314</v>
      </c>
      <c r="C2786" s="16" t="s">
        <v>213</v>
      </c>
      <c r="D2786" s="16" t="s">
        <v>123</v>
      </c>
      <c r="E2786" s="25">
        <v>45414</v>
      </c>
      <c r="F2786" s="16" t="s">
        <v>6222</v>
      </c>
      <c r="G2786" s="16" t="s">
        <v>132</v>
      </c>
      <c r="H2786" s="16">
        <v>7.1</v>
      </c>
      <c r="I2786" s="16">
        <v>399</v>
      </c>
      <c r="J2786" s="16">
        <v>0</v>
      </c>
      <c r="K2786" s="16">
        <v>2832.9</v>
      </c>
      <c r="L2786" s="16" t="s">
        <v>139</v>
      </c>
      <c r="M2786" s="16" t="s">
        <v>119</v>
      </c>
      <c r="N2786" s="27">
        <v>45414.62222222222</v>
      </c>
      <c r="O2786" s="27">
        <v>45415.456944444442</v>
      </c>
      <c r="P2786" s="16">
        <v>3.5</v>
      </c>
      <c r="Q2786" s="16" t="b">
        <f>FALSE()</f>
        <v>0</v>
      </c>
      <c r="R2786" s="16" t="b">
        <f>FALSE()</f>
        <v>0</v>
      </c>
      <c r="S2786" s="17">
        <f t="shared" si="43"/>
        <v>20</v>
      </c>
      <c r="T2786">
        <f>COUNTIF('👤 Customers'!$A:$A, B2786)</f>
        <v>1</v>
      </c>
      <c r="U2786">
        <f>COUNTIF('🚴 Riders'!A2785:A2845, C2786)</f>
        <v>0</v>
      </c>
      <c r="V2786">
        <f>COUNTIF('🏭 Facilities'!A2785:A2793, D2786)</f>
        <v>0</v>
      </c>
    </row>
    <row r="2787" spans="1:22">
      <c r="A2787" s="18" t="s">
        <v>6223</v>
      </c>
      <c r="B2787" s="18" t="s">
        <v>2238</v>
      </c>
      <c r="C2787" s="18" t="s">
        <v>487</v>
      </c>
      <c r="D2787" s="18" t="s">
        <v>137</v>
      </c>
      <c r="E2787" s="26">
        <v>45519</v>
      </c>
      <c r="F2787" s="18" t="s">
        <v>6224</v>
      </c>
      <c r="G2787" s="18" t="s">
        <v>145</v>
      </c>
      <c r="H2787" s="18">
        <v>6.8</v>
      </c>
      <c r="I2787" s="18">
        <v>299</v>
      </c>
      <c r="J2787" s="18">
        <v>0</v>
      </c>
      <c r="K2787" s="18">
        <v>2033.2</v>
      </c>
      <c r="L2787" s="18" t="s">
        <v>118</v>
      </c>
      <c r="M2787" s="18" t="s">
        <v>119</v>
      </c>
      <c r="N2787" s="28">
        <v>45519.73333333333</v>
      </c>
      <c r="O2787" s="28">
        <v>45520.761111111111</v>
      </c>
      <c r="P2787" s="18">
        <v>4.4000000000000004</v>
      </c>
      <c r="Q2787" s="18" t="b">
        <f>FALSE()</f>
        <v>0</v>
      </c>
      <c r="R2787" s="18" t="b">
        <f>FALSE()</f>
        <v>0</v>
      </c>
      <c r="S2787" s="19">
        <f t="shared" si="43"/>
        <v>24.7</v>
      </c>
      <c r="T2787">
        <f>COUNTIF('👤 Customers'!$A:$A, B2787)</f>
        <v>1</v>
      </c>
      <c r="U2787">
        <f>COUNTIF('🚴 Riders'!A2786:A2846, C2787)</f>
        <v>0</v>
      </c>
      <c r="V2787">
        <f>COUNTIF('🏭 Facilities'!A2786:A2794, D2787)</f>
        <v>0</v>
      </c>
    </row>
    <row r="2788" spans="1:22">
      <c r="A2788" s="16" t="s">
        <v>6225</v>
      </c>
      <c r="B2788" s="16" t="s">
        <v>450</v>
      </c>
      <c r="C2788" s="16" t="s">
        <v>170</v>
      </c>
      <c r="D2788" s="16" t="s">
        <v>205</v>
      </c>
      <c r="E2788" s="25">
        <v>45436</v>
      </c>
      <c r="F2788" s="16" t="s">
        <v>6226</v>
      </c>
      <c r="G2788" s="16" t="s">
        <v>132</v>
      </c>
      <c r="H2788" s="16">
        <v>6.5</v>
      </c>
      <c r="I2788" s="16">
        <v>399</v>
      </c>
      <c r="J2788" s="16">
        <v>10</v>
      </c>
      <c r="K2788" s="16">
        <v>2334.15</v>
      </c>
      <c r="L2788" s="16" t="s">
        <v>207</v>
      </c>
      <c r="M2788" s="16" t="s">
        <v>119</v>
      </c>
      <c r="N2788" s="27">
        <v>45436.909722222219</v>
      </c>
      <c r="O2788" s="27">
        <v>45437.801388888889</v>
      </c>
      <c r="P2788" s="16">
        <v>4.7</v>
      </c>
      <c r="Q2788" s="16" t="b">
        <f>FALSE()</f>
        <v>0</v>
      </c>
      <c r="R2788" s="16" t="b">
        <f>FALSE()</f>
        <v>0</v>
      </c>
      <c r="S2788" s="17">
        <f t="shared" si="43"/>
        <v>21.4</v>
      </c>
      <c r="T2788">
        <f>COUNTIF('👤 Customers'!$A:$A, B2788)</f>
        <v>1</v>
      </c>
      <c r="U2788">
        <f>COUNTIF('🚴 Riders'!A2787:A2847, C2788)</f>
        <v>0</v>
      </c>
      <c r="V2788">
        <f>COUNTIF('🏭 Facilities'!A2787:A2795, D2788)</f>
        <v>0</v>
      </c>
    </row>
    <row r="2789" spans="1:22">
      <c r="A2789" s="18" t="s">
        <v>6227</v>
      </c>
      <c r="B2789" s="18" t="s">
        <v>938</v>
      </c>
      <c r="C2789" s="18" t="s">
        <v>322</v>
      </c>
      <c r="D2789" s="18" t="s">
        <v>115</v>
      </c>
      <c r="E2789" s="26">
        <v>45498</v>
      </c>
      <c r="F2789" s="18" t="s">
        <v>6228</v>
      </c>
      <c r="G2789" s="18" t="s">
        <v>145</v>
      </c>
      <c r="H2789" s="18">
        <v>4.4000000000000004</v>
      </c>
      <c r="I2789" s="18">
        <v>299</v>
      </c>
      <c r="J2789" s="18">
        <v>0</v>
      </c>
      <c r="K2789" s="18">
        <v>1315.6</v>
      </c>
      <c r="L2789" s="18" t="s">
        <v>207</v>
      </c>
      <c r="M2789" s="18" t="s">
        <v>119</v>
      </c>
      <c r="N2789" s="28">
        <v>45498.701388888891</v>
      </c>
      <c r="O2789" s="28">
        <v>45499.42083333333</v>
      </c>
      <c r="P2789" s="18">
        <v>3.8</v>
      </c>
      <c r="Q2789" s="18" t="b">
        <f>FALSE()</f>
        <v>0</v>
      </c>
      <c r="R2789" s="18" t="b">
        <f>FALSE()</f>
        <v>0</v>
      </c>
      <c r="S2789" s="19">
        <f t="shared" si="43"/>
        <v>17.3</v>
      </c>
      <c r="T2789">
        <f>COUNTIF('👤 Customers'!$A:$A, B2789)</f>
        <v>1</v>
      </c>
      <c r="U2789">
        <f>COUNTIF('🚴 Riders'!A2788:A2848, C2789)</f>
        <v>0</v>
      </c>
      <c r="V2789">
        <f>COUNTIF('🏭 Facilities'!A2788:A2796, D2789)</f>
        <v>0</v>
      </c>
    </row>
    <row r="2790" spans="1:22">
      <c r="A2790" s="16" t="s">
        <v>6229</v>
      </c>
      <c r="B2790" s="16" t="s">
        <v>1331</v>
      </c>
      <c r="C2790" s="16" t="s">
        <v>257</v>
      </c>
      <c r="D2790" s="16" t="s">
        <v>158</v>
      </c>
      <c r="E2790" s="25">
        <v>45557</v>
      </c>
      <c r="F2790" s="16" t="s">
        <v>6230</v>
      </c>
      <c r="G2790" s="16" t="s">
        <v>145</v>
      </c>
      <c r="H2790" s="16">
        <v>6.9</v>
      </c>
      <c r="I2790" s="16">
        <v>299</v>
      </c>
      <c r="J2790" s="16">
        <v>0</v>
      </c>
      <c r="K2790" s="16">
        <v>2063.1</v>
      </c>
      <c r="L2790" s="16" t="s">
        <v>126</v>
      </c>
      <c r="M2790" s="16" t="s">
        <v>140</v>
      </c>
      <c r="N2790" s="27">
        <v>45557.540972222225</v>
      </c>
      <c r="O2790" s="27">
        <v>45558.420138888891</v>
      </c>
      <c r="P2790" s="20"/>
      <c r="Q2790" s="16" t="b">
        <f>FALSE()</f>
        <v>0</v>
      </c>
      <c r="R2790" s="16" t="b">
        <f>FALSE()</f>
        <v>0</v>
      </c>
      <c r="S2790" s="17">
        <f t="shared" si="43"/>
        <v>21.1</v>
      </c>
      <c r="T2790">
        <f>COUNTIF('👤 Customers'!$A:$A, B2790)</f>
        <v>1</v>
      </c>
      <c r="U2790">
        <f>COUNTIF('🚴 Riders'!A2789:A2849, C2790)</f>
        <v>0</v>
      </c>
      <c r="V2790">
        <f>COUNTIF('🏭 Facilities'!A2789:A2797, D2790)</f>
        <v>0</v>
      </c>
    </row>
    <row r="2791" spans="1:22">
      <c r="A2791" s="18" t="s">
        <v>6231</v>
      </c>
      <c r="B2791" s="18" t="s">
        <v>900</v>
      </c>
      <c r="C2791" s="18" t="s">
        <v>170</v>
      </c>
      <c r="D2791" s="18" t="s">
        <v>115</v>
      </c>
      <c r="E2791" s="26">
        <v>45539</v>
      </c>
      <c r="F2791" s="18" t="s">
        <v>6232</v>
      </c>
      <c r="G2791" s="18" t="s">
        <v>176</v>
      </c>
      <c r="H2791" s="18">
        <v>2.4</v>
      </c>
      <c r="I2791" s="18">
        <v>599</v>
      </c>
      <c r="J2791" s="18">
        <v>0</v>
      </c>
      <c r="K2791" s="18">
        <v>1437.6</v>
      </c>
      <c r="L2791" s="18" t="s">
        <v>118</v>
      </c>
      <c r="M2791" s="18" t="s">
        <v>119</v>
      </c>
      <c r="N2791" s="28">
        <v>45539.618055555555</v>
      </c>
      <c r="O2791" s="28">
        <v>45540.354166666664</v>
      </c>
      <c r="P2791" s="18">
        <v>3.5</v>
      </c>
      <c r="Q2791" s="18" t="b">
        <f>FALSE()</f>
        <v>0</v>
      </c>
      <c r="R2791" s="18" t="b">
        <f>FALSE()</f>
        <v>0</v>
      </c>
      <c r="S2791" s="19">
        <f t="shared" si="43"/>
        <v>17.7</v>
      </c>
      <c r="T2791">
        <f>COUNTIF('👤 Customers'!$A:$A, B2791)</f>
        <v>1</v>
      </c>
      <c r="U2791">
        <f>COUNTIF('🚴 Riders'!A2790:A2850, C2791)</f>
        <v>0</v>
      </c>
      <c r="V2791">
        <f>COUNTIF('🏭 Facilities'!A2790:A2798, D2791)</f>
        <v>0</v>
      </c>
    </row>
    <row r="2792" spans="1:22">
      <c r="A2792" s="16" t="s">
        <v>6233</v>
      </c>
      <c r="B2792" s="16" t="s">
        <v>1207</v>
      </c>
      <c r="C2792" s="16" t="s">
        <v>308</v>
      </c>
      <c r="D2792" s="16" t="s">
        <v>184</v>
      </c>
      <c r="E2792" s="25">
        <v>45600</v>
      </c>
      <c r="F2792" s="16" t="s">
        <v>6234</v>
      </c>
      <c r="G2792" s="16" t="s">
        <v>125</v>
      </c>
      <c r="H2792" s="16">
        <v>5.0999999999999996</v>
      </c>
      <c r="I2792" s="16">
        <v>199</v>
      </c>
      <c r="J2792" s="16">
        <v>0</v>
      </c>
      <c r="K2792" s="16">
        <v>1014.9</v>
      </c>
      <c r="L2792" s="16" t="s">
        <v>139</v>
      </c>
      <c r="M2792" s="16" t="s">
        <v>133</v>
      </c>
      <c r="N2792" s="20"/>
      <c r="O2792" s="20"/>
      <c r="P2792" s="20"/>
      <c r="Q2792" s="16" t="b">
        <f>FALSE()</f>
        <v>0</v>
      </c>
      <c r="R2792" s="16" t="b">
        <f>TRUE()</f>
        <v>1</v>
      </c>
      <c r="S2792" s="17" t="str">
        <f t="shared" si="43"/>
        <v>N/A</v>
      </c>
      <c r="T2792">
        <f>COUNTIF('👤 Customers'!$A:$A, B2792)</f>
        <v>1</v>
      </c>
      <c r="U2792">
        <f>COUNTIF('🚴 Riders'!A2791:A2851, C2792)</f>
        <v>0</v>
      </c>
      <c r="V2792">
        <f>COUNTIF('🏭 Facilities'!A2791:A2799, D2792)</f>
        <v>0</v>
      </c>
    </row>
    <row r="2793" spans="1:22">
      <c r="A2793" s="18" t="s">
        <v>6235</v>
      </c>
      <c r="B2793" s="18" t="s">
        <v>293</v>
      </c>
      <c r="C2793" s="18" t="s">
        <v>1092</v>
      </c>
      <c r="D2793" s="18" t="s">
        <v>184</v>
      </c>
      <c r="E2793" s="26">
        <v>45645</v>
      </c>
      <c r="F2793" s="18" t="s">
        <v>6236</v>
      </c>
      <c r="G2793" s="18" t="s">
        <v>125</v>
      </c>
      <c r="H2793" s="18">
        <v>6.5</v>
      </c>
      <c r="I2793" s="18">
        <v>199</v>
      </c>
      <c r="J2793" s="18">
        <v>0</v>
      </c>
      <c r="K2793" s="18">
        <v>1293.5</v>
      </c>
      <c r="L2793" s="18" t="s">
        <v>118</v>
      </c>
      <c r="M2793" s="18" t="s">
        <v>140</v>
      </c>
      <c r="N2793" s="28">
        <v>45645.951388888891</v>
      </c>
      <c r="O2793" s="28">
        <v>45646.474305555559</v>
      </c>
      <c r="P2793" s="20"/>
      <c r="Q2793" s="18" t="b">
        <f>FALSE()</f>
        <v>0</v>
      </c>
      <c r="R2793" s="18" t="b">
        <f>FALSE()</f>
        <v>0</v>
      </c>
      <c r="S2793" s="19">
        <f t="shared" si="43"/>
        <v>12.6</v>
      </c>
      <c r="T2793">
        <f>COUNTIF('👤 Customers'!$A:$A, B2793)</f>
        <v>1</v>
      </c>
      <c r="U2793">
        <f>COUNTIF('🚴 Riders'!A2792:A2852, C2793)</f>
        <v>0</v>
      </c>
      <c r="V2793">
        <f>COUNTIF('🏭 Facilities'!A2792:A2800, D2793)</f>
        <v>0</v>
      </c>
    </row>
    <row r="2794" spans="1:22">
      <c r="A2794" s="16" t="s">
        <v>6237</v>
      </c>
      <c r="B2794" s="16" t="s">
        <v>850</v>
      </c>
      <c r="C2794" s="16" t="s">
        <v>322</v>
      </c>
      <c r="D2794" s="16" t="s">
        <v>130</v>
      </c>
      <c r="E2794" s="25">
        <v>44997</v>
      </c>
      <c r="F2794" s="16" t="s">
        <v>6238</v>
      </c>
      <c r="G2794" s="16" t="s">
        <v>132</v>
      </c>
      <c r="H2794" s="16">
        <v>6.2</v>
      </c>
      <c r="I2794" s="16">
        <v>399</v>
      </c>
      <c r="J2794" s="16">
        <v>0</v>
      </c>
      <c r="K2794" s="16">
        <v>2473.8000000000002</v>
      </c>
      <c r="L2794" s="16" t="s">
        <v>146</v>
      </c>
      <c r="M2794" s="16" t="s">
        <v>119</v>
      </c>
      <c r="N2794" s="27">
        <v>44997.368055555555</v>
      </c>
      <c r="O2794" s="27">
        <v>44998.215277777781</v>
      </c>
      <c r="P2794" s="16">
        <v>3.5</v>
      </c>
      <c r="Q2794" s="16" t="b">
        <f>FALSE()</f>
        <v>0</v>
      </c>
      <c r="R2794" s="16" t="b">
        <f>FALSE()</f>
        <v>0</v>
      </c>
      <c r="S2794" s="17">
        <f t="shared" si="43"/>
        <v>20.3</v>
      </c>
      <c r="T2794">
        <f>COUNTIF('👤 Customers'!$A:$A, B2794)</f>
        <v>1</v>
      </c>
      <c r="U2794">
        <f>COUNTIF('🚴 Riders'!A2793:A2853, C2794)</f>
        <v>0</v>
      </c>
      <c r="V2794">
        <f>COUNTIF('🏭 Facilities'!A2793:A2801, D2794)</f>
        <v>0</v>
      </c>
    </row>
    <row r="2795" spans="1:22">
      <c r="A2795" s="18" t="s">
        <v>6239</v>
      </c>
      <c r="B2795" s="18" t="s">
        <v>577</v>
      </c>
      <c r="C2795" s="18" t="s">
        <v>174</v>
      </c>
      <c r="D2795" s="18" t="s">
        <v>205</v>
      </c>
      <c r="E2795" s="26">
        <v>45415</v>
      </c>
      <c r="F2795" s="18" t="s">
        <v>3233</v>
      </c>
      <c r="G2795" s="18" t="s">
        <v>132</v>
      </c>
      <c r="H2795" s="18">
        <v>6.4</v>
      </c>
      <c r="I2795" s="18">
        <v>399</v>
      </c>
      <c r="J2795" s="18">
        <v>0</v>
      </c>
      <c r="K2795" s="18">
        <v>2553.6</v>
      </c>
      <c r="L2795" s="18" t="s">
        <v>118</v>
      </c>
      <c r="M2795" s="18" t="s">
        <v>133</v>
      </c>
      <c r="N2795" s="20"/>
      <c r="O2795" s="20"/>
      <c r="P2795" s="20"/>
      <c r="Q2795" s="18" t="b">
        <f>FALSE()</f>
        <v>0</v>
      </c>
      <c r="R2795" s="18" t="b">
        <f>FALSE()</f>
        <v>0</v>
      </c>
      <c r="S2795" s="19" t="str">
        <f t="shared" si="43"/>
        <v>N/A</v>
      </c>
      <c r="T2795">
        <f>COUNTIF('👤 Customers'!$A:$A, B2795)</f>
        <v>1</v>
      </c>
      <c r="U2795">
        <f>COUNTIF('🚴 Riders'!A2794:A2854, C2795)</f>
        <v>0</v>
      </c>
      <c r="V2795">
        <f>COUNTIF('🏭 Facilities'!A2794:A2802, D2795)</f>
        <v>0</v>
      </c>
    </row>
    <row r="2796" spans="1:22">
      <c r="A2796" s="16" t="s">
        <v>6240</v>
      </c>
      <c r="B2796" s="16" t="s">
        <v>1548</v>
      </c>
      <c r="C2796" s="16" t="s">
        <v>611</v>
      </c>
      <c r="D2796" s="16" t="s">
        <v>197</v>
      </c>
      <c r="E2796" s="25">
        <v>45481</v>
      </c>
      <c r="F2796" s="16" t="s">
        <v>6241</v>
      </c>
      <c r="G2796" s="16" t="s">
        <v>125</v>
      </c>
      <c r="H2796" s="16">
        <v>4.3</v>
      </c>
      <c r="I2796" s="16">
        <v>199</v>
      </c>
      <c r="J2796" s="16">
        <v>30</v>
      </c>
      <c r="K2796" s="16">
        <v>598.99</v>
      </c>
      <c r="L2796" s="16" t="s">
        <v>118</v>
      </c>
      <c r="M2796" s="16" t="s">
        <v>140</v>
      </c>
      <c r="N2796" s="27">
        <v>45481.863194444442</v>
      </c>
      <c r="O2796" s="27">
        <v>45482.65902777778</v>
      </c>
      <c r="P2796" s="20"/>
      <c r="Q2796" s="16" t="b">
        <f>FALSE()</f>
        <v>0</v>
      </c>
      <c r="R2796" s="16" t="b">
        <f>FALSE()</f>
        <v>0</v>
      </c>
      <c r="S2796" s="17">
        <f t="shared" si="43"/>
        <v>19.100000000000001</v>
      </c>
      <c r="T2796">
        <f>COUNTIF('👤 Customers'!$A:$A, B2796)</f>
        <v>1</v>
      </c>
      <c r="U2796">
        <f>COUNTIF('🚴 Riders'!A2795:A2855, C2796)</f>
        <v>0</v>
      </c>
      <c r="V2796">
        <f>COUNTIF('🏭 Facilities'!A2795:A2803, D2796)</f>
        <v>0</v>
      </c>
    </row>
    <row r="2797" spans="1:22">
      <c r="A2797" s="18" t="s">
        <v>6242</v>
      </c>
      <c r="B2797" s="18" t="s">
        <v>1724</v>
      </c>
      <c r="C2797" s="18" t="s">
        <v>179</v>
      </c>
      <c r="D2797" s="18" t="s">
        <v>158</v>
      </c>
      <c r="E2797" s="26">
        <v>45565</v>
      </c>
      <c r="F2797" s="18" t="s">
        <v>6243</v>
      </c>
      <c r="G2797" s="18" t="s">
        <v>145</v>
      </c>
      <c r="H2797" s="18">
        <v>1.1000000000000001</v>
      </c>
      <c r="I2797" s="18">
        <v>299</v>
      </c>
      <c r="J2797" s="18">
        <v>10</v>
      </c>
      <c r="K2797" s="18">
        <v>296.01</v>
      </c>
      <c r="L2797" s="18" t="s">
        <v>146</v>
      </c>
      <c r="M2797" s="18" t="s">
        <v>133</v>
      </c>
      <c r="N2797" s="20"/>
      <c r="O2797" s="20"/>
      <c r="P2797" s="20"/>
      <c r="Q2797" s="18" t="b">
        <f>FALSE()</f>
        <v>0</v>
      </c>
      <c r="R2797" s="18" t="b">
        <f>FALSE()</f>
        <v>0</v>
      </c>
      <c r="S2797" s="19" t="str">
        <f t="shared" si="43"/>
        <v>N/A</v>
      </c>
      <c r="T2797">
        <f>COUNTIF('👤 Customers'!$A:$A, B2797)</f>
        <v>1</v>
      </c>
      <c r="U2797">
        <f>COUNTIF('🚴 Riders'!A2796:A2856, C2797)</f>
        <v>0</v>
      </c>
      <c r="V2797">
        <f>COUNTIF('🏭 Facilities'!A2796:A2804, D2797)</f>
        <v>0</v>
      </c>
    </row>
    <row r="2798" spans="1:22">
      <c r="A2798" s="16" t="s">
        <v>6244</v>
      </c>
      <c r="B2798" s="16" t="s">
        <v>681</v>
      </c>
      <c r="C2798" s="16" t="s">
        <v>236</v>
      </c>
      <c r="D2798" s="16" t="s">
        <v>115</v>
      </c>
      <c r="E2798" s="25">
        <v>45130</v>
      </c>
      <c r="F2798" s="16" t="s">
        <v>6245</v>
      </c>
      <c r="G2798" s="16" t="s">
        <v>145</v>
      </c>
      <c r="H2798" s="16">
        <v>1.1000000000000001</v>
      </c>
      <c r="I2798" s="16">
        <v>299</v>
      </c>
      <c r="J2798" s="16">
        <v>0</v>
      </c>
      <c r="K2798" s="16">
        <v>328.9</v>
      </c>
      <c r="L2798" s="16" t="s">
        <v>126</v>
      </c>
      <c r="M2798" s="16" t="s">
        <v>119</v>
      </c>
      <c r="N2798" s="27">
        <v>45130.492361111108</v>
      </c>
      <c r="O2798" s="27">
        <v>45131.441666666666</v>
      </c>
      <c r="P2798" s="16">
        <v>4.2</v>
      </c>
      <c r="Q2798" s="16" t="b">
        <f>FALSE()</f>
        <v>0</v>
      </c>
      <c r="R2798" s="16" t="b">
        <f>FALSE()</f>
        <v>0</v>
      </c>
      <c r="S2798" s="17">
        <f t="shared" si="43"/>
        <v>22.8</v>
      </c>
      <c r="T2798">
        <f>COUNTIF('👤 Customers'!$A:$A, B2798)</f>
        <v>1</v>
      </c>
      <c r="U2798">
        <f>COUNTIF('🚴 Riders'!A2797:A2857, C2798)</f>
        <v>0</v>
      </c>
      <c r="V2798">
        <f>COUNTIF('🏭 Facilities'!A2797:A2805, D2798)</f>
        <v>0</v>
      </c>
    </row>
    <row r="2799" spans="1:22">
      <c r="A2799" s="18" t="s">
        <v>6246</v>
      </c>
      <c r="B2799" s="18" t="s">
        <v>1575</v>
      </c>
      <c r="C2799" s="18" t="s">
        <v>300</v>
      </c>
      <c r="D2799" s="18" t="s">
        <v>115</v>
      </c>
      <c r="E2799" s="26">
        <v>45335</v>
      </c>
      <c r="F2799" s="18" t="s">
        <v>6247</v>
      </c>
      <c r="G2799" s="18" t="s">
        <v>117</v>
      </c>
      <c r="H2799" s="18">
        <v>2.2000000000000002</v>
      </c>
      <c r="I2799" s="18">
        <v>149</v>
      </c>
      <c r="J2799" s="18">
        <v>10</v>
      </c>
      <c r="K2799" s="18">
        <v>295.02</v>
      </c>
      <c r="L2799" s="18" t="s">
        <v>139</v>
      </c>
      <c r="M2799" s="18" t="s">
        <v>119</v>
      </c>
      <c r="N2799" s="28">
        <v>45335.819444444445</v>
      </c>
      <c r="O2799" s="28">
        <v>45336.620138888888</v>
      </c>
      <c r="P2799" s="18">
        <v>4.2</v>
      </c>
      <c r="Q2799" s="18" t="b">
        <f>FALSE()</f>
        <v>0</v>
      </c>
      <c r="R2799" s="18" t="b">
        <f>FALSE()</f>
        <v>0</v>
      </c>
      <c r="S2799" s="19">
        <f t="shared" si="43"/>
        <v>19.2</v>
      </c>
      <c r="T2799">
        <f>COUNTIF('👤 Customers'!$A:$A, B2799)</f>
        <v>1</v>
      </c>
      <c r="U2799">
        <f>COUNTIF('🚴 Riders'!A2798:A2858, C2799)</f>
        <v>0</v>
      </c>
      <c r="V2799">
        <f>COUNTIF('🏭 Facilities'!A2798:A2806, D2799)</f>
        <v>0</v>
      </c>
    </row>
    <row r="2800" spans="1:22">
      <c r="A2800" s="16" t="s">
        <v>6248</v>
      </c>
      <c r="B2800" s="16" t="s">
        <v>268</v>
      </c>
      <c r="C2800" s="16" t="s">
        <v>322</v>
      </c>
      <c r="D2800" s="16" t="s">
        <v>184</v>
      </c>
      <c r="E2800" s="25">
        <v>45393</v>
      </c>
      <c r="F2800" s="16" t="s">
        <v>6249</v>
      </c>
      <c r="G2800" s="16" t="s">
        <v>132</v>
      </c>
      <c r="H2800" s="16">
        <v>2.1</v>
      </c>
      <c r="I2800" s="16">
        <v>399</v>
      </c>
      <c r="J2800" s="16">
        <v>10</v>
      </c>
      <c r="K2800" s="16">
        <v>754.11</v>
      </c>
      <c r="L2800" s="16" t="s">
        <v>139</v>
      </c>
      <c r="M2800" s="16" t="s">
        <v>119</v>
      </c>
      <c r="N2800" s="27">
        <v>45393.209722222222</v>
      </c>
      <c r="O2800" s="27">
        <v>45394.046527777777</v>
      </c>
      <c r="P2800" s="16">
        <v>3</v>
      </c>
      <c r="Q2800" s="16" t="b">
        <f>FALSE()</f>
        <v>0</v>
      </c>
      <c r="R2800" s="16" t="b">
        <f>TRUE()</f>
        <v>1</v>
      </c>
      <c r="S2800" s="17">
        <f t="shared" si="43"/>
        <v>20.100000000000001</v>
      </c>
      <c r="T2800">
        <f>COUNTIF('👤 Customers'!$A:$A, B2800)</f>
        <v>1</v>
      </c>
      <c r="U2800">
        <f>COUNTIF('🚴 Riders'!A2799:A2859, C2800)</f>
        <v>0</v>
      </c>
      <c r="V2800">
        <f>COUNTIF('🏭 Facilities'!A2799:A2807, D2800)</f>
        <v>0</v>
      </c>
    </row>
    <row r="2801" spans="1:22">
      <c r="A2801" s="18" t="s">
        <v>6250</v>
      </c>
      <c r="B2801" s="18" t="s">
        <v>1533</v>
      </c>
      <c r="C2801" s="18" t="s">
        <v>339</v>
      </c>
      <c r="D2801" s="18" t="s">
        <v>115</v>
      </c>
      <c r="E2801" s="26">
        <v>45041</v>
      </c>
      <c r="F2801" s="18" t="s">
        <v>6251</v>
      </c>
      <c r="G2801" s="18" t="s">
        <v>176</v>
      </c>
      <c r="H2801" s="18">
        <v>6.4</v>
      </c>
      <c r="I2801" s="18">
        <v>599</v>
      </c>
      <c r="J2801" s="18">
        <v>10</v>
      </c>
      <c r="K2801" s="18">
        <v>3450.24</v>
      </c>
      <c r="L2801" s="18" t="s">
        <v>146</v>
      </c>
      <c r="M2801" s="18" t="s">
        <v>133</v>
      </c>
      <c r="N2801" s="20"/>
      <c r="O2801" s="20"/>
      <c r="P2801" s="20"/>
      <c r="Q2801" s="18" t="b">
        <f>FALSE()</f>
        <v>0</v>
      </c>
      <c r="R2801" s="18" t="b">
        <f>TRUE()</f>
        <v>1</v>
      </c>
      <c r="S2801" s="19" t="str">
        <f t="shared" si="43"/>
        <v>N/A</v>
      </c>
      <c r="T2801">
        <f>COUNTIF('👤 Customers'!$A:$A, B2801)</f>
        <v>1</v>
      </c>
      <c r="U2801">
        <f>COUNTIF('🚴 Riders'!A2800:A2860, C2801)</f>
        <v>0</v>
      </c>
      <c r="V2801">
        <f>COUNTIF('🏭 Facilities'!A2800:A2808, D2801)</f>
        <v>0</v>
      </c>
    </row>
    <row r="2802" spans="1:22">
      <c r="A2802" s="16" t="s">
        <v>6252</v>
      </c>
      <c r="B2802" s="16" t="s">
        <v>455</v>
      </c>
      <c r="C2802" s="16" t="s">
        <v>322</v>
      </c>
      <c r="D2802" s="16" t="s">
        <v>123</v>
      </c>
      <c r="E2802" s="25">
        <v>45491</v>
      </c>
      <c r="F2802" s="16" t="s">
        <v>6253</v>
      </c>
      <c r="G2802" s="16" t="s">
        <v>132</v>
      </c>
      <c r="H2802" s="16">
        <v>3.5</v>
      </c>
      <c r="I2802" s="16">
        <v>399</v>
      </c>
      <c r="J2802" s="16">
        <v>20</v>
      </c>
      <c r="K2802" s="16">
        <v>1117.2</v>
      </c>
      <c r="L2802" s="16" t="s">
        <v>139</v>
      </c>
      <c r="M2802" s="16" t="s">
        <v>140</v>
      </c>
      <c r="N2802" s="27">
        <v>45491.136111111111</v>
      </c>
      <c r="O2802" s="27">
        <v>45491.804166666669</v>
      </c>
      <c r="P2802" s="20"/>
      <c r="Q2802" s="16" t="b">
        <f>FALSE()</f>
        <v>0</v>
      </c>
      <c r="R2802" s="16" t="b">
        <f>FALSE()</f>
        <v>0</v>
      </c>
      <c r="S2802" s="17">
        <f t="shared" si="43"/>
        <v>16</v>
      </c>
      <c r="T2802">
        <f>COUNTIF('👤 Customers'!$A:$A, B2802)</f>
        <v>1</v>
      </c>
      <c r="U2802">
        <f>COUNTIF('🚴 Riders'!A2801:A2861, C2802)</f>
        <v>0</v>
      </c>
      <c r="V2802">
        <f>COUNTIF('🏭 Facilities'!A2801:A2809, D2802)</f>
        <v>0</v>
      </c>
    </row>
    <row r="2803" spans="1:22">
      <c r="A2803" s="18" t="s">
        <v>6254</v>
      </c>
      <c r="B2803" s="18" t="s">
        <v>2604</v>
      </c>
      <c r="C2803" s="18" t="s">
        <v>136</v>
      </c>
      <c r="D2803" s="18" t="s">
        <v>205</v>
      </c>
      <c r="E2803" s="26">
        <v>45206</v>
      </c>
      <c r="F2803" s="18" t="s">
        <v>6255</v>
      </c>
      <c r="G2803" s="18" t="s">
        <v>117</v>
      </c>
      <c r="H2803" s="18">
        <v>1.2</v>
      </c>
      <c r="I2803" s="18">
        <v>149</v>
      </c>
      <c r="J2803" s="18">
        <v>10</v>
      </c>
      <c r="K2803" s="18">
        <v>160.91999999999999</v>
      </c>
      <c r="L2803" s="18" t="s">
        <v>126</v>
      </c>
      <c r="M2803" s="18" t="s">
        <v>133</v>
      </c>
      <c r="N2803" s="20"/>
      <c r="O2803" s="20"/>
      <c r="P2803" s="20"/>
      <c r="Q2803" s="18" t="b">
        <f>FALSE()</f>
        <v>0</v>
      </c>
      <c r="R2803" s="18" t="b">
        <f>TRUE()</f>
        <v>1</v>
      </c>
      <c r="S2803" s="19" t="str">
        <f t="shared" si="43"/>
        <v>N/A</v>
      </c>
      <c r="T2803">
        <f>COUNTIF('👤 Customers'!$A:$A, B2803)</f>
        <v>1</v>
      </c>
      <c r="U2803">
        <f>COUNTIF('🚴 Riders'!A2802:A2862, C2803)</f>
        <v>0</v>
      </c>
      <c r="V2803">
        <f>COUNTIF('🏭 Facilities'!A2802:A2810, D2803)</f>
        <v>0</v>
      </c>
    </row>
    <row r="2804" spans="1:22">
      <c r="A2804" s="16" t="s">
        <v>6256</v>
      </c>
      <c r="B2804" s="16" t="s">
        <v>1832</v>
      </c>
      <c r="C2804" s="16" t="s">
        <v>143</v>
      </c>
      <c r="D2804" s="16" t="s">
        <v>184</v>
      </c>
      <c r="E2804" s="25">
        <v>45346</v>
      </c>
      <c r="F2804" s="16" t="s">
        <v>6257</v>
      </c>
      <c r="G2804" s="16" t="s">
        <v>145</v>
      </c>
      <c r="H2804" s="16">
        <v>3.2</v>
      </c>
      <c r="I2804" s="16">
        <v>299</v>
      </c>
      <c r="J2804" s="16">
        <v>10</v>
      </c>
      <c r="K2804" s="16">
        <v>861.12</v>
      </c>
      <c r="L2804" s="16" t="s">
        <v>118</v>
      </c>
      <c r="M2804" s="16" t="s">
        <v>119</v>
      </c>
      <c r="N2804" s="27">
        <v>45346.4375</v>
      </c>
      <c r="O2804" s="27">
        <v>45347.317361111112</v>
      </c>
      <c r="P2804" s="16">
        <v>3.8</v>
      </c>
      <c r="Q2804" s="16" t="b">
        <f>TRUE()</f>
        <v>1</v>
      </c>
      <c r="R2804" s="16" t="b">
        <f>FALSE()</f>
        <v>0</v>
      </c>
      <c r="S2804" s="17">
        <f t="shared" si="43"/>
        <v>21.1</v>
      </c>
      <c r="T2804">
        <f>COUNTIF('👤 Customers'!$A:$A, B2804)</f>
        <v>1</v>
      </c>
      <c r="U2804">
        <f>COUNTIF('🚴 Riders'!A2803:A2863, C2804)</f>
        <v>0</v>
      </c>
      <c r="V2804">
        <f>COUNTIF('🏭 Facilities'!A2803:A2811, D2804)</f>
        <v>0</v>
      </c>
    </row>
    <row r="2805" spans="1:22">
      <c r="A2805" s="18" t="s">
        <v>6258</v>
      </c>
      <c r="B2805" s="18" t="s">
        <v>756</v>
      </c>
      <c r="C2805" s="18" t="s">
        <v>247</v>
      </c>
      <c r="D2805" s="18" t="s">
        <v>197</v>
      </c>
      <c r="E2805" s="26">
        <v>45425</v>
      </c>
      <c r="F2805" s="18" t="s">
        <v>6259</v>
      </c>
      <c r="G2805" s="18" t="s">
        <v>176</v>
      </c>
      <c r="H2805" s="18">
        <v>7.2</v>
      </c>
      <c r="I2805" s="18">
        <v>599</v>
      </c>
      <c r="J2805" s="18">
        <v>20</v>
      </c>
      <c r="K2805" s="18">
        <v>3450.24</v>
      </c>
      <c r="L2805" s="18" t="s">
        <v>146</v>
      </c>
      <c r="M2805" s="18" t="s">
        <v>119</v>
      </c>
      <c r="N2805" s="28">
        <v>45425.569444444445</v>
      </c>
      <c r="O2805" s="28">
        <v>45426.48541666667</v>
      </c>
      <c r="P2805" s="18">
        <v>3</v>
      </c>
      <c r="Q2805" s="18" t="b">
        <f>FALSE()</f>
        <v>0</v>
      </c>
      <c r="R2805" s="18" t="b">
        <f>FALSE()</f>
        <v>0</v>
      </c>
      <c r="S2805" s="19">
        <f t="shared" si="43"/>
        <v>22</v>
      </c>
      <c r="T2805">
        <f>COUNTIF('👤 Customers'!$A:$A, B2805)</f>
        <v>1</v>
      </c>
      <c r="U2805">
        <f>COUNTIF('🚴 Riders'!A2804:A2864, C2805)</f>
        <v>0</v>
      </c>
      <c r="V2805">
        <f>COUNTIF('🏭 Facilities'!A2804:A2812, D2805)</f>
        <v>0</v>
      </c>
    </row>
    <row r="2806" spans="1:22">
      <c r="A2806" s="16" t="s">
        <v>6260</v>
      </c>
      <c r="B2806" s="16" t="s">
        <v>1058</v>
      </c>
      <c r="C2806" s="16" t="s">
        <v>192</v>
      </c>
      <c r="D2806" s="16" t="s">
        <v>123</v>
      </c>
      <c r="E2806" s="25">
        <v>45352</v>
      </c>
      <c r="F2806" s="16" t="s">
        <v>6261</v>
      </c>
      <c r="G2806" s="16" t="s">
        <v>145</v>
      </c>
      <c r="H2806" s="16">
        <v>3.6</v>
      </c>
      <c r="I2806" s="16">
        <v>299</v>
      </c>
      <c r="J2806" s="16">
        <v>20</v>
      </c>
      <c r="K2806" s="16">
        <v>861.12</v>
      </c>
      <c r="L2806" s="16" t="s">
        <v>139</v>
      </c>
      <c r="M2806" s="16" t="s">
        <v>140</v>
      </c>
      <c r="N2806" s="27">
        <v>45352.749305555553</v>
      </c>
      <c r="O2806" s="27">
        <v>45353.633333333331</v>
      </c>
      <c r="P2806" s="20"/>
      <c r="Q2806" s="16" t="b">
        <f>FALSE()</f>
        <v>0</v>
      </c>
      <c r="R2806" s="16" t="b">
        <f>FALSE()</f>
        <v>0</v>
      </c>
      <c r="S2806" s="17">
        <f t="shared" si="43"/>
        <v>21.2</v>
      </c>
      <c r="T2806">
        <f>COUNTIF('👤 Customers'!$A:$A, B2806)</f>
        <v>1</v>
      </c>
      <c r="U2806">
        <f>COUNTIF('🚴 Riders'!A2805:A2865, C2806)</f>
        <v>0</v>
      </c>
      <c r="V2806">
        <f>COUNTIF('🏭 Facilities'!A2805:A2813, D2806)</f>
        <v>0</v>
      </c>
    </row>
    <row r="2807" spans="1:22">
      <c r="A2807" s="18" t="s">
        <v>6262</v>
      </c>
      <c r="B2807" s="18" t="s">
        <v>977</v>
      </c>
      <c r="C2807" s="18" t="s">
        <v>580</v>
      </c>
      <c r="D2807" s="18" t="s">
        <v>137</v>
      </c>
      <c r="E2807" s="26">
        <v>45244</v>
      </c>
      <c r="F2807" s="18" t="s">
        <v>6263</v>
      </c>
      <c r="G2807" s="18" t="s">
        <v>132</v>
      </c>
      <c r="H2807" s="18">
        <v>2.4</v>
      </c>
      <c r="I2807" s="18">
        <v>399</v>
      </c>
      <c r="J2807" s="18">
        <v>0</v>
      </c>
      <c r="K2807" s="18">
        <v>957.6</v>
      </c>
      <c r="L2807" s="18" t="s">
        <v>146</v>
      </c>
      <c r="M2807" s="18" t="s">
        <v>119</v>
      </c>
      <c r="N2807" s="28">
        <v>45244.275694444441</v>
      </c>
      <c r="O2807" s="28">
        <v>45245.273611111108</v>
      </c>
      <c r="P2807" s="18">
        <v>2.8</v>
      </c>
      <c r="Q2807" s="18" t="b">
        <f>FALSE()</f>
        <v>0</v>
      </c>
      <c r="R2807" s="18" t="b">
        <f>FALSE()</f>
        <v>0</v>
      </c>
      <c r="S2807" s="19">
        <f t="shared" si="43"/>
        <v>24</v>
      </c>
      <c r="T2807">
        <f>COUNTIF('👤 Customers'!$A:$A, B2807)</f>
        <v>1</v>
      </c>
      <c r="U2807">
        <f>COUNTIF('🚴 Riders'!A2806:A2866, C2807)</f>
        <v>0</v>
      </c>
      <c r="V2807">
        <f>COUNTIF('🏭 Facilities'!A2806:A2814, D2807)</f>
        <v>0</v>
      </c>
    </row>
    <row r="2808" spans="1:22">
      <c r="A2808" s="16" t="s">
        <v>6264</v>
      </c>
      <c r="B2808" s="16" t="s">
        <v>3332</v>
      </c>
      <c r="C2808" s="16" t="s">
        <v>315</v>
      </c>
      <c r="D2808" s="16" t="s">
        <v>197</v>
      </c>
      <c r="E2808" s="25">
        <v>45067</v>
      </c>
      <c r="F2808" s="16" t="s">
        <v>6265</v>
      </c>
      <c r="G2808" s="16" t="s">
        <v>132</v>
      </c>
      <c r="H2808" s="16">
        <v>4.4000000000000004</v>
      </c>
      <c r="I2808" s="16">
        <v>399</v>
      </c>
      <c r="J2808" s="16">
        <v>0</v>
      </c>
      <c r="K2808" s="16">
        <v>1755.6</v>
      </c>
      <c r="L2808" s="16" t="s">
        <v>146</v>
      </c>
      <c r="M2808" s="16" t="s">
        <v>140</v>
      </c>
      <c r="N2808" s="27">
        <v>45067.927083333336</v>
      </c>
      <c r="O2808" s="27">
        <v>45068.461111111108</v>
      </c>
      <c r="P2808" s="20"/>
      <c r="Q2808" s="16" t="b">
        <f>FALSE()</f>
        <v>0</v>
      </c>
      <c r="R2808" s="16" t="b">
        <f>FALSE()</f>
        <v>0</v>
      </c>
      <c r="S2808" s="17">
        <f t="shared" si="43"/>
        <v>12.8</v>
      </c>
      <c r="T2808">
        <f>COUNTIF('👤 Customers'!$A:$A, B2808)</f>
        <v>1</v>
      </c>
      <c r="U2808">
        <f>COUNTIF('🚴 Riders'!A2807:A2867, C2808)</f>
        <v>0</v>
      </c>
      <c r="V2808">
        <f>COUNTIF('🏭 Facilities'!A2807:A2815, D2808)</f>
        <v>0</v>
      </c>
    </row>
    <row r="2809" spans="1:22">
      <c r="A2809" s="18" t="s">
        <v>6266</v>
      </c>
      <c r="B2809" s="18" t="s">
        <v>377</v>
      </c>
      <c r="C2809" s="18" t="s">
        <v>247</v>
      </c>
      <c r="D2809" s="18" t="s">
        <v>137</v>
      </c>
      <c r="E2809" s="26">
        <v>45418</v>
      </c>
      <c r="F2809" s="18" t="s">
        <v>6267</v>
      </c>
      <c r="G2809" s="18" t="s">
        <v>125</v>
      </c>
      <c r="H2809" s="18">
        <v>2.8</v>
      </c>
      <c r="I2809" s="18">
        <v>199</v>
      </c>
      <c r="J2809" s="18">
        <v>0</v>
      </c>
      <c r="K2809" s="18">
        <v>557.20000000000005</v>
      </c>
      <c r="L2809" s="18" t="s">
        <v>146</v>
      </c>
      <c r="M2809" s="18" t="s">
        <v>119</v>
      </c>
      <c r="N2809" s="28">
        <v>45418.996527777781</v>
      </c>
      <c r="O2809" s="28">
        <v>45419.722916666666</v>
      </c>
      <c r="P2809" s="18">
        <v>2.7</v>
      </c>
      <c r="Q2809" s="18" t="b">
        <f>FALSE()</f>
        <v>0</v>
      </c>
      <c r="R2809" s="18" t="b">
        <f>FALSE()</f>
        <v>0</v>
      </c>
      <c r="S2809" s="19">
        <f t="shared" si="43"/>
        <v>17.399999999999999</v>
      </c>
      <c r="T2809">
        <f>COUNTIF('👤 Customers'!$A:$A, B2809)</f>
        <v>1</v>
      </c>
      <c r="U2809">
        <f>COUNTIF('🚴 Riders'!A2808:A2868, C2809)</f>
        <v>0</v>
      </c>
      <c r="V2809">
        <f>COUNTIF('🏭 Facilities'!A2808:A2816, D2809)</f>
        <v>0</v>
      </c>
    </row>
    <row r="2810" spans="1:22">
      <c r="A2810" s="16" t="s">
        <v>6268</v>
      </c>
      <c r="B2810" s="16" t="s">
        <v>1091</v>
      </c>
      <c r="C2810" s="16" t="s">
        <v>487</v>
      </c>
      <c r="D2810" s="16" t="s">
        <v>197</v>
      </c>
      <c r="E2810" s="25">
        <v>45277</v>
      </c>
      <c r="F2810" s="16" t="s">
        <v>6269</v>
      </c>
      <c r="G2810" s="16" t="s">
        <v>132</v>
      </c>
      <c r="H2810" s="16">
        <v>7.8</v>
      </c>
      <c r="I2810" s="16">
        <v>399</v>
      </c>
      <c r="J2810" s="16">
        <v>0</v>
      </c>
      <c r="K2810" s="16">
        <v>3112.2</v>
      </c>
      <c r="L2810" s="16" t="s">
        <v>139</v>
      </c>
      <c r="M2810" s="16" t="s">
        <v>119</v>
      </c>
      <c r="N2810" s="27">
        <v>45277.325694444444</v>
      </c>
      <c r="O2810" s="27">
        <v>45278.259027777778</v>
      </c>
      <c r="P2810" s="16">
        <v>4.4000000000000004</v>
      </c>
      <c r="Q2810" s="16" t="b">
        <f>FALSE()</f>
        <v>0</v>
      </c>
      <c r="R2810" s="16" t="b">
        <f>FALSE()</f>
        <v>0</v>
      </c>
      <c r="S2810" s="17">
        <f t="shared" si="43"/>
        <v>22.4</v>
      </c>
      <c r="T2810">
        <f>COUNTIF('👤 Customers'!$A:$A, B2810)</f>
        <v>1</v>
      </c>
      <c r="U2810">
        <f>COUNTIF('🚴 Riders'!A2809:A2869, C2810)</f>
        <v>0</v>
      </c>
      <c r="V2810">
        <f>COUNTIF('🏭 Facilities'!A2809:A2817, D2810)</f>
        <v>0</v>
      </c>
    </row>
    <row r="2811" spans="1:22">
      <c r="A2811" s="18" t="s">
        <v>6270</v>
      </c>
      <c r="B2811" s="18" t="s">
        <v>2619</v>
      </c>
      <c r="C2811" s="18" t="s">
        <v>431</v>
      </c>
      <c r="D2811" s="18" t="s">
        <v>205</v>
      </c>
      <c r="E2811" s="26">
        <v>45229</v>
      </c>
      <c r="F2811" s="18" t="s">
        <v>6271</v>
      </c>
      <c r="G2811" s="18" t="s">
        <v>145</v>
      </c>
      <c r="H2811" s="18">
        <v>3.6</v>
      </c>
      <c r="I2811" s="18">
        <v>299</v>
      </c>
      <c r="J2811" s="18">
        <v>10</v>
      </c>
      <c r="K2811" s="18">
        <v>968.76</v>
      </c>
      <c r="L2811" s="18" t="s">
        <v>118</v>
      </c>
      <c r="M2811" s="18" t="s">
        <v>140</v>
      </c>
      <c r="N2811" s="28">
        <v>45229.13958333333</v>
      </c>
      <c r="O2811" s="28">
        <v>45229.731249999997</v>
      </c>
      <c r="P2811" s="20"/>
      <c r="Q2811" s="18" t="b">
        <f>FALSE()</f>
        <v>0</v>
      </c>
      <c r="R2811" s="18" t="b">
        <f>FALSE()</f>
        <v>0</v>
      </c>
      <c r="S2811" s="19">
        <f t="shared" si="43"/>
        <v>14.2</v>
      </c>
      <c r="T2811">
        <f>COUNTIF('👤 Customers'!$A:$A, B2811)</f>
        <v>1</v>
      </c>
      <c r="U2811">
        <f>COUNTIF('🚴 Riders'!A2810:A2870, C2811)</f>
        <v>0</v>
      </c>
      <c r="V2811">
        <f>COUNTIF('🏭 Facilities'!A2810:A2818, D2811)</f>
        <v>0</v>
      </c>
    </row>
    <row r="2812" spans="1:22">
      <c r="A2812" s="16" t="s">
        <v>6272</v>
      </c>
      <c r="B2812" s="16" t="s">
        <v>1147</v>
      </c>
      <c r="C2812" s="16" t="s">
        <v>170</v>
      </c>
      <c r="D2812" s="16" t="s">
        <v>158</v>
      </c>
      <c r="E2812" s="25">
        <v>45548</v>
      </c>
      <c r="F2812" s="16" t="s">
        <v>6273</v>
      </c>
      <c r="G2812" s="16" t="s">
        <v>176</v>
      </c>
      <c r="H2812" s="16">
        <v>4.7</v>
      </c>
      <c r="I2812" s="16">
        <v>599</v>
      </c>
      <c r="J2812" s="16">
        <v>30</v>
      </c>
      <c r="K2812" s="16">
        <v>1970.71</v>
      </c>
      <c r="L2812" s="16" t="s">
        <v>207</v>
      </c>
      <c r="M2812" s="16" t="s">
        <v>119</v>
      </c>
      <c r="N2812" s="27">
        <v>45548.375</v>
      </c>
      <c r="O2812" s="27">
        <v>45549.286111111112</v>
      </c>
      <c r="P2812" s="16">
        <v>4.5999999999999996</v>
      </c>
      <c r="Q2812" s="16" t="b">
        <f>FALSE()</f>
        <v>0</v>
      </c>
      <c r="R2812" s="16" t="b">
        <f>FALSE()</f>
        <v>0</v>
      </c>
      <c r="S2812" s="17">
        <f t="shared" si="43"/>
        <v>21.9</v>
      </c>
      <c r="T2812">
        <f>COUNTIF('👤 Customers'!$A:$A, B2812)</f>
        <v>1</v>
      </c>
      <c r="U2812">
        <f>COUNTIF('🚴 Riders'!A2811:A2871, C2812)</f>
        <v>0</v>
      </c>
      <c r="V2812">
        <f>COUNTIF('🏭 Facilities'!A2811:A2819, D2812)</f>
        <v>0</v>
      </c>
    </row>
    <row r="2813" spans="1:22">
      <c r="A2813" s="18" t="s">
        <v>6274</v>
      </c>
      <c r="B2813" s="18" t="s">
        <v>2033</v>
      </c>
      <c r="C2813" s="18" t="s">
        <v>431</v>
      </c>
      <c r="D2813" s="18" t="s">
        <v>115</v>
      </c>
      <c r="E2813" s="26">
        <v>45121</v>
      </c>
      <c r="F2813" s="18" t="s">
        <v>6275</v>
      </c>
      <c r="G2813" s="18" t="s">
        <v>145</v>
      </c>
      <c r="H2813" s="18">
        <v>4.3</v>
      </c>
      <c r="I2813" s="18">
        <v>299</v>
      </c>
      <c r="J2813" s="18">
        <v>0</v>
      </c>
      <c r="K2813" s="18">
        <v>1285.7</v>
      </c>
      <c r="L2813" s="18" t="s">
        <v>139</v>
      </c>
      <c r="M2813" s="18" t="s">
        <v>119</v>
      </c>
      <c r="N2813" s="28">
        <v>45122.051388888889</v>
      </c>
      <c r="O2813" s="28">
        <v>45122.42083333333</v>
      </c>
      <c r="P2813" s="18">
        <v>3.4</v>
      </c>
      <c r="Q2813" s="18" t="b">
        <f>FALSE()</f>
        <v>0</v>
      </c>
      <c r="R2813" s="18" t="b">
        <f>TRUE()</f>
        <v>1</v>
      </c>
      <c r="S2813" s="19">
        <f t="shared" si="43"/>
        <v>8.9</v>
      </c>
      <c r="T2813">
        <f>COUNTIF('👤 Customers'!$A:$A, B2813)</f>
        <v>1</v>
      </c>
      <c r="U2813">
        <f>COUNTIF('🚴 Riders'!A2812:A2872, C2813)</f>
        <v>0</v>
      </c>
      <c r="V2813">
        <f>COUNTIF('🏭 Facilities'!A2812:A2820, D2813)</f>
        <v>0</v>
      </c>
    </row>
    <row r="2814" spans="1:22">
      <c r="A2814" s="16" t="s">
        <v>6276</v>
      </c>
      <c r="B2814" s="16" t="s">
        <v>318</v>
      </c>
      <c r="C2814" s="16" t="s">
        <v>1092</v>
      </c>
      <c r="D2814" s="16" t="s">
        <v>130</v>
      </c>
      <c r="E2814" s="25">
        <v>45592</v>
      </c>
      <c r="F2814" s="16" t="s">
        <v>6277</v>
      </c>
      <c r="G2814" s="16" t="s">
        <v>176</v>
      </c>
      <c r="H2814" s="16">
        <v>1.6</v>
      </c>
      <c r="I2814" s="16">
        <v>599</v>
      </c>
      <c r="J2814" s="16">
        <v>0</v>
      </c>
      <c r="K2814" s="16">
        <v>958.4</v>
      </c>
      <c r="L2814" s="16" t="s">
        <v>207</v>
      </c>
      <c r="M2814" s="16" t="s">
        <v>133</v>
      </c>
      <c r="N2814" s="20"/>
      <c r="O2814" s="20"/>
      <c r="P2814" s="20"/>
      <c r="Q2814" s="16" t="b">
        <f>FALSE()</f>
        <v>0</v>
      </c>
      <c r="R2814" s="16" t="b">
        <f>FALSE()</f>
        <v>0</v>
      </c>
      <c r="S2814" s="17" t="str">
        <f t="shared" si="43"/>
        <v>N/A</v>
      </c>
      <c r="T2814">
        <f>COUNTIF('👤 Customers'!$A:$A, B2814)</f>
        <v>1</v>
      </c>
      <c r="U2814">
        <f>COUNTIF('🚴 Riders'!A2813:A2873, C2814)</f>
        <v>0</v>
      </c>
      <c r="V2814">
        <f>COUNTIF('🏭 Facilities'!A2813:A2821, D2814)</f>
        <v>0</v>
      </c>
    </row>
    <row r="2815" spans="1:22">
      <c r="A2815" s="18" t="s">
        <v>6278</v>
      </c>
      <c r="B2815" s="18" t="s">
        <v>716</v>
      </c>
      <c r="C2815" s="18" t="s">
        <v>188</v>
      </c>
      <c r="D2815" s="18" t="s">
        <v>205</v>
      </c>
      <c r="E2815" s="26">
        <v>44958</v>
      </c>
      <c r="F2815" s="18" t="s">
        <v>6279</v>
      </c>
      <c r="G2815" s="18" t="s">
        <v>125</v>
      </c>
      <c r="H2815" s="18">
        <v>7.4</v>
      </c>
      <c r="I2815" s="18">
        <v>199</v>
      </c>
      <c r="J2815" s="18">
        <v>0</v>
      </c>
      <c r="K2815" s="18">
        <v>1472.6</v>
      </c>
      <c r="L2815" s="18" t="s">
        <v>146</v>
      </c>
      <c r="M2815" s="18" t="s">
        <v>119</v>
      </c>
      <c r="N2815" s="28">
        <v>44958.51666666667</v>
      </c>
      <c r="O2815" s="28">
        <v>44959.081250000003</v>
      </c>
      <c r="P2815" s="18">
        <v>3.4</v>
      </c>
      <c r="Q2815" s="18" t="b">
        <f>TRUE()</f>
        <v>1</v>
      </c>
      <c r="R2815" s="18" t="b">
        <f>FALSE()</f>
        <v>0</v>
      </c>
      <c r="S2815" s="19">
        <f t="shared" si="43"/>
        <v>13.5</v>
      </c>
      <c r="T2815">
        <f>COUNTIF('👤 Customers'!$A:$A, B2815)</f>
        <v>1</v>
      </c>
      <c r="U2815">
        <f>COUNTIF('🚴 Riders'!A2814:A2874, C2815)</f>
        <v>0</v>
      </c>
      <c r="V2815">
        <f>COUNTIF('🏭 Facilities'!A2814:A2822, D2815)</f>
        <v>0</v>
      </c>
    </row>
    <row r="2816" spans="1:22">
      <c r="A2816" s="16" t="s">
        <v>6280</v>
      </c>
      <c r="B2816" s="16" t="s">
        <v>1807</v>
      </c>
      <c r="C2816" s="16" t="s">
        <v>213</v>
      </c>
      <c r="D2816" s="16" t="s">
        <v>197</v>
      </c>
      <c r="E2816" s="25">
        <v>44979</v>
      </c>
      <c r="F2816" s="16" t="s">
        <v>6281</v>
      </c>
      <c r="G2816" s="16" t="s">
        <v>176</v>
      </c>
      <c r="H2816" s="16">
        <v>2.6</v>
      </c>
      <c r="I2816" s="16">
        <v>599</v>
      </c>
      <c r="J2816" s="16">
        <v>0</v>
      </c>
      <c r="K2816" s="16">
        <v>1557.4</v>
      </c>
      <c r="L2816" s="16" t="s">
        <v>207</v>
      </c>
      <c r="M2816" s="16" t="s">
        <v>119</v>
      </c>
      <c r="N2816" s="27">
        <v>44979.225694444445</v>
      </c>
      <c r="O2816" s="27">
        <v>44979.665972222225</v>
      </c>
      <c r="P2816" s="16">
        <v>3</v>
      </c>
      <c r="Q2816" s="16" t="b">
        <f>FALSE()</f>
        <v>0</v>
      </c>
      <c r="R2816" s="16" t="b">
        <f>FALSE()</f>
        <v>0</v>
      </c>
      <c r="S2816" s="17">
        <f t="shared" si="43"/>
        <v>10.6</v>
      </c>
      <c r="T2816">
        <f>COUNTIF('👤 Customers'!$A:$A, B2816)</f>
        <v>1</v>
      </c>
      <c r="U2816">
        <f>COUNTIF('🚴 Riders'!A2815:A2875, C2816)</f>
        <v>0</v>
      </c>
      <c r="V2816">
        <f>COUNTIF('🏭 Facilities'!A2815:A2823, D2816)</f>
        <v>0</v>
      </c>
    </row>
    <row r="2817" spans="1:22">
      <c r="A2817" s="18" t="s">
        <v>6282</v>
      </c>
      <c r="B2817" s="18" t="s">
        <v>368</v>
      </c>
      <c r="C2817" s="18" t="s">
        <v>166</v>
      </c>
      <c r="D2817" s="18" t="s">
        <v>205</v>
      </c>
      <c r="E2817" s="26">
        <v>45634</v>
      </c>
      <c r="F2817" s="18" t="s">
        <v>6283</v>
      </c>
      <c r="G2817" s="18" t="s">
        <v>125</v>
      </c>
      <c r="H2817" s="18">
        <v>6.4</v>
      </c>
      <c r="I2817" s="18">
        <v>199</v>
      </c>
      <c r="J2817" s="18">
        <v>10</v>
      </c>
      <c r="K2817" s="18">
        <v>1146.24</v>
      </c>
      <c r="L2817" s="18" t="s">
        <v>146</v>
      </c>
      <c r="M2817" s="18" t="s">
        <v>119</v>
      </c>
      <c r="N2817" s="28">
        <v>45634.085416666669</v>
      </c>
      <c r="O2817" s="28">
        <v>45634.72152777778</v>
      </c>
      <c r="P2817" s="18">
        <v>4.9000000000000004</v>
      </c>
      <c r="Q2817" s="18" t="b">
        <f>FALSE()</f>
        <v>0</v>
      </c>
      <c r="R2817" s="18" t="b">
        <f>FALSE()</f>
        <v>0</v>
      </c>
      <c r="S2817" s="19">
        <f t="shared" si="43"/>
        <v>15.3</v>
      </c>
      <c r="T2817">
        <f>COUNTIF('👤 Customers'!$A:$A, B2817)</f>
        <v>1</v>
      </c>
      <c r="U2817">
        <f>COUNTIF('🚴 Riders'!A2816:A2876, C2817)</f>
        <v>0</v>
      </c>
      <c r="V2817">
        <f>COUNTIF('🏭 Facilities'!A2816:A2824, D2817)</f>
        <v>0</v>
      </c>
    </row>
    <row r="2818" spans="1:22">
      <c r="A2818" s="16" t="s">
        <v>6284</v>
      </c>
      <c r="B2818" s="16" t="s">
        <v>1788</v>
      </c>
      <c r="C2818" s="16" t="s">
        <v>170</v>
      </c>
      <c r="D2818" s="16" t="s">
        <v>184</v>
      </c>
      <c r="E2818" s="25">
        <v>45381</v>
      </c>
      <c r="F2818" s="16" t="s">
        <v>6285</v>
      </c>
      <c r="G2818" s="16" t="s">
        <v>176</v>
      </c>
      <c r="H2818" s="16">
        <v>1.1000000000000001</v>
      </c>
      <c r="I2818" s="16">
        <v>599</v>
      </c>
      <c r="J2818" s="16">
        <v>0</v>
      </c>
      <c r="K2818" s="16">
        <v>658.9</v>
      </c>
      <c r="L2818" s="16" t="s">
        <v>146</v>
      </c>
      <c r="M2818" s="16" t="s">
        <v>119</v>
      </c>
      <c r="N2818" s="27">
        <v>45381.724305555559</v>
      </c>
      <c r="O2818" s="27">
        <v>45382.573611111111</v>
      </c>
      <c r="P2818" s="16">
        <v>3.7</v>
      </c>
      <c r="Q2818" s="16" t="b">
        <f>FALSE()</f>
        <v>0</v>
      </c>
      <c r="R2818" s="16" t="b">
        <f>FALSE()</f>
        <v>0</v>
      </c>
      <c r="S2818" s="17">
        <f t="shared" ref="S2818:S2881" si="44">IF(OR(N2818="",O2818=""),"N/A",ROUND(((O2818-N2818)*24),1))</f>
        <v>20.399999999999999</v>
      </c>
      <c r="T2818">
        <f>COUNTIF('👤 Customers'!$A:$A, B2818)</f>
        <v>1</v>
      </c>
      <c r="U2818">
        <f>COUNTIF('🚴 Riders'!A2817:A2877, C2818)</f>
        <v>0</v>
      </c>
      <c r="V2818">
        <f>COUNTIF('🏭 Facilities'!A2817:A2825, D2818)</f>
        <v>0</v>
      </c>
    </row>
    <row r="2819" spans="1:22">
      <c r="A2819" s="18" t="s">
        <v>6286</v>
      </c>
      <c r="B2819" s="18" t="s">
        <v>227</v>
      </c>
      <c r="C2819" s="18" t="s">
        <v>350</v>
      </c>
      <c r="D2819" s="18" t="s">
        <v>158</v>
      </c>
      <c r="E2819" s="26">
        <v>45418</v>
      </c>
      <c r="F2819" s="18" t="s">
        <v>5266</v>
      </c>
      <c r="G2819" s="18" t="s">
        <v>145</v>
      </c>
      <c r="H2819" s="18">
        <v>4.5</v>
      </c>
      <c r="I2819" s="18">
        <v>299</v>
      </c>
      <c r="J2819" s="18">
        <v>20</v>
      </c>
      <c r="K2819" s="18">
        <v>1076.4000000000001</v>
      </c>
      <c r="L2819" s="18" t="s">
        <v>207</v>
      </c>
      <c r="M2819" s="18" t="s">
        <v>119</v>
      </c>
      <c r="N2819" s="28">
        <v>45418.717361111114</v>
      </c>
      <c r="O2819" s="28">
        <v>45419.681250000001</v>
      </c>
      <c r="P2819" s="18">
        <v>2.6</v>
      </c>
      <c r="Q2819" s="18" t="b">
        <f>FALSE()</f>
        <v>0</v>
      </c>
      <c r="R2819" s="18" t="b">
        <f>FALSE()</f>
        <v>0</v>
      </c>
      <c r="S2819" s="19">
        <f t="shared" si="44"/>
        <v>23.1</v>
      </c>
      <c r="T2819">
        <f>COUNTIF('👤 Customers'!$A:$A, B2819)</f>
        <v>1</v>
      </c>
      <c r="U2819">
        <f>COUNTIF('🚴 Riders'!A2818:A2878, C2819)</f>
        <v>0</v>
      </c>
      <c r="V2819">
        <f>COUNTIF('🏭 Facilities'!A2818:A2826, D2819)</f>
        <v>0</v>
      </c>
    </row>
    <row r="2820" spans="1:22">
      <c r="A2820" s="16" t="s">
        <v>6287</v>
      </c>
      <c r="B2820" s="16" t="s">
        <v>756</v>
      </c>
      <c r="C2820" s="16" t="s">
        <v>431</v>
      </c>
      <c r="D2820" s="16" t="s">
        <v>205</v>
      </c>
      <c r="E2820" s="25">
        <v>45378</v>
      </c>
      <c r="F2820" s="16" t="s">
        <v>6288</v>
      </c>
      <c r="G2820" s="16" t="s">
        <v>176</v>
      </c>
      <c r="H2820" s="16">
        <v>6.1</v>
      </c>
      <c r="I2820" s="16">
        <v>599</v>
      </c>
      <c r="J2820" s="16">
        <v>20</v>
      </c>
      <c r="K2820" s="16">
        <v>2923.12</v>
      </c>
      <c r="L2820" s="16" t="s">
        <v>118</v>
      </c>
      <c r="M2820" s="16" t="s">
        <v>119</v>
      </c>
      <c r="N2820" s="27">
        <v>45378.390972222223</v>
      </c>
      <c r="O2820" s="27">
        <v>45379.164583333331</v>
      </c>
      <c r="P2820" s="16">
        <v>4.9000000000000004</v>
      </c>
      <c r="Q2820" s="16" t="b">
        <f>FALSE()</f>
        <v>0</v>
      </c>
      <c r="R2820" s="16" t="b">
        <f>FALSE()</f>
        <v>0</v>
      </c>
      <c r="S2820" s="17">
        <f t="shared" si="44"/>
        <v>18.600000000000001</v>
      </c>
      <c r="T2820">
        <f>COUNTIF('👤 Customers'!$A:$A, B2820)</f>
        <v>1</v>
      </c>
      <c r="U2820">
        <f>COUNTIF('🚴 Riders'!A2819:A2879, C2820)</f>
        <v>0</v>
      </c>
      <c r="V2820">
        <f>COUNTIF('🏭 Facilities'!A2819:A2827, D2820)</f>
        <v>0</v>
      </c>
    </row>
    <row r="2821" spans="1:22">
      <c r="A2821" s="18" t="s">
        <v>6289</v>
      </c>
      <c r="B2821" s="18" t="s">
        <v>1679</v>
      </c>
      <c r="C2821" s="18" t="s">
        <v>157</v>
      </c>
      <c r="D2821" s="18" t="s">
        <v>184</v>
      </c>
      <c r="E2821" s="26">
        <v>45459</v>
      </c>
      <c r="F2821" s="18" t="s">
        <v>6290</v>
      </c>
      <c r="G2821" s="18" t="s">
        <v>117</v>
      </c>
      <c r="H2821" s="18">
        <v>2.9</v>
      </c>
      <c r="I2821" s="18">
        <v>149</v>
      </c>
      <c r="J2821" s="18">
        <v>0</v>
      </c>
      <c r="K2821" s="18">
        <v>432.1</v>
      </c>
      <c r="L2821" s="18" t="s">
        <v>126</v>
      </c>
      <c r="M2821" s="18" t="s">
        <v>119</v>
      </c>
      <c r="N2821" s="28">
        <v>45460.009027777778</v>
      </c>
      <c r="O2821" s="28">
        <v>45460.438888888886</v>
      </c>
      <c r="P2821" s="18">
        <v>2.5</v>
      </c>
      <c r="Q2821" s="18" t="b">
        <f>FALSE()</f>
        <v>0</v>
      </c>
      <c r="R2821" s="18" t="b">
        <f>FALSE()</f>
        <v>0</v>
      </c>
      <c r="S2821" s="19">
        <f t="shared" si="44"/>
        <v>10.3</v>
      </c>
      <c r="T2821">
        <f>COUNTIF('👤 Customers'!$A:$A, B2821)</f>
        <v>1</v>
      </c>
      <c r="U2821">
        <f>COUNTIF('🚴 Riders'!A2820:A2880, C2821)</f>
        <v>0</v>
      </c>
      <c r="V2821">
        <f>COUNTIF('🏭 Facilities'!A2820:A2828, D2821)</f>
        <v>0</v>
      </c>
    </row>
    <row r="2822" spans="1:22">
      <c r="A2822" s="16" t="s">
        <v>6291</v>
      </c>
      <c r="B2822" s="16" t="s">
        <v>875</v>
      </c>
      <c r="C2822" s="16" t="s">
        <v>157</v>
      </c>
      <c r="D2822" s="16" t="s">
        <v>123</v>
      </c>
      <c r="E2822" s="25">
        <v>45068</v>
      </c>
      <c r="F2822" s="16" t="s">
        <v>6292</v>
      </c>
      <c r="G2822" s="16" t="s">
        <v>132</v>
      </c>
      <c r="H2822" s="16">
        <v>3.8</v>
      </c>
      <c r="I2822" s="16">
        <v>399</v>
      </c>
      <c r="J2822" s="16">
        <v>0</v>
      </c>
      <c r="K2822" s="16">
        <v>1516.2</v>
      </c>
      <c r="L2822" s="16" t="s">
        <v>126</v>
      </c>
      <c r="M2822" s="16" t="s">
        <v>133</v>
      </c>
      <c r="N2822" s="20"/>
      <c r="O2822" s="20"/>
      <c r="P2822" s="20"/>
      <c r="Q2822" s="16" t="b">
        <f>FALSE()</f>
        <v>0</v>
      </c>
      <c r="R2822" s="16" t="b">
        <f>FALSE()</f>
        <v>0</v>
      </c>
      <c r="S2822" s="17" t="str">
        <f t="shared" si="44"/>
        <v>N/A</v>
      </c>
      <c r="T2822">
        <f>COUNTIF('👤 Customers'!$A:$A, B2822)</f>
        <v>1</v>
      </c>
      <c r="U2822">
        <f>COUNTIF('🚴 Riders'!A2821:A2881, C2822)</f>
        <v>0</v>
      </c>
      <c r="V2822">
        <f>COUNTIF('🏭 Facilities'!A2821:A2829, D2822)</f>
        <v>0</v>
      </c>
    </row>
    <row r="2823" spans="1:22">
      <c r="A2823" s="18" t="s">
        <v>6293</v>
      </c>
      <c r="B2823" s="18" t="s">
        <v>2858</v>
      </c>
      <c r="C2823" s="18" t="s">
        <v>717</v>
      </c>
      <c r="D2823" s="18" t="s">
        <v>137</v>
      </c>
      <c r="E2823" s="26">
        <v>45021</v>
      </c>
      <c r="F2823" s="18" t="s">
        <v>6294</v>
      </c>
      <c r="G2823" s="18" t="s">
        <v>125</v>
      </c>
      <c r="H2823" s="18">
        <v>4.2</v>
      </c>
      <c r="I2823" s="18">
        <v>199</v>
      </c>
      <c r="J2823" s="18">
        <v>0</v>
      </c>
      <c r="K2823" s="18">
        <v>835.8</v>
      </c>
      <c r="L2823" s="18" t="s">
        <v>118</v>
      </c>
      <c r="M2823" s="18" t="s">
        <v>133</v>
      </c>
      <c r="N2823" s="20"/>
      <c r="O2823" s="20"/>
      <c r="P2823" s="20"/>
      <c r="Q2823" s="18" t="b">
        <f>FALSE()</f>
        <v>0</v>
      </c>
      <c r="R2823" s="18" t="b">
        <f>FALSE()</f>
        <v>0</v>
      </c>
      <c r="S2823" s="19" t="str">
        <f t="shared" si="44"/>
        <v>N/A</v>
      </c>
      <c r="T2823">
        <f>COUNTIF('👤 Customers'!$A:$A, B2823)</f>
        <v>1</v>
      </c>
      <c r="U2823">
        <f>COUNTIF('🚴 Riders'!A2822:A2882, C2823)</f>
        <v>0</v>
      </c>
      <c r="V2823">
        <f>COUNTIF('🏭 Facilities'!A2822:A2830, D2823)</f>
        <v>0</v>
      </c>
    </row>
    <row r="2824" spans="1:22">
      <c r="A2824" s="16" t="s">
        <v>6295</v>
      </c>
      <c r="B2824" s="16" t="s">
        <v>2937</v>
      </c>
      <c r="C2824" s="16" t="s">
        <v>304</v>
      </c>
      <c r="D2824" s="16" t="s">
        <v>115</v>
      </c>
      <c r="E2824" s="25">
        <v>44997</v>
      </c>
      <c r="F2824" s="16" t="s">
        <v>5292</v>
      </c>
      <c r="G2824" s="16" t="s">
        <v>176</v>
      </c>
      <c r="H2824" s="16">
        <v>6.5</v>
      </c>
      <c r="I2824" s="16">
        <v>599</v>
      </c>
      <c r="J2824" s="16">
        <v>20</v>
      </c>
      <c r="K2824" s="16">
        <v>3114.8</v>
      </c>
      <c r="L2824" s="16" t="s">
        <v>118</v>
      </c>
      <c r="M2824" s="16" t="s">
        <v>119</v>
      </c>
      <c r="N2824" s="27">
        <v>44997.459027777775</v>
      </c>
      <c r="O2824" s="27">
        <v>44998.543055555558</v>
      </c>
      <c r="P2824" s="16">
        <v>4.3</v>
      </c>
      <c r="Q2824" s="16" t="b">
        <f>FALSE()</f>
        <v>0</v>
      </c>
      <c r="R2824" s="16" t="b">
        <f>FALSE()</f>
        <v>0</v>
      </c>
      <c r="S2824" s="17">
        <f t="shared" si="44"/>
        <v>26</v>
      </c>
      <c r="T2824">
        <f>COUNTIF('👤 Customers'!$A:$A, B2824)</f>
        <v>1</v>
      </c>
      <c r="U2824">
        <f>COUNTIF('🚴 Riders'!A2823:A2883, C2824)</f>
        <v>0</v>
      </c>
      <c r="V2824">
        <f>COUNTIF('🏭 Facilities'!A2823:A2831, D2824)</f>
        <v>0</v>
      </c>
    </row>
    <row r="2825" spans="1:22">
      <c r="A2825" s="18" t="s">
        <v>6296</v>
      </c>
      <c r="B2825" s="18" t="s">
        <v>1207</v>
      </c>
      <c r="C2825" s="18" t="s">
        <v>1092</v>
      </c>
      <c r="D2825" s="18" t="s">
        <v>205</v>
      </c>
      <c r="E2825" s="26">
        <v>45553</v>
      </c>
      <c r="F2825" s="18" t="s">
        <v>6297</v>
      </c>
      <c r="G2825" s="18" t="s">
        <v>125</v>
      </c>
      <c r="H2825" s="18">
        <v>3.6</v>
      </c>
      <c r="I2825" s="18">
        <v>199</v>
      </c>
      <c r="J2825" s="18">
        <v>10</v>
      </c>
      <c r="K2825" s="18">
        <v>644.76</v>
      </c>
      <c r="L2825" s="18" t="s">
        <v>126</v>
      </c>
      <c r="M2825" s="18" t="s">
        <v>119</v>
      </c>
      <c r="N2825" s="28">
        <v>45553.470833333333</v>
      </c>
      <c r="O2825" s="28">
        <v>45554.156944444447</v>
      </c>
      <c r="P2825" s="18">
        <v>4.4000000000000004</v>
      </c>
      <c r="Q2825" s="18" t="b">
        <f>FALSE()</f>
        <v>0</v>
      </c>
      <c r="R2825" s="18" t="b">
        <f>FALSE()</f>
        <v>0</v>
      </c>
      <c r="S2825" s="19">
        <f t="shared" si="44"/>
        <v>16.5</v>
      </c>
      <c r="T2825">
        <f>COUNTIF('👤 Customers'!$A:$A, B2825)</f>
        <v>1</v>
      </c>
      <c r="U2825">
        <f>COUNTIF('🚴 Riders'!A2824:A2884, C2825)</f>
        <v>0</v>
      </c>
      <c r="V2825">
        <f>COUNTIF('🏭 Facilities'!A2824:A2832, D2825)</f>
        <v>0</v>
      </c>
    </row>
    <row r="2826" spans="1:22">
      <c r="A2826" s="16" t="s">
        <v>6298</v>
      </c>
      <c r="B2826" s="16" t="s">
        <v>1970</v>
      </c>
      <c r="C2826" s="16" t="s">
        <v>339</v>
      </c>
      <c r="D2826" s="16" t="s">
        <v>197</v>
      </c>
      <c r="E2826" s="25">
        <v>45198</v>
      </c>
      <c r="F2826" s="16" t="s">
        <v>6299</v>
      </c>
      <c r="G2826" s="16" t="s">
        <v>125</v>
      </c>
      <c r="H2826" s="16">
        <v>6.6</v>
      </c>
      <c r="I2826" s="16">
        <v>199</v>
      </c>
      <c r="J2826" s="16">
        <v>20</v>
      </c>
      <c r="K2826" s="16">
        <v>1050.72</v>
      </c>
      <c r="L2826" s="16" t="s">
        <v>118</v>
      </c>
      <c r="M2826" s="16" t="s">
        <v>119</v>
      </c>
      <c r="N2826" s="27">
        <v>45198.34097222222</v>
      </c>
      <c r="O2826" s="27">
        <v>45198.974305555559</v>
      </c>
      <c r="P2826" s="16">
        <v>3.5</v>
      </c>
      <c r="Q2826" s="16" t="b">
        <f>FALSE()</f>
        <v>0</v>
      </c>
      <c r="R2826" s="16" t="b">
        <f>FALSE()</f>
        <v>0</v>
      </c>
      <c r="S2826" s="17">
        <f t="shared" si="44"/>
        <v>15.2</v>
      </c>
      <c r="T2826">
        <f>COUNTIF('👤 Customers'!$A:$A, B2826)</f>
        <v>1</v>
      </c>
      <c r="U2826">
        <f>COUNTIF('🚴 Riders'!A2825:A2885, C2826)</f>
        <v>0</v>
      </c>
      <c r="V2826">
        <f>COUNTIF('🏭 Facilities'!A2825:A2833, D2826)</f>
        <v>0</v>
      </c>
    </row>
    <row r="2827" spans="1:22">
      <c r="A2827" s="18" t="s">
        <v>6300</v>
      </c>
      <c r="B2827" s="18" t="s">
        <v>2830</v>
      </c>
      <c r="C2827" s="18" t="s">
        <v>842</v>
      </c>
      <c r="D2827" s="18" t="s">
        <v>197</v>
      </c>
      <c r="E2827" s="26">
        <v>44948</v>
      </c>
      <c r="F2827" s="18" t="s">
        <v>6301</v>
      </c>
      <c r="G2827" s="18" t="s">
        <v>132</v>
      </c>
      <c r="H2827" s="18">
        <v>4.4000000000000004</v>
      </c>
      <c r="I2827" s="18">
        <v>399</v>
      </c>
      <c r="J2827" s="18">
        <v>20</v>
      </c>
      <c r="K2827" s="18">
        <v>1404.48</v>
      </c>
      <c r="L2827" s="18" t="s">
        <v>118</v>
      </c>
      <c r="M2827" s="18" t="s">
        <v>119</v>
      </c>
      <c r="N2827" s="28">
        <v>44948.874305555553</v>
      </c>
      <c r="O2827" s="28">
        <v>44949.660416666666</v>
      </c>
      <c r="P2827" s="18">
        <v>4.9000000000000004</v>
      </c>
      <c r="Q2827" s="18" t="b">
        <f>FALSE()</f>
        <v>0</v>
      </c>
      <c r="R2827" s="18" t="b">
        <f>TRUE()</f>
        <v>1</v>
      </c>
      <c r="S2827" s="19">
        <f t="shared" si="44"/>
        <v>18.899999999999999</v>
      </c>
      <c r="T2827">
        <f>COUNTIF('👤 Customers'!$A:$A, B2827)</f>
        <v>1</v>
      </c>
      <c r="U2827">
        <f>COUNTIF('🚴 Riders'!A2826:A2886, C2827)</f>
        <v>0</v>
      </c>
      <c r="V2827">
        <f>COUNTIF('🏭 Facilities'!A2826:A2834, D2827)</f>
        <v>0</v>
      </c>
    </row>
    <row r="2828" spans="1:22">
      <c r="A2828" s="16" t="s">
        <v>6302</v>
      </c>
      <c r="B2828" s="16" t="s">
        <v>4314</v>
      </c>
      <c r="C2828" s="16" t="s">
        <v>563</v>
      </c>
      <c r="D2828" s="16" t="s">
        <v>205</v>
      </c>
      <c r="E2828" s="25">
        <v>44992</v>
      </c>
      <c r="F2828" s="16" t="s">
        <v>6303</v>
      </c>
      <c r="G2828" s="16" t="s">
        <v>132</v>
      </c>
      <c r="H2828" s="16">
        <v>4.3</v>
      </c>
      <c r="I2828" s="16">
        <v>399</v>
      </c>
      <c r="J2828" s="16">
        <v>0</v>
      </c>
      <c r="K2828" s="16">
        <v>1715.7</v>
      </c>
      <c r="L2828" s="16" t="s">
        <v>146</v>
      </c>
      <c r="M2828" s="16" t="s">
        <v>119</v>
      </c>
      <c r="N2828" s="27">
        <v>44992.758333333331</v>
      </c>
      <c r="O2828" s="27">
        <v>44993.385416666664</v>
      </c>
      <c r="P2828" s="16">
        <v>3</v>
      </c>
      <c r="Q2828" s="16" t="b">
        <f>FALSE()</f>
        <v>0</v>
      </c>
      <c r="R2828" s="16" t="b">
        <f>FALSE()</f>
        <v>0</v>
      </c>
      <c r="S2828" s="17">
        <f t="shared" si="44"/>
        <v>15</v>
      </c>
      <c r="T2828">
        <f>COUNTIF('👤 Customers'!$A:$A, B2828)</f>
        <v>1</v>
      </c>
      <c r="U2828">
        <f>COUNTIF('🚴 Riders'!A2827:A2887, C2828)</f>
        <v>0</v>
      </c>
      <c r="V2828">
        <f>COUNTIF('🏭 Facilities'!A2827:A2835, D2828)</f>
        <v>0</v>
      </c>
    </row>
    <row r="2829" spans="1:22">
      <c r="A2829" s="18" t="s">
        <v>6304</v>
      </c>
      <c r="B2829" s="18" t="s">
        <v>634</v>
      </c>
      <c r="C2829" s="18" t="s">
        <v>354</v>
      </c>
      <c r="D2829" s="18" t="s">
        <v>158</v>
      </c>
      <c r="E2829" s="26">
        <v>45642</v>
      </c>
      <c r="F2829" s="18" t="s">
        <v>6305</v>
      </c>
      <c r="G2829" s="18" t="s">
        <v>176</v>
      </c>
      <c r="H2829" s="18">
        <v>2.4</v>
      </c>
      <c r="I2829" s="18">
        <v>599</v>
      </c>
      <c r="J2829" s="18">
        <v>20</v>
      </c>
      <c r="K2829" s="18">
        <v>1150.08</v>
      </c>
      <c r="L2829" s="18" t="s">
        <v>118</v>
      </c>
      <c r="M2829" s="18" t="s">
        <v>133</v>
      </c>
      <c r="N2829" s="20"/>
      <c r="O2829" s="20"/>
      <c r="P2829" s="20"/>
      <c r="Q2829" s="18" t="b">
        <f>FALSE()</f>
        <v>0</v>
      </c>
      <c r="R2829" s="18" t="b">
        <f>TRUE()</f>
        <v>1</v>
      </c>
      <c r="S2829" s="19" t="str">
        <f t="shared" si="44"/>
        <v>N/A</v>
      </c>
      <c r="T2829">
        <f>COUNTIF('👤 Customers'!$A:$A, B2829)</f>
        <v>1</v>
      </c>
      <c r="U2829">
        <f>COUNTIF('🚴 Riders'!A2828:A2888, C2829)</f>
        <v>0</v>
      </c>
      <c r="V2829">
        <f>COUNTIF('🏭 Facilities'!A2828:A2836, D2829)</f>
        <v>0</v>
      </c>
    </row>
    <row r="2830" spans="1:22">
      <c r="A2830" s="16" t="s">
        <v>6306</v>
      </c>
      <c r="B2830" s="16" t="s">
        <v>2109</v>
      </c>
      <c r="C2830" s="16" t="s">
        <v>196</v>
      </c>
      <c r="D2830" s="16" t="s">
        <v>205</v>
      </c>
      <c r="E2830" s="25">
        <v>45236</v>
      </c>
      <c r="F2830" s="16" t="s">
        <v>6307</v>
      </c>
      <c r="G2830" s="16" t="s">
        <v>145</v>
      </c>
      <c r="H2830" s="16">
        <v>4.4000000000000004</v>
      </c>
      <c r="I2830" s="16">
        <v>299</v>
      </c>
      <c r="J2830" s="16">
        <v>30</v>
      </c>
      <c r="K2830" s="16">
        <v>920.92</v>
      </c>
      <c r="L2830" s="16" t="s">
        <v>118</v>
      </c>
      <c r="M2830" s="16" t="s">
        <v>119</v>
      </c>
      <c r="N2830" s="27">
        <v>45237.085416666669</v>
      </c>
      <c r="O2830" s="27">
        <v>45237.734027777777</v>
      </c>
      <c r="P2830" s="16">
        <v>2.8</v>
      </c>
      <c r="Q2830" s="16" t="b">
        <f>TRUE()</f>
        <v>1</v>
      </c>
      <c r="R2830" s="16" t="b">
        <f>FALSE()</f>
        <v>0</v>
      </c>
      <c r="S2830" s="17">
        <f t="shared" si="44"/>
        <v>15.6</v>
      </c>
      <c r="T2830">
        <f>COUNTIF('👤 Customers'!$A:$A, B2830)</f>
        <v>1</v>
      </c>
      <c r="U2830">
        <f>COUNTIF('🚴 Riders'!A2829:A2889, C2830)</f>
        <v>0</v>
      </c>
      <c r="V2830">
        <f>COUNTIF('🏭 Facilities'!A2829:A2837, D2830)</f>
        <v>0</v>
      </c>
    </row>
    <row r="2831" spans="1:22">
      <c r="A2831" s="18" t="s">
        <v>6308</v>
      </c>
      <c r="B2831" s="18" t="s">
        <v>753</v>
      </c>
      <c r="C2831" s="18" t="s">
        <v>240</v>
      </c>
      <c r="D2831" s="18" t="s">
        <v>197</v>
      </c>
      <c r="E2831" s="26">
        <v>45515</v>
      </c>
      <c r="F2831" s="18" t="s">
        <v>6309</v>
      </c>
      <c r="G2831" s="18" t="s">
        <v>145</v>
      </c>
      <c r="H2831" s="18">
        <v>4.4000000000000004</v>
      </c>
      <c r="I2831" s="18">
        <v>299</v>
      </c>
      <c r="J2831" s="18">
        <v>10</v>
      </c>
      <c r="K2831" s="18">
        <v>1184.04</v>
      </c>
      <c r="L2831" s="18" t="s">
        <v>126</v>
      </c>
      <c r="M2831" s="18" t="s">
        <v>119</v>
      </c>
      <c r="N2831" s="28">
        <v>45515.309027777781</v>
      </c>
      <c r="O2831" s="28">
        <v>45515.836111111108</v>
      </c>
      <c r="P2831" s="18">
        <v>4.0999999999999996</v>
      </c>
      <c r="Q2831" s="18" t="b">
        <f>FALSE()</f>
        <v>0</v>
      </c>
      <c r="R2831" s="18" t="b">
        <f>FALSE()</f>
        <v>0</v>
      </c>
      <c r="S2831" s="19">
        <f t="shared" si="44"/>
        <v>12.6</v>
      </c>
      <c r="T2831">
        <f>COUNTIF('👤 Customers'!$A:$A, B2831)</f>
        <v>1</v>
      </c>
      <c r="U2831">
        <f>COUNTIF('🚴 Riders'!A2830:A2890, C2831)</f>
        <v>0</v>
      </c>
      <c r="V2831">
        <f>COUNTIF('🏭 Facilities'!A2830:A2838, D2831)</f>
        <v>0</v>
      </c>
    </row>
    <row r="2832" spans="1:22">
      <c r="A2832" s="16" t="s">
        <v>6310</v>
      </c>
      <c r="B2832" s="16" t="s">
        <v>569</v>
      </c>
      <c r="C2832" s="16" t="s">
        <v>122</v>
      </c>
      <c r="D2832" s="16" t="s">
        <v>184</v>
      </c>
      <c r="E2832" s="25">
        <v>45337</v>
      </c>
      <c r="F2832" s="16" t="s">
        <v>6311</v>
      </c>
      <c r="G2832" s="16" t="s">
        <v>145</v>
      </c>
      <c r="H2832" s="16">
        <v>2.1</v>
      </c>
      <c r="I2832" s="16">
        <v>299</v>
      </c>
      <c r="J2832" s="16">
        <v>0</v>
      </c>
      <c r="K2832" s="16">
        <v>627.9</v>
      </c>
      <c r="L2832" s="16" t="s">
        <v>207</v>
      </c>
      <c r="M2832" s="16" t="s">
        <v>133</v>
      </c>
      <c r="N2832" s="20"/>
      <c r="O2832" s="20"/>
      <c r="P2832" s="20"/>
      <c r="Q2832" s="16" t="b">
        <f>FALSE()</f>
        <v>0</v>
      </c>
      <c r="R2832" s="16" t="b">
        <f>TRUE()</f>
        <v>1</v>
      </c>
      <c r="S2832" s="17" t="str">
        <f t="shared" si="44"/>
        <v>N/A</v>
      </c>
      <c r="T2832">
        <f>COUNTIF('👤 Customers'!$A:$A, B2832)</f>
        <v>1</v>
      </c>
      <c r="U2832">
        <f>COUNTIF('🚴 Riders'!A2831:A2891, C2832)</f>
        <v>0</v>
      </c>
      <c r="V2832">
        <f>COUNTIF('🏭 Facilities'!A2831:A2839, D2832)</f>
        <v>0</v>
      </c>
    </row>
    <row r="2833" spans="1:22">
      <c r="A2833" s="18" t="s">
        <v>6312</v>
      </c>
      <c r="B2833" s="18" t="s">
        <v>1130</v>
      </c>
      <c r="C2833" s="18" t="s">
        <v>487</v>
      </c>
      <c r="D2833" s="18" t="s">
        <v>158</v>
      </c>
      <c r="E2833" s="26">
        <v>45542</v>
      </c>
      <c r="F2833" s="18" t="s">
        <v>6313</v>
      </c>
      <c r="G2833" s="18" t="s">
        <v>117</v>
      </c>
      <c r="H2833" s="18">
        <v>1.6</v>
      </c>
      <c r="I2833" s="18">
        <v>149</v>
      </c>
      <c r="J2833" s="18">
        <v>0</v>
      </c>
      <c r="K2833" s="18">
        <v>238.4</v>
      </c>
      <c r="L2833" s="18" t="s">
        <v>139</v>
      </c>
      <c r="M2833" s="18" t="s">
        <v>119</v>
      </c>
      <c r="N2833" s="28">
        <v>45543.046527777777</v>
      </c>
      <c r="O2833" s="28">
        <v>45544.06527777778</v>
      </c>
      <c r="P2833" s="18">
        <v>2.5</v>
      </c>
      <c r="Q2833" s="18" t="b">
        <f>FALSE()</f>
        <v>0</v>
      </c>
      <c r="R2833" s="18" t="b">
        <f>FALSE()</f>
        <v>0</v>
      </c>
      <c r="S2833" s="19">
        <f t="shared" si="44"/>
        <v>24.5</v>
      </c>
      <c r="T2833">
        <f>COUNTIF('👤 Customers'!$A:$A, B2833)</f>
        <v>1</v>
      </c>
      <c r="U2833">
        <f>COUNTIF('🚴 Riders'!A2832:A2892, C2833)</f>
        <v>0</v>
      </c>
      <c r="V2833">
        <f>COUNTIF('🏭 Facilities'!A2832:A2840, D2833)</f>
        <v>0</v>
      </c>
    </row>
    <row r="2834" spans="1:22">
      <c r="A2834" s="16" t="s">
        <v>6314</v>
      </c>
      <c r="B2834" s="16" t="s">
        <v>1988</v>
      </c>
      <c r="C2834" s="16" t="s">
        <v>308</v>
      </c>
      <c r="D2834" s="16" t="s">
        <v>123</v>
      </c>
      <c r="E2834" s="25">
        <v>45455</v>
      </c>
      <c r="F2834" s="16" t="s">
        <v>6315</v>
      </c>
      <c r="G2834" s="16" t="s">
        <v>125</v>
      </c>
      <c r="H2834" s="16">
        <v>1.6</v>
      </c>
      <c r="I2834" s="16">
        <v>199</v>
      </c>
      <c r="J2834" s="16">
        <v>10</v>
      </c>
      <c r="K2834" s="16">
        <v>286.56</v>
      </c>
      <c r="L2834" s="16" t="s">
        <v>139</v>
      </c>
      <c r="M2834" s="16" t="s">
        <v>140</v>
      </c>
      <c r="N2834" s="27">
        <v>45455.660416666666</v>
      </c>
      <c r="O2834" s="27">
        <v>45456.299305555556</v>
      </c>
      <c r="P2834" s="20"/>
      <c r="Q2834" s="16" t="b">
        <f>FALSE()</f>
        <v>0</v>
      </c>
      <c r="R2834" s="16" t="b">
        <f>FALSE()</f>
        <v>0</v>
      </c>
      <c r="S2834" s="17">
        <f t="shared" si="44"/>
        <v>15.3</v>
      </c>
      <c r="T2834">
        <f>COUNTIF('👤 Customers'!$A:$A, B2834)</f>
        <v>1</v>
      </c>
      <c r="U2834">
        <f>COUNTIF('🚴 Riders'!A2833:A2893, C2834)</f>
        <v>0</v>
      </c>
      <c r="V2834">
        <f>COUNTIF('🏭 Facilities'!A2833:A2841, D2834)</f>
        <v>0</v>
      </c>
    </row>
    <row r="2835" spans="1:22">
      <c r="A2835" s="18" t="s">
        <v>6316</v>
      </c>
      <c r="B2835" s="18" t="s">
        <v>1431</v>
      </c>
      <c r="C2835" s="18" t="s">
        <v>179</v>
      </c>
      <c r="D2835" s="18" t="s">
        <v>115</v>
      </c>
      <c r="E2835" s="26">
        <v>44959</v>
      </c>
      <c r="F2835" s="18" t="s">
        <v>6317</v>
      </c>
      <c r="G2835" s="18" t="s">
        <v>125</v>
      </c>
      <c r="H2835" s="18">
        <v>7.1</v>
      </c>
      <c r="I2835" s="18">
        <v>199</v>
      </c>
      <c r="J2835" s="18">
        <v>0</v>
      </c>
      <c r="K2835" s="18">
        <v>1412.9</v>
      </c>
      <c r="L2835" s="18" t="s">
        <v>126</v>
      </c>
      <c r="M2835" s="18" t="s">
        <v>133</v>
      </c>
      <c r="N2835" s="20"/>
      <c r="O2835" s="20"/>
      <c r="P2835" s="20"/>
      <c r="Q2835" s="18" t="b">
        <f>FALSE()</f>
        <v>0</v>
      </c>
      <c r="R2835" s="18" t="b">
        <f>FALSE()</f>
        <v>0</v>
      </c>
      <c r="S2835" s="19" t="str">
        <f t="shared" si="44"/>
        <v>N/A</v>
      </c>
      <c r="T2835">
        <f>COUNTIF('👤 Customers'!$A:$A, B2835)</f>
        <v>1</v>
      </c>
      <c r="U2835">
        <f>COUNTIF('🚴 Riders'!A2834:A2894, C2835)</f>
        <v>0</v>
      </c>
      <c r="V2835">
        <f>COUNTIF('🏭 Facilities'!A2834:A2842, D2835)</f>
        <v>0</v>
      </c>
    </row>
    <row r="2836" spans="1:22">
      <c r="A2836" s="16" t="s">
        <v>6318</v>
      </c>
      <c r="B2836" s="16" t="s">
        <v>637</v>
      </c>
      <c r="C2836" s="16" t="s">
        <v>265</v>
      </c>
      <c r="D2836" s="16" t="s">
        <v>184</v>
      </c>
      <c r="E2836" s="25">
        <v>45410</v>
      </c>
      <c r="F2836" s="16" t="s">
        <v>6319</v>
      </c>
      <c r="G2836" s="16" t="s">
        <v>125</v>
      </c>
      <c r="H2836" s="16">
        <v>7.5</v>
      </c>
      <c r="I2836" s="16">
        <v>199</v>
      </c>
      <c r="J2836" s="16">
        <v>0</v>
      </c>
      <c r="K2836" s="16">
        <v>1492.5</v>
      </c>
      <c r="L2836" s="16" t="s">
        <v>207</v>
      </c>
      <c r="M2836" s="16" t="s">
        <v>133</v>
      </c>
      <c r="N2836" s="20"/>
      <c r="O2836" s="20"/>
      <c r="P2836" s="20"/>
      <c r="Q2836" s="16" t="b">
        <f>FALSE()</f>
        <v>0</v>
      </c>
      <c r="R2836" s="16" t="b">
        <f>FALSE()</f>
        <v>0</v>
      </c>
      <c r="S2836" s="17" t="str">
        <f t="shared" si="44"/>
        <v>N/A</v>
      </c>
      <c r="T2836">
        <f>COUNTIF('👤 Customers'!$A:$A, B2836)</f>
        <v>1</v>
      </c>
      <c r="U2836">
        <f>COUNTIF('🚴 Riders'!A2835:A2895, C2836)</f>
        <v>0</v>
      </c>
      <c r="V2836">
        <f>COUNTIF('🏭 Facilities'!A2835:A2843, D2836)</f>
        <v>0</v>
      </c>
    </row>
    <row r="2837" spans="1:22">
      <c r="A2837" s="18" t="s">
        <v>6320</v>
      </c>
      <c r="B2837" s="18" t="s">
        <v>1540</v>
      </c>
      <c r="C2837" s="18" t="s">
        <v>228</v>
      </c>
      <c r="D2837" s="18" t="s">
        <v>115</v>
      </c>
      <c r="E2837" s="26">
        <v>45363</v>
      </c>
      <c r="F2837" s="18" t="s">
        <v>6321</v>
      </c>
      <c r="G2837" s="18" t="s">
        <v>132</v>
      </c>
      <c r="H2837" s="18">
        <v>3.8</v>
      </c>
      <c r="I2837" s="18">
        <v>399</v>
      </c>
      <c r="J2837" s="18">
        <v>0</v>
      </c>
      <c r="K2837" s="18">
        <v>1516.2</v>
      </c>
      <c r="L2837" s="18" t="s">
        <v>126</v>
      </c>
      <c r="M2837" s="18" t="s">
        <v>119</v>
      </c>
      <c r="N2837" s="28">
        <v>45363.911111111112</v>
      </c>
      <c r="O2837" s="28">
        <v>45364.489583333336</v>
      </c>
      <c r="P2837" s="18">
        <v>3.8</v>
      </c>
      <c r="Q2837" s="18" t="b">
        <f>FALSE()</f>
        <v>0</v>
      </c>
      <c r="R2837" s="18" t="b">
        <f>FALSE()</f>
        <v>0</v>
      </c>
      <c r="S2837" s="19">
        <f t="shared" si="44"/>
        <v>13.9</v>
      </c>
      <c r="T2837">
        <f>COUNTIF('👤 Customers'!$A:$A, B2837)</f>
        <v>1</v>
      </c>
      <c r="U2837">
        <f>COUNTIF('🚴 Riders'!A2836:A2896, C2837)</f>
        <v>0</v>
      </c>
      <c r="V2837">
        <f>COUNTIF('🏭 Facilities'!A2836:A2844, D2837)</f>
        <v>0</v>
      </c>
    </row>
    <row r="2838" spans="1:22">
      <c r="A2838" s="16" t="s">
        <v>6322</v>
      </c>
      <c r="B2838" s="16" t="s">
        <v>1036</v>
      </c>
      <c r="C2838" s="16" t="s">
        <v>563</v>
      </c>
      <c r="D2838" s="16" t="s">
        <v>158</v>
      </c>
      <c r="E2838" s="25">
        <v>45534</v>
      </c>
      <c r="F2838" s="16" t="s">
        <v>6323</v>
      </c>
      <c r="G2838" s="16" t="s">
        <v>117</v>
      </c>
      <c r="H2838" s="16">
        <v>7.1</v>
      </c>
      <c r="I2838" s="16">
        <v>149</v>
      </c>
      <c r="J2838" s="16">
        <v>10</v>
      </c>
      <c r="K2838" s="16">
        <v>952.11</v>
      </c>
      <c r="L2838" s="16" t="s">
        <v>139</v>
      </c>
      <c r="M2838" s="16" t="s">
        <v>119</v>
      </c>
      <c r="N2838" s="27">
        <v>45534.727777777778</v>
      </c>
      <c r="O2838" s="27">
        <v>45535.561805555553</v>
      </c>
      <c r="P2838" s="16">
        <v>4.3</v>
      </c>
      <c r="Q2838" s="16" t="b">
        <f>FALSE()</f>
        <v>0</v>
      </c>
      <c r="R2838" s="16" t="b">
        <f>TRUE()</f>
        <v>1</v>
      </c>
      <c r="S2838" s="17">
        <f t="shared" si="44"/>
        <v>20</v>
      </c>
      <c r="T2838">
        <f>COUNTIF('👤 Customers'!$A:$A, B2838)</f>
        <v>1</v>
      </c>
      <c r="U2838">
        <f>COUNTIF('🚴 Riders'!A2837:A2897, C2838)</f>
        <v>0</v>
      </c>
      <c r="V2838">
        <f>COUNTIF('🏭 Facilities'!A2837:A2845, D2838)</f>
        <v>0</v>
      </c>
    </row>
    <row r="2839" spans="1:22">
      <c r="A2839" s="18" t="s">
        <v>6324</v>
      </c>
      <c r="B2839" s="18" t="s">
        <v>554</v>
      </c>
      <c r="C2839" s="18" t="s">
        <v>283</v>
      </c>
      <c r="D2839" s="18" t="s">
        <v>158</v>
      </c>
      <c r="E2839" s="26">
        <v>44958</v>
      </c>
      <c r="F2839" s="18" t="s">
        <v>6325</v>
      </c>
      <c r="G2839" s="18" t="s">
        <v>125</v>
      </c>
      <c r="H2839" s="18">
        <v>2.8</v>
      </c>
      <c r="I2839" s="18">
        <v>199</v>
      </c>
      <c r="J2839" s="18">
        <v>0</v>
      </c>
      <c r="K2839" s="18">
        <v>557.20000000000005</v>
      </c>
      <c r="L2839" s="18" t="s">
        <v>139</v>
      </c>
      <c r="M2839" s="18" t="s">
        <v>140</v>
      </c>
      <c r="N2839" s="28">
        <v>44958.65625</v>
      </c>
      <c r="O2839" s="28">
        <v>44959.234027777777</v>
      </c>
      <c r="P2839" s="20"/>
      <c r="Q2839" s="18" t="b">
        <f>FALSE()</f>
        <v>0</v>
      </c>
      <c r="R2839" s="18" t="b">
        <f>FALSE()</f>
        <v>0</v>
      </c>
      <c r="S2839" s="19">
        <f t="shared" si="44"/>
        <v>13.9</v>
      </c>
      <c r="T2839">
        <f>COUNTIF('👤 Customers'!$A:$A, B2839)</f>
        <v>1</v>
      </c>
      <c r="U2839">
        <f>COUNTIF('🚴 Riders'!A2838:A2898, C2839)</f>
        <v>0</v>
      </c>
      <c r="V2839">
        <f>COUNTIF('🏭 Facilities'!A2838:A2846, D2839)</f>
        <v>0</v>
      </c>
    </row>
    <row r="2840" spans="1:22">
      <c r="A2840" s="16" t="s">
        <v>6326</v>
      </c>
      <c r="B2840" s="16" t="s">
        <v>1679</v>
      </c>
      <c r="C2840" s="16" t="s">
        <v>717</v>
      </c>
      <c r="D2840" s="16" t="s">
        <v>130</v>
      </c>
      <c r="E2840" s="25">
        <v>45008</v>
      </c>
      <c r="F2840" s="16" t="s">
        <v>6327</v>
      </c>
      <c r="G2840" s="16" t="s">
        <v>117</v>
      </c>
      <c r="H2840" s="16">
        <v>1.1000000000000001</v>
      </c>
      <c r="I2840" s="16">
        <v>149</v>
      </c>
      <c r="J2840" s="16">
        <v>0</v>
      </c>
      <c r="K2840" s="16">
        <v>163.9</v>
      </c>
      <c r="L2840" s="16" t="s">
        <v>126</v>
      </c>
      <c r="M2840" s="16" t="s">
        <v>119</v>
      </c>
      <c r="N2840" s="27">
        <v>45008.287499999999</v>
      </c>
      <c r="O2840" s="27">
        <v>45008.665972222225</v>
      </c>
      <c r="P2840" s="16">
        <v>3.7</v>
      </c>
      <c r="Q2840" s="16" t="b">
        <f>TRUE()</f>
        <v>1</v>
      </c>
      <c r="R2840" s="16" t="b">
        <f>FALSE()</f>
        <v>0</v>
      </c>
      <c r="S2840" s="17">
        <f t="shared" si="44"/>
        <v>9.1</v>
      </c>
      <c r="T2840">
        <f>COUNTIF('👤 Customers'!$A:$A, B2840)</f>
        <v>1</v>
      </c>
      <c r="U2840">
        <f>COUNTIF('🚴 Riders'!A2839:A2899, C2840)</f>
        <v>0</v>
      </c>
      <c r="V2840">
        <f>COUNTIF('🏭 Facilities'!A2839:A2847, D2840)</f>
        <v>0</v>
      </c>
    </row>
    <row r="2841" spans="1:22">
      <c r="A2841" s="18" t="s">
        <v>6328</v>
      </c>
      <c r="B2841" s="18" t="s">
        <v>830</v>
      </c>
      <c r="C2841" s="18" t="s">
        <v>339</v>
      </c>
      <c r="D2841" s="18" t="s">
        <v>123</v>
      </c>
      <c r="E2841" s="26">
        <v>45016</v>
      </c>
      <c r="F2841" s="18" t="s">
        <v>6329</v>
      </c>
      <c r="G2841" s="18" t="s">
        <v>145</v>
      </c>
      <c r="H2841" s="18">
        <v>7.8</v>
      </c>
      <c r="I2841" s="18">
        <v>299</v>
      </c>
      <c r="J2841" s="18">
        <v>30</v>
      </c>
      <c r="K2841" s="18">
        <v>1632.54</v>
      </c>
      <c r="L2841" s="18" t="s">
        <v>139</v>
      </c>
      <c r="M2841" s="18" t="s">
        <v>133</v>
      </c>
      <c r="N2841" s="20"/>
      <c r="O2841" s="20"/>
      <c r="P2841" s="20"/>
      <c r="Q2841" s="18" t="b">
        <f>FALSE()</f>
        <v>0</v>
      </c>
      <c r="R2841" s="18" t="b">
        <f>FALSE()</f>
        <v>0</v>
      </c>
      <c r="S2841" s="19" t="str">
        <f t="shared" si="44"/>
        <v>N/A</v>
      </c>
      <c r="T2841">
        <f>COUNTIF('👤 Customers'!$A:$A, B2841)</f>
        <v>1</v>
      </c>
      <c r="U2841">
        <f>COUNTIF('🚴 Riders'!A2840:A2900, C2841)</f>
        <v>0</v>
      </c>
      <c r="V2841">
        <f>COUNTIF('🏭 Facilities'!A2840:A2848, D2841)</f>
        <v>0</v>
      </c>
    </row>
    <row r="2842" spans="1:22">
      <c r="A2842" s="16" t="s">
        <v>6330</v>
      </c>
      <c r="B2842" s="16" t="s">
        <v>231</v>
      </c>
      <c r="C2842" s="16" t="s">
        <v>358</v>
      </c>
      <c r="D2842" s="16" t="s">
        <v>115</v>
      </c>
      <c r="E2842" s="25">
        <v>45353</v>
      </c>
      <c r="F2842" s="16" t="s">
        <v>6331</v>
      </c>
      <c r="G2842" s="16" t="s">
        <v>125</v>
      </c>
      <c r="H2842" s="16">
        <v>3.6</v>
      </c>
      <c r="I2842" s="16">
        <v>199</v>
      </c>
      <c r="J2842" s="16">
        <v>0</v>
      </c>
      <c r="K2842" s="16">
        <v>716.4</v>
      </c>
      <c r="L2842" s="16" t="s">
        <v>207</v>
      </c>
      <c r="M2842" s="16" t="s">
        <v>119</v>
      </c>
      <c r="N2842" s="27">
        <v>45353.88958333333</v>
      </c>
      <c r="O2842" s="27">
        <v>45354.90902777778</v>
      </c>
      <c r="P2842" s="16">
        <v>2.8</v>
      </c>
      <c r="Q2842" s="16" t="b">
        <f>FALSE()</f>
        <v>0</v>
      </c>
      <c r="R2842" s="16" t="b">
        <f>FALSE()</f>
        <v>0</v>
      </c>
      <c r="S2842" s="17">
        <f t="shared" si="44"/>
        <v>24.5</v>
      </c>
      <c r="T2842">
        <f>COUNTIF('👤 Customers'!$A:$A, B2842)</f>
        <v>1</v>
      </c>
      <c r="U2842">
        <f>COUNTIF('🚴 Riders'!A2841:A2901, C2842)</f>
        <v>0</v>
      </c>
      <c r="V2842">
        <f>COUNTIF('🏭 Facilities'!A2841:A2849, D2842)</f>
        <v>0</v>
      </c>
    </row>
    <row r="2843" spans="1:22">
      <c r="A2843" s="18" t="s">
        <v>6332</v>
      </c>
      <c r="B2843" s="18" t="s">
        <v>2609</v>
      </c>
      <c r="C2843" s="18" t="s">
        <v>479</v>
      </c>
      <c r="D2843" s="18" t="s">
        <v>205</v>
      </c>
      <c r="E2843" s="26">
        <v>45010</v>
      </c>
      <c r="F2843" s="18" t="s">
        <v>6333</v>
      </c>
      <c r="G2843" s="18" t="s">
        <v>132</v>
      </c>
      <c r="H2843" s="18">
        <v>4.0999999999999996</v>
      </c>
      <c r="I2843" s="18">
        <v>399</v>
      </c>
      <c r="J2843" s="18">
        <v>0</v>
      </c>
      <c r="K2843" s="18">
        <v>1635.9</v>
      </c>
      <c r="L2843" s="18" t="s">
        <v>139</v>
      </c>
      <c r="M2843" s="18" t="s">
        <v>119</v>
      </c>
      <c r="N2843" s="28">
        <v>45010.968055555553</v>
      </c>
      <c r="O2843" s="28">
        <v>45011.850694444445</v>
      </c>
      <c r="P2843" s="18">
        <v>4.5</v>
      </c>
      <c r="Q2843" s="18" t="b">
        <f>FALSE()</f>
        <v>0</v>
      </c>
      <c r="R2843" s="18" t="b">
        <f>FALSE()</f>
        <v>0</v>
      </c>
      <c r="S2843" s="19">
        <f t="shared" si="44"/>
        <v>21.2</v>
      </c>
      <c r="T2843">
        <f>COUNTIF('👤 Customers'!$A:$A, B2843)</f>
        <v>1</v>
      </c>
      <c r="U2843">
        <f>COUNTIF('🚴 Riders'!A2842:A2902, C2843)</f>
        <v>0</v>
      </c>
      <c r="V2843">
        <f>COUNTIF('🏭 Facilities'!A2842:A2850, D2843)</f>
        <v>0</v>
      </c>
    </row>
    <row r="2844" spans="1:22">
      <c r="A2844" s="16" t="s">
        <v>6334</v>
      </c>
      <c r="B2844" s="16" t="s">
        <v>806</v>
      </c>
      <c r="C2844" s="16" t="s">
        <v>251</v>
      </c>
      <c r="D2844" s="16" t="s">
        <v>130</v>
      </c>
      <c r="E2844" s="25">
        <v>45306</v>
      </c>
      <c r="F2844" s="16" t="s">
        <v>6335</v>
      </c>
      <c r="G2844" s="16" t="s">
        <v>117</v>
      </c>
      <c r="H2844" s="16">
        <v>3.5</v>
      </c>
      <c r="I2844" s="16">
        <v>149</v>
      </c>
      <c r="J2844" s="16">
        <v>0</v>
      </c>
      <c r="K2844" s="16">
        <v>521.5</v>
      </c>
      <c r="L2844" s="16" t="s">
        <v>207</v>
      </c>
      <c r="M2844" s="16" t="s">
        <v>140</v>
      </c>
      <c r="N2844" s="27">
        <v>45306.363194444442</v>
      </c>
      <c r="O2844" s="27">
        <v>45307.099305555559</v>
      </c>
      <c r="P2844" s="20"/>
      <c r="Q2844" s="16" t="b">
        <f>TRUE()</f>
        <v>1</v>
      </c>
      <c r="R2844" s="16" t="b">
        <f>FALSE()</f>
        <v>0</v>
      </c>
      <c r="S2844" s="17">
        <f t="shared" si="44"/>
        <v>17.7</v>
      </c>
      <c r="T2844">
        <f>COUNTIF('👤 Customers'!$A:$A, B2844)</f>
        <v>1</v>
      </c>
      <c r="U2844">
        <f>COUNTIF('🚴 Riders'!A2843:A2903, C2844)</f>
        <v>0</v>
      </c>
      <c r="V2844">
        <f>COUNTIF('🏭 Facilities'!A2843:A2851, D2844)</f>
        <v>0</v>
      </c>
    </row>
    <row r="2845" spans="1:22">
      <c r="A2845" s="18" t="s">
        <v>6336</v>
      </c>
      <c r="B2845" s="18" t="s">
        <v>628</v>
      </c>
      <c r="C2845" s="18" t="s">
        <v>563</v>
      </c>
      <c r="D2845" s="18" t="s">
        <v>123</v>
      </c>
      <c r="E2845" s="26">
        <v>45312</v>
      </c>
      <c r="F2845" s="18" t="s">
        <v>6337</v>
      </c>
      <c r="G2845" s="18" t="s">
        <v>125</v>
      </c>
      <c r="H2845" s="18">
        <v>7.5</v>
      </c>
      <c r="I2845" s="18">
        <v>199</v>
      </c>
      <c r="J2845" s="18">
        <v>0</v>
      </c>
      <c r="K2845" s="18">
        <v>1492.5</v>
      </c>
      <c r="L2845" s="18" t="s">
        <v>139</v>
      </c>
      <c r="M2845" s="18" t="s">
        <v>119</v>
      </c>
      <c r="N2845" s="28">
        <v>45312.327777777777</v>
      </c>
      <c r="O2845" s="28">
        <v>45313.392361111109</v>
      </c>
      <c r="P2845" s="18">
        <v>2.7</v>
      </c>
      <c r="Q2845" s="18" t="b">
        <f>FALSE()</f>
        <v>0</v>
      </c>
      <c r="R2845" s="18" t="b">
        <f>TRUE()</f>
        <v>1</v>
      </c>
      <c r="S2845" s="19">
        <f t="shared" si="44"/>
        <v>25.5</v>
      </c>
      <c r="T2845">
        <f>COUNTIF('👤 Customers'!$A:$A, B2845)</f>
        <v>1</v>
      </c>
      <c r="U2845">
        <f>COUNTIF('🚴 Riders'!A2844:A2904, C2845)</f>
        <v>0</v>
      </c>
      <c r="V2845">
        <f>COUNTIF('🏭 Facilities'!A2844:A2852, D2845)</f>
        <v>0</v>
      </c>
    </row>
    <row r="2846" spans="1:22">
      <c r="A2846" s="16" t="s">
        <v>6338</v>
      </c>
      <c r="B2846" s="16" t="s">
        <v>1704</v>
      </c>
      <c r="C2846" s="16" t="s">
        <v>149</v>
      </c>
      <c r="D2846" s="16" t="s">
        <v>137</v>
      </c>
      <c r="E2846" s="25">
        <v>45132</v>
      </c>
      <c r="F2846" s="16" t="s">
        <v>6339</v>
      </c>
      <c r="G2846" s="16" t="s">
        <v>117</v>
      </c>
      <c r="H2846" s="16">
        <v>6.4</v>
      </c>
      <c r="I2846" s="16">
        <v>149</v>
      </c>
      <c r="J2846" s="16">
        <v>0</v>
      </c>
      <c r="K2846" s="16">
        <v>953.6</v>
      </c>
      <c r="L2846" s="16" t="s">
        <v>146</v>
      </c>
      <c r="M2846" s="16" t="s">
        <v>119</v>
      </c>
      <c r="N2846" s="27">
        <v>45132.819444444445</v>
      </c>
      <c r="O2846" s="27">
        <v>45133.894444444442</v>
      </c>
      <c r="P2846" s="16">
        <v>4.8</v>
      </c>
      <c r="Q2846" s="16" t="b">
        <f>FALSE()</f>
        <v>0</v>
      </c>
      <c r="R2846" s="16" t="b">
        <f>FALSE()</f>
        <v>0</v>
      </c>
      <c r="S2846" s="17">
        <f t="shared" si="44"/>
        <v>25.8</v>
      </c>
      <c r="T2846">
        <f>COUNTIF('👤 Customers'!$A:$A, B2846)</f>
        <v>1</v>
      </c>
      <c r="U2846">
        <f>COUNTIF('🚴 Riders'!A2845:A2905, C2846)</f>
        <v>0</v>
      </c>
      <c r="V2846">
        <f>COUNTIF('🏭 Facilities'!A2845:A2853, D2846)</f>
        <v>0</v>
      </c>
    </row>
    <row r="2847" spans="1:22">
      <c r="A2847" s="18" t="s">
        <v>6340</v>
      </c>
      <c r="B2847" s="18" t="s">
        <v>2995</v>
      </c>
      <c r="C2847" s="18" t="s">
        <v>240</v>
      </c>
      <c r="D2847" s="18" t="s">
        <v>115</v>
      </c>
      <c r="E2847" s="26">
        <v>45492</v>
      </c>
      <c r="F2847" s="18" t="s">
        <v>6341</v>
      </c>
      <c r="G2847" s="18" t="s">
        <v>117</v>
      </c>
      <c r="H2847" s="18">
        <v>2.8</v>
      </c>
      <c r="I2847" s="18">
        <v>149</v>
      </c>
      <c r="J2847" s="18">
        <v>10</v>
      </c>
      <c r="K2847" s="18">
        <v>375.48</v>
      </c>
      <c r="L2847" s="18" t="s">
        <v>146</v>
      </c>
      <c r="M2847" s="18" t="s">
        <v>133</v>
      </c>
      <c r="N2847" s="20"/>
      <c r="O2847" s="20"/>
      <c r="P2847" s="20"/>
      <c r="Q2847" s="18" t="b">
        <f>TRUE()</f>
        <v>1</v>
      </c>
      <c r="R2847" s="18" t="b">
        <f>FALSE()</f>
        <v>0</v>
      </c>
      <c r="S2847" s="19" t="str">
        <f t="shared" si="44"/>
        <v>N/A</v>
      </c>
      <c r="T2847">
        <f>COUNTIF('👤 Customers'!$A:$A, B2847)</f>
        <v>1</v>
      </c>
      <c r="U2847">
        <f>COUNTIF('🚴 Riders'!A2846:A2906, C2847)</f>
        <v>0</v>
      </c>
      <c r="V2847">
        <f>COUNTIF('🏭 Facilities'!A2846:A2854, D2847)</f>
        <v>0</v>
      </c>
    </row>
    <row r="2848" spans="1:22">
      <c r="A2848" s="16" t="s">
        <v>6342</v>
      </c>
      <c r="B2848" s="16" t="s">
        <v>406</v>
      </c>
      <c r="C2848" s="16" t="s">
        <v>114</v>
      </c>
      <c r="D2848" s="16" t="s">
        <v>137</v>
      </c>
      <c r="E2848" s="25">
        <v>45303</v>
      </c>
      <c r="F2848" s="16" t="s">
        <v>6343</v>
      </c>
      <c r="G2848" s="16" t="s">
        <v>145</v>
      </c>
      <c r="H2848" s="16">
        <v>1.9</v>
      </c>
      <c r="I2848" s="16">
        <v>299</v>
      </c>
      <c r="J2848" s="16">
        <v>10</v>
      </c>
      <c r="K2848" s="16">
        <v>511.29</v>
      </c>
      <c r="L2848" s="16" t="s">
        <v>118</v>
      </c>
      <c r="M2848" s="16" t="s">
        <v>133</v>
      </c>
      <c r="N2848" s="20"/>
      <c r="O2848" s="20"/>
      <c r="P2848" s="20"/>
      <c r="Q2848" s="16" t="b">
        <f>FALSE()</f>
        <v>0</v>
      </c>
      <c r="R2848" s="16" t="b">
        <f>FALSE()</f>
        <v>0</v>
      </c>
      <c r="S2848" s="17" t="str">
        <f t="shared" si="44"/>
        <v>N/A</v>
      </c>
      <c r="T2848">
        <f>COUNTIF('👤 Customers'!$A:$A, B2848)</f>
        <v>1</v>
      </c>
      <c r="U2848">
        <f>COUNTIF('🚴 Riders'!A2847:A2907, C2848)</f>
        <v>0</v>
      </c>
      <c r="V2848">
        <f>COUNTIF('🏭 Facilities'!A2847:A2855, D2848)</f>
        <v>0</v>
      </c>
    </row>
    <row r="2849" spans="1:22">
      <c r="A2849" s="18" t="s">
        <v>6344</v>
      </c>
      <c r="B2849" s="18" t="s">
        <v>486</v>
      </c>
      <c r="C2849" s="18" t="s">
        <v>196</v>
      </c>
      <c r="D2849" s="18" t="s">
        <v>123</v>
      </c>
      <c r="E2849" s="26">
        <v>45447</v>
      </c>
      <c r="F2849" s="18" t="s">
        <v>6345</v>
      </c>
      <c r="G2849" s="18" t="s">
        <v>145</v>
      </c>
      <c r="H2849" s="18">
        <v>1</v>
      </c>
      <c r="I2849" s="18">
        <v>299</v>
      </c>
      <c r="J2849" s="18">
        <v>20</v>
      </c>
      <c r="K2849" s="18">
        <v>239.2</v>
      </c>
      <c r="L2849" s="18" t="s">
        <v>126</v>
      </c>
      <c r="M2849" s="18" t="s">
        <v>119</v>
      </c>
      <c r="N2849" s="28">
        <v>45447.612500000003</v>
      </c>
      <c r="O2849" s="28">
        <v>45448.03125</v>
      </c>
      <c r="P2849" s="18">
        <v>4.5</v>
      </c>
      <c r="Q2849" s="18" t="b">
        <f>FALSE()</f>
        <v>0</v>
      </c>
      <c r="R2849" s="18" t="b">
        <f>TRUE()</f>
        <v>1</v>
      </c>
      <c r="S2849" s="19">
        <f t="shared" si="44"/>
        <v>10</v>
      </c>
      <c r="T2849">
        <f>COUNTIF('👤 Customers'!$A:$A, B2849)</f>
        <v>1</v>
      </c>
      <c r="U2849">
        <f>COUNTIF('🚴 Riders'!A2848:A2908, C2849)</f>
        <v>0</v>
      </c>
      <c r="V2849">
        <f>COUNTIF('🏭 Facilities'!A2848:A2856, D2849)</f>
        <v>0</v>
      </c>
    </row>
    <row r="2850" spans="1:22">
      <c r="A2850" s="16" t="s">
        <v>6346</v>
      </c>
      <c r="B2850" s="16" t="s">
        <v>1679</v>
      </c>
      <c r="C2850" s="16" t="s">
        <v>247</v>
      </c>
      <c r="D2850" s="16" t="s">
        <v>137</v>
      </c>
      <c r="E2850" s="25">
        <v>45200</v>
      </c>
      <c r="F2850" s="16" t="s">
        <v>6347</v>
      </c>
      <c r="G2850" s="16" t="s">
        <v>132</v>
      </c>
      <c r="H2850" s="16">
        <v>3</v>
      </c>
      <c r="I2850" s="16">
        <v>399</v>
      </c>
      <c r="J2850" s="16">
        <v>0</v>
      </c>
      <c r="K2850" s="16">
        <v>1197</v>
      </c>
      <c r="L2850" s="16" t="s">
        <v>126</v>
      </c>
      <c r="M2850" s="16" t="s">
        <v>119</v>
      </c>
      <c r="N2850" s="27">
        <v>45200.719444444447</v>
      </c>
      <c r="O2850" s="27">
        <v>45201.44027777778</v>
      </c>
      <c r="P2850" s="16">
        <v>3</v>
      </c>
      <c r="Q2850" s="16" t="b">
        <f>FALSE()</f>
        <v>0</v>
      </c>
      <c r="R2850" s="16" t="b">
        <f>TRUE()</f>
        <v>1</v>
      </c>
      <c r="S2850" s="17">
        <f t="shared" si="44"/>
        <v>17.3</v>
      </c>
      <c r="T2850">
        <f>COUNTIF('👤 Customers'!$A:$A, B2850)</f>
        <v>1</v>
      </c>
      <c r="U2850">
        <f>COUNTIF('🚴 Riders'!A2849:A2909, C2850)</f>
        <v>0</v>
      </c>
      <c r="V2850">
        <f>COUNTIF('🏭 Facilities'!A2849:A2857, D2850)</f>
        <v>0</v>
      </c>
    </row>
    <row r="2851" spans="1:22">
      <c r="A2851" s="18" t="s">
        <v>6348</v>
      </c>
      <c r="B2851" s="18" t="s">
        <v>2091</v>
      </c>
      <c r="C2851" s="18" t="s">
        <v>461</v>
      </c>
      <c r="D2851" s="18" t="s">
        <v>205</v>
      </c>
      <c r="E2851" s="26">
        <v>45461</v>
      </c>
      <c r="F2851" s="18" t="s">
        <v>2583</v>
      </c>
      <c r="G2851" s="18" t="s">
        <v>117</v>
      </c>
      <c r="H2851" s="18">
        <v>3.4</v>
      </c>
      <c r="I2851" s="18">
        <v>149</v>
      </c>
      <c r="J2851" s="18">
        <v>20</v>
      </c>
      <c r="K2851" s="18">
        <v>405.28</v>
      </c>
      <c r="L2851" s="18" t="s">
        <v>207</v>
      </c>
      <c r="M2851" s="18" t="s">
        <v>133</v>
      </c>
      <c r="N2851" s="20"/>
      <c r="O2851" s="20"/>
      <c r="P2851" s="20"/>
      <c r="Q2851" s="18" t="b">
        <f>FALSE()</f>
        <v>0</v>
      </c>
      <c r="R2851" s="18" t="b">
        <f>FALSE()</f>
        <v>0</v>
      </c>
      <c r="S2851" s="19" t="str">
        <f t="shared" si="44"/>
        <v>N/A</v>
      </c>
      <c r="T2851">
        <f>COUNTIF('👤 Customers'!$A:$A, B2851)</f>
        <v>1</v>
      </c>
      <c r="U2851">
        <f>COUNTIF('🚴 Riders'!A2850:A2910, C2851)</f>
        <v>0</v>
      </c>
      <c r="V2851">
        <f>COUNTIF('🏭 Facilities'!A2850:A2858, D2851)</f>
        <v>0</v>
      </c>
    </row>
    <row r="2852" spans="1:22">
      <c r="A2852" s="16" t="s">
        <v>6349</v>
      </c>
      <c r="B2852" s="16" t="s">
        <v>935</v>
      </c>
      <c r="C2852" s="16" t="s">
        <v>536</v>
      </c>
      <c r="D2852" s="16" t="s">
        <v>184</v>
      </c>
      <c r="E2852" s="25">
        <v>45212</v>
      </c>
      <c r="F2852" s="16" t="s">
        <v>6350</v>
      </c>
      <c r="G2852" s="16" t="s">
        <v>145</v>
      </c>
      <c r="H2852" s="16">
        <v>7.3</v>
      </c>
      <c r="I2852" s="16">
        <v>299</v>
      </c>
      <c r="J2852" s="16">
        <v>0</v>
      </c>
      <c r="K2852" s="16">
        <v>2182.6999999999998</v>
      </c>
      <c r="L2852" s="16" t="s">
        <v>139</v>
      </c>
      <c r="M2852" s="16" t="s">
        <v>119</v>
      </c>
      <c r="N2852" s="27">
        <v>45212.76666666667</v>
      </c>
      <c r="O2852" s="27">
        <v>45213.336805555555</v>
      </c>
      <c r="P2852" s="16">
        <v>2.9</v>
      </c>
      <c r="Q2852" s="16" t="b">
        <f>TRUE()</f>
        <v>1</v>
      </c>
      <c r="R2852" s="16" t="b">
        <f>FALSE()</f>
        <v>0</v>
      </c>
      <c r="S2852" s="17">
        <f t="shared" si="44"/>
        <v>13.7</v>
      </c>
      <c r="T2852">
        <f>COUNTIF('👤 Customers'!$A:$A, B2852)</f>
        <v>1</v>
      </c>
      <c r="U2852">
        <f>COUNTIF('🚴 Riders'!A2851:A2911, C2852)</f>
        <v>0</v>
      </c>
      <c r="V2852">
        <f>COUNTIF('🏭 Facilities'!A2851:A2859, D2852)</f>
        <v>0</v>
      </c>
    </row>
    <row r="2853" spans="1:22">
      <c r="A2853" s="18" t="s">
        <v>6351</v>
      </c>
      <c r="B2853" s="18" t="s">
        <v>574</v>
      </c>
      <c r="C2853" s="18" t="s">
        <v>272</v>
      </c>
      <c r="D2853" s="18" t="s">
        <v>130</v>
      </c>
      <c r="E2853" s="26">
        <v>45086</v>
      </c>
      <c r="F2853" s="18" t="s">
        <v>6352</v>
      </c>
      <c r="G2853" s="18" t="s">
        <v>117</v>
      </c>
      <c r="H2853" s="18">
        <v>1.2</v>
      </c>
      <c r="I2853" s="18">
        <v>149</v>
      </c>
      <c r="J2853" s="18">
        <v>10</v>
      </c>
      <c r="K2853" s="18">
        <v>160.91999999999999</v>
      </c>
      <c r="L2853" s="18" t="s">
        <v>207</v>
      </c>
      <c r="M2853" s="18" t="s">
        <v>140</v>
      </c>
      <c r="N2853" s="28">
        <v>45086.744444444441</v>
      </c>
      <c r="O2853" s="28">
        <v>45087.480555555558</v>
      </c>
      <c r="P2853" s="20"/>
      <c r="Q2853" s="18" t="b">
        <f>FALSE()</f>
        <v>0</v>
      </c>
      <c r="R2853" s="18" t="b">
        <f>TRUE()</f>
        <v>1</v>
      </c>
      <c r="S2853" s="19">
        <f t="shared" si="44"/>
        <v>17.7</v>
      </c>
      <c r="T2853">
        <f>COUNTIF('👤 Customers'!$A:$A, B2853)</f>
        <v>1</v>
      </c>
      <c r="U2853">
        <f>COUNTIF('🚴 Riders'!A2852:A2912, C2853)</f>
        <v>0</v>
      </c>
      <c r="V2853">
        <f>COUNTIF('🏭 Facilities'!A2852:A2860, D2853)</f>
        <v>0</v>
      </c>
    </row>
    <row r="2854" spans="1:22">
      <c r="A2854" s="16" t="s">
        <v>6353</v>
      </c>
      <c r="B2854" s="16" t="s">
        <v>2043</v>
      </c>
      <c r="C2854" s="16" t="s">
        <v>479</v>
      </c>
      <c r="D2854" s="16" t="s">
        <v>205</v>
      </c>
      <c r="E2854" s="25">
        <v>45119</v>
      </c>
      <c r="F2854" s="16" t="s">
        <v>6354</v>
      </c>
      <c r="G2854" s="16" t="s">
        <v>132</v>
      </c>
      <c r="H2854" s="16">
        <v>2.1</v>
      </c>
      <c r="I2854" s="16">
        <v>399</v>
      </c>
      <c r="J2854" s="16">
        <v>0</v>
      </c>
      <c r="K2854" s="16">
        <v>837.9</v>
      </c>
      <c r="L2854" s="16" t="s">
        <v>146</v>
      </c>
      <c r="M2854" s="16" t="s">
        <v>119</v>
      </c>
      <c r="N2854" s="27">
        <v>45119.292361111111</v>
      </c>
      <c r="O2854" s="27">
        <v>45120.161111111112</v>
      </c>
      <c r="P2854" s="16">
        <v>4.5</v>
      </c>
      <c r="Q2854" s="16" t="b">
        <f>FALSE()</f>
        <v>0</v>
      </c>
      <c r="R2854" s="16" t="b">
        <f>FALSE()</f>
        <v>0</v>
      </c>
      <c r="S2854" s="17">
        <f t="shared" si="44"/>
        <v>20.9</v>
      </c>
      <c r="T2854">
        <f>COUNTIF('👤 Customers'!$A:$A, B2854)</f>
        <v>1</v>
      </c>
      <c r="U2854">
        <f>COUNTIF('🚴 Riders'!A2853:A2913, C2854)</f>
        <v>0</v>
      </c>
      <c r="V2854">
        <f>COUNTIF('🏭 Facilities'!A2853:A2861, D2854)</f>
        <v>0</v>
      </c>
    </row>
    <row r="2855" spans="1:22">
      <c r="A2855" s="18" t="s">
        <v>6355</v>
      </c>
      <c r="B2855" s="18" t="s">
        <v>698</v>
      </c>
      <c r="C2855" s="18" t="s">
        <v>842</v>
      </c>
      <c r="D2855" s="18" t="s">
        <v>123</v>
      </c>
      <c r="E2855" s="26">
        <v>45582</v>
      </c>
      <c r="F2855" s="18" t="s">
        <v>6356</v>
      </c>
      <c r="G2855" s="18" t="s">
        <v>117</v>
      </c>
      <c r="H2855" s="18">
        <v>6.3</v>
      </c>
      <c r="I2855" s="18">
        <v>149</v>
      </c>
      <c r="J2855" s="18">
        <v>0</v>
      </c>
      <c r="K2855" s="18">
        <v>938.7</v>
      </c>
      <c r="L2855" s="18" t="s">
        <v>118</v>
      </c>
      <c r="M2855" s="18" t="s">
        <v>119</v>
      </c>
      <c r="N2855" s="28">
        <v>45583.074999999997</v>
      </c>
      <c r="O2855" s="28">
        <v>45583.734027777777</v>
      </c>
      <c r="P2855" s="18">
        <v>4</v>
      </c>
      <c r="Q2855" s="18" t="b">
        <f>FALSE()</f>
        <v>0</v>
      </c>
      <c r="R2855" s="18" t="b">
        <f>TRUE()</f>
        <v>1</v>
      </c>
      <c r="S2855" s="19">
        <f t="shared" si="44"/>
        <v>15.8</v>
      </c>
      <c r="T2855">
        <f>COUNTIF('👤 Customers'!$A:$A, B2855)</f>
        <v>1</v>
      </c>
      <c r="U2855">
        <f>COUNTIF('🚴 Riders'!A2854:A2914, C2855)</f>
        <v>0</v>
      </c>
      <c r="V2855">
        <f>COUNTIF('🏭 Facilities'!A2854:A2862, D2855)</f>
        <v>0</v>
      </c>
    </row>
    <row r="2856" spans="1:22">
      <c r="A2856" s="16" t="s">
        <v>6357</v>
      </c>
      <c r="B2856" s="16" t="s">
        <v>1788</v>
      </c>
      <c r="C2856" s="16" t="s">
        <v>276</v>
      </c>
      <c r="D2856" s="16" t="s">
        <v>123</v>
      </c>
      <c r="E2856" s="25">
        <v>45250</v>
      </c>
      <c r="F2856" s="16" t="s">
        <v>6358</v>
      </c>
      <c r="G2856" s="16" t="s">
        <v>145</v>
      </c>
      <c r="H2856" s="16">
        <v>3.4</v>
      </c>
      <c r="I2856" s="16">
        <v>299</v>
      </c>
      <c r="J2856" s="16">
        <v>20</v>
      </c>
      <c r="K2856" s="16">
        <v>813.28</v>
      </c>
      <c r="L2856" s="16" t="s">
        <v>146</v>
      </c>
      <c r="M2856" s="16" t="s">
        <v>119</v>
      </c>
      <c r="N2856" s="27">
        <v>45251.121527777781</v>
      </c>
      <c r="O2856" s="27">
        <v>45252.097916666666</v>
      </c>
      <c r="P2856" s="16">
        <v>4.9000000000000004</v>
      </c>
      <c r="Q2856" s="16" t="b">
        <f>TRUE()</f>
        <v>1</v>
      </c>
      <c r="R2856" s="16" t="b">
        <f>FALSE()</f>
        <v>0</v>
      </c>
      <c r="S2856" s="17">
        <f t="shared" si="44"/>
        <v>23.4</v>
      </c>
      <c r="T2856">
        <f>COUNTIF('👤 Customers'!$A:$A, B2856)</f>
        <v>1</v>
      </c>
      <c r="U2856">
        <f>COUNTIF('🚴 Riders'!A2855:A2915, C2856)</f>
        <v>0</v>
      </c>
      <c r="V2856">
        <f>COUNTIF('🏭 Facilities'!A2855:A2863, D2856)</f>
        <v>0</v>
      </c>
    </row>
    <row r="2857" spans="1:22">
      <c r="A2857" s="18" t="s">
        <v>6359</v>
      </c>
      <c r="B2857" s="18" t="s">
        <v>239</v>
      </c>
      <c r="C2857" s="18" t="s">
        <v>354</v>
      </c>
      <c r="D2857" s="18" t="s">
        <v>197</v>
      </c>
      <c r="E2857" s="26">
        <v>45105</v>
      </c>
      <c r="F2857" s="18" t="s">
        <v>6360</v>
      </c>
      <c r="G2857" s="18" t="s">
        <v>145</v>
      </c>
      <c r="H2857" s="18">
        <v>5.5</v>
      </c>
      <c r="I2857" s="18">
        <v>299</v>
      </c>
      <c r="J2857" s="18">
        <v>20</v>
      </c>
      <c r="K2857" s="18">
        <v>1315.6</v>
      </c>
      <c r="L2857" s="18" t="s">
        <v>207</v>
      </c>
      <c r="M2857" s="18" t="s">
        <v>140</v>
      </c>
      <c r="N2857" s="28">
        <v>45105.670138888891</v>
      </c>
      <c r="O2857" s="28">
        <v>45106.536805555559</v>
      </c>
      <c r="P2857" s="20"/>
      <c r="Q2857" s="18" t="b">
        <f>FALSE()</f>
        <v>0</v>
      </c>
      <c r="R2857" s="18" t="b">
        <f>FALSE()</f>
        <v>0</v>
      </c>
      <c r="S2857" s="19">
        <f t="shared" si="44"/>
        <v>20.8</v>
      </c>
      <c r="T2857">
        <f>COUNTIF('👤 Customers'!$A:$A, B2857)</f>
        <v>1</v>
      </c>
      <c r="U2857">
        <f>COUNTIF('🚴 Riders'!A2856:A2916, C2857)</f>
        <v>0</v>
      </c>
      <c r="V2857">
        <f>COUNTIF('🏭 Facilities'!A2856:A2864, D2857)</f>
        <v>0</v>
      </c>
    </row>
    <row r="2858" spans="1:22">
      <c r="A2858" s="16" t="s">
        <v>6361</v>
      </c>
      <c r="B2858" s="16" t="s">
        <v>592</v>
      </c>
      <c r="C2858" s="16" t="s">
        <v>143</v>
      </c>
      <c r="D2858" s="16" t="s">
        <v>205</v>
      </c>
      <c r="E2858" s="25">
        <v>45390</v>
      </c>
      <c r="F2858" s="16" t="s">
        <v>6362</v>
      </c>
      <c r="G2858" s="16" t="s">
        <v>125</v>
      </c>
      <c r="H2858" s="16">
        <v>3.4</v>
      </c>
      <c r="I2858" s="16">
        <v>199</v>
      </c>
      <c r="J2858" s="16">
        <v>0</v>
      </c>
      <c r="K2858" s="16">
        <v>676.6</v>
      </c>
      <c r="L2858" s="16" t="s">
        <v>126</v>
      </c>
      <c r="M2858" s="16" t="s">
        <v>119</v>
      </c>
      <c r="N2858" s="27">
        <v>45390.706250000003</v>
      </c>
      <c r="O2858" s="27">
        <v>45391.414583333331</v>
      </c>
      <c r="P2858" s="16">
        <v>3.8</v>
      </c>
      <c r="Q2858" s="16" t="b">
        <f>TRUE()</f>
        <v>1</v>
      </c>
      <c r="R2858" s="16" t="b">
        <f>FALSE()</f>
        <v>0</v>
      </c>
      <c r="S2858" s="17">
        <f t="shared" si="44"/>
        <v>17</v>
      </c>
      <c r="T2858">
        <f>COUNTIF('👤 Customers'!$A:$A, B2858)</f>
        <v>1</v>
      </c>
      <c r="U2858">
        <f>COUNTIF('🚴 Riders'!A2857:A2917, C2858)</f>
        <v>0</v>
      </c>
      <c r="V2858">
        <f>COUNTIF('🏭 Facilities'!A2857:A2865, D2858)</f>
        <v>0</v>
      </c>
    </row>
    <row r="2859" spans="1:22">
      <c r="A2859" s="18" t="s">
        <v>6363</v>
      </c>
      <c r="B2859" s="18" t="s">
        <v>1704</v>
      </c>
      <c r="C2859" s="18" t="s">
        <v>750</v>
      </c>
      <c r="D2859" s="18" t="s">
        <v>205</v>
      </c>
      <c r="E2859" s="26">
        <v>45346</v>
      </c>
      <c r="F2859" s="18" t="s">
        <v>6364</v>
      </c>
      <c r="G2859" s="18" t="s">
        <v>125</v>
      </c>
      <c r="H2859" s="18">
        <v>2.1</v>
      </c>
      <c r="I2859" s="18">
        <v>199</v>
      </c>
      <c r="J2859" s="18">
        <v>0</v>
      </c>
      <c r="K2859" s="18">
        <v>417.9</v>
      </c>
      <c r="L2859" s="18" t="s">
        <v>207</v>
      </c>
      <c r="M2859" s="18" t="s">
        <v>133</v>
      </c>
      <c r="N2859" s="20"/>
      <c r="O2859" s="20"/>
      <c r="P2859" s="20"/>
      <c r="Q2859" s="18" t="b">
        <f>TRUE()</f>
        <v>1</v>
      </c>
      <c r="R2859" s="18" t="b">
        <f>FALSE()</f>
        <v>0</v>
      </c>
      <c r="S2859" s="19" t="str">
        <f t="shared" si="44"/>
        <v>N/A</v>
      </c>
      <c r="T2859">
        <f>COUNTIF('👤 Customers'!$A:$A, B2859)</f>
        <v>1</v>
      </c>
      <c r="U2859">
        <f>COUNTIF('🚴 Riders'!A2858:A2918, C2859)</f>
        <v>0</v>
      </c>
      <c r="V2859">
        <f>COUNTIF('🏭 Facilities'!A2858:A2866, D2859)</f>
        <v>0</v>
      </c>
    </row>
    <row r="2860" spans="1:22">
      <c r="A2860" s="16" t="s">
        <v>6365</v>
      </c>
      <c r="B2860" s="16" t="s">
        <v>4375</v>
      </c>
      <c r="C2860" s="16" t="s">
        <v>114</v>
      </c>
      <c r="D2860" s="16" t="s">
        <v>197</v>
      </c>
      <c r="E2860" s="25">
        <v>45528</v>
      </c>
      <c r="F2860" s="16" t="s">
        <v>6366</v>
      </c>
      <c r="G2860" s="16" t="s">
        <v>132</v>
      </c>
      <c r="H2860" s="16">
        <v>4.9000000000000004</v>
      </c>
      <c r="I2860" s="16">
        <v>399</v>
      </c>
      <c r="J2860" s="16">
        <v>0</v>
      </c>
      <c r="K2860" s="16">
        <v>1955.1</v>
      </c>
      <c r="L2860" s="16" t="s">
        <v>126</v>
      </c>
      <c r="M2860" s="16" t="s">
        <v>119</v>
      </c>
      <c r="N2860" s="27">
        <v>45528.950694444444</v>
      </c>
      <c r="O2860" s="27">
        <v>45529.494444444441</v>
      </c>
      <c r="P2860" s="16">
        <v>4.2</v>
      </c>
      <c r="Q2860" s="16" t="b">
        <f>FALSE()</f>
        <v>0</v>
      </c>
      <c r="R2860" s="16" t="b">
        <f>TRUE()</f>
        <v>1</v>
      </c>
      <c r="S2860" s="17">
        <f t="shared" si="44"/>
        <v>13</v>
      </c>
      <c r="T2860">
        <f>COUNTIF('👤 Customers'!$A:$A, B2860)</f>
        <v>1</v>
      </c>
      <c r="U2860">
        <f>COUNTIF('🚴 Riders'!A2859:A2919, C2860)</f>
        <v>0</v>
      </c>
      <c r="V2860">
        <f>COUNTIF('🏭 Facilities'!A2859:A2867, D2860)</f>
        <v>0</v>
      </c>
    </row>
    <row r="2861" spans="1:22">
      <c r="A2861" s="18" t="s">
        <v>6367</v>
      </c>
      <c r="B2861" s="18" t="s">
        <v>2109</v>
      </c>
      <c r="C2861" s="18" t="s">
        <v>143</v>
      </c>
      <c r="D2861" s="18" t="s">
        <v>137</v>
      </c>
      <c r="E2861" s="26">
        <v>45253</v>
      </c>
      <c r="F2861" s="18" t="s">
        <v>6368</v>
      </c>
      <c r="G2861" s="18" t="s">
        <v>132</v>
      </c>
      <c r="H2861" s="18">
        <v>2.6</v>
      </c>
      <c r="I2861" s="18">
        <v>399</v>
      </c>
      <c r="J2861" s="18">
        <v>0</v>
      </c>
      <c r="K2861" s="18">
        <v>1037.4000000000001</v>
      </c>
      <c r="L2861" s="18" t="s">
        <v>207</v>
      </c>
      <c r="M2861" s="18" t="s">
        <v>119</v>
      </c>
      <c r="N2861" s="28">
        <v>45253.472222222219</v>
      </c>
      <c r="O2861" s="28">
        <v>45253.804166666669</v>
      </c>
      <c r="P2861" s="18">
        <v>3.3</v>
      </c>
      <c r="Q2861" s="18" t="b">
        <f>FALSE()</f>
        <v>0</v>
      </c>
      <c r="R2861" s="18" t="b">
        <f>FALSE()</f>
        <v>0</v>
      </c>
      <c r="S2861" s="19">
        <f t="shared" si="44"/>
        <v>8</v>
      </c>
      <c r="T2861">
        <f>COUNTIF('👤 Customers'!$A:$A, B2861)</f>
        <v>1</v>
      </c>
      <c r="U2861">
        <f>COUNTIF('🚴 Riders'!A2860:A2920, C2861)</f>
        <v>0</v>
      </c>
      <c r="V2861">
        <f>COUNTIF('🏭 Facilities'!A2860:A2868, D2861)</f>
        <v>0</v>
      </c>
    </row>
    <row r="2862" spans="1:22">
      <c r="A2862" s="16" t="s">
        <v>6369</v>
      </c>
      <c r="B2862" s="16" t="s">
        <v>1233</v>
      </c>
      <c r="C2862" s="16" t="s">
        <v>1092</v>
      </c>
      <c r="D2862" s="16" t="s">
        <v>158</v>
      </c>
      <c r="E2862" s="25">
        <v>45397</v>
      </c>
      <c r="F2862" s="16" t="s">
        <v>6370</v>
      </c>
      <c r="G2862" s="16" t="s">
        <v>132</v>
      </c>
      <c r="H2862" s="16">
        <v>2</v>
      </c>
      <c r="I2862" s="16">
        <v>399</v>
      </c>
      <c r="J2862" s="16">
        <v>20</v>
      </c>
      <c r="K2862" s="16">
        <v>638.4</v>
      </c>
      <c r="L2862" s="16" t="s">
        <v>126</v>
      </c>
      <c r="M2862" s="16" t="s">
        <v>119</v>
      </c>
      <c r="N2862" s="27">
        <v>45397.05</v>
      </c>
      <c r="O2862" s="27">
        <v>45398.011111111111</v>
      </c>
      <c r="P2862" s="16">
        <v>4.9000000000000004</v>
      </c>
      <c r="Q2862" s="16" t="b">
        <f>FALSE()</f>
        <v>0</v>
      </c>
      <c r="R2862" s="16" t="b">
        <f>FALSE()</f>
        <v>0</v>
      </c>
      <c r="S2862" s="17">
        <f t="shared" si="44"/>
        <v>23.1</v>
      </c>
      <c r="T2862">
        <f>COUNTIF('👤 Customers'!$A:$A, B2862)</f>
        <v>1</v>
      </c>
      <c r="U2862">
        <f>COUNTIF('🚴 Riders'!A2861:A2921, C2862)</f>
        <v>0</v>
      </c>
      <c r="V2862">
        <f>COUNTIF('🏭 Facilities'!A2861:A2869, D2862)</f>
        <v>0</v>
      </c>
    </row>
    <row r="2863" spans="1:22">
      <c r="A2863" s="18" t="s">
        <v>6371</v>
      </c>
      <c r="B2863" s="18" t="s">
        <v>2490</v>
      </c>
      <c r="C2863" s="18" t="s">
        <v>220</v>
      </c>
      <c r="D2863" s="18" t="s">
        <v>115</v>
      </c>
      <c r="E2863" s="26">
        <v>45249</v>
      </c>
      <c r="F2863" s="18" t="s">
        <v>6372</v>
      </c>
      <c r="G2863" s="18" t="s">
        <v>132</v>
      </c>
      <c r="H2863" s="18">
        <v>1.5</v>
      </c>
      <c r="I2863" s="18">
        <v>399</v>
      </c>
      <c r="J2863" s="18">
        <v>0</v>
      </c>
      <c r="K2863" s="18">
        <v>598.5</v>
      </c>
      <c r="L2863" s="18" t="s">
        <v>126</v>
      </c>
      <c r="M2863" s="18" t="s">
        <v>119</v>
      </c>
      <c r="N2863" s="28">
        <v>45250.002083333333</v>
      </c>
      <c r="O2863" s="28">
        <v>45251.013888888891</v>
      </c>
      <c r="P2863" s="18">
        <v>3.5</v>
      </c>
      <c r="Q2863" s="18" t="b">
        <f>FALSE()</f>
        <v>0</v>
      </c>
      <c r="R2863" s="18" t="b">
        <f>FALSE()</f>
        <v>0</v>
      </c>
      <c r="S2863" s="19">
        <f t="shared" si="44"/>
        <v>24.3</v>
      </c>
      <c r="T2863">
        <f>COUNTIF('👤 Customers'!$A:$A, B2863)</f>
        <v>1</v>
      </c>
      <c r="U2863">
        <f>COUNTIF('🚴 Riders'!A2862:A2922, C2863)</f>
        <v>0</v>
      </c>
      <c r="V2863">
        <f>COUNTIF('🏭 Facilities'!A2862:A2870, D2863)</f>
        <v>0</v>
      </c>
    </row>
    <row r="2864" spans="1:22">
      <c r="A2864" s="16" t="s">
        <v>6373</v>
      </c>
      <c r="B2864" s="16" t="s">
        <v>430</v>
      </c>
      <c r="C2864" s="16" t="s">
        <v>276</v>
      </c>
      <c r="D2864" s="16" t="s">
        <v>205</v>
      </c>
      <c r="E2864" s="25">
        <v>44976</v>
      </c>
      <c r="F2864" s="16" t="s">
        <v>6374</v>
      </c>
      <c r="G2864" s="16" t="s">
        <v>125</v>
      </c>
      <c r="H2864" s="16">
        <v>5</v>
      </c>
      <c r="I2864" s="16">
        <v>199</v>
      </c>
      <c r="J2864" s="16">
        <v>10</v>
      </c>
      <c r="K2864" s="16">
        <v>895.5</v>
      </c>
      <c r="L2864" s="16" t="s">
        <v>126</v>
      </c>
      <c r="M2864" s="16" t="s">
        <v>140</v>
      </c>
      <c r="N2864" s="27">
        <v>44977.011805555558</v>
      </c>
      <c r="O2864" s="27">
        <v>44977.988888888889</v>
      </c>
      <c r="P2864" s="20"/>
      <c r="Q2864" s="16" t="b">
        <f>FALSE()</f>
        <v>0</v>
      </c>
      <c r="R2864" s="16" t="b">
        <f>FALSE()</f>
        <v>0</v>
      </c>
      <c r="S2864" s="17">
        <f t="shared" si="44"/>
        <v>23.4</v>
      </c>
      <c r="T2864">
        <f>COUNTIF('👤 Customers'!$A:$A, B2864)</f>
        <v>1</v>
      </c>
      <c r="U2864">
        <f>COUNTIF('🚴 Riders'!A2863:A2923, C2864)</f>
        <v>0</v>
      </c>
      <c r="V2864">
        <f>COUNTIF('🏭 Facilities'!A2863:A2871, D2864)</f>
        <v>0</v>
      </c>
    </row>
    <row r="2865" spans="1:22">
      <c r="A2865" s="18" t="s">
        <v>6375</v>
      </c>
      <c r="B2865" s="18" t="s">
        <v>161</v>
      </c>
      <c r="C2865" s="18" t="s">
        <v>192</v>
      </c>
      <c r="D2865" s="18" t="s">
        <v>115</v>
      </c>
      <c r="E2865" s="26">
        <v>45356</v>
      </c>
      <c r="F2865" s="18" t="s">
        <v>6376</v>
      </c>
      <c r="G2865" s="18" t="s">
        <v>125</v>
      </c>
      <c r="H2865" s="18">
        <v>6.3</v>
      </c>
      <c r="I2865" s="18">
        <v>199</v>
      </c>
      <c r="J2865" s="18">
        <v>0</v>
      </c>
      <c r="K2865" s="18">
        <v>1253.7</v>
      </c>
      <c r="L2865" s="18" t="s">
        <v>207</v>
      </c>
      <c r="M2865" s="18" t="s">
        <v>140</v>
      </c>
      <c r="N2865" s="28">
        <v>45356.175694444442</v>
      </c>
      <c r="O2865" s="28">
        <v>45356.556250000001</v>
      </c>
      <c r="P2865" s="20"/>
      <c r="Q2865" s="18" t="b">
        <f>TRUE()</f>
        <v>1</v>
      </c>
      <c r="R2865" s="18" t="b">
        <f>FALSE()</f>
        <v>0</v>
      </c>
      <c r="S2865" s="19">
        <f t="shared" si="44"/>
        <v>9.1</v>
      </c>
      <c r="T2865">
        <f>COUNTIF('👤 Customers'!$A:$A, B2865)</f>
        <v>1</v>
      </c>
      <c r="U2865">
        <f>COUNTIF('🚴 Riders'!A2864:A2924, C2865)</f>
        <v>0</v>
      </c>
      <c r="V2865">
        <f>COUNTIF('🏭 Facilities'!A2864:A2872, D2865)</f>
        <v>0</v>
      </c>
    </row>
    <row r="2866" spans="1:22">
      <c r="A2866" s="16" t="s">
        <v>6377</v>
      </c>
      <c r="B2866" s="16" t="s">
        <v>161</v>
      </c>
      <c r="C2866" s="16" t="s">
        <v>842</v>
      </c>
      <c r="D2866" s="16" t="s">
        <v>184</v>
      </c>
      <c r="E2866" s="25">
        <v>45279</v>
      </c>
      <c r="F2866" s="16" t="s">
        <v>6378</v>
      </c>
      <c r="G2866" s="16" t="s">
        <v>125</v>
      </c>
      <c r="H2866" s="16">
        <v>7.5</v>
      </c>
      <c r="I2866" s="16">
        <v>199</v>
      </c>
      <c r="J2866" s="16">
        <v>10</v>
      </c>
      <c r="K2866" s="16">
        <v>1343.25</v>
      </c>
      <c r="L2866" s="16" t="s">
        <v>126</v>
      </c>
      <c r="M2866" s="16" t="s">
        <v>133</v>
      </c>
      <c r="N2866" s="20"/>
      <c r="O2866" s="20"/>
      <c r="P2866" s="20"/>
      <c r="Q2866" s="16" t="b">
        <f>FALSE()</f>
        <v>0</v>
      </c>
      <c r="R2866" s="16" t="b">
        <f>FALSE()</f>
        <v>0</v>
      </c>
      <c r="S2866" s="17" t="str">
        <f t="shared" si="44"/>
        <v>N/A</v>
      </c>
      <c r="T2866">
        <f>COUNTIF('👤 Customers'!$A:$A, B2866)</f>
        <v>1</v>
      </c>
      <c r="U2866">
        <f>COUNTIF('🚴 Riders'!A2865:A2925, C2866)</f>
        <v>0</v>
      </c>
      <c r="V2866">
        <f>COUNTIF('🏭 Facilities'!A2865:A2873, D2866)</f>
        <v>0</v>
      </c>
    </row>
    <row r="2867" spans="1:22">
      <c r="A2867" s="18" t="s">
        <v>6379</v>
      </c>
      <c r="B2867" s="18" t="s">
        <v>1988</v>
      </c>
      <c r="C2867" s="18" t="s">
        <v>236</v>
      </c>
      <c r="D2867" s="18" t="s">
        <v>123</v>
      </c>
      <c r="E2867" s="26">
        <v>45443</v>
      </c>
      <c r="F2867" s="18" t="s">
        <v>6380</v>
      </c>
      <c r="G2867" s="18" t="s">
        <v>145</v>
      </c>
      <c r="H2867" s="18">
        <v>2.2000000000000002</v>
      </c>
      <c r="I2867" s="18">
        <v>299</v>
      </c>
      <c r="J2867" s="18">
        <v>10</v>
      </c>
      <c r="K2867" s="18">
        <v>592.02</v>
      </c>
      <c r="L2867" s="18" t="s">
        <v>146</v>
      </c>
      <c r="M2867" s="18" t="s">
        <v>119</v>
      </c>
      <c r="N2867" s="28">
        <v>45443.513194444444</v>
      </c>
      <c r="O2867" s="28">
        <v>45443.991666666669</v>
      </c>
      <c r="P2867" s="18">
        <v>4.5999999999999996</v>
      </c>
      <c r="Q2867" s="18" t="b">
        <f>FALSE()</f>
        <v>0</v>
      </c>
      <c r="R2867" s="18" t="b">
        <f>FALSE()</f>
        <v>0</v>
      </c>
      <c r="S2867" s="19">
        <f t="shared" si="44"/>
        <v>11.5</v>
      </c>
      <c r="T2867">
        <f>COUNTIF('👤 Customers'!$A:$A, B2867)</f>
        <v>1</v>
      </c>
      <c r="U2867">
        <f>COUNTIF('🚴 Riders'!A2866:A2926, C2867)</f>
        <v>0</v>
      </c>
      <c r="V2867">
        <f>COUNTIF('🏭 Facilities'!A2866:A2874, D2867)</f>
        <v>0</v>
      </c>
    </row>
    <row r="2868" spans="1:22">
      <c r="A2868" s="16" t="s">
        <v>6381</v>
      </c>
      <c r="B2868" s="16" t="s">
        <v>2490</v>
      </c>
      <c r="C2868" s="16" t="s">
        <v>162</v>
      </c>
      <c r="D2868" s="16" t="s">
        <v>137</v>
      </c>
      <c r="E2868" s="25">
        <v>45333</v>
      </c>
      <c r="F2868" s="16" t="s">
        <v>6382</v>
      </c>
      <c r="G2868" s="16" t="s">
        <v>176</v>
      </c>
      <c r="H2868" s="16">
        <v>6.9</v>
      </c>
      <c r="I2868" s="16">
        <v>599</v>
      </c>
      <c r="J2868" s="16">
        <v>10</v>
      </c>
      <c r="K2868" s="16">
        <v>3719.79</v>
      </c>
      <c r="L2868" s="16" t="s">
        <v>207</v>
      </c>
      <c r="M2868" s="16" t="s">
        <v>119</v>
      </c>
      <c r="N2868" s="27">
        <v>45333.618750000001</v>
      </c>
      <c r="O2868" s="27">
        <v>45334.301388888889</v>
      </c>
      <c r="P2868" s="16">
        <v>4</v>
      </c>
      <c r="Q2868" s="16" t="b">
        <f>FALSE()</f>
        <v>0</v>
      </c>
      <c r="R2868" s="16" t="b">
        <f>TRUE()</f>
        <v>1</v>
      </c>
      <c r="S2868" s="17">
        <f t="shared" si="44"/>
        <v>16.399999999999999</v>
      </c>
      <c r="T2868">
        <f>COUNTIF('👤 Customers'!$A:$A, B2868)</f>
        <v>1</v>
      </c>
      <c r="U2868">
        <f>COUNTIF('🚴 Riders'!A2867:A2927, C2868)</f>
        <v>0</v>
      </c>
      <c r="V2868">
        <f>COUNTIF('🏭 Facilities'!A2867:A2875, D2868)</f>
        <v>0</v>
      </c>
    </row>
    <row r="2869" spans="1:22">
      <c r="A2869" s="18" t="s">
        <v>6383</v>
      </c>
      <c r="B2869" s="18" t="s">
        <v>1033</v>
      </c>
      <c r="C2869" s="18" t="s">
        <v>257</v>
      </c>
      <c r="D2869" s="18" t="s">
        <v>130</v>
      </c>
      <c r="E2869" s="26">
        <v>45373</v>
      </c>
      <c r="F2869" s="18" t="s">
        <v>6384</v>
      </c>
      <c r="G2869" s="18" t="s">
        <v>145</v>
      </c>
      <c r="H2869" s="18">
        <v>5.7</v>
      </c>
      <c r="I2869" s="18">
        <v>299</v>
      </c>
      <c r="J2869" s="18">
        <v>0</v>
      </c>
      <c r="K2869" s="18">
        <v>1704.3</v>
      </c>
      <c r="L2869" s="18" t="s">
        <v>146</v>
      </c>
      <c r="M2869" s="18" t="s">
        <v>119</v>
      </c>
      <c r="N2869" s="28">
        <v>45373.593055555553</v>
      </c>
      <c r="O2869" s="28">
        <v>45374.018750000003</v>
      </c>
      <c r="P2869" s="18">
        <v>4.2</v>
      </c>
      <c r="Q2869" s="18" t="b">
        <f>FALSE()</f>
        <v>0</v>
      </c>
      <c r="R2869" s="18" t="b">
        <f>FALSE()</f>
        <v>0</v>
      </c>
      <c r="S2869" s="19">
        <f t="shared" si="44"/>
        <v>10.199999999999999</v>
      </c>
      <c r="T2869">
        <f>COUNTIF('👤 Customers'!$A:$A, B2869)</f>
        <v>1</v>
      </c>
      <c r="U2869">
        <f>COUNTIF('🚴 Riders'!A2868:A2928, C2869)</f>
        <v>0</v>
      </c>
      <c r="V2869">
        <f>COUNTIF('🏭 Facilities'!A2868:A2876, D2869)</f>
        <v>0</v>
      </c>
    </row>
    <row r="2870" spans="1:22">
      <c r="A2870" s="16" t="s">
        <v>6385</v>
      </c>
      <c r="B2870" s="16" t="s">
        <v>1631</v>
      </c>
      <c r="C2870" s="16" t="s">
        <v>251</v>
      </c>
      <c r="D2870" s="16" t="s">
        <v>184</v>
      </c>
      <c r="E2870" s="25">
        <v>45525</v>
      </c>
      <c r="F2870" s="16" t="s">
        <v>6386</v>
      </c>
      <c r="G2870" s="16" t="s">
        <v>117</v>
      </c>
      <c r="H2870" s="16">
        <v>3</v>
      </c>
      <c r="I2870" s="16">
        <v>149</v>
      </c>
      <c r="J2870" s="16">
        <v>10</v>
      </c>
      <c r="K2870" s="16">
        <v>402.3</v>
      </c>
      <c r="L2870" s="16" t="s">
        <v>126</v>
      </c>
      <c r="M2870" s="16" t="s">
        <v>133</v>
      </c>
      <c r="N2870" s="20"/>
      <c r="O2870" s="20"/>
      <c r="P2870" s="20"/>
      <c r="Q2870" s="16" t="b">
        <f>FALSE()</f>
        <v>0</v>
      </c>
      <c r="R2870" s="16" t="b">
        <f>FALSE()</f>
        <v>0</v>
      </c>
      <c r="S2870" s="17" t="str">
        <f t="shared" si="44"/>
        <v>N/A</v>
      </c>
      <c r="T2870">
        <f>COUNTIF('👤 Customers'!$A:$A, B2870)</f>
        <v>1</v>
      </c>
      <c r="U2870">
        <f>COUNTIF('🚴 Riders'!A2869:A2929, C2870)</f>
        <v>0</v>
      </c>
      <c r="V2870">
        <f>COUNTIF('🏭 Facilities'!A2869:A2877, D2870)</f>
        <v>0</v>
      </c>
    </row>
    <row r="2871" spans="1:22">
      <c r="A2871" s="18" t="s">
        <v>6387</v>
      </c>
      <c r="B2871" s="18" t="s">
        <v>704</v>
      </c>
      <c r="C2871" s="18" t="s">
        <v>129</v>
      </c>
      <c r="D2871" s="18" t="s">
        <v>115</v>
      </c>
      <c r="E2871" s="26">
        <v>45571</v>
      </c>
      <c r="F2871" s="18" t="s">
        <v>6388</v>
      </c>
      <c r="G2871" s="18" t="s">
        <v>176</v>
      </c>
      <c r="H2871" s="18">
        <v>2.2000000000000002</v>
      </c>
      <c r="I2871" s="18">
        <v>599</v>
      </c>
      <c r="J2871" s="18">
        <v>30</v>
      </c>
      <c r="K2871" s="18">
        <v>922.46</v>
      </c>
      <c r="L2871" s="18" t="s">
        <v>118</v>
      </c>
      <c r="M2871" s="18" t="s">
        <v>119</v>
      </c>
      <c r="N2871" s="28">
        <v>45571.861805555556</v>
      </c>
      <c r="O2871" s="28">
        <v>45572.511805555558</v>
      </c>
      <c r="P2871" s="18">
        <v>3.4</v>
      </c>
      <c r="Q2871" s="18" t="b">
        <f>FALSE()</f>
        <v>0</v>
      </c>
      <c r="R2871" s="18" t="b">
        <f>FALSE()</f>
        <v>0</v>
      </c>
      <c r="S2871" s="19">
        <f t="shared" si="44"/>
        <v>15.6</v>
      </c>
      <c r="T2871">
        <f>COUNTIF('👤 Customers'!$A:$A, B2871)</f>
        <v>1</v>
      </c>
      <c r="U2871">
        <f>COUNTIF('🚴 Riders'!A2870:A2930, C2871)</f>
        <v>0</v>
      </c>
      <c r="V2871">
        <f>COUNTIF('🏭 Facilities'!A2870:A2878, D2871)</f>
        <v>0</v>
      </c>
    </row>
    <row r="2872" spans="1:22">
      <c r="A2872" s="16" t="s">
        <v>6389</v>
      </c>
      <c r="B2872" s="16" t="s">
        <v>510</v>
      </c>
      <c r="C2872" s="16" t="s">
        <v>236</v>
      </c>
      <c r="D2872" s="16" t="s">
        <v>115</v>
      </c>
      <c r="E2872" s="25">
        <v>44940</v>
      </c>
      <c r="F2872" s="16" t="s">
        <v>6390</v>
      </c>
      <c r="G2872" s="16" t="s">
        <v>117</v>
      </c>
      <c r="H2872" s="16">
        <v>6.8</v>
      </c>
      <c r="I2872" s="16">
        <v>149</v>
      </c>
      <c r="J2872" s="16">
        <v>0</v>
      </c>
      <c r="K2872" s="16">
        <v>1013.2</v>
      </c>
      <c r="L2872" s="16" t="s">
        <v>126</v>
      </c>
      <c r="M2872" s="16" t="s">
        <v>119</v>
      </c>
      <c r="N2872" s="27">
        <v>44940.356249999997</v>
      </c>
      <c r="O2872" s="27">
        <v>44940.920138888891</v>
      </c>
      <c r="P2872" s="16">
        <v>4</v>
      </c>
      <c r="Q2872" s="16" t="b">
        <f>TRUE()</f>
        <v>1</v>
      </c>
      <c r="R2872" s="16" t="b">
        <f>TRUE()</f>
        <v>1</v>
      </c>
      <c r="S2872" s="17">
        <f t="shared" si="44"/>
        <v>13.5</v>
      </c>
      <c r="T2872">
        <f>COUNTIF('👤 Customers'!$A:$A, B2872)</f>
        <v>1</v>
      </c>
      <c r="U2872">
        <f>COUNTIF('🚴 Riders'!A2871:A2931, C2872)</f>
        <v>0</v>
      </c>
      <c r="V2872">
        <f>COUNTIF('🏭 Facilities'!A2871:A2879, D2872)</f>
        <v>0</v>
      </c>
    </row>
    <row r="2873" spans="1:22">
      <c r="A2873" s="18" t="s">
        <v>6391</v>
      </c>
      <c r="B2873" s="18" t="s">
        <v>1030</v>
      </c>
      <c r="C2873" s="18" t="s">
        <v>413</v>
      </c>
      <c r="D2873" s="18" t="s">
        <v>130</v>
      </c>
      <c r="E2873" s="26">
        <v>45271</v>
      </c>
      <c r="F2873" s="18" t="s">
        <v>6392</v>
      </c>
      <c r="G2873" s="18" t="s">
        <v>132</v>
      </c>
      <c r="H2873" s="18">
        <v>1.7</v>
      </c>
      <c r="I2873" s="18">
        <v>399</v>
      </c>
      <c r="J2873" s="18">
        <v>20</v>
      </c>
      <c r="K2873" s="18">
        <v>542.64</v>
      </c>
      <c r="L2873" s="18" t="s">
        <v>207</v>
      </c>
      <c r="M2873" s="18" t="s">
        <v>119</v>
      </c>
      <c r="N2873" s="28">
        <v>45271.842361111114</v>
      </c>
      <c r="O2873" s="28">
        <v>45272.936111111114</v>
      </c>
      <c r="P2873" s="18">
        <v>3.1</v>
      </c>
      <c r="Q2873" s="18" t="b">
        <f>FALSE()</f>
        <v>0</v>
      </c>
      <c r="R2873" s="18" t="b">
        <f>FALSE()</f>
        <v>0</v>
      </c>
      <c r="S2873" s="19">
        <f t="shared" si="44"/>
        <v>26.3</v>
      </c>
      <c r="T2873">
        <f>COUNTIF('👤 Customers'!$A:$A, B2873)</f>
        <v>1</v>
      </c>
      <c r="U2873">
        <f>COUNTIF('🚴 Riders'!A2872:A2932, C2873)</f>
        <v>0</v>
      </c>
      <c r="V2873">
        <f>COUNTIF('🏭 Facilities'!A2872:A2880, D2873)</f>
        <v>0</v>
      </c>
    </row>
    <row r="2874" spans="1:22">
      <c r="A2874" s="16" t="s">
        <v>6393</v>
      </c>
      <c r="B2874" s="16" t="s">
        <v>1088</v>
      </c>
      <c r="C2874" s="16" t="s">
        <v>257</v>
      </c>
      <c r="D2874" s="16" t="s">
        <v>130</v>
      </c>
      <c r="E2874" s="25">
        <v>45253</v>
      </c>
      <c r="F2874" s="16" t="s">
        <v>6394</v>
      </c>
      <c r="G2874" s="16" t="s">
        <v>176</v>
      </c>
      <c r="H2874" s="16">
        <v>3.9</v>
      </c>
      <c r="I2874" s="16">
        <v>599</v>
      </c>
      <c r="J2874" s="16">
        <v>0</v>
      </c>
      <c r="K2874" s="16">
        <v>2336.1</v>
      </c>
      <c r="L2874" s="16" t="s">
        <v>207</v>
      </c>
      <c r="M2874" s="16" t="s">
        <v>119</v>
      </c>
      <c r="N2874" s="27">
        <v>45253.734722222223</v>
      </c>
      <c r="O2874" s="27">
        <v>45254.338194444441</v>
      </c>
      <c r="P2874" s="16">
        <v>3.3</v>
      </c>
      <c r="Q2874" s="16" t="b">
        <f>TRUE()</f>
        <v>1</v>
      </c>
      <c r="R2874" s="16" t="b">
        <f>FALSE()</f>
        <v>0</v>
      </c>
      <c r="S2874" s="17">
        <f t="shared" si="44"/>
        <v>14.5</v>
      </c>
      <c r="T2874">
        <f>COUNTIF('👤 Customers'!$A:$A, B2874)</f>
        <v>1</v>
      </c>
      <c r="U2874">
        <f>COUNTIF('🚴 Riders'!A2873:A2933, C2874)</f>
        <v>0</v>
      </c>
      <c r="V2874">
        <f>COUNTIF('🏭 Facilities'!A2873:A2881, D2874)</f>
        <v>0</v>
      </c>
    </row>
    <row r="2875" spans="1:22">
      <c r="A2875" s="18" t="s">
        <v>6395</v>
      </c>
      <c r="B2875" s="18" t="s">
        <v>1452</v>
      </c>
      <c r="C2875" s="18" t="s">
        <v>179</v>
      </c>
      <c r="D2875" s="18" t="s">
        <v>158</v>
      </c>
      <c r="E2875" s="26">
        <v>45056</v>
      </c>
      <c r="F2875" s="18" t="s">
        <v>6396</v>
      </c>
      <c r="G2875" s="18" t="s">
        <v>132</v>
      </c>
      <c r="H2875" s="18">
        <v>6.7</v>
      </c>
      <c r="I2875" s="18">
        <v>399</v>
      </c>
      <c r="J2875" s="18">
        <v>0</v>
      </c>
      <c r="K2875" s="18">
        <v>2673.3</v>
      </c>
      <c r="L2875" s="18" t="s">
        <v>139</v>
      </c>
      <c r="M2875" s="18" t="s">
        <v>140</v>
      </c>
      <c r="N2875" s="28">
        <v>45056.335416666669</v>
      </c>
      <c r="O2875" s="28">
        <v>45056.717361111114</v>
      </c>
      <c r="P2875" s="20"/>
      <c r="Q2875" s="18" t="b">
        <f>FALSE()</f>
        <v>0</v>
      </c>
      <c r="R2875" s="18" t="b">
        <f>FALSE()</f>
        <v>0</v>
      </c>
      <c r="S2875" s="19">
        <f t="shared" si="44"/>
        <v>9.1999999999999993</v>
      </c>
      <c r="T2875">
        <f>COUNTIF('👤 Customers'!$A:$A, B2875)</f>
        <v>1</v>
      </c>
      <c r="U2875">
        <f>COUNTIF('🚴 Riders'!A2874:A2934, C2875)</f>
        <v>0</v>
      </c>
      <c r="V2875">
        <f>COUNTIF('🏭 Facilities'!A2874:A2882, D2875)</f>
        <v>0</v>
      </c>
    </row>
    <row r="2876" spans="1:22">
      <c r="A2876" s="16" t="s">
        <v>6397</v>
      </c>
      <c r="B2876" s="16" t="s">
        <v>779</v>
      </c>
      <c r="C2876" s="16" t="s">
        <v>300</v>
      </c>
      <c r="D2876" s="16" t="s">
        <v>115</v>
      </c>
      <c r="E2876" s="25">
        <v>45017</v>
      </c>
      <c r="F2876" s="16" t="s">
        <v>6398</v>
      </c>
      <c r="G2876" s="16" t="s">
        <v>145</v>
      </c>
      <c r="H2876" s="16">
        <v>1.7</v>
      </c>
      <c r="I2876" s="16">
        <v>299</v>
      </c>
      <c r="J2876" s="16">
        <v>0</v>
      </c>
      <c r="K2876" s="16">
        <v>508.3</v>
      </c>
      <c r="L2876" s="16" t="s">
        <v>126</v>
      </c>
      <c r="M2876" s="16" t="s">
        <v>133</v>
      </c>
      <c r="N2876" s="20"/>
      <c r="O2876" s="20"/>
      <c r="P2876" s="20"/>
      <c r="Q2876" s="16" t="b">
        <f>FALSE()</f>
        <v>0</v>
      </c>
      <c r="R2876" s="16" t="b">
        <f>FALSE()</f>
        <v>0</v>
      </c>
      <c r="S2876" s="17" t="str">
        <f t="shared" si="44"/>
        <v>N/A</v>
      </c>
      <c r="T2876">
        <f>COUNTIF('👤 Customers'!$A:$A, B2876)</f>
        <v>1</v>
      </c>
      <c r="U2876">
        <f>COUNTIF('🚴 Riders'!A2875:A2935, C2876)</f>
        <v>0</v>
      </c>
      <c r="V2876">
        <f>COUNTIF('🏭 Facilities'!A2875:A2883, D2876)</f>
        <v>0</v>
      </c>
    </row>
    <row r="2877" spans="1:22">
      <c r="A2877" s="18" t="s">
        <v>6399</v>
      </c>
      <c r="B2877" s="18" t="s">
        <v>1137</v>
      </c>
      <c r="C2877" s="18" t="s">
        <v>308</v>
      </c>
      <c r="D2877" s="18" t="s">
        <v>197</v>
      </c>
      <c r="E2877" s="26">
        <v>45172</v>
      </c>
      <c r="F2877" s="18" t="s">
        <v>6400</v>
      </c>
      <c r="G2877" s="18" t="s">
        <v>145</v>
      </c>
      <c r="H2877" s="18">
        <v>7.4</v>
      </c>
      <c r="I2877" s="18">
        <v>299</v>
      </c>
      <c r="J2877" s="18">
        <v>0</v>
      </c>
      <c r="K2877" s="18">
        <v>2212.6</v>
      </c>
      <c r="L2877" s="18" t="s">
        <v>146</v>
      </c>
      <c r="M2877" s="18" t="s">
        <v>119</v>
      </c>
      <c r="N2877" s="28">
        <v>45172.914583333331</v>
      </c>
      <c r="O2877" s="28">
        <v>45173.711805555555</v>
      </c>
      <c r="P2877" s="18">
        <v>4.7</v>
      </c>
      <c r="Q2877" s="18" t="b">
        <f>TRUE()</f>
        <v>1</v>
      </c>
      <c r="R2877" s="18" t="b">
        <f>FALSE()</f>
        <v>0</v>
      </c>
      <c r="S2877" s="19">
        <f t="shared" si="44"/>
        <v>19.100000000000001</v>
      </c>
      <c r="T2877">
        <f>COUNTIF('👤 Customers'!$A:$A, B2877)</f>
        <v>1</v>
      </c>
      <c r="U2877">
        <f>COUNTIF('🚴 Riders'!A2876:A2936, C2877)</f>
        <v>0</v>
      </c>
      <c r="V2877">
        <f>COUNTIF('🏭 Facilities'!A2876:A2884, D2877)</f>
        <v>0</v>
      </c>
    </row>
    <row r="2878" spans="1:22">
      <c r="A2878" s="16" t="s">
        <v>6401</v>
      </c>
      <c r="B2878" s="16" t="s">
        <v>3278</v>
      </c>
      <c r="C2878" s="16" t="s">
        <v>358</v>
      </c>
      <c r="D2878" s="16" t="s">
        <v>205</v>
      </c>
      <c r="E2878" s="25">
        <v>45515</v>
      </c>
      <c r="F2878" s="16" t="s">
        <v>6402</v>
      </c>
      <c r="G2878" s="16" t="s">
        <v>117</v>
      </c>
      <c r="H2878" s="16">
        <v>3.9</v>
      </c>
      <c r="I2878" s="16">
        <v>149</v>
      </c>
      <c r="J2878" s="16">
        <v>0</v>
      </c>
      <c r="K2878" s="16">
        <v>581.1</v>
      </c>
      <c r="L2878" s="16" t="s">
        <v>126</v>
      </c>
      <c r="M2878" s="16" t="s">
        <v>119</v>
      </c>
      <c r="N2878" s="27">
        <v>45515.15902777778</v>
      </c>
      <c r="O2878" s="27">
        <v>45515.603472222225</v>
      </c>
      <c r="P2878" s="16">
        <v>3.7</v>
      </c>
      <c r="Q2878" s="16" t="b">
        <f>FALSE()</f>
        <v>0</v>
      </c>
      <c r="R2878" s="16" t="b">
        <f>FALSE()</f>
        <v>0</v>
      </c>
      <c r="S2878" s="17">
        <f t="shared" si="44"/>
        <v>10.7</v>
      </c>
      <c r="T2878">
        <f>COUNTIF('👤 Customers'!$A:$A, B2878)</f>
        <v>1</v>
      </c>
      <c r="U2878">
        <f>COUNTIF('🚴 Riders'!A2877:A2937, C2878)</f>
        <v>0</v>
      </c>
      <c r="V2878">
        <f>COUNTIF('🏭 Facilities'!A2877:A2885, D2878)</f>
        <v>0</v>
      </c>
    </row>
    <row r="2879" spans="1:22">
      <c r="A2879" s="18" t="s">
        <v>6403</v>
      </c>
      <c r="B2879" s="18" t="s">
        <v>2799</v>
      </c>
      <c r="C2879" s="18" t="s">
        <v>196</v>
      </c>
      <c r="D2879" s="18" t="s">
        <v>158</v>
      </c>
      <c r="E2879" s="26">
        <v>45131</v>
      </c>
      <c r="F2879" s="18" t="s">
        <v>6404</v>
      </c>
      <c r="G2879" s="18" t="s">
        <v>125</v>
      </c>
      <c r="H2879" s="18">
        <v>2.7</v>
      </c>
      <c r="I2879" s="18">
        <v>199</v>
      </c>
      <c r="J2879" s="18">
        <v>20</v>
      </c>
      <c r="K2879" s="18">
        <v>429.84</v>
      </c>
      <c r="L2879" s="18" t="s">
        <v>139</v>
      </c>
      <c r="M2879" s="18" t="s">
        <v>119</v>
      </c>
      <c r="N2879" s="28">
        <v>45131.970833333333</v>
      </c>
      <c r="O2879" s="28">
        <v>45132.947916666664</v>
      </c>
      <c r="P2879" s="18">
        <v>5</v>
      </c>
      <c r="Q2879" s="18" t="b">
        <f>TRUE()</f>
        <v>1</v>
      </c>
      <c r="R2879" s="18" t="b">
        <f>FALSE()</f>
        <v>0</v>
      </c>
      <c r="S2879" s="19">
        <f t="shared" si="44"/>
        <v>23.4</v>
      </c>
      <c r="T2879">
        <f>COUNTIF('👤 Customers'!$A:$A, B2879)</f>
        <v>1</v>
      </c>
      <c r="U2879">
        <f>COUNTIF('🚴 Riders'!A2878:A2938, C2879)</f>
        <v>0</v>
      </c>
      <c r="V2879">
        <f>COUNTIF('🏭 Facilities'!A2878:A2886, D2879)</f>
        <v>0</v>
      </c>
    </row>
    <row r="2880" spans="1:22">
      <c r="A2880" s="16" t="s">
        <v>6405</v>
      </c>
      <c r="B2880" s="16" t="s">
        <v>436</v>
      </c>
      <c r="C2880" s="16" t="s">
        <v>413</v>
      </c>
      <c r="D2880" s="16" t="s">
        <v>197</v>
      </c>
      <c r="E2880" s="25">
        <v>45503</v>
      </c>
      <c r="F2880" s="16" t="s">
        <v>6406</v>
      </c>
      <c r="G2880" s="16" t="s">
        <v>145</v>
      </c>
      <c r="H2880" s="16">
        <v>1.2</v>
      </c>
      <c r="I2880" s="16">
        <v>299</v>
      </c>
      <c r="J2880" s="16">
        <v>0</v>
      </c>
      <c r="K2880" s="16">
        <v>358.8</v>
      </c>
      <c r="L2880" s="16" t="s">
        <v>118</v>
      </c>
      <c r="M2880" s="16" t="s">
        <v>119</v>
      </c>
      <c r="N2880" s="27">
        <v>45503.871527777781</v>
      </c>
      <c r="O2880" s="27">
        <v>45504.474999999999</v>
      </c>
      <c r="P2880" s="16">
        <v>3.9</v>
      </c>
      <c r="Q2880" s="16" t="b">
        <f>FALSE()</f>
        <v>0</v>
      </c>
      <c r="R2880" s="16" t="b">
        <f>TRUE()</f>
        <v>1</v>
      </c>
      <c r="S2880" s="17">
        <f t="shared" si="44"/>
        <v>14.5</v>
      </c>
      <c r="T2880">
        <f>COUNTIF('👤 Customers'!$A:$A, B2880)</f>
        <v>1</v>
      </c>
      <c r="U2880">
        <f>COUNTIF('🚴 Riders'!A2879:A2939, C2880)</f>
        <v>0</v>
      </c>
      <c r="V2880">
        <f>COUNTIF('🏭 Facilities'!A2879:A2887, D2880)</f>
        <v>0</v>
      </c>
    </row>
    <row r="2881" spans="1:22">
      <c r="A2881" s="18" t="s">
        <v>6407</v>
      </c>
      <c r="B2881" s="18" t="s">
        <v>2050</v>
      </c>
      <c r="C2881" s="18" t="s">
        <v>272</v>
      </c>
      <c r="D2881" s="18" t="s">
        <v>205</v>
      </c>
      <c r="E2881" s="26">
        <v>45188</v>
      </c>
      <c r="F2881" s="18" t="s">
        <v>6408</v>
      </c>
      <c r="G2881" s="18" t="s">
        <v>132</v>
      </c>
      <c r="H2881" s="18">
        <v>2.1</v>
      </c>
      <c r="I2881" s="18">
        <v>399</v>
      </c>
      <c r="J2881" s="18">
        <v>10</v>
      </c>
      <c r="K2881" s="18">
        <v>754.11</v>
      </c>
      <c r="L2881" s="18" t="s">
        <v>207</v>
      </c>
      <c r="M2881" s="18" t="s">
        <v>140</v>
      </c>
      <c r="N2881" s="28">
        <v>45188.96875</v>
      </c>
      <c r="O2881" s="28">
        <v>45189.793749999997</v>
      </c>
      <c r="P2881" s="20"/>
      <c r="Q2881" s="18" t="b">
        <f>FALSE()</f>
        <v>0</v>
      </c>
      <c r="R2881" s="18" t="b">
        <f>TRUE()</f>
        <v>1</v>
      </c>
      <c r="S2881" s="19">
        <f t="shared" si="44"/>
        <v>19.8</v>
      </c>
      <c r="T2881">
        <f>COUNTIF('👤 Customers'!$A:$A, B2881)</f>
        <v>1</v>
      </c>
      <c r="U2881">
        <f>COUNTIF('🚴 Riders'!A2880:A2940, C2881)</f>
        <v>0</v>
      </c>
      <c r="V2881">
        <f>COUNTIF('🏭 Facilities'!A2880:A2888, D2881)</f>
        <v>0</v>
      </c>
    </row>
    <row r="2882" spans="1:22">
      <c r="A2882" s="16" t="s">
        <v>6409</v>
      </c>
      <c r="B2882" s="16" t="s">
        <v>3475</v>
      </c>
      <c r="C2882" s="16" t="s">
        <v>487</v>
      </c>
      <c r="D2882" s="16" t="s">
        <v>158</v>
      </c>
      <c r="E2882" s="25">
        <v>45336</v>
      </c>
      <c r="F2882" s="16" t="s">
        <v>6410</v>
      </c>
      <c r="G2882" s="16" t="s">
        <v>145</v>
      </c>
      <c r="H2882" s="16">
        <v>7.6</v>
      </c>
      <c r="I2882" s="16">
        <v>299</v>
      </c>
      <c r="J2882" s="16">
        <v>0</v>
      </c>
      <c r="K2882" s="16">
        <v>2272.4</v>
      </c>
      <c r="L2882" s="16" t="s">
        <v>146</v>
      </c>
      <c r="M2882" s="16" t="s">
        <v>140</v>
      </c>
      <c r="N2882" s="27">
        <v>45336.426388888889</v>
      </c>
      <c r="O2882" s="27">
        <v>45337.461111111108</v>
      </c>
      <c r="P2882" s="20"/>
      <c r="Q2882" s="16" t="b">
        <f>FALSE()</f>
        <v>0</v>
      </c>
      <c r="R2882" s="16" t="b">
        <f>TRUE()</f>
        <v>1</v>
      </c>
      <c r="S2882" s="17">
        <f t="shared" ref="S2882:S2945" si="45">IF(OR(N2882="",O2882=""),"N/A",ROUND(((O2882-N2882)*24),1))</f>
        <v>24.8</v>
      </c>
      <c r="T2882">
        <f>COUNTIF('👤 Customers'!$A:$A, B2882)</f>
        <v>1</v>
      </c>
      <c r="U2882">
        <f>COUNTIF('🚴 Riders'!A2881:A2941, C2882)</f>
        <v>0</v>
      </c>
      <c r="V2882">
        <f>COUNTIF('🏭 Facilities'!A2881:A2889, D2882)</f>
        <v>0</v>
      </c>
    </row>
    <row r="2883" spans="1:22">
      <c r="A2883" s="18" t="s">
        <v>6411</v>
      </c>
      <c r="B2883" s="18" t="s">
        <v>1900</v>
      </c>
      <c r="C2883" s="18" t="s">
        <v>224</v>
      </c>
      <c r="D2883" s="18" t="s">
        <v>123</v>
      </c>
      <c r="E2883" s="26">
        <v>45009</v>
      </c>
      <c r="F2883" s="18" t="s">
        <v>6412</v>
      </c>
      <c r="G2883" s="18" t="s">
        <v>117</v>
      </c>
      <c r="H2883" s="18">
        <v>7.1</v>
      </c>
      <c r="I2883" s="18">
        <v>149</v>
      </c>
      <c r="J2883" s="18">
        <v>0</v>
      </c>
      <c r="K2883" s="18">
        <v>1057.9000000000001</v>
      </c>
      <c r="L2883" s="18" t="s">
        <v>118</v>
      </c>
      <c r="M2883" s="18" t="s">
        <v>119</v>
      </c>
      <c r="N2883" s="28">
        <v>45009.304861111108</v>
      </c>
      <c r="O2883" s="28">
        <v>45010.149305555555</v>
      </c>
      <c r="P2883" s="18">
        <v>4.7</v>
      </c>
      <c r="Q2883" s="18" t="b">
        <f>FALSE()</f>
        <v>0</v>
      </c>
      <c r="R2883" s="18" t="b">
        <f>FALSE()</f>
        <v>0</v>
      </c>
      <c r="S2883" s="19">
        <f t="shared" si="45"/>
        <v>20.3</v>
      </c>
      <c r="T2883">
        <f>COUNTIF('👤 Customers'!$A:$A, B2883)</f>
        <v>1</v>
      </c>
      <c r="U2883">
        <f>COUNTIF('🚴 Riders'!A2882:A2942, C2883)</f>
        <v>0</v>
      </c>
      <c r="V2883">
        <f>COUNTIF('🏭 Facilities'!A2882:A2890, D2883)</f>
        <v>0</v>
      </c>
    </row>
    <row r="2884" spans="1:22">
      <c r="A2884" s="16" t="s">
        <v>6413</v>
      </c>
      <c r="B2884" s="16" t="s">
        <v>997</v>
      </c>
      <c r="C2884" s="16" t="s">
        <v>580</v>
      </c>
      <c r="D2884" s="16" t="s">
        <v>184</v>
      </c>
      <c r="E2884" s="25">
        <v>44984</v>
      </c>
      <c r="F2884" s="16" t="s">
        <v>6414</v>
      </c>
      <c r="G2884" s="16" t="s">
        <v>132</v>
      </c>
      <c r="H2884" s="16">
        <v>4.0999999999999996</v>
      </c>
      <c r="I2884" s="16">
        <v>399</v>
      </c>
      <c r="J2884" s="16">
        <v>20</v>
      </c>
      <c r="K2884" s="16">
        <v>1308.72</v>
      </c>
      <c r="L2884" s="16" t="s">
        <v>139</v>
      </c>
      <c r="M2884" s="16" t="s">
        <v>119</v>
      </c>
      <c r="N2884" s="27">
        <v>44984.910416666666</v>
      </c>
      <c r="O2884" s="27">
        <v>44985.887499999997</v>
      </c>
      <c r="P2884" s="16">
        <v>3.5</v>
      </c>
      <c r="Q2884" s="16" t="b">
        <f>FALSE()</f>
        <v>0</v>
      </c>
      <c r="R2884" s="16" t="b">
        <f>FALSE()</f>
        <v>0</v>
      </c>
      <c r="S2884" s="17">
        <f t="shared" si="45"/>
        <v>23.4</v>
      </c>
      <c r="T2884">
        <f>COUNTIF('👤 Customers'!$A:$A, B2884)</f>
        <v>1</v>
      </c>
      <c r="U2884">
        <f>COUNTIF('🚴 Riders'!A2883:A2943, C2884)</f>
        <v>0</v>
      </c>
      <c r="V2884">
        <f>COUNTIF('🏭 Facilities'!A2883:A2891, D2884)</f>
        <v>0</v>
      </c>
    </row>
    <row r="2885" spans="1:22">
      <c r="A2885" s="18" t="s">
        <v>6415</v>
      </c>
      <c r="B2885" s="18" t="s">
        <v>1416</v>
      </c>
      <c r="C2885" s="18" t="s">
        <v>300</v>
      </c>
      <c r="D2885" s="18" t="s">
        <v>115</v>
      </c>
      <c r="E2885" s="26">
        <v>45173</v>
      </c>
      <c r="F2885" s="18" t="s">
        <v>6416</v>
      </c>
      <c r="G2885" s="18" t="s">
        <v>125</v>
      </c>
      <c r="H2885" s="18">
        <v>4.8</v>
      </c>
      <c r="I2885" s="18">
        <v>199</v>
      </c>
      <c r="J2885" s="18">
        <v>0</v>
      </c>
      <c r="K2885" s="18">
        <v>955.2</v>
      </c>
      <c r="L2885" s="18" t="s">
        <v>139</v>
      </c>
      <c r="M2885" s="18" t="s">
        <v>119</v>
      </c>
      <c r="N2885" s="28">
        <v>45173.64166666667</v>
      </c>
      <c r="O2885" s="28">
        <v>45173.949305555558</v>
      </c>
      <c r="P2885" s="18">
        <v>4.7</v>
      </c>
      <c r="Q2885" s="18" t="b">
        <f>TRUE()</f>
        <v>1</v>
      </c>
      <c r="R2885" s="18" t="b">
        <f>TRUE()</f>
        <v>1</v>
      </c>
      <c r="S2885" s="19">
        <f t="shared" si="45"/>
        <v>7.4</v>
      </c>
      <c r="T2885">
        <f>COUNTIF('👤 Customers'!$A:$A, B2885)</f>
        <v>1</v>
      </c>
      <c r="U2885">
        <f>COUNTIF('🚴 Riders'!A2884:A2944, C2885)</f>
        <v>0</v>
      </c>
      <c r="V2885">
        <f>COUNTIF('🏭 Facilities'!A2884:A2892, D2885)</f>
        <v>0</v>
      </c>
    </row>
    <row r="2886" spans="1:22">
      <c r="A2886" s="16" t="s">
        <v>6417</v>
      </c>
      <c r="B2886" s="16" t="s">
        <v>1018</v>
      </c>
      <c r="C2886" s="16" t="s">
        <v>300</v>
      </c>
      <c r="D2886" s="16" t="s">
        <v>197</v>
      </c>
      <c r="E2886" s="25">
        <v>45007</v>
      </c>
      <c r="F2886" s="16" t="s">
        <v>6418</v>
      </c>
      <c r="G2886" s="16" t="s">
        <v>132</v>
      </c>
      <c r="H2886" s="16">
        <v>5.6</v>
      </c>
      <c r="I2886" s="16">
        <v>399</v>
      </c>
      <c r="J2886" s="16">
        <v>0</v>
      </c>
      <c r="K2886" s="16">
        <v>2234.4</v>
      </c>
      <c r="L2886" s="16" t="s">
        <v>139</v>
      </c>
      <c r="M2886" s="16" t="s">
        <v>119</v>
      </c>
      <c r="N2886" s="27">
        <v>45008.104166666664</v>
      </c>
      <c r="O2886" s="27">
        <v>45008.779166666667</v>
      </c>
      <c r="P2886" s="16">
        <v>2.9</v>
      </c>
      <c r="Q2886" s="16" t="b">
        <f>FALSE()</f>
        <v>0</v>
      </c>
      <c r="R2886" s="16" t="b">
        <f>FALSE()</f>
        <v>0</v>
      </c>
      <c r="S2886" s="17">
        <f t="shared" si="45"/>
        <v>16.2</v>
      </c>
      <c r="T2886">
        <f>COUNTIF('👤 Customers'!$A:$A, B2886)</f>
        <v>1</v>
      </c>
      <c r="U2886">
        <f>COUNTIF('🚴 Riders'!A2885:A2945, C2886)</f>
        <v>0</v>
      </c>
      <c r="V2886">
        <f>COUNTIF('🏭 Facilities'!A2885:A2893, D2886)</f>
        <v>0</v>
      </c>
    </row>
    <row r="2887" spans="1:22">
      <c r="A2887" s="18" t="s">
        <v>6419</v>
      </c>
      <c r="B2887" s="18" t="s">
        <v>2614</v>
      </c>
      <c r="C2887" s="18" t="s">
        <v>204</v>
      </c>
      <c r="D2887" s="18" t="s">
        <v>205</v>
      </c>
      <c r="E2887" s="26">
        <v>45292</v>
      </c>
      <c r="F2887" s="18" t="s">
        <v>6420</v>
      </c>
      <c r="G2887" s="18" t="s">
        <v>176</v>
      </c>
      <c r="H2887" s="18">
        <v>3.7</v>
      </c>
      <c r="I2887" s="18">
        <v>599</v>
      </c>
      <c r="J2887" s="18">
        <v>30</v>
      </c>
      <c r="K2887" s="18">
        <v>1551.41</v>
      </c>
      <c r="L2887" s="18" t="s">
        <v>118</v>
      </c>
      <c r="M2887" s="18" t="s">
        <v>119</v>
      </c>
      <c r="N2887" s="28">
        <v>45292.218055555553</v>
      </c>
      <c r="O2887" s="28">
        <v>45292.579861111109</v>
      </c>
      <c r="P2887" s="18">
        <v>4.5999999999999996</v>
      </c>
      <c r="Q2887" s="18" t="b">
        <f>FALSE()</f>
        <v>0</v>
      </c>
      <c r="R2887" s="18" t="b">
        <f>FALSE()</f>
        <v>0</v>
      </c>
      <c r="S2887" s="19">
        <f t="shared" si="45"/>
        <v>8.6999999999999993</v>
      </c>
      <c r="T2887">
        <f>COUNTIF('👤 Customers'!$A:$A, B2887)</f>
        <v>1</v>
      </c>
      <c r="U2887">
        <f>COUNTIF('🚴 Riders'!A2886:A2946, C2887)</f>
        <v>0</v>
      </c>
      <c r="V2887">
        <f>COUNTIF('🏭 Facilities'!A2886:A2894, D2887)</f>
        <v>0</v>
      </c>
    </row>
    <row r="2888" spans="1:22">
      <c r="A2888" s="16" t="s">
        <v>6421</v>
      </c>
      <c r="B2888" s="16" t="s">
        <v>1589</v>
      </c>
      <c r="C2888" s="16" t="s">
        <v>196</v>
      </c>
      <c r="D2888" s="16" t="s">
        <v>137</v>
      </c>
      <c r="E2888" s="25">
        <v>45478</v>
      </c>
      <c r="F2888" s="16" t="s">
        <v>6422</v>
      </c>
      <c r="G2888" s="16" t="s">
        <v>145</v>
      </c>
      <c r="H2888" s="16">
        <v>4.9000000000000004</v>
      </c>
      <c r="I2888" s="16">
        <v>299</v>
      </c>
      <c r="J2888" s="16">
        <v>30</v>
      </c>
      <c r="K2888" s="16">
        <v>1025.57</v>
      </c>
      <c r="L2888" s="16" t="s">
        <v>118</v>
      </c>
      <c r="M2888" s="16" t="s">
        <v>119</v>
      </c>
      <c r="N2888" s="27">
        <v>45478.2</v>
      </c>
      <c r="O2888" s="27">
        <v>45478.830555555556</v>
      </c>
      <c r="P2888" s="16">
        <v>4.9000000000000004</v>
      </c>
      <c r="Q2888" s="16" t="b">
        <f>FALSE()</f>
        <v>0</v>
      </c>
      <c r="R2888" s="16" t="b">
        <f>FALSE()</f>
        <v>0</v>
      </c>
      <c r="S2888" s="17">
        <f t="shared" si="45"/>
        <v>15.1</v>
      </c>
      <c r="T2888">
        <f>COUNTIF('👤 Customers'!$A:$A, B2888)</f>
        <v>1</v>
      </c>
      <c r="U2888">
        <f>COUNTIF('🚴 Riders'!A2887:A2947, C2888)</f>
        <v>0</v>
      </c>
      <c r="V2888">
        <f>COUNTIF('🏭 Facilities'!A2887:A2895, D2888)</f>
        <v>0</v>
      </c>
    </row>
    <row r="2889" spans="1:22">
      <c r="A2889" s="18" t="s">
        <v>6423</v>
      </c>
      <c r="B2889" s="18" t="s">
        <v>1533</v>
      </c>
      <c r="C2889" s="18" t="s">
        <v>153</v>
      </c>
      <c r="D2889" s="18" t="s">
        <v>137</v>
      </c>
      <c r="E2889" s="26">
        <v>45576</v>
      </c>
      <c r="F2889" s="18" t="s">
        <v>6424</v>
      </c>
      <c r="G2889" s="18" t="s">
        <v>125</v>
      </c>
      <c r="H2889" s="18">
        <v>2.8</v>
      </c>
      <c r="I2889" s="18">
        <v>199</v>
      </c>
      <c r="J2889" s="18">
        <v>30</v>
      </c>
      <c r="K2889" s="18">
        <v>390.04</v>
      </c>
      <c r="L2889" s="18" t="s">
        <v>207</v>
      </c>
      <c r="M2889" s="18" t="s">
        <v>119</v>
      </c>
      <c r="N2889" s="28">
        <v>45576.65625</v>
      </c>
      <c r="O2889" s="28">
        <v>45577.520833333336</v>
      </c>
      <c r="P2889" s="18">
        <v>3.1</v>
      </c>
      <c r="Q2889" s="18" t="b">
        <f>FALSE()</f>
        <v>0</v>
      </c>
      <c r="R2889" s="18" t="b">
        <f>FALSE()</f>
        <v>0</v>
      </c>
      <c r="S2889" s="19">
        <f t="shared" si="45"/>
        <v>20.8</v>
      </c>
      <c r="T2889">
        <f>COUNTIF('👤 Customers'!$A:$A, B2889)</f>
        <v>1</v>
      </c>
      <c r="U2889">
        <f>COUNTIF('🚴 Riders'!A2888:A2948, C2889)</f>
        <v>0</v>
      </c>
      <c r="V2889">
        <f>COUNTIF('🏭 Facilities'!A2888:A2896, D2889)</f>
        <v>0</v>
      </c>
    </row>
    <row r="2890" spans="1:22">
      <c r="A2890" s="16" t="s">
        <v>6425</v>
      </c>
      <c r="B2890" s="16" t="s">
        <v>539</v>
      </c>
      <c r="C2890" s="16" t="s">
        <v>750</v>
      </c>
      <c r="D2890" s="16" t="s">
        <v>205</v>
      </c>
      <c r="E2890" s="25">
        <v>45621</v>
      </c>
      <c r="F2890" s="16" t="s">
        <v>6426</v>
      </c>
      <c r="G2890" s="16" t="s">
        <v>117</v>
      </c>
      <c r="H2890" s="16">
        <v>1.9</v>
      </c>
      <c r="I2890" s="16">
        <v>149</v>
      </c>
      <c r="J2890" s="16">
        <v>0</v>
      </c>
      <c r="K2890" s="16">
        <v>283.10000000000002</v>
      </c>
      <c r="L2890" s="16" t="s">
        <v>126</v>
      </c>
      <c r="M2890" s="16" t="s">
        <v>119</v>
      </c>
      <c r="N2890" s="27">
        <v>45621.904166666667</v>
      </c>
      <c r="O2890" s="27">
        <v>45622.612500000003</v>
      </c>
      <c r="P2890" s="16">
        <v>4.0999999999999996</v>
      </c>
      <c r="Q2890" s="16" t="b">
        <f>FALSE()</f>
        <v>0</v>
      </c>
      <c r="R2890" s="16" t="b">
        <f>TRUE()</f>
        <v>1</v>
      </c>
      <c r="S2890" s="17">
        <f t="shared" si="45"/>
        <v>17</v>
      </c>
      <c r="T2890">
        <f>COUNTIF('👤 Customers'!$A:$A, B2890)</f>
        <v>1</v>
      </c>
      <c r="U2890">
        <f>COUNTIF('🚴 Riders'!A2889:A2949, C2890)</f>
        <v>0</v>
      </c>
      <c r="V2890">
        <f>COUNTIF('🏭 Facilities'!A2889:A2897, D2890)</f>
        <v>0</v>
      </c>
    </row>
    <row r="2891" spans="1:22">
      <c r="A2891" s="18" t="s">
        <v>6427</v>
      </c>
      <c r="B2891" s="18" t="s">
        <v>893</v>
      </c>
      <c r="C2891" s="18" t="s">
        <v>192</v>
      </c>
      <c r="D2891" s="18" t="s">
        <v>197</v>
      </c>
      <c r="E2891" s="26">
        <v>45143</v>
      </c>
      <c r="F2891" s="18" t="s">
        <v>6428</v>
      </c>
      <c r="G2891" s="18" t="s">
        <v>145</v>
      </c>
      <c r="H2891" s="18">
        <v>3.7</v>
      </c>
      <c r="I2891" s="18">
        <v>299</v>
      </c>
      <c r="J2891" s="18">
        <v>0</v>
      </c>
      <c r="K2891" s="18">
        <v>1106.3</v>
      </c>
      <c r="L2891" s="18" t="s">
        <v>139</v>
      </c>
      <c r="M2891" s="18" t="s">
        <v>119</v>
      </c>
      <c r="N2891" s="28">
        <v>45143.828472222223</v>
      </c>
      <c r="O2891" s="28">
        <v>45144.328472222223</v>
      </c>
      <c r="P2891" s="18">
        <v>4.4000000000000004</v>
      </c>
      <c r="Q2891" s="18" t="b">
        <f>FALSE()</f>
        <v>0</v>
      </c>
      <c r="R2891" s="18" t="b">
        <f>FALSE()</f>
        <v>0</v>
      </c>
      <c r="S2891" s="19">
        <f t="shared" si="45"/>
        <v>12</v>
      </c>
      <c r="T2891">
        <f>COUNTIF('👤 Customers'!$A:$A, B2891)</f>
        <v>1</v>
      </c>
      <c r="U2891">
        <f>COUNTIF('🚴 Riders'!A2890:A2950, C2891)</f>
        <v>0</v>
      </c>
      <c r="V2891">
        <f>COUNTIF('🏭 Facilities'!A2890:A2898, D2891)</f>
        <v>0</v>
      </c>
    </row>
    <row r="2892" spans="1:22">
      <c r="A2892" s="16" t="s">
        <v>6429</v>
      </c>
      <c r="B2892" s="16" t="s">
        <v>1111</v>
      </c>
      <c r="C2892" s="16" t="s">
        <v>143</v>
      </c>
      <c r="D2892" s="16" t="s">
        <v>197</v>
      </c>
      <c r="E2892" s="25">
        <v>44934</v>
      </c>
      <c r="F2892" s="16" t="s">
        <v>6430</v>
      </c>
      <c r="G2892" s="16" t="s">
        <v>145</v>
      </c>
      <c r="H2892" s="16">
        <v>1.2</v>
      </c>
      <c r="I2892" s="16">
        <v>299</v>
      </c>
      <c r="J2892" s="16">
        <v>0</v>
      </c>
      <c r="K2892" s="16">
        <v>358.8</v>
      </c>
      <c r="L2892" s="16" t="s">
        <v>207</v>
      </c>
      <c r="M2892" s="16" t="s">
        <v>119</v>
      </c>
      <c r="N2892" s="27">
        <v>44934.452777777777</v>
      </c>
      <c r="O2892" s="27">
        <v>44935.280555555553</v>
      </c>
      <c r="P2892" s="16">
        <v>4.0999999999999996</v>
      </c>
      <c r="Q2892" s="16" t="b">
        <f>FALSE()</f>
        <v>0</v>
      </c>
      <c r="R2892" s="16" t="b">
        <f>FALSE()</f>
        <v>0</v>
      </c>
      <c r="S2892" s="17">
        <f t="shared" si="45"/>
        <v>19.899999999999999</v>
      </c>
      <c r="T2892">
        <f>COUNTIF('👤 Customers'!$A:$A, B2892)</f>
        <v>1</v>
      </c>
      <c r="U2892">
        <f>COUNTIF('🚴 Riders'!A2891:A2951, C2892)</f>
        <v>0</v>
      </c>
      <c r="V2892">
        <f>COUNTIF('🏭 Facilities'!A2891:A2899, D2892)</f>
        <v>0</v>
      </c>
    </row>
    <row r="2893" spans="1:22">
      <c r="A2893" s="18" t="s">
        <v>6431</v>
      </c>
      <c r="B2893" s="18" t="s">
        <v>365</v>
      </c>
      <c r="C2893" s="18" t="s">
        <v>461</v>
      </c>
      <c r="D2893" s="18" t="s">
        <v>115</v>
      </c>
      <c r="E2893" s="26">
        <v>45614</v>
      </c>
      <c r="F2893" s="18" t="s">
        <v>6432</v>
      </c>
      <c r="G2893" s="18" t="s">
        <v>132</v>
      </c>
      <c r="H2893" s="18">
        <v>5.4</v>
      </c>
      <c r="I2893" s="18">
        <v>399</v>
      </c>
      <c r="J2893" s="18">
        <v>10</v>
      </c>
      <c r="K2893" s="18">
        <v>1939.14</v>
      </c>
      <c r="L2893" s="18" t="s">
        <v>146</v>
      </c>
      <c r="M2893" s="18" t="s">
        <v>119</v>
      </c>
      <c r="N2893" s="28">
        <v>45614.401388888888</v>
      </c>
      <c r="O2893" s="28">
        <v>45615.17083333333</v>
      </c>
      <c r="P2893" s="18">
        <v>3.6</v>
      </c>
      <c r="Q2893" s="18" t="b">
        <f>FALSE()</f>
        <v>0</v>
      </c>
      <c r="R2893" s="18" t="b">
        <f>FALSE()</f>
        <v>0</v>
      </c>
      <c r="S2893" s="19">
        <f t="shared" si="45"/>
        <v>18.5</v>
      </c>
      <c r="T2893">
        <f>COUNTIF('👤 Customers'!$A:$A, B2893)</f>
        <v>1</v>
      </c>
      <c r="U2893">
        <f>COUNTIF('🚴 Riders'!A2892:A2952, C2893)</f>
        <v>0</v>
      </c>
      <c r="V2893">
        <f>COUNTIF('🏭 Facilities'!A2892:A2900, D2893)</f>
        <v>0</v>
      </c>
    </row>
    <row r="2894" spans="1:22">
      <c r="A2894" s="16" t="s">
        <v>6433</v>
      </c>
      <c r="B2894" s="16" t="s">
        <v>3127</v>
      </c>
      <c r="C2894" s="16" t="s">
        <v>114</v>
      </c>
      <c r="D2894" s="16" t="s">
        <v>123</v>
      </c>
      <c r="E2894" s="25">
        <v>45278</v>
      </c>
      <c r="F2894" s="16" t="s">
        <v>6434</v>
      </c>
      <c r="G2894" s="16" t="s">
        <v>145</v>
      </c>
      <c r="H2894" s="16">
        <v>1.4</v>
      </c>
      <c r="I2894" s="16">
        <v>299</v>
      </c>
      <c r="J2894" s="16">
        <v>0</v>
      </c>
      <c r="K2894" s="16">
        <v>418.6</v>
      </c>
      <c r="L2894" s="16" t="s">
        <v>118</v>
      </c>
      <c r="M2894" s="16" t="s">
        <v>133</v>
      </c>
      <c r="N2894" s="20"/>
      <c r="O2894" s="20"/>
      <c r="P2894" s="20"/>
      <c r="Q2894" s="16" t="b">
        <f>FALSE()</f>
        <v>0</v>
      </c>
      <c r="R2894" s="16" t="b">
        <f>FALSE()</f>
        <v>0</v>
      </c>
      <c r="S2894" s="17" t="str">
        <f t="shared" si="45"/>
        <v>N/A</v>
      </c>
      <c r="T2894">
        <f>COUNTIF('👤 Customers'!$A:$A, B2894)</f>
        <v>1</v>
      </c>
      <c r="U2894">
        <f>COUNTIF('🚴 Riders'!A2893:A2953, C2894)</f>
        <v>0</v>
      </c>
      <c r="V2894">
        <f>COUNTIF('🏭 Facilities'!A2893:A2901, D2894)</f>
        <v>0</v>
      </c>
    </row>
    <row r="2895" spans="1:22">
      <c r="A2895" s="18" t="s">
        <v>6435</v>
      </c>
      <c r="B2895" s="18" t="s">
        <v>1191</v>
      </c>
      <c r="C2895" s="18" t="s">
        <v>196</v>
      </c>
      <c r="D2895" s="18" t="s">
        <v>115</v>
      </c>
      <c r="E2895" s="26">
        <v>45113</v>
      </c>
      <c r="F2895" s="18" t="s">
        <v>6436</v>
      </c>
      <c r="G2895" s="18" t="s">
        <v>132</v>
      </c>
      <c r="H2895" s="18">
        <v>2.9</v>
      </c>
      <c r="I2895" s="18">
        <v>399</v>
      </c>
      <c r="J2895" s="18">
        <v>0</v>
      </c>
      <c r="K2895" s="18">
        <v>1157.0999999999999</v>
      </c>
      <c r="L2895" s="18" t="s">
        <v>126</v>
      </c>
      <c r="M2895" s="18" t="s">
        <v>140</v>
      </c>
      <c r="N2895" s="28">
        <v>45113.900694444441</v>
      </c>
      <c r="O2895" s="28">
        <v>45114.873611111114</v>
      </c>
      <c r="P2895" s="20"/>
      <c r="Q2895" s="18" t="b">
        <f>TRUE()</f>
        <v>1</v>
      </c>
      <c r="R2895" s="18" t="b">
        <f>FALSE()</f>
        <v>0</v>
      </c>
      <c r="S2895" s="19">
        <f t="shared" si="45"/>
        <v>23.4</v>
      </c>
      <c r="T2895">
        <f>COUNTIF('👤 Customers'!$A:$A, B2895)</f>
        <v>1</v>
      </c>
      <c r="U2895">
        <f>COUNTIF('🚴 Riders'!A2894:A2954, C2895)</f>
        <v>0</v>
      </c>
      <c r="V2895">
        <f>COUNTIF('🏭 Facilities'!A2894:A2902, D2895)</f>
        <v>0</v>
      </c>
    </row>
    <row r="2896" spans="1:22">
      <c r="A2896" s="16" t="s">
        <v>6437</v>
      </c>
      <c r="B2896" s="16" t="s">
        <v>1512</v>
      </c>
      <c r="C2896" s="16" t="s">
        <v>1092</v>
      </c>
      <c r="D2896" s="16" t="s">
        <v>205</v>
      </c>
      <c r="E2896" s="25">
        <v>45526</v>
      </c>
      <c r="F2896" s="16" t="s">
        <v>6438</v>
      </c>
      <c r="G2896" s="16" t="s">
        <v>117</v>
      </c>
      <c r="H2896" s="16">
        <v>2.1</v>
      </c>
      <c r="I2896" s="16">
        <v>149</v>
      </c>
      <c r="J2896" s="16">
        <v>30</v>
      </c>
      <c r="K2896" s="16">
        <v>219.03</v>
      </c>
      <c r="L2896" s="16" t="s">
        <v>126</v>
      </c>
      <c r="M2896" s="16" t="s">
        <v>119</v>
      </c>
      <c r="N2896" s="27">
        <v>45526.479166666664</v>
      </c>
      <c r="O2896" s="27">
        <v>45527.436111111114</v>
      </c>
      <c r="P2896" s="16">
        <v>3.1</v>
      </c>
      <c r="Q2896" s="16" t="b">
        <f>TRUE()</f>
        <v>1</v>
      </c>
      <c r="R2896" s="16" t="b">
        <f>FALSE()</f>
        <v>0</v>
      </c>
      <c r="S2896" s="17">
        <f t="shared" si="45"/>
        <v>23</v>
      </c>
      <c r="T2896">
        <f>COUNTIF('👤 Customers'!$A:$A, B2896)</f>
        <v>1</v>
      </c>
      <c r="U2896">
        <f>COUNTIF('🚴 Riders'!A2895:A2955, C2896)</f>
        <v>0</v>
      </c>
      <c r="V2896">
        <f>COUNTIF('🏭 Facilities'!A2895:A2903, D2896)</f>
        <v>0</v>
      </c>
    </row>
    <row r="2897" spans="1:22">
      <c r="A2897" s="18" t="s">
        <v>6439</v>
      </c>
      <c r="B2897" s="18" t="s">
        <v>3700</v>
      </c>
      <c r="C2897" s="18" t="s">
        <v>153</v>
      </c>
      <c r="D2897" s="18" t="s">
        <v>184</v>
      </c>
      <c r="E2897" s="26">
        <v>45294</v>
      </c>
      <c r="F2897" s="18" t="s">
        <v>6440</v>
      </c>
      <c r="G2897" s="18" t="s">
        <v>125</v>
      </c>
      <c r="H2897" s="18">
        <v>1.6</v>
      </c>
      <c r="I2897" s="18">
        <v>199</v>
      </c>
      <c r="J2897" s="18">
        <v>10</v>
      </c>
      <c r="K2897" s="18">
        <v>286.56</v>
      </c>
      <c r="L2897" s="18" t="s">
        <v>146</v>
      </c>
      <c r="M2897" s="18" t="s">
        <v>133</v>
      </c>
      <c r="N2897" s="20"/>
      <c r="O2897" s="20"/>
      <c r="P2897" s="20"/>
      <c r="Q2897" s="18" t="b">
        <f>FALSE()</f>
        <v>0</v>
      </c>
      <c r="R2897" s="18" t="b">
        <f>FALSE()</f>
        <v>0</v>
      </c>
      <c r="S2897" s="19" t="str">
        <f t="shared" si="45"/>
        <v>N/A</v>
      </c>
      <c r="T2897">
        <f>COUNTIF('👤 Customers'!$A:$A, B2897)</f>
        <v>1</v>
      </c>
      <c r="U2897">
        <f>COUNTIF('🚴 Riders'!A2896:A2956, C2897)</f>
        <v>0</v>
      </c>
      <c r="V2897">
        <f>COUNTIF('🏭 Facilities'!A2896:A2904, D2897)</f>
        <v>0</v>
      </c>
    </row>
    <row r="2898" spans="1:22">
      <c r="A2898" s="16" t="s">
        <v>6441</v>
      </c>
      <c r="B2898" s="16" t="s">
        <v>2995</v>
      </c>
      <c r="C2898" s="16" t="s">
        <v>842</v>
      </c>
      <c r="D2898" s="16" t="s">
        <v>158</v>
      </c>
      <c r="E2898" s="25">
        <v>45181</v>
      </c>
      <c r="F2898" s="16" t="s">
        <v>6442</v>
      </c>
      <c r="G2898" s="16" t="s">
        <v>117</v>
      </c>
      <c r="H2898" s="16">
        <v>1.2</v>
      </c>
      <c r="I2898" s="16">
        <v>149</v>
      </c>
      <c r="J2898" s="16">
        <v>0</v>
      </c>
      <c r="K2898" s="16">
        <v>178.8</v>
      </c>
      <c r="L2898" s="16" t="s">
        <v>139</v>
      </c>
      <c r="M2898" s="16" t="s">
        <v>133</v>
      </c>
      <c r="N2898" s="20"/>
      <c r="O2898" s="20"/>
      <c r="P2898" s="20"/>
      <c r="Q2898" s="16" t="b">
        <f>FALSE()</f>
        <v>0</v>
      </c>
      <c r="R2898" s="16" t="b">
        <f>FALSE()</f>
        <v>0</v>
      </c>
      <c r="S2898" s="17" t="str">
        <f t="shared" si="45"/>
        <v>N/A</v>
      </c>
      <c r="T2898">
        <f>COUNTIF('👤 Customers'!$A:$A, B2898)</f>
        <v>1</v>
      </c>
      <c r="U2898">
        <f>COUNTIF('🚴 Riders'!A2897:A2957, C2898)</f>
        <v>0</v>
      </c>
      <c r="V2898">
        <f>COUNTIF('🏭 Facilities'!A2897:A2905, D2898)</f>
        <v>0</v>
      </c>
    </row>
    <row r="2899" spans="1:22">
      <c r="A2899" s="18" t="s">
        <v>6443</v>
      </c>
      <c r="B2899" s="18" t="s">
        <v>2451</v>
      </c>
      <c r="C2899" s="18" t="s">
        <v>265</v>
      </c>
      <c r="D2899" s="18" t="s">
        <v>123</v>
      </c>
      <c r="E2899" s="26">
        <v>45086</v>
      </c>
      <c r="F2899" s="18" t="s">
        <v>6444</v>
      </c>
      <c r="G2899" s="18" t="s">
        <v>176</v>
      </c>
      <c r="H2899" s="18">
        <v>5.2</v>
      </c>
      <c r="I2899" s="18">
        <v>599</v>
      </c>
      <c r="J2899" s="18">
        <v>20</v>
      </c>
      <c r="K2899" s="18">
        <v>2491.84</v>
      </c>
      <c r="L2899" s="18" t="s">
        <v>126</v>
      </c>
      <c r="M2899" s="18" t="s">
        <v>119</v>
      </c>
      <c r="N2899" s="28">
        <v>45086.640277777777</v>
      </c>
      <c r="O2899" s="28">
        <v>45087.645138888889</v>
      </c>
      <c r="P2899" s="18">
        <v>4.5</v>
      </c>
      <c r="Q2899" s="18" t="b">
        <f>FALSE()</f>
        <v>0</v>
      </c>
      <c r="R2899" s="18" t="b">
        <f>FALSE()</f>
        <v>0</v>
      </c>
      <c r="S2899" s="19">
        <f t="shared" si="45"/>
        <v>24.1</v>
      </c>
      <c r="T2899">
        <f>COUNTIF('👤 Customers'!$A:$A, B2899)</f>
        <v>1</v>
      </c>
      <c r="U2899">
        <f>COUNTIF('🚴 Riders'!A2898:A2958, C2899)</f>
        <v>0</v>
      </c>
      <c r="V2899">
        <f>COUNTIF('🏭 Facilities'!A2898:A2906, D2899)</f>
        <v>0</v>
      </c>
    </row>
    <row r="2900" spans="1:22">
      <c r="A2900" s="16" t="s">
        <v>6445</v>
      </c>
      <c r="B2900" s="16" t="s">
        <v>1413</v>
      </c>
      <c r="C2900" s="16" t="s">
        <v>149</v>
      </c>
      <c r="D2900" s="16" t="s">
        <v>184</v>
      </c>
      <c r="E2900" s="25">
        <v>45421</v>
      </c>
      <c r="F2900" s="16" t="s">
        <v>6446</v>
      </c>
      <c r="G2900" s="16" t="s">
        <v>145</v>
      </c>
      <c r="H2900" s="16">
        <v>2.2000000000000002</v>
      </c>
      <c r="I2900" s="16">
        <v>299</v>
      </c>
      <c r="J2900" s="16">
        <v>0</v>
      </c>
      <c r="K2900" s="16">
        <v>657.8</v>
      </c>
      <c r="L2900" s="16" t="s">
        <v>139</v>
      </c>
      <c r="M2900" s="16" t="s">
        <v>140</v>
      </c>
      <c r="N2900" s="27">
        <v>45421.34652777778</v>
      </c>
      <c r="O2900" s="27">
        <v>45422.138888888891</v>
      </c>
      <c r="P2900" s="20"/>
      <c r="Q2900" s="16" t="b">
        <f>FALSE()</f>
        <v>0</v>
      </c>
      <c r="R2900" s="16" t="b">
        <f>FALSE()</f>
        <v>0</v>
      </c>
      <c r="S2900" s="17">
        <f t="shared" si="45"/>
        <v>19</v>
      </c>
      <c r="T2900">
        <f>COUNTIF('👤 Customers'!$A:$A, B2900)</f>
        <v>1</v>
      </c>
      <c r="U2900">
        <f>COUNTIF('🚴 Riders'!A2899:A2959, C2900)</f>
        <v>0</v>
      </c>
      <c r="V2900">
        <f>COUNTIF('🏭 Facilities'!A2899:A2907, D2900)</f>
        <v>0</v>
      </c>
    </row>
    <row r="2901" spans="1:22">
      <c r="A2901" s="18" t="s">
        <v>6447</v>
      </c>
      <c r="B2901" s="18" t="s">
        <v>357</v>
      </c>
      <c r="C2901" s="18" t="s">
        <v>136</v>
      </c>
      <c r="D2901" s="18" t="s">
        <v>137</v>
      </c>
      <c r="E2901" s="26">
        <v>45518</v>
      </c>
      <c r="F2901" s="18" t="s">
        <v>6448</v>
      </c>
      <c r="G2901" s="18" t="s">
        <v>125</v>
      </c>
      <c r="H2901" s="18">
        <v>2.1</v>
      </c>
      <c r="I2901" s="18">
        <v>199</v>
      </c>
      <c r="J2901" s="18">
        <v>10</v>
      </c>
      <c r="K2901" s="18">
        <v>376.11</v>
      </c>
      <c r="L2901" s="18" t="s">
        <v>207</v>
      </c>
      <c r="M2901" s="18" t="s">
        <v>119</v>
      </c>
      <c r="N2901" s="28">
        <v>45519.057638888888</v>
      </c>
      <c r="O2901" s="28">
        <v>45519.836805555555</v>
      </c>
      <c r="P2901" s="18">
        <v>3</v>
      </c>
      <c r="Q2901" s="18" t="b">
        <f>FALSE()</f>
        <v>0</v>
      </c>
      <c r="R2901" s="18" t="b">
        <f>TRUE()</f>
        <v>1</v>
      </c>
      <c r="S2901" s="19">
        <f t="shared" si="45"/>
        <v>18.7</v>
      </c>
      <c r="T2901">
        <f>COUNTIF('👤 Customers'!$A:$A, B2901)</f>
        <v>1</v>
      </c>
      <c r="U2901">
        <f>COUNTIF('🚴 Riders'!A2900:A2960, C2901)</f>
        <v>0</v>
      </c>
      <c r="V2901">
        <f>COUNTIF('🏭 Facilities'!A2900:A2908, D2901)</f>
        <v>0</v>
      </c>
    </row>
    <row r="2902" spans="1:22">
      <c r="A2902" s="16" t="s">
        <v>6449</v>
      </c>
      <c r="B2902" s="16" t="s">
        <v>1168</v>
      </c>
      <c r="C2902" s="16" t="s">
        <v>196</v>
      </c>
      <c r="D2902" s="16" t="s">
        <v>158</v>
      </c>
      <c r="E2902" s="25">
        <v>45230</v>
      </c>
      <c r="F2902" s="16" t="s">
        <v>6450</v>
      </c>
      <c r="G2902" s="16" t="s">
        <v>145</v>
      </c>
      <c r="H2902" s="16">
        <v>4.5</v>
      </c>
      <c r="I2902" s="16">
        <v>299</v>
      </c>
      <c r="J2902" s="16">
        <v>0</v>
      </c>
      <c r="K2902" s="16">
        <v>1345.5</v>
      </c>
      <c r="L2902" s="16" t="s">
        <v>126</v>
      </c>
      <c r="M2902" s="16" t="s">
        <v>140</v>
      </c>
      <c r="N2902" s="27">
        <v>45230.181250000001</v>
      </c>
      <c r="O2902" s="27">
        <v>45230.704861111109</v>
      </c>
      <c r="P2902" s="20"/>
      <c r="Q2902" s="16" t="b">
        <f>FALSE()</f>
        <v>0</v>
      </c>
      <c r="R2902" s="16" t="b">
        <f>FALSE()</f>
        <v>0</v>
      </c>
      <c r="S2902" s="17">
        <f t="shared" si="45"/>
        <v>12.6</v>
      </c>
      <c r="T2902">
        <f>COUNTIF('👤 Customers'!$A:$A, B2902)</f>
        <v>1</v>
      </c>
      <c r="U2902">
        <f>COUNTIF('🚴 Riders'!A2901:A2961, C2902)</f>
        <v>0</v>
      </c>
      <c r="V2902">
        <f>COUNTIF('🏭 Facilities'!A2901:A2909, D2902)</f>
        <v>0</v>
      </c>
    </row>
    <row r="2903" spans="1:22">
      <c r="A2903" s="18" t="s">
        <v>6451</v>
      </c>
      <c r="B2903" s="18" t="s">
        <v>1920</v>
      </c>
      <c r="C2903" s="18" t="s">
        <v>232</v>
      </c>
      <c r="D2903" s="18" t="s">
        <v>137</v>
      </c>
      <c r="E2903" s="26">
        <v>45470</v>
      </c>
      <c r="F2903" s="18" t="s">
        <v>6452</v>
      </c>
      <c r="G2903" s="18" t="s">
        <v>125</v>
      </c>
      <c r="H2903" s="18">
        <v>7.7</v>
      </c>
      <c r="I2903" s="18">
        <v>199</v>
      </c>
      <c r="J2903" s="18">
        <v>0</v>
      </c>
      <c r="K2903" s="18">
        <v>1532.3</v>
      </c>
      <c r="L2903" s="18" t="s">
        <v>207</v>
      </c>
      <c r="M2903" s="18" t="s">
        <v>119</v>
      </c>
      <c r="N2903" s="28">
        <v>45470.226388888892</v>
      </c>
      <c r="O2903" s="28">
        <v>45470.703472222223</v>
      </c>
      <c r="P2903" s="18">
        <v>3.3</v>
      </c>
      <c r="Q2903" s="18" t="b">
        <f>FALSE()</f>
        <v>0</v>
      </c>
      <c r="R2903" s="18" t="b">
        <f>FALSE()</f>
        <v>0</v>
      </c>
      <c r="S2903" s="19">
        <f t="shared" si="45"/>
        <v>11.4</v>
      </c>
      <c r="T2903">
        <f>COUNTIF('👤 Customers'!$A:$A, B2903)</f>
        <v>1</v>
      </c>
      <c r="U2903">
        <f>COUNTIF('🚴 Riders'!A2902:A2962, C2903)</f>
        <v>0</v>
      </c>
      <c r="V2903">
        <f>COUNTIF('🏭 Facilities'!A2902:A2910, D2903)</f>
        <v>0</v>
      </c>
    </row>
    <row r="2904" spans="1:22">
      <c r="A2904" s="16" t="s">
        <v>6453</v>
      </c>
      <c r="B2904" s="16" t="s">
        <v>525</v>
      </c>
      <c r="C2904" s="16" t="s">
        <v>536</v>
      </c>
      <c r="D2904" s="16" t="s">
        <v>184</v>
      </c>
      <c r="E2904" s="25">
        <v>45597</v>
      </c>
      <c r="F2904" s="16" t="s">
        <v>6454</v>
      </c>
      <c r="G2904" s="16" t="s">
        <v>117</v>
      </c>
      <c r="H2904" s="16">
        <v>2.2999999999999998</v>
      </c>
      <c r="I2904" s="16">
        <v>149</v>
      </c>
      <c r="J2904" s="16">
        <v>10</v>
      </c>
      <c r="K2904" s="16">
        <v>308.43</v>
      </c>
      <c r="L2904" s="16" t="s">
        <v>139</v>
      </c>
      <c r="M2904" s="16" t="s">
        <v>140</v>
      </c>
      <c r="N2904" s="27">
        <v>45597.399305555555</v>
      </c>
      <c r="O2904" s="27">
        <v>45598.234027777777</v>
      </c>
      <c r="P2904" s="20"/>
      <c r="Q2904" s="16" t="b">
        <f>FALSE()</f>
        <v>0</v>
      </c>
      <c r="R2904" s="16" t="b">
        <f>FALSE()</f>
        <v>0</v>
      </c>
      <c r="S2904" s="17">
        <f t="shared" si="45"/>
        <v>20</v>
      </c>
      <c r="T2904">
        <f>COUNTIF('👤 Customers'!$A:$A, B2904)</f>
        <v>1</v>
      </c>
      <c r="U2904">
        <f>COUNTIF('🚴 Riders'!A2903:A2963, C2904)</f>
        <v>0</v>
      </c>
      <c r="V2904">
        <f>COUNTIF('🏭 Facilities'!A2903:A2911, D2904)</f>
        <v>0</v>
      </c>
    </row>
    <row r="2905" spans="1:22">
      <c r="A2905" s="18" t="s">
        <v>6455</v>
      </c>
      <c r="B2905" s="18" t="s">
        <v>2976</v>
      </c>
      <c r="C2905" s="18" t="s">
        <v>1092</v>
      </c>
      <c r="D2905" s="18" t="s">
        <v>205</v>
      </c>
      <c r="E2905" s="26">
        <v>45129</v>
      </c>
      <c r="F2905" s="18" t="s">
        <v>6456</v>
      </c>
      <c r="G2905" s="18" t="s">
        <v>125</v>
      </c>
      <c r="H2905" s="18">
        <v>3.6</v>
      </c>
      <c r="I2905" s="18">
        <v>199</v>
      </c>
      <c r="J2905" s="18">
        <v>0</v>
      </c>
      <c r="K2905" s="18">
        <v>716.4</v>
      </c>
      <c r="L2905" s="18" t="s">
        <v>146</v>
      </c>
      <c r="M2905" s="18" t="s">
        <v>119</v>
      </c>
      <c r="N2905" s="28">
        <v>45129.760416666664</v>
      </c>
      <c r="O2905" s="28">
        <v>45130.526388888888</v>
      </c>
      <c r="P2905" s="18">
        <v>2.8</v>
      </c>
      <c r="Q2905" s="18" t="b">
        <f>FALSE()</f>
        <v>0</v>
      </c>
      <c r="R2905" s="18" t="b">
        <f>FALSE()</f>
        <v>0</v>
      </c>
      <c r="S2905" s="19">
        <f t="shared" si="45"/>
        <v>18.399999999999999</v>
      </c>
      <c r="T2905">
        <f>COUNTIF('👤 Customers'!$A:$A, B2905)</f>
        <v>1</v>
      </c>
      <c r="U2905">
        <f>COUNTIF('🚴 Riders'!A2904:A2964, C2905)</f>
        <v>0</v>
      </c>
      <c r="V2905">
        <f>COUNTIF('🏭 Facilities'!A2904:A2912, D2905)</f>
        <v>0</v>
      </c>
    </row>
    <row r="2906" spans="1:22">
      <c r="A2906" s="16" t="s">
        <v>6457</v>
      </c>
      <c r="B2906" s="16" t="s">
        <v>1920</v>
      </c>
      <c r="C2906" s="16" t="s">
        <v>287</v>
      </c>
      <c r="D2906" s="16" t="s">
        <v>130</v>
      </c>
      <c r="E2906" s="25">
        <v>45102</v>
      </c>
      <c r="F2906" s="16" t="s">
        <v>6458</v>
      </c>
      <c r="G2906" s="16" t="s">
        <v>125</v>
      </c>
      <c r="H2906" s="16">
        <v>7</v>
      </c>
      <c r="I2906" s="16">
        <v>199</v>
      </c>
      <c r="J2906" s="16">
        <v>0</v>
      </c>
      <c r="K2906" s="16">
        <v>1393</v>
      </c>
      <c r="L2906" s="16" t="s">
        <v>139</v>
      </c>
      <c r="M2906" s="16" t="s">
        <v>119</v>
      </c>
      <c r="N2906" s="27">
        <v>45102.835416666669</v>
      </c>
      <c r="O2906" s="27">
        <v>45103.727083333331</v>
      </c>
      <c r="P2906" s="16">
        <v>3.2</v>
      </c>
      <c r="Q2906" s="16" t="b">
        <f>FALSE()</f>
        <v>0</v>
      </c>
      <c r="R2906" s="16" t="b">
        <f>FALSE()</f>
        <v>0</v>
      </c>
      <c r="S2906" s="17">
        <f t="shared" si="45"/>
        <v>21.4</v>
      </c>
      <c r="T2906">
        <f>COUNTIF('👤 Customers'!$A:$A, B2906)</f>
        <v>1</v>
      </c>
      <c r="U2906">
        <f>COUNTIF('🚴 Riders'!A2905:A2965, C2906)</f>
        <v>0</v>
      </c>
      <c r="V2906">
        <f>COUNTIF('🏭 Facilities'!A2905:A2913, D2906)</f>
        <v>0</v>
      </c>
    </row>
    <row r="2907" spans="1:22">
      <c r="A2907" s="18" t="s">
        <v>6459</v>
      </c>
      <c r="B2907" s="18" t="s">
        <v>2799</v>
      </c>
      <c r="C2907" s="18" t="s">
        <v>580</v>
      </c>
      <c r="D2907" s="18" t="s">
        <v>197</v>
      </c>
      <c r="E2907" s="26">
        <v>45284</v>
      </c>
      <c r="F2907" s="18" t="s">
        <v>6460</v>
      </c>
      <c r="G2907" s="18" t="s">
        <v>176</v>
      </c>
      <c r="H2907" s="18">
        <v>3.4</v>
      </c>
      <c r="I2907" s="18">
        <v>599</v>
      </c>
      <c r="J2907" s="18">
        <v>0</v>
      </c>
      <c r="K2907" s="18">
        <v>2036.6</v>
      </c>
      <c r="L2907" s="18" t="s">
        <v>207</v>
      </c>
      <c r="M2907" s="18" t="s">
        <v>133</v>
      </c>
      <c r="N2907" s="20"/>
      <c r="O2907" s="20"/>
      <c r="P2907" s="20"/>
      <c r="Q2907" s="18" t="b">
        <f>FALSE()</f>
        <v>0</v>
      </c>
      <c r="R2907" s="18" t="b">
        <f>TRUE()</f>
        <v>1</v>
      </c>
      <c r="S2907" s="19" t="str">
        <f t="shared" si="45"/>
        <v>N/A</v>
      </c>
      <c r="T2907">
        <f>COUNTIF('👤 Customers'!$A:$A, B2907)</f>
        <v>1</v>
      </c>
      <c r="U2907">
        <f>COUNTIF('🚴 Riders'!A2906:A2966, C2907)</f>
        <v>0</v>
      </c>
      <c r="V2907">
        <f>COUNTIF('🏭 Facilities'!A2906:A2914, D2907)</f>
        <v>0</v>
      </c>
    </row>
    <row r="2908" spans="1:22">
      <c r="A2908" s="16" t="s">
        <v>6461</v>
      </c>
      <c r="B2908" s="16" t="s">
        <v>779</v>
      </c>
      <c r="C2908" s="16" t="s">
        <v>162</v>
      </c>
      <c r="D2908" s="16" t="s">
        <v>130</v>
      </c>
      <c r="E2908" s="25">
        <v>45176</v>
      </c>
      <c r="F2908" s="16" t="s">
        <v>6462</v>
      </c>
      <c r="G2908" s="16" t="s">
        <v>125</v>
      </c>
      <c r="H2908" s="16">
        <v>1.7</v>
      </c>
      <c r="I2908" s="16">
        <v>199</v>
      </c>
      <c r="J2908" s="16">
        <v>20</v>
      </c>
      <c r="K2908" s="16">
        <v>270.64</v>
      </c>
      <c r="L2908" s="16" t="s">
        <v>118</v>
      </c>
      <c r="M2908" s="16" t="s">
        <v>119</v>
      </c>
      <c r="N2908" s="27">
        <v>45176.088194444441</v>
      </c>
      <c r="O2908" s="27">
        <v>45176.544444444444</v>
      </c>
      <c r="P2908" s="16">
        <v>4.9000000000000004</v>
      </c>
      <c r="Q2908" s="16" t="b">
        <f>FALSE()</f>
        <v>0</v>
      </c>
      <c r="R2908" s="16" t="b">
        <f>TRUE()</f>
        <v>1</v>
      </c>
      <c r="S2908" s="17">
        <f t="shared" si="45"/>
        <v>11</v>
      </c>
      <c r="T2908">
        <f>COUNTIF('👤 Customers'!$A:$A, B2908)</f>
        <v>1</v>
      </c>
      <c r="U2908">
        <f>COUNTIF('🚴 Riders'!A2907:A2967, C2908)</f>
        <v>0</v>
      </c>
      <c r="V2908">
        <f>COUNTIF('🏭 Facilities'!A2907:A2915, D2908)</f>
        <v>0</v>
      </c>
    </row>
    <row r="2909" spans="1:22">
      <c r="A2909" s="18" t="s">
        <v>6463</v>
      </c>
      <c r="B2909" s="18" t="s">
        <v>368</v>
      </c>
      <c r="C2909" s="18" t="s">
        <v>228</v>
      </c>
      <c r="D2909" s="18" t="s">
        <v>137</v>
      </c>
      <c r="E2909" s="26">
        <v>45129</v>
      </c>
      <c r="F2909" s="18" t="s">
        <v>6464</v>
      </c>
      <c r="G2909" s="18" t="s">
        <v>145</v>
      </c>
      <c r="H2909" s="18">
        <v>7.8</v>
      </c>
      <c r="I2909" s="18">
        <v>299</v>
      </c>
      <c r="J2909" s="18">
        <v>0</v>
      </c>
      <c r="K2909" s="18">
        <v>2332.1999999999998</v>
      </c>
      <c r="L2909" s="18" t="s">
        <v>207</v>
      </c>
      <c r="M2909" s="18" t="s">
        <v>133</v>
      </c>
      <c r="N2909" s="20"/>
      <c r="O2909" s="20"/>
      <c r="P2909" s="20"/>
      <c r="Q2909" s="18" t="b">
        <f>TRUE()</f>
        <v>1</v>
      </c>
      <c r="R2909" s="18" t="b">
        <f>FALSE()</f>
        <v>0</v>
      </c>
      <c r="S2909" s="19" t="str">
        <f t="shared" si="45"/>
        <v>N/A</v>
      </c>
      <c r="T2909">
        <f>COUNTIF('👤 Customers'!$A:$A, B2909)</f>
        <v>1</v>
      </c>
      <c r="U2909">
        <f>COUNTIF('🚴 Riders'!A2908:A2968, C2909)</f>
        <v>0</v>
      </c>
      <c r="V2909">
        <f>COUNTIF('🏭 Facilities'!A2908:A2916, D2909)</f>
        <v>0</v>
      </c>
    </row>
    <row r="2910" spans="1:22">
      <c r="A2910" s="16" t="s">
        <v>6465</v>
      </c>
      <c r="B2910" s="16" t="s">
        <v>2306</v>
      </c>
      <c r="C2910" s="16" t="s">
        <v>166</v>
      </c>
      <c r="D2910" s="16" t="s">
        <v>115</v>
      </c>
      <c r="E2910" s="25">
        <v>45067</v>
      </c>
      <c r="F2910" s="16" t="s">
        <v>6466</v>
      </c>
      <c r="G2910" s="16" t="s">
        <v>132</v>
      </c>
      <c r="H2910" s="16">
        <v>7</v>
      </c>
      <c r="I2910" s="16">
        <v>399</v>
      </c>
      <c r="J2910" s="16">
        <v>20</v>
      </c>
      <c r="K2910" s="16">
        <v>2234.4</v>
      </c>
      <c r="L2910" s="16" t="s">
        <v>126</v>
      </c>
      <c r="M2910" s="16" t="s">
        <v>133</v>
      </c>
      <c r="N2910" s="20"/>
      <c r="O2910" s="20"/>
      <c r="P2910" s="20"/>
      <c r="Q2910" s="16" t="b">
        <f>FALSE()</f>
        <v>0</v>
      </c>
      <c r="R2910" s="16" t="b">
        <f>FALSE()</f>
        <v>0</v>
      </c>
      <c r="S2910" s="17" t="str">
        <f t="shared" si="45"/>
        <v>N/A</v>
      </c>
      <c r="T2910">
        <f>COUNTIF('👤 Customers'!$A:$A, B2910)</f>
        <v>1</v>
      </c>
      <c r="U2910">
        <f>COUNTIF('🚴 Riders'!A2909:A2969, C2910)</f>
        <v>0</v>
      </c>
      <c r="V2910">
        <f>COUNTIF('🏭 Facilities'!A2909:A2917, D2910)</f>
        <v>0</v>
      </c>
    </row>
    <row r="2911" spans="1:22">
      <c r="A2911" s="18" t="s">
        <v>6467</v>
      </c>
      <c r="B2911" s="18" t="s">
        <v>1776</v>
      </c>
      <c r="C2911" s="18" t="s">
        <v>136</v>
      </c>
      <c r="D2911" s="18" t="s">
        <v>115</v>
      </c>
      <c r="E2911" s="26">
        <v>45485</v>
      </c>
      <c r="F2911" s="18" t="s">
        <v>6468</v>
      </c>
      <c r="G2911" s="18" t="s">
        <v>176</v>
      </c>
      <c r="H2911" s="18">
        <v>3.1</v>
      </c>
      <c r="I2911" s="18">
        <v>599</v>
      </c>
      <c r="J2911" s="18">
        <v>0</v>
      </c>
      <c r="K2911" s="18">
        <v>1856.9</v>
      </c>
      <c r="L2911" s="18" t="s">
        <v>146</v>
      </c>
      <c r="M2911" s="18" t="s">
        <v>119</v>
      </c>
      <c r="N2911" s="28">
        <v>45485.938888888886</v>
      </c>
      <c r="O2911" s="28">
        <v>45486.28402777778</v>
      </c>
      <c r="P2911" s="18">
        <v>3</v>
      </c>
      <c r="Q2911" s="18" t="b">
        <f>FALSE()</f>
        <v>0</v>
      </c>
      <c r="R2911" s="18" t="b">
        <f>TRUE()</f>
        <v>1</v>
      </c>
      <c r="S2911" s="19">
        <f t="shared" si="45"/>
        <v>8.3000000000000007</v>
      </c>
      <c r="T2911">
        <f>COUNTIF('👤 Customers'!$A:$A, B2911)</f>
        <v>1</v>
      </c>
      <c r="U2911">
        <f>COUNTIF('🚴 Riders'!A2910:A2970, C2911)</f>
        <v>0</v>
      </c>
      <c r="V2911">
        <f>COUNTIF('🏭 Facilities'!A2910:A2918, D2911)</f>
        <v>0</v>
      </c>
    </row>
    <row r="2912" spans="1:22">
      <c r="A2912" s="16" t="s">
        <v>6469</v>
      </c>
      <c r="B2912" s="16" t="s">
        <v>1088</v>
      </c>
      <c r="C2912" s="16" t="s">
        <v>326</v>
      </c>
      <c r="D2912" s="16" t="s">
        <v>130</v>
      </c>
      <c r="E2912" s="25">
        <v>45013</v>
      </c>
      <c r="F2912" s="16" t="s">
        <v>6470</v>
      </c>
      <c r="G2912" s="16" t="s">
        <v>145</v>
      </c>
      <c r="H2912" s="16">
        <v>6.7</v>
      </c>
      <c r="I2912" s="16">
        <v>299</v>
      </c>
      <c r="J2912" s="16">
        <v>10</v>
      </c>
      <c r="K2912" s="16">
        <v>1802.97</v>
      </c>
      <c r="L2912" s="16" t="s">
        <v>139</v>
      </c>
      <c r="M2912" s="16" t="s">
        <v>119</v>
      </c>
      <c r="N2912" s="27">
        <v>45013.728472222225</v>
      </c>
      <c r="O2912" s="27">
        <v>45014.55</v>
      </c>
      <c r="P2912" s="16">
        <v>2.7</v>
      </c>
      <c r="Q2912" s="16" t="b">
        <f>TRUE()</f>
        <v>1</v>
      </c>
      <c r="R2912" s="16" t="b">
        <f>FALSE()</f>
        <v>0</v>
      </c>
      <c r="S2912" s="17">
        <f t="shared" si="45"/>
        <v>19.7</v>
      </c>
      <c r="T2912">
        <f>COUNTIF('👤 Customers'!$A:$A, B2912)</f>
        <v>1</v>
      </c>
      <c r="U2912">
        <f>COUNTIF('🚴 Riders'!A2911:A2971, C2912)</f>
        <v>0</v>
      </c>
      <c r="V2912">
        <f>COUNTIF('🏭 Facilities'!A2911:A2919, D2912)</f>
        <v>0</v>
      </c>
    </row>
    <row r="2913" spans="1:22">
      <c r="A2913" s="18" t="s">
        <v>6471</v>
      </c>
      <c r="B2913" s="18" t="s">
        <v>282</v>
      </c>
      <c r="C2913" s="18" t="s">
        <v>339</v>
      </c>
      <c r="D2913" s="18" t="s">
        <v>184</v>
      </c>
      <c r="E2913" s="26">
        <v>45645</v>
      </c>
      <c r="F2913" s="18" t="s">
        <v>6472</v>
      </c>
      <c r="G2913" s="18" t="s">
        <v>145</v>
      </c>
      <c r="H2913" s="18">
        <v>6.9</v>
      </c>
      <c r="I2913" s="18">
        <v>299</v>
      </c>
      <c r="J2913" s="18">
        <v>0</v>
      </c>
      <c r="K2913" s="18">
        <v>2063.1</v>
      </c>
      <c r="L2913" s="18" t="s">
        <v>207</v>
      </c>
      <c r="M2913" s="18" t="s">
        <v>140</v>
      </c>
      <c r="N2913" s="28">
        <v>45645.893750000003</v>
      </c>
      <c r="O2913" s="28">
        <v>45646.668749999997</v>
      </c>
      <c r="P2913" s="20"/>
      <c r="Q2913" s="18" t="b">
        <f>FALSE()</f>
        <v>0</v>
      </c>
      <c r="R2913" s="18" t="b">
        <f>FALSE()</f>
        <v>0</v>
      </c>
      <c r="S2913" s="19">
        <f t="shared" si="45"/>
        <v>18.600000000000001</v>
      </c>
      <c r="T2913">
        <f>COUNTIF('👤 Customers'!$A:$A, B2913)</f>
        <v>1</v>
      </c>
      <c r="U2913">
        <f>COUNTIF('🚴 Riders'!A2912:A2972, C2913)</f>
        <v>0</v>
      </c>
      <c r="V2913">
        <f>COUNTIF('🏭 Facilities'!A2912:A2920, D2913)</f>
        <v>0</v>
      </c>
    </row>
    <row r="2914" spans="1:22">
      <c r="A2914" s="16" t="s">
        <v>6473</v>
      </c>
      <c r="B2914" s="16" t="s">
        <v>1886</v>
      </c>
      <c r="C2914" s="16" t="s">
        <v>322</v>
      </c>
      <c r="D2914" s="16" t="s">
        <v>123</v>
      </c>
      <c r="E2914" s="25">
        <v>45431</v>
      </c>
      <c r="F2914" s="16" t="s">
        <v>6474</v>
      </c>
      <c r="G2914" s="16" t="s">
        <v>145</v>
      </c>
      <c r="H2914" s="16">
        <v>7.2</v>
      </c>
      <c r="I2914" s="16">
        <v>299</v>
      </c>
      <c r="J2914" s="16">
        <v>20</v>
      </c>
      <c r="K2914" s="16">
        <v>1722.24</v>
      </c>
      <c r="L2914" s="16" t="s">
        <v>146</v>
      </c>
      <c r="M2914" s="16" t="s">
        <v>133</v>
      </c>
      <c r="N2914" s="20"/>
      <c r="O2914" s="20"/>
      <c r="P2914" s="20"/>
      <c r="Q2914" s="16" t="b">
        <f>FALSE()</f>
        <v>0</v>
      </c>
      <c r="R2914" s="16" t="b">
        <f>TRUE()</f>
        <v>1</v>
      </c>
      <c r="S2914" s="17" t="str">
        <f t="shared" si="45"/>
        <v>N/A</v>
      </c>
      <c r="T2914">
        <f>COUNTIF('👤 Customers'!$A:$A, B2914)</f>
        <v>1</v>
      </c>
      <c r="U2914">
        <f>COUNTIF('🚴 Riders'!A2913:A2973, C2914)</f>
        <v>0</v>
      </c>
      <c r="V2914">
        <f>COUNTIF('🏭 Facilities'!A2913:A2921, D2914)</f>
        <v>0</v>
      </c>
    </row>
    <row r="2915" spans="1:22">
      <c r="A2915" s="18" t="s">
        <v>6475</v>
      </c>
      <c r="B2915" s="18" t="s">
        <v>1530</v>
      </c>
      <c r="C2915" s="18" t="s">
        <v>170</v>
      </c>
      <c r="D2915" s="18" t="s">
        <v>205</v>
      </c>
      <c r="E2915" s="26">
        <v>45581</v>
      </c>
      <c r="F2915" s="18" t="s">
        <v>6476</v>
      </c>
      <c r="G2915" s="18" t="s">
        <v>117</v>
      </c>
      <c r="H2915" s="18">
        <v>3.2</v>
      </c>
      <c r="I2915" s="18">
        <v>149</v>
      </c>
      <c r="J2915" s="18">
        <v>0</v>
      </c>
      <c r="K2915" s="18">
        <v>476.8</v>
      </c>
      <c r="L2915" s="18" t="s">
        <v>118</v>
      </c>
      <c r="M2915" s="18" t="s">
        <v>119</v>
      </c>
      <c r="N2915" s="28">
        <v>45581.393750000003</v>
      </c>
      <c r="O2915" s="28">
        <v>45581.723611111112</v>
      </c>
      <c r="P2915" s="18">
        <v>4.0999999999999996</v>
      </c>
      <c r="Q2915" s="18" t="b">
        <f>FALSE()</f>
        <v>0</v>
      </c>
      <c r="R2915" s="18" t="b">
        <f>TRUE()</f>
        <v>1</v>
      </c>
      <c r="S2915" s="19">
        <f t="shared" si="45"/>
        <v>7.9</v>
      </c>
      <c r="T2915">
        <f>COUNTIF('👤 Customers'!$A:$A, B2915)</f>
        <v>1</v>
      </c>
      <c r="U2915">
        <f>COUNTIF('🚴 Riders'!A2914:A2974, C2915)</f>
        <v>0</v>
      </c>
      <c r="V2915">
        <f>COUNTIF('🏭 Facilities'!A2914:A2922, D2915)</f>
        <v>0</v>
      </c>
    </row>
    <row r="2916" spans="1:22">
      <c r="A2916" s="16" t="s">
        <v>6477</v>
      </c>
      <c r="B2916" s="16" t="s">
        <v>919</v>
      </c>
      <c r="C2916" s="16" t="s">
        <v>483</v>
      </c>
      <c r="D2916" s="16" t="s">
        <v>130</v>
      </c>
      <c r="E2916" s="25">
        <v>45085</v>
      </c>
      <c r="F2916" s="16" t="s">
        <v>6478</v>
      </c>
      <c r="G2916" s="16" t="s">
        <v>117</v>
      </c>
      <c r="H2916" s="16">
        <v>4.9000000000000004</v>
      </c>
      <c r="I2916" s="16">
        <v>149</v>
      </c>
      <c r="J2916" s="16">
        <v>0</v>
      </c>
      <c r="K2916" s="16">
        <v>730.1</v>
      </c>
      <c r="L2916" s="16" t="s">
        <v>146</v>
      </c>
      <c r="M2916" s="16" t="s">
        <v>119</v>
      </c>
      <c r="N2916" s="27">
        <v>45085.945833333331</v>
      </c>
      <c r="O2916" s="27">
        <v>45086.304861111108</v>
      </c>
      <c r="P2916" s="16">
        <v>5</v>
      </c>
      <c r="Q2916" s="16" t="b">
        <f>TRUE()</f>
        <v>1</v>
      </c>
      <c r="R2916" s="16" t="b">
        <f>FALSE()</f>
        <v>0</v>
      </c>
      <c r="S2916" s="17">
        <f t="shared" si="45"/>
        <v>8.6</v>
      </c>
      <c r="T2916">
        <f>COUNTIF('👤 Customers'!$A:$A, B2916)</f>
        <v>1</v>
      </c>
      <c r="U2916">
        <f>COUNTIF('🚴 Riders'!A2915:A2975, C2916)</f>
        <v>0</v>
      </c>
      <c r="V2916">
        <f>COUNTIF('🏭 Facilities'!A2915:A2923, D2916)</f>
        <v>0</v>
      </c>
    </row>
    <row r="2917" spans="1:22">
      <c r="A2917" s="18" t="s">
        <v>6479</v>
      </c>
      <c r="B2917" s="18" t="s">
        <v>2334</v>
      </c>
      <c r="C2917" s="18" t="s">
        <v>265</v>
      </c>
      <c r="D2917" s="18" t="s">
        <v>130</v>
      </c>
      <c r="E2917" s="26">
        <v>45493</v>
      </c>
      <c r="F2917" s="18" t="s">
        <v>6480</v>
      </c>
      <c r="G2917" s="18" t="s">
        <v>176</v>
      </c>
      <c r="H2917" s="18">
        <v>3</v>
      </c>
      <c r="I2917" s="18">
        <v>599</v>
      </c>
      <c r="J2917" s="18">
        <v>0</v>
      </c>
      <c r="K2917" s="18">
        <v>1797</v>
      </c>
      <c r="L2917" s="18" t="s">
        <v>139</v>
      </c>
      <c r="M2917" s="18" t="s">
        <v>133</v>
      </c>
      <c r="N2917" s="20"/>
      <c r="O2917" s="20"/>
      <c r="P2917" s="20"/>
      <c r="Q2917" s="18" t="b">
        <f>TRUE()</f>
        <v>1</v>
      </c>
      <c r="R2917" s="18" t="b">
        <f>FALSE()</f>
        <v>0</v>
      </c>
      <c r="S2917" s="19" t="str">
        <f t="shared" si="45"/>
        <v>N/A</v>
      </c>
      <c r="T2917">
        <f>COUNTIF('👤 Customers'!$A:$A, B2917)</f>
        <v>1</v>
      </c>
      <c r="U2917">
        <f>COUNTIF('🚴 Riders'!A2916:A2976, C2917)</f>
        <v>0</v>
      </c>
      <c r="V2917">
        <f>COUNTIF('🏭 Facilities'!A2916:A2924, D2917)</f>
        <v>0</v>
      </c>
    </row>
    <row r="2918" spans="1:22">
      <c r="A2918" s="16" t="s">
        <v>6481</v>
      </c>
      <c r="B2918" s="16" t="s">
        <v>1345</v>
      </c>
      <c r="C2918" s="16" t="s">
        <v>276</v>
      </c>
      <c r="D2918" s="16" t="s">
        <v>158</v>
      </c>
      <c r="E2918" s="25">
        <v>45525</v>
      </c>
      <c r="F2918" s="16" t="s">
        <v>6482</v>
      </c>
      <c r="G2918" s="16" t="s">
        <v>117</v>
      </c>
      <c r="H2918" s="16">
        <v>1.7</v>
      </c>
      <c r="I2918" s="16">
        <v>149</v>
      </c>
      <c r="J2918" s="16">
        <v>20</v>
      </c>
      <c r="K2918" s="16">
        <v>202.64</v>
      </c>
      <c r="L2918" s="16" t="s">
        <v>139</v>
      </c>
      <c r="M2918" s="16" t="s">
        <v>119</v>
      </c>
      <c r="N2918" s="27">
        <v>45525.240972222222</v>
      </c>
      <c r="O2918" s="27">
        <v>45525.62222222222</v>
      </c>
      <c r="P2918" s="16">
        <v>2.7</v>
      </c>
      <c r="Q2918" s="16" t="b">
        <f>FALSE()</f>
        <v>0</v>
      </c>
      <c r="R2918" s="16" t="b">
        <f>FALSE()</f>
        <v>0</v>
      </c>
      <c r="S2918" s="17">
        <f t="shared" si="45"/>
        <v>9.1</v>
      </c>
      <c r="T2918">
        <f>COUNTIF('👤 Customers'!$A:$A, B2918)</f>
        <v>1</v>
      </c>
      <c r="U2918">
        <f>COUNTIF('🚴 Riders'!A2917:A2977, C2918)</f>
        <v>0</v>
      </c>
      <c r="V2918">
        <f>COUNTIF('🏭 Facilities'!A2917:A2925, D2918)</f>
        <v>0</v>
      </c>
    </row>
    <row r="2919" spans="1:22">
      <c r="A2919" s="18" t="s">
        <v>6483</v>
      </c>
      <c r="B2919" s="18" t="s">
        <v>135</v>
      </c>
      <c r="C2919" s="18" t="s">
        <v>220</v>
      </c>
      <c r="D2919" s="18" t="s">
        <v>205</v>
      </c>
      <c r="E2919" s="26">
        <v>45092</v>
      </c>
      <c r="F2919" s="18" t="s">
        <v>3659</v>
      </c>
      <c r="G2919" s="18" t="s">
        <v>132</v>
      </c>
      <c r="H2919" s="18">
        <v>1.6</v>
      </c>
      <c r="I2919" s="18">
        <v>399</v>
      </c>
      <c r="J2919" s="18">
        <v>0</v>
      </c>
      <c r="K2919" s="18">
        <v>638.4</v>
      </c>
      <c r="L2919" s="18" t="s">
        <v>118</v>
      </c>
      <c r="M2919" s="18" t="s">
        <v>119</v>
      </c>
      <c r="N2919" s="28">
        <v>45092.695138888892</v>
      </c>
      <c r="O2919" s="28">
        <v>45093.592361111114</v>
      </c>
      <c r="P2919" s="18">
        <v>4.4000000000000004</v>
      </c>
      <c r="Q2919" s="18" t="b">
        <f>TRUE()</f>
        <v>1</v>
      </c>
      <c r="R2919" s="18" t="b">
        <f>FALSE()</f>
        <v>0</v>
      </c>
      <c r="S2919" s="19">
        <f t="shared" si="45"/>
        <v>21.5</v>
      </c>
      <c r="T2919">
        <f>COUNTIF('👤 Customers'!$A:$A, B2919)</f>
        <v>1</v>
      </c>
      <c r="U2919">
        <f>COUNTIF('🚴 Riders'!A2918:A2978, C2919)</f>
        <v>0</v>
      </c>
      <c r="V2919">
        <f>COUNTIF('🏭 Facilities'!A2918:A2926, D2919)</f>
        <v>0</v>
      </c>
    </row>
    <row r="2920" spans="1:22">
      <c r="A2920" s="16" t="s">
        <v>6484</v>
      </c>
      <c r="B2920" s="16" t="s">
        <v>227</v>
      </c>
      <c r="C2920" s="16" t="s">
        <v>304</v>
      </c>
      <c r="D2920" s="16" t="s">
        <v>130</v>
      </c>
      <c r="E2920" s="25">
        <v>45086</v>
      </c>
      <c r="F2920" s="16" t="s">
        <v>6485</v>
      </c>
      <c r="G2920" s="16" t="s">
        <v>125</v>
      </c>
      <c r="H2920" s="16">
        <v>6.9</v>
      </c>
      <c r="I2920" s="16">
        <v>199</v>
      </c>
      <c r="J2920" s="16">
        <v>0</v>
      </c>
      <c r="K2920" s="16">
        <v>1373.1</v>
      </c>
      <c r="L2920" s="16" t="s">
        <v>139</v>
      </c>
      <c r="M2920" s="16" t="s">
        <v>119</v>
      </c>
      <c r="N2920" s="27">
        <v>45086.71875</v>
      </c>
      <c r="O2920" s="27">
        <v>45087.386111111111</v>
      </c>
      <c r="P2920" s="16">
        <v>3.9</v>
      </c>
      <c r="Q2920" s="16" t="b">
        <f>FALSE()</f>
        <v>0</v>
      </c>
      <c r="R2920" s="16" t="b">
        <f>TRUE()</f>
        <v>1</v>
      </c>
      <c r="S2920" s="17">
        <f t="shared" si="45"/>
        <v>16</v>
      </c>
      <c r="T2920">
        <f>COUNTIF('👤 Customers'!$A:$A, B2920)</f>
        <v>1</v>
      </c>
      <c r="U2920">
        <f>COUNTIF('🚴 Riders'!A2919:A2979, C2920)</f>
        <v>0</v>
      </c>
      <c r="V2920">
        <f>COUNTIF('🏭 Facilities'!A2919:A2927, D2920)</f>
        <v>0</v>
      </c>
    </row>
    <row r="2921" spans="1:22">
      <c r="A2921" s="18" t="s">
        <v>6486</v>
      </c>
      <c r="B2921" s="18" t="s">
        <v>365</v>
      </c>
      <c r="C2921" s="18" t="s">
        <v>213</v>
      </c>
      <c r="D2921" s="18" t="s">
        <v>137</v>
      </c>
      <c r="E2921" s="26">
        <v>45002</v>
      </c>
      <c r="F2921" s="18" t="s">
        <v>6487</v>
      </c>
      <c r="G2921" s="18" t="s">
        <v>176</v>
      </c>
      <c r="H2921" s="18">
        <v>5.0999999999999996</v>
      </c>
      <c r="I2921" s="18">
        <v>599</v>
      </c>
      <c r="J2921" s="18">
        <v>20</v>
      </c>
      <c r="K2921" s="18">
        <v>2443.92</v>
      </c>
      <c r="L2921" s="18" t="s">
        <v>126</v>
      </c>
      <c r="M2921" s="18" t="s">
        <v>119</v>
      </c>
      <c r="N2921" s="28">
        <v>45002.810416666667</v>
      </c>
      <c r="O2921" s="28">
        <v>45003.834722222222</v>
      </c>
      <c r="P2921" s="18">
        <v>3.5</v>
      </c>
      <c r="Q2921" s="18" t="b">
        <f>FALSE()</f>
        <v>0</v>
      </c>
      <c r="R2921" s="18" t="b">
        <f>FALSE()</f>
        <v>0</v>
      </c>
      <c r="S2921" s="19">
        <f t="shared" si="45"/>
        <v>24.6</v>
      </c>
      <c r="T2921">
        <f>COUNTIF('👤 Customers'!$A:$A, B2921)</f>
        <v>1</v>
      </c>
      <c r="U2921">
        <f>COUNTIF('🚴 Riders'!A2920:A2980, C2921)</f>
        <v>0</v>
      </c>
      <c r="V2921">
        <f>COUNTIF('🏭 Facilities'!A2920:A2928, D2921)</f>
        <v>0</v>
      </c>
    </row>
    <row r="2922" spans="1:22">
      <c r="A2922" s="16" t="s">
        <v>6488</v>
      </c>
      <c r="B2922" s="16" t="s">
        <v>296</v>
      </c>
      <c r="C2922" s="16" t="s">
        <v>170</v>
      </c>
      <c r="D2922" s="16" t="s">
        <v>205</v>
      </c>
      <c r="E2922" s="25">
        <v>45465</v>
      </c>
      <c r="F2922" s="16" t="s">
        <v>6489</v>
      </c>
      <c r="G2922" s="16" t="s">
        <v>117</v>
      </c>
      <c r="H2922" s="16">
        <v>1.9</v>
      </c>
      <c r="I2922" s="16">
        <v>149</v>
      </c>
      <c r="J2922" s="16">
        <v>0</v>
      </c>
      <c r="K2922" s="16">
        <v>283.10000000000002</v>
      </c>
      <c r="L2922" s="16" t="s">
        <v>126</v>
      </c>
      <c r="M2922" s="16" t="s">
        <v>119</v>
      </c>
      <c r="N2922" s="27">
        <v>45465.248611111114</v>
      </c>
      <c r="O2922" s="27">
        <v>45465.753472222219</v>
      </c>
      <c r="P2922" s="16">
        <v>4.4000000000000004</v>
      </c>
      <c r="Q2922" s="16" t="b">
        <f>FALSE()</f>
        <v>0</v>
      </c>
      <c r="R2922" s="16" t="b">
        <f>FALSE()</f>
        <v>0</v>
      </c>
      <c r="S2922" s="17">
        <f t="shared" si="45"/>
        <v>12.1</v>
      </c>
      <c r="T2922">
        <f>COUNTIF('👤 Customers'!$A:$A, B2922)</f>
        <v>1</v>
      </c>
      <c r="U2922">
        <f>COUNTIF('🚴 Riders'!A2921:A2981, C2922)</f>
        <v>0</v>
      </c>
      <c r="V2922">
        <f>COUNTIF('🏭 Facilities'!A2921:A2929, D2922)</f>
        <v>0</v>
      </c>
    </row>
    <row r="2923" spans="1:22">
      <c r="A2923" s="18" t="s">
        <v>6490</v>
      </c>
      <c r="B2923" s="18" t="s">
        <v>1754</v>
      </c>
      <c r="C2923" s="18" t="s">
        <v>487</v>
      </c>
      <c r="D2923" s="18" t="s">
        <v>137</v>
      </c>
      <c r="E2923" s="26">
        <v>45374</v>
      </c>
      <c r="F2923" s="18" t="s">
        <v>6491</v>
      </c>
      <c r="G2923" s="18" t="s">
        <v>176</v>
      </c>
      <c r="H2923" s="18">
        <v>1.2</v>
      </c>
      <c r="I2923" s="18">
        <v>599</v>
      </c>
      <c r="J2923" s="18">
        <v>10</v>
      </c>
      <c r="K2923" s="18">
        <v>646.91999999999996</v>
      </c>
      <c r="L2923" s="18" t="s">
        <v>126</v>
      </c>
      <c r="M2923" s="18" t="s">
        <v>119</v>
      </c>
      <c r="N2923" s="28">
        <v>45374.106249999997</v>
      </c>
      <c r="O2923" s="28">
        <v>45375.121527777781</v>
      </c>
      <c r="P2923" s="18">
        <v>4.5</v>
      </c>
      <c r="Q2923" s="18" t="b">
        <f>FALSE()</f>
        <v>0</v>
      </c>
      <c r="R2923" s="18" t="b">
        <f>FALSE()</f>
        <v>0</v>
      </c>
      <c r="S2923" s="19">
        <f t="shared" si="45"/>
        <v>24.4</v>
      </c>
      <c r="T2923">
        <f>COUNTIF('👤 Customers'!$A:$A, B2923)</f>
        <v>1</v>
      </c>
      <c r="U2923">
        <f>COUNTIF('🚴 Riders'!A2922:A2982, C2923)</f>
        <v>0</v>
      </c>
      <c r="V2923">
        <f>COUNTIF('🏭 Facilities'!A2922:A2930, D2923)</f>
        <v>0</v>
      </c>
    </row>
    <row r="2924" spans="1:22">
      <c r="A2924" s="16" t="s">
        <v>6492</v>
      </c>
      <c r="B2924" s="16" t="s">
        <v>577</v>
      </c>
      <c r="C2924" s="16" t="s">
        <v>224</v>
      </c>
      <c r="D2924" s="16" t="s">
        <v>205</v>
      </c>
      <c r="E2924" s="25">
        <v>45508</v>
      </c>
      <c r="F2924" s="16" t="s">
        <v>6493</v>
      </c>
      <c r="G2924" s="16" t="s">
        <v>125</v>
      </c>
      <c r="H2924" s="16">
        <v>5.3</v>
      </c>
      <c r="I2924" s="16">
        <v>199</v>
      </c>
      <c r="J2924" s="16">
        <v>0</v>
      </c>
      <c r="K2924" s="16">
        <v>1054.7</v>
      </c>
      <c r="L2924" s="16" t="s">
        <v>126</v>
      </c>
      <c r="M2924" s="16" t="s">
        <v>140</v>
      </c>
      <c r="N2924" s="27">
        <v>45508.179861111108</v>
      </c>
      <c r="O2924" s="27">
        <v>45508.508333333331</v>
      </c>
      <c r="P2924" s="20"/>
      <c r="Q2924" s="16" t="b">
        <f>FALSE()</f>
        <v>0</v>
      </c>
      <c r="R2924" s="16" t="b">
        <f>FALSE()</f>
        <v>0</v>
      </c>
      <c r="S2924" s="17">
        <f t="shared" si="45"/>
        <v>7.9</v>
      </c>
      <c r="T2924">
        <f>COUNTIF('👤 Customers'!$A:$A, B2924)</f>
        <v>1</v>
      </c>
      <c r="U2924">
        <f>COUNTIF('🚴 Riders'!A2923:A2983, C2924)</f>
        <v>0</v>
      </c>
      <c r="V2924">
        <f>COUNTIF('🏭 Facilities'!A2923:A2931, D2924)</f>
        <v>0</v>
      </c>
    </row>
    <row r="2925" spans="1:22">
      <c r="A2925" s="18" t="s">
        <v>6494</v>
      </c>
      <c r="B2925" s="18" t="s">
        <v>321</v>
      </c>
      <c r="C2925" s="18" t="s">
        <v>153</v>
      </c>
      <c r="D2925" s="18" t="s">
        <v>205</v>
      </c>
      <c r="E2925" s="26">
        <v>45368</v>
      </c>
      <c r="F2925" s="18" t="s">
        <v>6495</v>
      </c>
      <c r="G2925" s="18" t="s">
        <v>176</v>
      </c>
      <c r="H2925" s="18">
        <v>6.3</v>
      </c>
      <c r="I2925" s="18">
        <v>599</v>
      </c>
      <c r="J2925" s="18">
        <v>10</v>
      </c>
      <c r="K2925" s="18">
        <v>3396.33</v>
      </c>
      <c r="L2925" s="18" t="s">
        <v>139</v>
      </c>
      <c r="M2925" s="18" t="s">
        <v>119</v>
      </c>
      <c r="N2925" s="28">
        <v>45368.56527777778</v>
      </c>
      <c r="O2925" s="28">
        <v>45369.535416666666</v>
      </c>
      <c r="P2925" s="18">
        <v>3.3</v>
      </c>
      <c r="Q2925" s="18" t="b">
        <f>FALSE()</f>
        <v>0</v>
      </c>
      <c r="R2925" s="18" t="b">
        <f>FALSE()</f>
        <v>0</v>
      </c>
      <c r="S2925" s="19">
        <f t="shared" si="45"/>
        <v>23.3</v>
      </c>
      <c r="T2925">
        <f>COUNTIF('👤 Customers'!$A:$A, B2925)</f>
        <v>1</v>
      </c>
      <c r="U2925">
        <f>COUNTIF('🚴 Riders'!A2924:A2984, C2925)</f>
        <v>0</v>
      </c>
      <c r="V2925">
        <f>COUNTIF('🏭 Facilities'!A2924:A2932, D2925)</f>
        <v>0</v>
      </c>
    </row>
    <row r="2926" spans="1:22">
      <c r="A2926" s="16" t="s">
        <v>6496</v>
      </c>
      <c r="B2926" s="16" t="s">
        <v>3834</v>
      </c>
      <c r="C2926" s="16" t="s">
        <v>343</v>
      </c>
      <c r="D2926" s="16" t="s">
        <v>184</v>
      </c>
      <c r="E2926" s="25">
        <v>45504</v>
      </c>
      <c r="F2926" s="16" t="s">
        <v>6497</v>
      </c>
      <c r="G2926" s="16" t="s">
        <v>176</v>
      </c>
      <c r="H2926" s="16">
        <v>6.5</v>
      </c>
      <c r="I2926" s="16">
        <v>599</v>
      </c>
      <c r="J2926" s="16">
        <v>20</v>
      </c>
      <c r="K2926" s="16">
        <v>3114.8</v>
      </c>
      <c r="L2926" s="16" t="s">
        <v>118</v>
      </c>
      <c r="M2926" s="16" t="s">
        <v>119</v>
      </c>
      <c r="N2926" s="27">
        <v>45505.031944444447</v>
      </c>
      <c r="O2926" s="27">
        <v>45506.073611111111</v>
      </c>
      <c r="P2926" s="16">
        <v>4.8</v>
      </c>
      <c r="Q2926" s="16" t="b">
        <f>FALSE()</f>
        <v>0</v>
      </c>
      <c r="R2926" s="16" t="b">
        <f>FALSE()</f>
        <v>0</v>
      </c>
      <c r="S2926" s="17">
        <f t="shared" si="45"/>
        <v>25</v>
      </c>
      <c r="T2926">
        <f>COUNTIF('👤 Customers'!$A:$A, B2926)</f>
        <v>1</v>
      </c>
      <c r="U2926">
        <f>COUNTIF('🚴 Riders'!A2925:A2985, C2926)</f>
        <v>0</v>
      </c>
      <c r="V2926">
        <f>COUNTIF('🏭 Facilities'!A2925:A2933, D2926)</f>
        <v>0</v>
      </c>
    </row>
    <row r="2927" spans="1:22">
      <c r="A2927" s="18" t="s">
        <v>6498</v>
      </c>
      <c r="B2927" s="18" t="s">
        <v>2995</v>
      </c>
      <c r="C2927" s="18" t="s">
        <v>354</v>
      </c>
      <c r="D2927" s="18" t="s">
        <v>115</v>
      </c>
      <c r="E2927" s="26">
        <v>45644</v>
      </c>
      <c r="F2927" s="18" t="s">
        <v>6499</v>
      </c>
      <c r="G2927" s="18" t="s">
        <v>117</v>
      </c>
      <c r="H2927" s="18">
        <v>3.9</v>
      </c>
      <c r="I2927" s="18">
        <v>149</v>
      </c>
      <c r="J2927" s="18">
        <v>10</v>
      </c>
      <c r="K2927" s="18">
        <v>522.99</v>
      </c>
      <c r="L2927" s="18" t="s">
        <v>118</v>
      </c>
      <c r="M2927" s="18" t="s">
        <v>119</v>
      </c>
      <c r="N2927" s="28">
        <v>45644.124305555553</v>
      </c>
      <c r="O2927" s="28">
        <v>45645.010416666664</v>
      </c>
      <c r="P2927" s="18">
        <v>4</v>
      </c>
      <c r="Q2927" s="18" t="b">
        <f>FALSE()</f>
        <v>0</v>
      </c>
      <c r="R2927" s="18" t="b">
        <f>FALSE()</f>
        <v>0</v>
      </c>
      <c r="S2927" s="19">
        <f t="shared" si="45"/>
        <v>21.3</v>
      </c>
      <c r="T2927">
        <f>COUNTIF('👤 Customers'!$A:$A, B2927)</f>
        <v>1</v>
      </c>
      <c r="U2927">
        <f>COUNTIF('🚴 Riders'!A2926:A2986, C2927)</f>
        <v>0</v>
      </c>
      <c r="V2927">
        <f>COUNTIF('🏭 Facilities'!A2926:A2934, D2927)</f>
        <v>0</v>
      </c>
    </row>
    <row r="2928" spans="1:22">
      <c r="A2928" s="16" t="s">
        <v>6500</v>
      </c>
      <c r="B2928" s="16" t="s">
        <v>1036</v>
      </c>
      <c r="C2928" s="16" t="s">
        <v>339</v>
      </c>
      <c r="D2928" s="16" t="s">
        <v>184</v>
      </c>
      <c r="E2928" s="25">
        <v>45645</v>
      </c>
      <c r="F2928" s="16" t="s">
        <v>6501</v>
      </c>
      <c r="G2928" s="16" t="s">
        <v>125</v>
      </c>
      <c r="H2928" s="16">
        <v>1.5</v>
      </c>
      <c r="I2928" s="16">
        <v>199</v>
      </c>
      <c r="J2928" s="16">
        <v>20</v>
      </c>
      <c r="K2928" s="16">
        <v>238.8</v>
      </c>
      <c r="L2928" s="16" t="s">
        <v>139</v>
      </c>
      <c r="M2928" s="16" t="s">
        <v>140</v>
      </c>
      <c r="N2928" s="27">
        <v>45645.311111111114</v>
      </c>
      <c r="O2928" s="27">
        <v>45646.286111111112</v>
      </c>
      <c r="P2928" s="20"/>
      <c r="Q2928" s="16" t="b">
        <f>FALSE()</f>
        <v>0</v>
      </c>
      <c r="R2928" s="16" t="b">
        <f>TRUE()</f>
        <v>1</v>
      </c>
      <c r="S2928" s="17">
        <f t="shared" si="45"/>
        <v>23.4</v>
      </c>
      <c r="T2928">
        <f>COUNTIF('👤 Customers'!$A:$A, B2928)</f>
        <v>1</v>
      </c>
      <c r="U2928">
        <f>COUNTIF('🚴 Riders'!A2927:A2987, C2928)</f>
        <v>0</v>
      </c>
      <c r="V2928">
        <f>COUNTIF('🏭 Facilities'!A2927:A2935, D2928)</f>
        <v>0</v>
      </c>
    </row>
    <row r="2929" spans="1:22">
      <c r="A2929" s="18" t="s">
        <v>6502</v>
      </c>
      <c r="B2929" s="18" t="s">
        <v>2976</v>
      </c>
      <c r="C2929" s="18" t="s">
        <v>304</v>
      </c>
      <c r="D2929" s="18" t="s">
        <v>184</v>
      </c>
      <c r="E2929" s="26">
        <v>44983</v>
      </c>
      <c r="F2929" s="18" t="s">
        <v>6503</v>
      </c>
      <c r="G2929" s="18" t="s">
        <v>117</v>
      </c>
      <c r="H2929" s="18">
        <v>6.5</v>
      </c>
      <c r="I2929" s="18">
        <v>149</v>
      </c>
      <c r="J2929" s="18">
        <v>0</v>
      </c>
      <c r="K2929" s="18">
        <v>968.5</v>
      </c>
      <c r="L2929" s="18" t="s">
        <v>118</v>
      </c>
      <c r="M2929" s="18" t="s">
        <v>119</v>
      </c>
      <c r="N2929" s="28">
        <v>44983.12222222222</v>
      </c>
      <c r="O2929" s="28">
        <v>44983.803472222222</v>
      </c>
      <c r="P2929" s="18">
        <v>2.6</v>
      </c>
      <c r="Q2929" s="18" t="b">
        <f>FALSE()</f>
        <v>0</v>
      </c>
      <c r="R2929" s="18" t="b">
        <f>FALSE()</f>
        <v>0</v>
      </c>
      <c r="S2929" s="19">
        <f t="shared" si="45"/>
        <v>16.399999999999999</v>
      </c>
      <c r="T2929">
        <f>COUNTIF('👤 Customers'!$A:$A, B2929)</f>
        <v>1</v>
      </c>
      <c r="U2929">
        <f>COUNTIF('🚴 Riders'!A2928:A2988, C2929)</f>
        <v>0</v>
      </c>
      <c r="V2929">
        <f>COUNTIF('🏭 Facilities'!A2928:A2936, D2929)</f>
        <v>0</v>
      </c>
    </row>
    <row r="2930" spans="1:22">
      <c r="A2930" s="16" t="s">
        <v>6504</v>
      </c>
      <c r="B2930" s="16" t="s">
        <v>447</v>
      </c>
      <c r="C2930" s="16" t="s">
        <v>717</v>
      </c>
      <c r="D2930" s="16" t="s">
        <v>205</v>
      </c>
      <c r="E2930" s="25">
        <v>45586</v>
      </c>
      <c r="F2930" s="16" t="s">
        <v>6505</v>
      </c>
      <c r="G2930" s="16" t="s">
        <v>117</v>
      </c>
      <c r="H2930" s="16">
        <v>2.8</v>
      </c>
      <c r="I2930" s="16">
        <v>149</v>
      </c>
      <c r="J2930" s="16">
        <v>0</v>
      </c>
      <c r="K2930" s="16">
        <v>417.2</v>
      </c>
      <c r="L2930" s="16" t="s">
        <v>207</v>
      </c>
      <c r="M2930" s="16" t="s">
        <v>133</v>
      </c>
      <c r="N2930" s="20"/>
      <c r="O2930" s="20"/>
      <c r="P2930" s="20"/>
      <c r="Q2930" s="16" t="b">
        <f>FALSE()</f>
        <v>0</v>
      </c>
      <c r="R2930" s="16" t="b">
        <f>TRUE()</f>
        <v>1</v>
      </c>
      <c r="S2930" s="17" t="str">
        <f t="shared" si="45"/>
        <v>N/A</v>
      </c>
      <c r="T2930">
        <f>COUNTIF('👤 Customers'!$A:$A, B2930)</f>
        <v>1</v>
      </c>
      <c r="U2930">
        <f>COUNTIF('🚴 Riders'!A2929:A2989, C2930)</f>
        <v>0</v>
      </c>
      <c r="V2930">
        <f>COUNTIF('🏭 Facilities'!A2929:A2937, D2930)</f>
        <v>0</v>
      </c>
    </row>
    <row r="2931" spans="1:22">
      <c r="A2931" s="18" t="s">
        <v>6506</v>
      </c>
      <c r="B2931" s="18" t="s">
        <v>1317</v>
      </c>
      <c r="C2931" s="18" t="s">
        <v>300</v>
      </c>
      <c r="D2931" s="18" t="s">
        <v>130</v>
      </c>
      <c r="E2931" s="26">
        <v>45622</v>
      </c>
      <c r="F2931" s="18" t="s">
        <v>6507</v>
      </c>
      <c r="G2931" s="18" t="s">
        <v>176</v>
      </c>
      <c r="H2931" s="18">
        <v>5.0999999999999996</v>
      </c>
      <c r="I2931" s="18">
        <v>599</v>
      </c>
      <c r="J2931" s="18">
        <v>0</v>
      </c>
      <c r="K2931" s="18">
        <v>3054.9</v>
      </c>
      <c r="L2931" s="18" t="s">
        <v>146</v>
      </c>
      <c r="M2931" s="18" t="s">
        <v>119</v>
      </c>
      <c r="N2931" s="28">
        <v>45622.385416666664</v>
      </c>
      <c r="O2931" s="28">
        <v>45622.814583333333</v>
      </c>
      <c r="P2931" s="18">
        <v>2.6</v>
      </c>
      <c r="Q2931" s="18" t="b">
        <f>FALSE()</f>
        <v>0</v>
      </c>
      <c r="R2931" s="18" t="b">
        <f>FALSE()</f>
        <v>0</v>
      </c>
      <c r="S2931" s="19">
        <f t="shared" si="45"/>
        <v>10.3</v>
      </c>
      <c r="T2931">
        <f>COUNTIF('👤 Customers'!$A:$A, B2931)</f>
        <v>1</v>
      </c>
      <c r="U2931">
        <f>COUNTIF('🚴 Riders'!A2930:A2990, C2931)</f>
        <v>0</v>
      </c>
      <c r="V2931">
        <f>COUNTIF('🏭 Facilities'!A2930:A2938, D2931)</f>
        <v>0</v>
      </c>
    </row>
    <row r="2932" spans="1:22">
      <c r="A2932" s="16" t="s">
        <v>6508</v>
      </c>
      <c r="B2932" s="16" t="s">
        <v>701</v>
      </c>
      <c r="C2932" s="16" t="s">
        <v>257</v>
      </c>
      <c r="D2932" s="16" t="s">
        <v>205</v>
      </c>
      <c r="E2932" s="25">
        <v>44988</v>
      </c>
      <c r="F2932" s="16" t="s">
        <v>6509</v>
      </c>
      <c r="G2932" s="16" t="s">
        <v>125</v>
      </c>
      <c r="H2932" s="16">
        <v>7.9</v>
      </c>
      <c r="I2932" s="16">
        <v>199</v>
      </c>
      <c r="J2932" s="16">
        <v>0</v>
      </c>
      <c r="K2932" s="16">
        <v>1572.1</v>
      </c>
      <c r="L2932" s="16" t="s">
        <v>126</v>
      </c>
      <c r="M2932" s="16" t="s">
        <v>140</v>
      </c>
      <c r="N2932" s="27">
        <v>44988.604861111111</v>
      </c>
      <c r="O2932" s="27">
        <v>44989.522916666669</v>
      </c>
      <c r="P2932" s="20"/>
      <c r="Q2932" s="16" t="b">
        <f>FALSE()</f>
        <v>0</v>
      </c>
      <c r="R2932" s="16" t="b">
        <f>TRUE()</f>
        <v>1</v>
      </c>
      <c r="S2932" s="17">
        <f t="shared" si="45"/>
        <v>22</v>
      </c>
      <c r="T2932">
        <f>COUNTIF('👤 Customers'!$A:$A, B2932)</f>
        <v>1</v>
      </c>
      <c r="U2932">
        <f>COUNTIF('🚴 Riders'!A2931:A2991, C2932)</f>
        <v>0</v>
      </c>
      <c r="V2932">
        <f>COUNTIF('🏭 Facilities'!A2931:A2939, D2932)</f>
        <v>0</v>
      </c>
    </row>
    <row r="2933" spans="1:22">
      <c r="A2933" s="18" t="s">
        <v>6510</v>
      </c>
      <c r="B2933" s="18" t="s">
        <v>1111</v>
      </c>
      <c r="C2933" s="18" t="s">
        <v>350</v>
      </c>
      <c r="D2933" s="18" t="s">
        <v>197</v>
      </c>
      <c r="E2933" s="26">
        <v>45366</v>
      </c>
      <c r="F2933" s="18" t="s">
        <v>6511</v>
      </c>
      <c r="G2933" s="18" t="s">
        <v>117</v>
      </c>
      <c r="H2933" s="18">
        <v>5.2</v>
      </c>
      <c r="I2933" s="18">
        <v>149</v>
      </c>
      <c r="J2933" s="18">
        <v>0</v>
      </c>
      <c r="K2933" s="18">
        <v>774.8</v>
      </c>
      <c r="L2933" s="18" t="s">
        <v>139</v>
      </c>
      <c r="M2933" s="18" t="s">
        <v>119</v>
      </c>
      <c r="N2933" s="28">
        <v>45366.806944444441</v>
      </c>
      <c r="O2933" s="28">
        <v>45367.186805555553</v>
      </c>
      <c r="P2933" s="18">
        <v>3.1</v>
      </c>
      <c r="Q2933" s="18" t="b">
        <f>FALSE()</f>
        <v>0</v>
      </c>
      <c r="R2933" s="18" t="b">
        <f>FALSE()</f>
        <v>0</v>
      </c>
      <c r="S2933" s="19">
        <f t="shared" si="45"/>
        <v>9.1</v>
      </c>
      <c r="T2933">
        <f>COUNTIF('👤 Customers'!$A:$A, B2933)</f>
        <v>1</v>
      </c>
      <c r="U2933">
        <f>COUNTIF('🚴 Riders'!A2932:A2992, C2933)</f>
        <v>0</v>
      </c>
      <c r="V2933">
        <f>COUNTIF('🏭 Facilities'!A2932:A2940, D2933)</f>
        <v>0</v>
      </c>
    </row>
    <row r="2934" spans="1:22">
      <c r="A2934" s="16" t="s">
        <v>6512</v>
      </c>
      <c r="B2934" s="16" t="s">
        <v>1554</v>
      </c>
      <c r="C2934" s="16" t="s">
        <v>228</v>
      </c>
      <c r="D2934" s="16" t="s">
        <v>184</v>
      </c>
      <c r="E2934" s="25">
        <v>45300</v>
      </c>
      <c r="F2934" s="16" t="s">
        <v>6513</v>
      </c>
      <c r="G2934" s="16" t="s">
        <v>145</v>
      </c>
      <c r="H2934" s="16">
        <v>7</v>
      </c>
      <c r="I2934" s="16">
        <v>299</v>
      </c>
      <c r="J2934" s="16">
        <v>30</v>
      </c>
      <c r="K2934" s="16">
        <v>1465.1</v>
      </c>
      <c r="L2934" s="16" t="s">
        <v>207</v>
      </c>
      <c r="M2934" s="16" t="s">
        <v>140</v>
      </c>
      <c r="N2934" s="27">
        <v>45300.70208333333</v>
      </c>
      <c r="O2934" s="27">
        <v>45301.199305555558</v>
      </c>
      <c r="P2934" s="20"/>
      <c r="Q2934" s="16" t="b">
        <f>FALSE()</f>
        <v>0</v>
      </c>
      <c r="R2934" s="16" t="b">
        <f>TRUE()</f>
        <v>1</v>
      </c>
      <c r="S2934" s="17">
        <f t="shared" si="45"/>
        <v>11.9</v>
      </c>
      <c r="T2934">
        <f>COUNTIF('👤 Customers'!$A:$A, B2934)</f>
        <v>1</v>
      </c>
      <c r="U2934">
        <f>COUNTIF('🚴 Riders'!A2933:A2993, C2934)</f>
        <v>0</v>
      </c>
      <c r="V2934">
        <f>COUNTIF('🏭 Facilities'!A2933:A2941, D2934)</f>
        <v>0</v>
      </c>
    </row>
    <row r="2935" spans="1:22">
      <c r="A2935" s="18" t="s">
        <v>6514</v>
      </c>
      <c r="B2935" s="18" t="s">
        <v>660</v>
      </c>
      <c r="C2935" s="18" t="s">
        <v>431</v>
      </c>
      <c r="D2935" s="18" t="s">
        <v>123</v>
      </c>
      <c r="E2935" s="26">
        <v>45119</v>
      </c>
      <c r="F2935" s="18" t="s">
        <v>6515</v>
      </c>
      <c r="G2935" s="18" t="s">
        <v>125</v>
      </c>
      <c r="H2935" s="18">
        <v>5.0999999999999996</v>
      </c>
      <c r="I2935" s="18">
        <v>199</v>
      </c>
      <c r="J2935" s="18">
        <v>0</v>
      </c>
      <c r="K2935" s="18">
        <v>1014.9</v>
      </c>
      <c r="L2935" s="18" t="s">
        <v>118</v>
      </c>
      <c r="M2935" s="18" t="s">
        <v>119</v>
      </c>
      <c r="N2935" s="28">
        <v>45119.286805555559</v>
      </c>
      <c r="O2935" s="28">
        <v>45119.840277777781</v>
      </c>
      <c r="P2935" s="18">
        <v>3.2</v>
      </c>
      <c r="Q2935" s="18" t="b">
        <f>FALSE()</f>
        <v>0</v>
      </c>
      <c r="R2935" s="18" t="b">
        <f>FALSE()</f>
        <v>0</v>
      </c>
      <c r="S2935" s="19">
        <f t="shared" si="45"/>
        <v>13.3</v>
      </c>
      <c r="T2935">
        <f>COUNTIF('👤 Customers'!$A:$A, B2935)</f>
        <v>1</v>
      </c>
      <c r="U2935">
        <f>COUNTIF('🚴 Riders'!A2934:A2994, C2935)</f>
        <v>0</v>
      </c>
      <c r="V2935">
        <f>COUNTIF('🏭 Facilities'!A2934:A2942, D2935)</f>
        <v>0</v>
      </c>
    </row>
    <row r="2936" spans="1:22">
      <c r="A2936" s="16" t="s">
        <v>6516</v>
      </c>
      <c r="B2936" s="16" t="s">
        <v>2164</v>
      </c>
      <c r="C2936" s="16" t="s">
        <v>536</v>
      </c>
      <c r="D2936" s="16" t="s">
        <v>197</v>
      </c>
      <c r="E2936" s="25">
        <v>45518</v>
      </c>
      <c r="F2936" s="16" t="s">
        <v>6517</v>
      </c>
      <c r="G2936" s="16" t="s">
        <v>176</v>
      </c>
      <c r="H2936" s="16">
        <v>5.2</v>
      </c>
      <c r="I2936" s="16">
        <v>599</v>
      </c>
      <c r="J2936" s="16">
        <v>10</v>
      </c>
      <c r="K2936" s="16">
        <v>2803.32</v>
      </c>
      <c r="L2936" s="16" t="s">
        <v>126</v>
      </c>
      <c r="M2936" s="16" t="s">
        <v>119</v>
      </c>
      <c r="N2936" s="27">
        <v>45518.268750000003</v>
      </c>
      <c r="O2936" s="27">
        <v>45518.678472222222</v>
      </c>
      <c r="P2936" s="16">
        <v>4.5999999999999996</v>
      </c>
      <c r="Q2936" s="16" t="b">
        <f>FALSE()</f>
        <v>0</v>
      </c>
      <c r="R2936" s="16" t="b">
        <f>FALSE()</f>
        <v>0</v>
      </c>
      <c r="S2936" s="17">
        <f t="shared" si="45"/>
        <v>9.8000000000000007</v>
      </c>
      <c r="T2936">
        <f>COUNTIF('👤 Customers'!$A:$A, B2936)</f>
        <v>1</v>
      </c>
      <c r="U2936">
        <f>COUNTIF('🚴 Riders'!A2935:A2995, C2936)</f>
        <v>0</v>
      </c>
      <c r="V2936">
        <f>COUNTIF('🏭 Facilities'!A2935:A2943, D2936)</f>
        <v>0</v>
      </c>
    </row>
    <row r="2937" spans="1:22">
      <c r="A2937" s="18" t="s">
        <v>6518</v>
      </c>
      <c r="B2937" s="18" t="s">
        <v>646</v>
      </c>
      <c r="C2937" s="18" t="s">
        <v>166</v>
      </c>
      <c r="D2937" s="18" t="s">
        <v>137</v>
      </c>
      <c r="E2937" s="26">
        <v>45418</v>
      </c>
      <c r="F2937" s="18" t="s">
        <v>6519</v>
      </c>
      <c r="G2937" s="18" t="s">
        <v>132</v>
      </c>
      <c r="H2937" s="18">
        <v>2.9</v>
      </c>
      <c r="I2937" s="18">
        <v>399</v>
      </c>
      <c r="J2937" s="18">
        <v>10</v>
      </c>
      <c r="K2937" s="18">
        <v>1041.3900000000001</v>
      </c>
      <c r="L2937" s="18" t="s">
        <v>146</v>
      </c>
      <c r="M2937" s="18" t="s">
        <v>140</v>
      </c>
      <c r="N2937" s="28">
        <v>45418.505555555559</v>
      </c>
      <c r="O2937" s="28">
        <v>45419.226388888892</v>
      </c>
      <c r="P2937" s="20"/>
      <c r="Q2937" s="18" t="b">
        <f>FALSE()</f>
        <v>0</v>
      </c>
      <c r="R2937" s="18" t="b">
        <f>FALSE()</f>
        <v>0</v>
      </c>
      <c r="S2937" s="19">
        <f t="shared" si="45"/>
        <v>17.3</v>
      </c>
      <c r="T2937">
        <f>COUNTIF('👤 Customers'!$A:$A, B2937)</f>
        <v>1</v>
      </c>
      <c r="U2937">
        <f>COUNTIF('🚴 Riders'!A2936:A2996, C2937)</f>
        <v>0</v>
      </c>
      <c r="V2937">
        <f>COUNTIF('🏭 Facilities'!A2936:A2944, D2937)</f>
        <v>0</v>
      </c>
    </row>
    <row r="2938" spans="1:22">
      <c r="A2938" s="16" t="s">
        <v>6520</v>
      </c>
      <c r="B2938" s="16" t="s">
        <v>1694</v>
      </c>
      <c r="C2938" s="16" t="s">
        <v>308</v>
      </c>
      <c r="D2938" s="16" t="s">
        <v>184</v>
      </c>
      <c r="E2938" s="25">
        <v>45373</v>
      </c>
      <c r="F2938" s="16" t="s">
        <v>6521</v>
      </c>
      <c r="G2938" s="16" t="s">
        <v>125</v>
      </c>
      <c r="H2938" s="16">
        <v>6</v>
      </c>
      <c r="I2938" s="16">
        <v>199</v>
      </c>
      <c r="J2938" s="16">
        <v>0</v>
      </c>
      <c r="K2938" s="16">
        <v>1194</v>
      </c>
      <c r="L2938" s="16" t="s">
        <v>146</v>
      </c>
      <c r="M2938" s="16" t="s">
        <v>119</v>
      </c>
      <c r="N2938" s="27">
        <v>45373.540972222225</v>
      </c>
      <c r="O2938" s="27">
        <v>45374.5625</v>
      </c>
      <c r="P2938" s="16">
        <v>4.2</v>
      </c>
      <c r="Q2938" s="16" t="b">
        <f>FALSE()</f>
        <v>0</v>
      </c>
      <c r="R2938" s="16" t="b">
        <f>FALSE()</f>
        <v>0</v>
      </c>
      <c r="S2938" s="17">
        <f t="shared" si="45"/>
        <v>24.5</v>
      </c>
      <c r="T2938">
        <f>COUNTIF('👤 Customers'!$A:$A, B2938)</f>
        <v>1</v>
      </c>
      <c r="U2938">
        <f>COUNTIF('🚴 Riders'!A2937:A2997, C2938)</f>
        <v>0</v>
      </c>
      <c r="V2938">
        <f>COUNTIF('🏭 Facilities'!A2937:A2945, D2938)</f>
        <v>0</v>
      </c>
    </row>
    <row r="2939" spans="1:22">
      <c r="A2939" s="18" t="s">
        <v>6522</v>
      </c>
      <c r="B2939" s="18" t="s">
        <v>3831</v>
      </c>
      <c r="C2939" s="18" t="s">
        <v>326</v>
      </c>
      <c r="D2939" s="18" t="s">
        <v>115</v>
      </c>
      <c r="E2939" s="26">
        <v>45598</v>
      </c>
      <c r="F2939" s="18" t="s">
        <v>6523</v>
      </c>
      <c r="G2939" s="18" t="s">
        <v>176</v>
      </c>
      <c r="H2939" s="18">
        <v>2.8</v>
      </c>
      <c r="I2939" s="18">
        <v>599</v>
      </c>
      <c r="J2939" s="18">
        <v>0</v>
      </c>
      <c r="K2939" s="18">
        <v>1677.2</v>
      </c>
      <c r="L2939" s="18" t="s">
        <v>146</v>
      </c>
      <c r="M2939" s="18" t="s">
        <v>133</v>
      </c>
      <c r="N2939" s="20"/>
      <c r="O2939" s="20"/>
      <c r="P2939" s="20"/>
      <c r="Q2939" s="18" t="b">
        <f>TRUE()</f>
        <v>1</v>
      </c>
      <c r="R2939" s="18" t="b">
        <f>FALSE()</f>
        <v>0</v>
      </c>
      <c r="S2939" s="19" t="str">
        <f t="shared" si="45"/>
        <v>N/A</v>
      </c>
      <c r="T2939">
        <f>COUNTIF('👤 Customers'!$A:$A, B2939)</f>
        <v>1</v>
      </c>
      <c r="U2939">
        <f>COUNTIF('🚴 Riders'!A2938:A2998, C2939)</f>
        <v>0</v>
      </c>
      <c r="V2939">
        <f>COUNTIF('🏭 Facilities'!A2938:A2946, D2939)</f>
        <v>0</v>
      </c>
    </row>
    <row r="2940" spans="1:22">
      <c r="A2940" s="16" t="s">
        <v>6524</v>
      </c>
      <c r="B2940" s="16" t="s">
        <v>495</v>
      </c>
      <c r="C2940" s="16" t="s">
        <v>213</v>
      </c>
      <c r="D2940" s="16" t="s">
        <v>130</v>
      </c>
      <c r="E2940" s="25">
        <v>45511</v>
      </c>
      <c r="F2940" s="16" t="s">
        <v>6525</v>
      </c>
      <c r="G2940" s="16" t="s">
        <v>132</v>
      </c>
      <c r="H2940" s="16">
        <v>4.3</v>
      </c>
      <c r="I2940" s="16">
        <v>399</v>
      </c>
      <c r="J2940" s="16">
        <v>10</v>
      </c>
      <c r="K2940" s="16">
        <v>1544.13</v>
      </c>
      <c r="L2940" s="16" t="s">
        <v>139</v>
      </c>
      <c r="M2940" s="16" t="s">
        <v>140</v>
      </c>
      <c r="N2940" s="27">
        <v>45511.19027777778</v>
      </c>
      <c r="O2940" s="27">
        <v>45511.816666666666</v>
      </c>
      <c r="P2940" s="20"/>
      <c r="Q2940" s="16" t="b">
        <f>FALSE()</f>
        <v>0</v>
      </c>
      <c r="R2940" s="16" t="b">
        <f>FALSE()</f>
        <v>0</v>
      </c>
      <c r="S2940" s="17">
        <f t="shared" si="45"/>
        <v>15</v>
      </c>
      <c r="T2940">
        <f>COUNTIF('👤 Customers'!$A:$A, B2940)</f>
        <v>1</v>
      </c>
      <c r="U2940">
        <f>COUNTIF('🚴 Riders'!A2939:A2999, C2940)</f>
        <v>0</v>
      </c>
      <c r="V2940">
        <f>COUNTIF('🏭 Facilities'!A2939:A2947, D2940)</f>
        <v>0</v>
      </c>
    </row>
    <row r="2941" spans="1:22">
      <c r="A2941" s="18" t="s">
        <v>6526</v>
      </c>
      <c r="B2941" s="18" t="s">
        <v>495</v>
      </c>
      <c r="C2941" s="18" t="s">
        <v>717</v>
      </c>
      <c r="D2941" s="18" t="s">
        <v>123</v>
      </c>
      <c r="E2941" s="26">
        <v>45139</v>
      </c>
      <c r="F2941" s="18" t="s">
        <v>6527</v>
      </c>
      <c r="G2941" s="18" t="s">
        <v>132</v>
      </c>
      <c r="H2941" s="18">
        <v>3.5</v>
      </c>
      <c r="I2941" s="18">
        <v>399</v>
      </c>
      <c r="J2941" s="18">
        <v>0</v>
      </c>
      <c r="K2941" s="18">
        <v>1396.5</v>
      </c>
      <c r="L2941" s="18" t="s">
        <v>139</v>
      </c>
      <c r="M2941" s="18" t="s">
        <v>133</v>
      </c>
      <c r="N2941" s="20"/>
      <c r="O2941" s="20"/>
      <c r="P2941" s="20"/>
      <c r="Q2941" s="18" t="b">
        <f>FALSE()</f>
        <v>0</v>
      </c>
      <c r="R2941" s="18" t="b">
        <f>FALSE()</f>
        <v>0</v>
      </c>
      <c r="S2941" s="19" t="str">
        <f t="shared" si="45"/>
        <v>N/A</v>
      </c>
      <c r="T2941">
        <f>COUNTIF('👤 Customers'!$A:$A, B2941)</f>
        <v>1</v>
      </c>
      <c r="U2941">
        <f>COUNTIF('🚴 Riders'!A2940:A3000, C2941)</f>
        <v>0</v>
      </c>
      <c r="V2941">
        <f>COUNTIF('🏭 Facilities'!A2940:A2948, D2941)</f>
        <v>0</v>
      </c>
    </row>
    <row r="2942" spans="1:22">
      <c r="A2942" s="16" t="s">
        <v>6528</v>
      </c>
      <c r="B2942" s="16" t="s">
        <v>1743</v>
      </c>
      <c r="C2942" s="16" t="s">
        <v>188</v>
      </c>
      <c r="D2942" s="16" t="s">
        <v>123</v>
      </c>
      <c r="E2942" s="25">
        <v>45257</v>
      </c>
      <c r="F2942" s="16" t="s">
        <v>6529</v>
      </c>
      <c r="G2942" s="16" t="s">
        <v>145</v>
      </c>
      <c r="H2942" s="16">
        <v>6.3</v>
      </c>
      <c r="I2942" s="16">
        <v>299</v>
      </c>
      <c r="J2942" s="16">
        <v>10</v>
      </c>
      <c r="K2942" s="16">
        <v>1695.33</v>
      </c>
      <c r="L2942" s="16" t="s">
        <v>207</v>
      </c>
      <c r="M2942" s="16" t="s">
        <v>119</v>
      </c>
      <c r="N2942" s="27">
        <v>45257.293749999997</v>
      </c>
      <c r="O2942" s="27">
        <v>45258.11041666667</v>
      </c>
      <c r="P2942" s="16">
        <v>3.4</v>
      </c>
      <c r="Q2942" s="16" t="b">
        <f>FALSE()</f>
        <v>0</v>
      </c>
      <c r="R2942" s="16" t="b">
        <f>FALSE()</f>
        <v>0</v>
      </c>
      <c r="S2942" s="17">
        <f t="shared" si="45"/>
        <v>19.600000000000001</v>
      </c>
      <c r="T2942">
        <f>COUNTIF('👤 Customers'!$A:$A, B2942)</f>
        <v>1</v>
      </c>
      <c r="U2942">
        <f>COUNTIF('🚴 Riders'!A2941:A3001, C2942)</f>
        <v>0</v>
      </c>
      <c r="V2942">
        <f>COUNTIF('🏭 Facilities'!A2941:A2949, D2942)</f>
        <v>0</v>
      </c>
    </row>
    <row r="2943" spans="1:22">
      <c r="A2943" s="18" t="s">
        <v>6530</v>
      </c>
      <c r="B2943" s="18" t="s">
        <v>3700</v>
      </c>
      <c r="C2943" s="18" t="s">
        <v>114</v>
      </c>
      <c r="D2943" s="18" t="s">
        <v>197</v>
      </c>
      <c r="E2943" s="26">
        <v>45014</v>
      </c>
      <c r="F2943" s="18" t="s">
        <v>6531</v>
      </c>
      <c r="G2943" s="18" t="s">
        <v>145</v>
      </c>
      <c r="H2943" s="18">
        <v>4</v>
      </c>
      <c r="I2943" s="18">
        <v>299</v>
      </c>
      <c r="J2943" s="18">
        <v>0</v>
      </c>
      <c r="K2943" s="18">
        <v>1196</v>
      </c>
      <c r="L2943" s="18" t="s">
        <v>126</v>
      </c>
      <c r="M2943" s="18" t="s">
        <v>119</v>
      </c>
      <c r="N2943" s="28">
        <v>45015.041666666664</v>
      </c>
      <c r="O2943" s="28">
        <v>45015.661805555559</v>
      </c>
      <c r="P2943" s="18">
        <v>4.0999999999999996</v>
      </c>
      <c r="Q2943" s="18" t="b">
        <f>FALSE()</f>
        <v>0</v>
      </c>
      <c r="R2943" s="18" t="b">
        <f>FALSE()</f>
        <v>0</v>
      </c>
      <c r="S2943" s="19">
        <f t="shared" si="45"/>
        <v>14.9</v>
      </c>
      <c r="T2943">
        <f>COUNTIF('👤 Customers'!$A:$A, B2943)</f>
        <v>1</v>
      </c>
      <c r="U2943">
        <f>COUNTIF('🚴 Riders'!A2942:A3002, C2943)</f>
        <v>0</v>
      </c>
      <c r="V2943">
        <f>COUNTIF('🏭 Facilities'!A2942:A2950, D2943)</f>
        <v>0</v>
      </c>
    </row>
    <row r="2944" spans="1:22">
      <c r="A2944" s="16" t="s">
        <v>6532</v>
      </c>
      <c r="B2944" s="16" t="s">
        <v>631</v>
      </c>
      <c r="C2944" s="16" t="s">
        <v>261</v>
      </c>
      <c r="D2944" s="16" t="s">
        <v>123</v>
      </c>
      <c r="E2944" s="25">
        <v>45537</v>
      </c>
      <c r="F2944" s="16" t="s">
        <v>6533</v>
      </c>
      <c r="G2944" s="16" t="s">
        <v>132</v>
      </c>
      <c r="H2944" s="16">
        <v>6.6</v>
      </c>
      <c r="I2944" s="16">
        <v>399</v>
      </c>
      <c r="J2944" s="16">
        <v>10</v>
      </c>
      <c r="K2944" s="16">
        <v>2370.06</v>
      </c>
      <c r="L2944" s="16" t="s">
        <v>139</v>
      </c>
      <c r="M2944" s="16" t="s">
        <v>140</v>
      </c>
      <c r="N2944" s="27">
        <v>45537.804861111108</v>
      </c>
      <c r="O2944" s="27">
        <v>45538.87222222222</v>
      </c>
      <c r="P2944" s="20"/>
      <c r="Q2944" s="16" t="b">
        <f>FALSE()</f>
        <v>0</v>
      </c>
      <c r="R2944" s="16" t="b">
        <f>FALSE()</f>
        <v>0</v>
      </c>
      <c r="S2944" s="17">
        <f t="shared" si="45"/>
        <v>25.6</v>
      </c>
      <c r="T2944">
        <f>COUNTIF('👤 Customers'!$A:$A, B2944)</f>
        <v>1</v>
      </c>
      <c r="U2944">
        <f>COUNTIF('🚴 Riders'!A2943:A3003, C2944)</f>
        <v>0</v>
      </c>
      <c r="V2944">
        <f>COUNTIF('🏭 Facilities'!A2943:A2951, D2944)</f>
        <v>0</v>
      </c>
    </row>
    <row r="2945" spans="1:22">
      <c r="A2945" s="18" t="s">
        <v>6534</v>
      </c>
      <c r="B2945" s="18" t="s">
        <v>785</v>
      </c>
      <c r="C2945" s="18" t="s">
        <v>358</v>
      </c>
      <c r="D2945" s="18" t="s">
        <v>184</v>
      </c>
      <c r="E2945" s="26">
        <v>45567</v>
      </c>
      <c r="F2945" s="18" t="s">
        <v>6535</v>
      </c>
      <c r="G2945" s="18" t="s">
        <v>125</v>
      </c>
      <c r="H2945" s="18">
        <v>2.9</v>
      </c>
      <c r="I2945" s="18">
        <v>199</v>
      </c>
      <c r="J2945" s="18">
        <v>0</v>
      </c>
      <c r="K2945" s="18">
        <v>577.1</v>
      </c>
      <c r="L2945" s="18" t="s">
        <v>126</v>
      </c>
      <c r="M2945" s="18" t="s">
        <v>119</v>
      </c>
      <c r="N2945" s="28">
        <v>45567.849305555559</v>
      </c>
      <c r="O2945" s="28">
        <v>45568.569444444445</v>
      </c>
      <c r="P2945" s="18">
        <v>3.4</v>
      </c>
      <c r="Q2945" s="18" t="b">
        <f>FALSE()</f>
        <v>0</v>
      </c>
      <c r="R2945" s="18" t="b">
        <f>FALSE()</f>
        <v>0</v>
      </c>
      <c r="S2945" s="19">
        <f t="shared" si="45"/>
        <v>17.3</v>
      </c>
      <c r="T2945">
        <f>COUNTIF('👤 Customers'!$A:$A, B2945)</f>
        <v>1</v>
      </c>
      <c r="U2945">
        <f>COUNTIF('🚴 Riders'!A2944:A3004, C2945)</f>
        <v>0</v>
      </c>
      <c r="V2945">
        <f>COUNTIF('🏭 Facilities'!A2944:A2952, D2945)</f>
        <v>0</v>
      </c>
    </row>
    <row r="2946" spans="1:22">
      <c r="A2946" s="16" t="s">
        <v>6536</v>
      </c>
      <c r="B2946" s="16" t="s">
        <v>3332</v>
      </c>
      <c r="C2946" s="16" t="s">
        <v>179</v>
      </c>
      <c r="D2946" s="16" t="s">
        <v>205</v>
      </c>
      <c r="E2946" s="25">
        <v>45146</v>
      </c>
      <c r="F2946" s="16" t="s">
        <v>6537</v>
      </c>
      <c r="G2946" s="16" t="s">
        <v>125</v>
      </c>
      <c r="H2946" s="16">
        <v>5.5</v>
      </c>
      <c r="I2946" s="16">
        <v>199</v>
      </c>
      <c r="J2946" s="16">
        <v>10</v>
      </c>
      <c r="K2946" s="16">
        <v>985.05</v>
      </c>
      <c r="L2946" s="16" t="s">
        <v>139</v>
      </c>
      <c r="M2946" s="16" t="s">
        <v>140</v>
      </c>
      <c r="N2946" s="27">
        <v>45146.282638888886</v>
      </c>
      <c r="O2946" s="27">
        <v>45147.015972222223</v>
      </c>
      <c r="P2946" s="20"/>
      <c r="Q2946" s="16" t="b">
        <f>FALSE()</f>
        <v>0</v>
      </c>
      <c r="R2946" s="16" t="b">
        <f>FALSE()</f>
        <v>0</v>
      </c>
      <c r="S2946" s="17">
        <f t="shared" ref="S2946:S3001" si="46">IF(OR(N2946="",O2946=""),"N/A",ROUND(((O2946-N2946)*24),1))</f>
        <v>17.600000000000001</v>
      </c>
      <c r="T2946">
        <f>COUNTIF('👤 Customers'!$A:$A, B2946)</f>
        <v>1</v>
      </c>
      <c r="U2946">
        <f>COUNTIF('🚴 Riders'!A2945:A3005, C2946)</f>
        <v>0</v>
      </c>
      <c r="V2946">
        <f>COUNTIF('🏭 Facilities'!A2945:A2953, D2946)</f>
        <v>0</v>
      </c>
    </row>
    <row r="2947" spans="1:22">
      <c r="A2947" s="18" t="s">
        <v>6538</v>
      </c>
      <c r="B2947" s="18" t="s">
        <v>522</v>
      </c>
      <c r="C2947" s="18" t="s">
        <v>188</v>
      </c>
      <c r="D2947" s="18" t="s">
        <v>158</v>
      </c>
      <c r="E2947" s="26">
        <v>45127</v>
      </c>
      <c r="F2947" s="18" t="s">
        <v>6539</v>
      </c>
      <c r="G2947" s="18" t="s">
        <v>117</v>
      </c>
      <c r="H2947" s="18">
        <v>7.5</v>
      </c>
      <c r="I2947" s="18">
        <v>149</v>
      </c>
      <c r="J2947" s="18">
        <v>0</v>
      </c>
      <c r="K2947" s="18">
        <v>1117.5</v>
      </c>
      <c r="L2947" s="18" t="s">
        <v>207</v>
      </c>
      <c r="M2947" s="18" t="s">
        <v>119</v>
      </c>
      <c r="N2947" s="28">
        <v>45127.725694444445</v>
      </c>
      <c r="O2947" s="28">
        <v>45128.325694444444</v>
      </c>
      <c r="P2947" s="18">
        <v>3.1</v>
      </c>
      <c r="Q2947" s="18" t="b">
        <f>FALSE()</f>
        <v>0</v>
      </c>
      <c r="R2947" s="18" t="b">
        <f>FALSE()</f>
        <v>0</v>
      </c>
      <c r="S2947" s="19">
        <f t="shared" si="46"/>
        <v>14.4</v>
      </c>
      <c r="T2947">
        <f>COUNTIF('👤 Customers'!$A:$A, B2947)</f>
        <v>1</v>
      </c>
      <c r="U2947">
        <f>COUNTIF('🚴 Riders'!A2946:A3006, C2947)</f>
        <v>0</v>
      </c>
      <c r="V2947">
        <f>COUNTIF('🏭 Facilities'!A2946:A2954, D2947)</f>
        <v>0</v>
      </c>
    </row>
    <row r="2948" spans="1:22">
      <c r="A2948" s="16" t="s">
        <v>6540</v>
      </c>
      <c r="B2948" s="16" t="s">
        <v>890</v>
      </c>
      <c r="C2948" s="16" t="s">
        <v>304</v>
      </c>
      <c r="D2948" s="16" t="s">
        <v>115</v>
      </c>
      <c r="E2948" s="25">
        <v>45069</v>
      </c>
      <c r="F2948" s="16" t="s">
        <v>6541</v>
      </c>
      <c r="G2948" s="16" t="s">
        <v>125</v>
      </c>
      <c r="H2948" s="16">
        <v>6</v>
      </c>
      <c r="I2948" s="16">
        <v>199</v>
      </c>
      <c r="J2948" s="16">
        <v>30</v>
      </c>
      <c r="K2948" s="16">
        <v>835.8</v>
      </c>
      <c r="L2948" s="16" t="s">
        <v>207</v>
      </c>
      <c r="M2948" s="16" t="s">
        <v>119</v>
      </c>
      <c r="N2948" s="27">
        <v>45069.884722222225</v>
      </c>
      <c r="O2948" s="27">
        <v>45070.929166666669</v>
      </c>
      <c r="P2948" s="16">
        <v>3.7</v>
      </c>
      <c r="Q2948" s="16" t="b">
        <f>FALSE()</f>
        <v>0</v>
      </c>
      <c r="R2948" s="16" t="b">
        <f>TRUE()</f>
        <v>1</v>
      </c>
      <c r="S2948" s="17">
        <f t="shared" si="46"/>
        <v>25.1</v>
      </c>
      <c r="T2948">
        <f>COUNTIF('👤 Customers'!$A:$A, B2948)</f>
        <v>1</v>
      </c>
      <c r="U2948">
        <f>COUNTIF('🚴 Riders'!A2947:A3007, C2948)</f>
        <v>0</v>
      </c>
      <c r="V2948">
        <f>COUNTIF('🏭 Facilities'!A2947:A2955, D2948)</f>
        <v>0</v>
      </c>
    </row>
    <row r="2949" spans="1:22">
      <c r="A2949" s="18" t="s">
        <v>6542</v>
      </c>
      <c r="B2949" s="18" t="s">
        <v>1850</v>
      </c>
      <c r="C2949" s="18" t="s">
        <v>136</v>
      </c>
      <c r="D2949" s="18" t="s">
        <v>123</v>
      </c>
      <c r="E2949" s="26">
        <v>45412</v>
      </c>
      <c r="F2949" s="18" t="s">
        <v>6543</v>
      </c>
      <c r="G2949" s="18" t="s">
        <v>132</v>
      </c>
      <c r="H2949" s="18">
        <v>4.3</v>
      </c>
      <c r="I2949" s="18">
        <v>399</v>
      </c>
      <c r="J2949" s="18">
        <v>0</v>
      </c>
      <c r="K2949" s="18">
        <v>1715.7</v>
      </c>
      <c r="L2949" s="18" t="s">
        <v>207</v>
      </c>
      <c r="M2949" s="18" t="s">
        <v>140</v>
      </c>
      <c r="N2949" s="28">
        <v>45412.568055555559</v>
      </c>
      <c r="O2949" s="28">
        <v>45413.281944444447</v>
      </c>
      <c r="P2949" s="20"/>
      <c r="Q2949" s="18" t="b">
        <f>FALSE()</f>
        <v>0</v>
      </c>
      <c r="R2949" s="18" t="b">
        <f>FALSE()</f>
        <v>0</v>
      </c>
      <c r="S2949" s="19">
        <f t="shared" si="46"/>
        <v>17.100000000000001</v>
      </c>
      <c r="T2949">
        <f>COUNTIF('👤 Customers'!$A:$A, B2949)</f>
        <v>1</v>
      </c>
      <c r="U2949">
        <f>COUNTIF('🚴 Riders'!A2948:A3008, C2949)</f>
        <v>0</v>
      </c>
      <c r="V2949">
        <f>COUNTIF('🏭 Facilities'!A2948:A2956, D2949)</f>
        <v>0</v>
      </c>
    </row>
    <row r="2950" spans="1:22">
      <c r="A2950" s="16" t="s">
        <v>6544</v>
      </c>
      <c r="B2950" s="16" t="s">
        <v>2580</v>
      </c>
      <c r="C2950" s="16" t="s">
        <v>204</v>
      </c>
      <c r="D2950" s="16" t="s">
        <v>115</v>
      </c>
      <c r="E2950" s="25">
        <v>45258</v>
      </c>
      <c r="F2950" s="16" t="s">
        <v>6545</v>
      </c>
      <c r="G2950" s="16" t="s">
        <v>145</v>
      </c>
      <c r="H2950" s="16">
        <v>1.2</v>
      </c>
      <c r="I2950" s="16">
        <v>299</v>
      </c>
      <c r="J2950" s="16">
        <v>0</v>
      </c>
      <c r="K2950" s="16">
        <v>358.8</v>
      </c>
      <c r="L2950" s="16" t="s">
        <v>139</v>
      </c>
      <c r="M2950" s="16" t="s">
        <v>119</v>
      </c>
      <c r="N2950" s="27">
        <v>45258.317361111112</v>
      </c>
      <c r="O2950" s="27">
        <v>45259.079861111109</v>
      </c>
      <c r="P2950" s="16">
        <v>4.2</v>
      </c>
      <c r="Q2950" s="16" t="b">
        <f>FALSE()</f>
        <v>0</v>
      </c>
      <c r="R2950" s="16" t="b">
        <f>FALSE()</f>
        <v>0</v>
      </c>
      <c r="S2950" s="17">
        <f t="shared" si="46"/>
        <v>18.3</v>
      </c>
      <c r="T2950">
        <f>COUNTIF('👤 Customers'!$A:$A, B2950)</f>
        <v>1</v>
      </c>
      <c r="U2950">
        <f>COUNTIF('🚴 Riders'!A2949:A3009, C2950)</f>
        <v>0</v>
      </c>
      <c r="V2950">
        <f>COUNTIF('🏭 Facilities'!A2949:A2957, D2950)</f>
        <v>0</v>
      </c>
    </row>
    <row r="2951" spans="1:22">
      <c r="A2951" s="18" t="s">
        <v>6546</v>
      </c>
      <c r="B2951" s="18" t="s">
        <v>3580</v>
      </c>
      <c r="C2951" s="18" t="s">
        <v>287</v>
      </c>
      <c r="D2951" s="18" t="s">
        <v>158</v>
      </c>
      <c r="E2951" s="26">
        <v>45425</v>
      </c>
      <c r="F2951" s="18" t="s">
        <v>6547</v>
      </c>
      <c r="G2951" s="18" t="s">
        <v>176</v>
      </c>
      <c r="H2951" s="18">
        <v>7.7</v>
      </c>
      <c r="I2951" s="18">
        <v>599</v>
      </c>
      <c r="J2951" s="18">
        <v>20</v>
      </c>
      <c r="K2951" s="18">
        <v>3689.84</v>
      </c>
      <c r="L2951" s="18" t="s">
        <v>126</v>
      </c>
      <c r="M2951" s="18" t="s">
        <v>119</v>
      </c>
      <c r="N2951" s="28">
        <v>45425.258333333331</v>
      </c>
      <c r="O2951" s="28">
        <v>45425.824999999997</v>
      </c>
      <c r="P2951" s="18">
        <v>3.6</v>
      </c>
      <c r="Q2951" s="18" t="b">
        <f>FALSE()</f>
        <v>0</v>
      </c>
      <c r="R2951" s="18" t="b">
        <f>FALSE()</f>
        <v>0</v>
      </c>
      <c r="S2951" s="19">
        <f t="shared" si="46"/>
        <v>13.6</v>
      </c>
      <c r="T2951">
        <f>COUNTIF('👤 Customers'!$A:$A, B2951)</f>
        <v>1</v>
      </c>
      <c r="U2951">
        <f>COUNTIF('🚴 Riders'!A2950:A3010, C2951)</f>
        <v>0</v>
      </c>
      <c r="V2951">
        <f>COUNTIF('🏭 Facilities'!A2950:A2958, D2951)</f>
        <v>0</v>
      </c>
    </row>
    <row r="2952" spans="1:22">
      <c r="A2952" s="16" t="s">
        <v>6548</v>
      </c>
      <c r="B2952" s="16" t="s">
        <v>1147</v>
      </c>
      <c r="C2952" s="16" t="s">
        <v>220</v>
      </c>
      <c r="D2952" s="16" t="s">
        <v>197</v>
      </c>
      <c r="E2952" s="25">
        <v>45533</v>
      </c>
      <c r="F2952" s="16" t="s">
        <v>6549</v>
      </c>
      <c r="G2952" s="16" t="s">
        <v>145</v>
      </c>
      <c r="H2952" s="16">
        <v>5.8</v>
      </c>
      <c r="I2952" s="16">
        <v>299</v>
      </c>
      <c r="J2952" s="16">
        <v>0</v>
      </c>
      <c r="K2952" s="16">
        <v>1734.2</v>
      </c>
      <c r="L2952" s="16" t="s">
        <v>139</v>
      </c>
      <c r="M2952" s="16" t="s">
        <v>119</v>
      </c>
      <c r="N2952" s="27">
        <v>45533.657638888886</v>
      </c>
      <c r="O2952" s="27">
        <v>45534.288194444445</v>
      </c>
      <c r="P2952" s="16">
        <v>3</v>
      </c>
      <c r="Q2952" s="16" t="b">
        <f>FALSE()</f>
        <v>0</v>
      </c>
      <c r="R2952" s="16" t="b">
        <f>FALSE()</f>
        <v>0</v>
      </c>
      <c r="S2952" s="17">
        <f t="shared" si="46"/>
        <v>15.1</v>
      </c>
      <c r="T2952">
        <f>COUNTIF('👤 Customers'!$A:$A, B2952)</f>
        <v>1</v>
      </c>
      <c r="U2952">
        <f>COUNTIF('🚴 Riders'!A2951:A3011, C2952)</f>
        <v>0</v>
      </c>
      <c r="V2952">
        <f>COUNTIF('🏭 Facilities'!A2951:A2959, D2952)</f>
        <v>0</v>
      </c>
    </row>
    <row r="2953" spans="1:22">
      <c r="A2953" s="18" t="s">
        <v>6550</v>
      </c>
      <c r="B2953" s="18" t="s">
        <v>2411</v>
      </c>
      <c r="C2953" s="18" t="s">
        <v>247</v>
      </c>
      <c r="D2953" s="18" t="s">
        <v>115</v>
      </c>
      <c r="E2953" s="26">
        <v>44943</v>
      </c>
      <c r="F2953" s="18" t="s">
        <v>6551</v>
      </c>
      <c r="G2953" s="18" t="s">
        <v>145</v>
      </c>
      <c r="H2953" s="18">
        <v>6.6</v>
      </c>
      <c r="I2953" s="18">
        <v>299</v>
      </c>
      <c r="J2953" s="18">
        <v>0</v>
      </c>
      <c r="K2953" s="18">
        <v>1973.4</v>
      </c>
      <c r="L2953" s="18" t="s">
        <v>146</v>
      </c>
      <c r="M2953" s="18" t="s">
        <v>119</v>
      </c>
      <c r="N2953" s="28">
        <v>44943.931250000001</v>
      </c>
      <c r="O2953" s="28">
        <v>44944.347222222219</v>
      </c>
      <c r="P2953" s="18">
        <v>2.7</v>
      </c>
      <c r="Q2953" s="18" t="b">
        <f>FALSE()</f>
        <v>0</v>
      </c>
      <c r="R2953" s="18" t="b">
        <f>TRUE()</f>
        <v>1</v>
      </c>
      <c r="S2953" s="19">
        <f t="shared" si="46"/>
        <v>10</v>
      </c>
      <c r="T2953">
        <f>COUNTIF('👤 Customers'!$A:$A, B2953)</f>
        <v>1</v>
      </c>
      <c r="U2953">
        <f>COUNTIF('🚴 Riders'!A2952:A3012, C2953)</f>
        <v>0</v>
      </c>
      <c r="V2953">
        <f>COUNTIF('🏭 Facilities'!A2952:A2960, D2953)</f>
        <v>0</v>
      </c>
    </row>
    <row r="2954" spans="1:22">
      <c r="A2954" s="16" t="s">
        <v>6552</v>
      </c>
      <c r="B2954" s="16" t="s">
        <v>2101</v>
      </c>
      <c r="C2954" s="16" t="s">
        <v>149</v>
      </c>
      <c r="D2954" s="16" t="s">
        <v>184</v>
      </c>
      <c r="E2954" s="25">
        <v>44968</v>
      </c>
      <c r="F2954" s="16" t="s">
        <v>6553</v>
      </c>
      <c r="G2954" s="16" t="s">
        <v>145</v>
      </c>
      <c r="H2954" s="16">
        <v>5.7</v>
      </c>
      <c r="I2954" s="16">
        <v>299</v>
      </c>
      <c r="J2954" s="16">
        <v>0</v>
      </c>
      <c r="K2954" s="16">
        <v>1704.3</v>
      </c>
      <c r="L2954" s="16" t="s">
        <v>207</v>
      </c>
      <c r="M2954" s="16" t="s">
        <v>119</v>
      </c>
      <c r="N2954" s="27">
        <v>44968.581250000003</v>
      </c>
      <c r="O2954" s="27">
        <v>44969.500694444447</v>
      </c>
      <c r="P2954" s="16">
        <v>3</v>
      </c>
      <c r="Q2954" s="16" t="b">
        <f>FALSE()</f>
        <v>0</v>
      </c>
      <c r="R2954" s="16" t="b">
        <f>FALSE()</f>
        <v>0</v>
      </c>
      <c r="S2954" s="17">
        <f t="shared" si="46"/>
        <v>22.1</v>
      </c>
      <c r="T2954">
        <f>COUNTIF('👤 Customers'!$A:$A, B2954)</f>
        <v>1</v>
      </c>
      <c r="U2954">
        <f>COUNTIF('🚴 Riders'!A2953:A3013, C2954)</f>
        <v>0</v>
      </c>
      <c r="V2954">
        <f>COUNTIF('🏭 Facilities'!A2953:A2961, D2954)</f>
        <v>0</v>
      </c>
    </row>
    <row r="2955" spans="1:22">
      <c r="A2955" s="18" t="s">
        <v>6554</v>
      </c>
      <c r="B2955" s="18" t="s">
        <v>577</v>
      </c>
      <c r="C2955" s="18" t="s">
        <v>188</v>
      </c>
      <c r="D2955" s="18" t="s">
        <v>205</v>
      </c>
      <c r="E2955" s="26">
        <v>45065</v>
      </c>
      <c r="F2955" s="18" t="s">
        <v>6555</v>
      </c>
      <c r="G2955" s="18" t="s">
        <v>145</v>
      </c>
      <c r="H2955" s="18">
        <v>5</v>
      </c>
      <c r="I2955" s="18">
        <v>299</v>
      </c>
      <c r="J2955" s="18">
        <v>10</v>
      </c>
      <c r="K2955" s="18">
        <v>1345.5</v>
      </c>
      <c r="L2955" s="18" t="s">
        <v>146</v>
      </c>
      <c r="M2955" s="18" t="s">
        <v>119</v>
      </c>
      <c r="N2955" s="28">
        <v>45065.251388888886</v>
      </c>
      <c r="O2955" s="28">
        <v>45065.616666666669</v>
      </c>
      <c r="P2955" s="18">
        <v>4</v>
      </c>
      <c r="Q2955" s="18" t="b">
        <f>TRUE()</f>
        <v>1</v>
      </c>
      <c r="R2955" s="18" t="b">
        <f>FALSE()</f>
        <v>0</v>
      </c>
      <c r="S2955" s="19">
        <f t="shared" si="46"/>
        <v>8.8000000000000007</v>
      </c>
      <c r="T2955">
        <f>COUNTIF('👤 Customers'!$A:$A, B2955)</f>
        <v>1</v>
      </c>
      <c r="U2955">
        <f>COUNTIF('🚴 Riders'!A2954:A3014, C2955)</f>
        <v>0</v>
      </c>
      <c r="V2955">
        <f>COUNTIF('🏭 Facilities'!A2954:A2962, D2955)</f>
        <v>0</v>
      </c>
    </row>
    <row r="2956" spans="1:22">
      <c r="A2956" s="16" t="s">
        <v>6556</v>
      </c>
      <c r="B2956" s="16" t="s">
        <v>293</v>
      </c>
      <c r="C2956" s="16" t="s">
        <v>287</v>
      </c>
      <c r="D2956" s="16" t="s">
        <v>197</v>
      </c>
      <c r="E2956" s="25">
        <v>45371</v>
      </c>
      <c r="F2956" s="16" t="s">
        <v>6557</v>
      </c>
      <c r="G2956" s="16" t="s">
        <v>117</v>
      </c>
      <c r="H2956" s="16">
        <v>3.9</v>
      </c>
      <c r="I2956" s="16">
        <v>149</v>
      </c>
      <c r="J2956" s="16">
        <v>0</v>
      </c>
      <c r="K2956" s="16">
        <v>581.1</v>
      </c>
      <c r="L2956" s="16" t="s">
        <v>118</v>
      </c>
      <c r="M2956" s="16" t="s">
        <v>119</v>
      </c>
      <c r="N2956" s="27">
        <v>45371.597916666666</v>
      </c>
      <c r="O2956" s="27">
        <v>45371.982638888891</v>
      </c>
      <c r="P2956" s="16">
        <v>3.6</v>
      </c>
      <c r="Q2956" s="16" t="b">
        <f>FALSE()</f>
        <v>0</v>
      </c>
      <c r="R2956" s="16" t="b">
        <f>FALSE()</f>
        <v>0</v>
      </c>
      <c r="S2956" s="17">
        <f t="shared" si="46"/>
        <v>9.1999999999999993</v>
      </c>
      <c r="T2956">
        <f>COUNTIF('👤 Customers'!$A:$A, B2956)</f>
        <v>1</v>
      </c>
      <c r="U2956">
        <f>COUNTIF('🚴 Riders'!A2955:A3015, C2956)</f>
        <v>0</v>
      </c>
      <c r="V2956">
        <f>COUNTIF('🏭 Facilities'!A2955:A2963, D2956)</f>
        <v>0</v>
      </c>
    </row>
    <row r="2957" spans="1:22">
      <c r="A2957" s="18" t="s">
        <v>6558</v>
      </c>
      <c r="B2957" s="18" t="s">
        <v>922</v>
      </c>
      <c r="C2957" s="18" t="s">
        <v>287</v>
      </c>
      <c r="D2957" s="18" t="s">
        <v>158</v>
      </c>
      <c r="E2957" s="26">
        <v>44990</v>
      </c>
      <c r="F2957" s="18" t="s">
        <v>6559</v>
      </c>
      <c r="G2957" s="18" t="s">
        <v>132</v>
      </c>
      <c r="H2957" s="18">
        <v>1.2</v>
      </c>
      <c r="I2957" s="18">
        <v>399</v>
      </c>
      <c r="J2957" s="18">
        <v>0</v>
      </c>
      <c r="K2957" s="18">
        <v>478.8</v>
      </c>
      <c r="L2957" s="18" t="s">
        <v>139</v>
      </c>
      <c r="M2957" s="18" t="s">
        <v>119</v>
      </c>
      <c r="N2957" s="28">
        <v>44990.878472222219</v>
      </c>
      <c r="O2957" s="28">
        <v>44991.931250000001</v>
      </c>
      <c r="P2957" s="18">
        <v>4.2</v>
      </c>
      <c r="Q2957" s="18" t="b">
        <f>FALSE()</f>
        <v>0</v>
      </c>
      <c r="R2957" s="18" t="b">
        <f>FALSE()</f>
        <v>0</v>
      </c>
      <c r="S2957" s="19">
        <f t="shared" si="46"/>
        <v>25.3</v>
      </c>
      <c r="T2957">
        <f>COUNTIF('👤 Customers'!$A:$A, B2957)</f>
        <v>1</v>
      </c>
      <c r="U2957">
        <f>COUNTIF('🚴 Riders'!A2956:A3016, C2957)</f>
        <v>0</v>
      </c>
      <c r="V2957">
        <f>COUNTIF('🏭 Facilities'!A2956:A2964, D2957)</f>
        <v>0</v>
      </c>
    </row>
    <row r="2958" spans="1:22">
      <c r="A2958" s="16" t="s">
        <v>6560</v>
      </c>
      <c r="B2958" s="16" t="s">
        <v>1173</v>
      </c>
      <c r="C2958" s="16" t="s">
        <v>1092</v>
      </c>
      <c r="D2958" s="16" t="s">
        <v>123</v>
      </c>
      <c r="E2958" s="25">
        <v>45095</v>
      </c>
      <c r="F2958" s="16" t="s">
        <v>6561</v>
      </c>
      <c r="G2958" s="16" t="s">
        <v>176</v>
      </c>
      <c r="H2958" s="16">
        <v>7.6</v>
      </c>
      <c r="I2958" s="16">
        <v>599</v>
      </c>
      <c r="J2958" s="16">
        <v>0</v>
      </c>
      <c r="K2958" s="16">
        <v>4552.3999999999996</v>
      </c>
      <c r="L2958" s="16" t="s">
        <v>207</v>
      </c>
      <c r="M2958" s="16" t="s">
        <v>119</v>
      </c>
      <c r="N2958" s="27">
        <v>45095.52847222222</v>
      </c>
      <c r="O2958" s="27">
        <v>45096.015972222223</v>
      </c>
      <c r="P2958" s="16">
        <v>3.8</v>
      </c>
      <c r="Q2958" s="16" t="b">
        <f>FALSE()</f>
        <v>0</v>
      </c>
      <c r="R2958" s="16" t="b">
        <f>FALSE()</f>
        <v>0</v>
      </c>
      <c r="S2958" s="17">
        <f t="shared" si="46"/>
        <v>11.7</v>
      </c>
      <c r="T2958">
        <f>COUNTIF('👤 Customers'!$A:$A, B2958)</f>
        <v>1</v>
      </c>
      <c r="U2958">
        <f>COUNTIF('🚴 Riders'!A2957:A3017, C2958)</f>
        <v>0</v>
      </c>
      <c r="V2958">
        <f>COUNTIF('🏭 Facilities'!A2957:A2965, D2958)</f>
        <v>0</v>
      </c>
    </row>
    <row r="2959" spans="1:22">
      <c r="A2959" s="18" t="s">
        <v>6562</v>
      </c>
      <c r="B2959" s="18" t="s">
        <v>1554</v>
      </c>
      <c r="C2959" s="18" t="s">
        <v>283</v>
      </c>
      <c r="D2959" s="18" t="s">
        <v>137</v>
      </c>
      <c r="E2959" s="26">
        <v>45485</v>
      </c>
      <c r="F2959" s="18" t="s">
        <v>6563</v>
      </c>
      <c r="G2959" s="18" t="s">
        <v>145</v>
      </c>
      <c r="H2959" s="18">
        <v>2.7</v>
      </c>
      <c r="I2959" s="18">
        <v>299</v>
      </c>
      <c r="J2959" s="18">
        <v>10</v>
      </c>
      <c r="K2959" s="18">
        <v>726.57</v>
      </c>
      <c r="L2959" s="18" t="s">
        <v>139</v>
      </c>
      <c r="M2959" s="18" t="s">
        <v>140</v>
      </c>
      <c r="N2959" s="28">
        <v>45485.990972222222</v>
      </c>
      <c r="O2959" s="28">
        <v>45486.343055555553</v>
      </c>
      <c r="P2959" s="20"/>
      <c r="Q2959" s="18" t="b">
        <f>FALSE()</f>
        <v>0</v>
      </c>
      <c r="R2959" s="18" t="b">
        <f>TRUE()</f>
        <v>1</v>
      </c>
      <c r="S2959" s="19">
        <f t="shared" si="46"/>
        <v>8.4</v>
      </c>
      <c r="T2959">
        <f>COUNTIF('👤 Customers'!$A:$A, B2959)</f>
        <v>1</v>
      </c>
      <c r="U2959">
        <f>COUNTIF('🚴 Riders'!A2958:A3018, C2959)</f>
        <v>0</v>
      </c>
      <c r="V2959">
        <f>COUNTIF('🏭 Facilities'!A2958:A2966, D2959)</f>
        <v>0</v>
      </c>
    </row>
    <row r="2960" spans="1:22">
      <c r="A2960" s="16" t="s">
        <v>6564</v>
      </c>
      <c r="B2960" s="16" t="s">
        <v>1781</v>
      </c>
      <c r="C2960" s="16" t="s">
        <v>265</v>
      </c>
      <c r="D2960" s="16" t="s">
        <v>130</v>
      </c>
      <c r="E2960" s="25">
        <v>45542</v>
      </c>
      <c r="F2960" s="16" t="s">
        <v>6565</v>
      </c>
      <c r="G2960" s="16" t="s">
        <v>125</v>
      </c>
      <c r="H2960" s="16">
        <v>8</v>
      </c>
      <c r="I2960" s="16">
        <v>199</v>
      </c>
      <c r="J2960" s="16">
        <v>0</v>
      </c>
      <c r="K2960" s="16">
        <v>1592</v>
      </c>
      <c r="L2960" s="16" t="s">
        <v>207</v>
      </c>
      <c r="M2960" s="16" t="s">
        <v>119</v>
      </c>
      <c r="N2960" s="27">
        <v>45542.93472222222</v>
      </c>
      <c r="O2960" s="27">
        <v>45543.573611111111</v>
      </c>
      <c r="P2960" s="16">
        <v>3.6</v>
      </c>
      <c r="Q2960" s="16" t="b">
        <f>FALSE()</f>
        <v>0</v>
      </c>
      <c r="R2960" s="16" t="b">
        <f>TRUE()</f>
        <v>1</v>
      </c>
      <c r="S2960" s="17">
        <f t="shared" si="46"/>
        <v>15.3</v>
      </c>
      <c r="T2960">
        <f>COUNTIF('👤 Customers'!$A:$A, B2960)</f>
        <v>1</v>
      </c>
      <c r="U2960">
        <f>COUNTIF('🚴 Riders'!A2959:A3019, C2960)</f>
        <v>0</v>
      </c>
      <c r="V2960">
        <f>COUNTIF('🏭 Facilities'!A2959:A2967, D2960)</f>
        <v>0</v>
      </c>
    </row>
    <row r="2961" spans="1:22">
      <c r="A2961" s="18" t="s">
        <v>6566</v>
      </c>
      <c r="B2961" s="18" t="s">
        <v>1850</v>
      </c>
      <c r="C2961" s="18" t="s">
        <v>251</v>
      </c>
      <c r="D2961" s="18" t="s">
        <v>115</v>
      </c>
      <c r="E2961" s="26">
        <v>45596</v>
      </c>
      <c r="F2961" s="18" t="s">
        <v>6567</v>
      </c>
      <c r="G2961" s="18" t="s">
        <v>117</v>
      </c>
      <c r="H2961" s="18">
        <v>5.7</v>
      </c>
      <c r="I2961" s="18">
        <v>149</v>
      </c>
      <c r="J2961" s="18">
        <v>10</v>
      </c>
      <c r="K2961" s="18">
        <v>764.37</v>
      </c>
      <c r="L2961" s="18" t="s">
        <v>146</v>
      </c>
      <c r="M2961" s="18" t="s">
        <v>119</v>
      </c>
      <c r="N2961" s="28">
        <v>45596.590277777781</v>
      </c>
      <c r="O2961" s="28">
        <v>45597.069444444445</v>
      </c>
      <c r="P2961" s="18">
        <v>4.7</v>
      </c>
      <c r="Q2961" s="18" t="b">
        <f>FALSE()</f>
        <v>0</v>
      </c>
      <c r="R2961" s="18" t="b">
        <f>FALSE()</f>
        <v>0</v>
      </c>
      <c r="S2961" s="19">
        <f t="shared" si="46"/>
        <v>11.5</v>
      </c>
      <c r="T2961">
        <f>COUNTIF('👤 Customers'!$A:$A, B2961)</f>
        <v>1</v>
      </c>
      <c r="U2961">
        <f>COUNTIF('🚴 Riders'!A2960:A3020, C2961)</f>
        <v>0</v>
      </c>
      <c r="V2961">
        <f>COUNTIF('🏭 Facilities'!A2960:A2968, D2961)</f>
        <v>0</v>
      </c>
    </row>
    <row r="2962" spans="1:22">
      <c r="A2962" s="16" t="s">
        <v>6568</v>
      </c>
      <c r="B2962" s="16" t="s">
        <v>1311</v>
      </c>
      <c r="C2962" s="16" t="s">
        <v>315</v>
      </c>
      <c r="D2962" s="16" t="s">
        <v>115</v>
      </c>
      <c r="E2962" s="25">
        <v>45335</v>
      </c>
      <c r="F2962" s="16" t="s">
        <v>6569</v>
      </c>
      <c r="G2962" s="16" t="s">
        <v>176</v>
      </c>
      <c r="H2962" s="16">
        <v>6.8</v>
      </c>
      <c r="I2962" s="16">
        <v>599</v>
      </c>
      <c r="J2962" s="16">
        <v>20</v>
      </c>
      <c r="K2962" s="16">
        <v>3258.56</v>
      </c>
      <c r="L2962" s="16" t="s">
        <v>139</v>
      </c>
      <c r="M2962" s="16" t="s">
        <v>119</v>
      </c>
      <c r="N2962" s="27">
        <v>45336.081250000003</v>
      </c>
      <c r="O2962" s="27">
        <v>45337.095138888886</v>
      </c>
      <c r="P2962" s="16">
        <v>3.1</v>
      </c>
      <c r="Q2962" s="16" t="b">
        <f>FALSE()</f>
        <v>0</v>
      </c>
      <c r="R2962" s="16" t="b">
        <f>FALSE()</f>
        <v>0</v>
      </c>
      <c r="S2962" s="17">
        <f t="shared" si="46"/>
        <v>24.3</v>
      </c>
      <c r="T2962">
        <f>COUNTIF('👤 Customers'!$A:$A, B2962)</f>
        <v>1</v>
      </c>
      <c r="U2962">
        <f>COUNTIF('🚴 Riders'!A2961:A3021, C2962)</f>
        <v>0</v>
      </c>
      <c r="V2962">
        <f>COUNTIF('🏭 Facilities'!A2961:A2969, D2962)</f>
        <v>0</v>
      </c>
    </row>
    <row r="2963" spans="1:22">
      <c r="A2963" s="18" t="s">
        <v>6570</v>
      </c>
      <c r="B2963" s="18" t="s">
        <v>1226</v>
      </c>
      <c r="C2963" s="18" t="s">
        <v>1092</v>
      </c>
      <c r="D2963" s="18" t="s">
        <v>158</v>
      </c>
      <c r="E2963" s="26">
        <v>45405</v>
      </c>
      <c r="F2963" s="18" t="s">
        <v>6571</v>
      </c>
      <c r="G2963" s="18" t="s">
        <v>125</v>
      </c>
      <c r="H2963" s="18">
        <v>1.4</v>
      </c>
      <c r="I2963" s="18">
        <v>199</v>
      </c>
      <c r="J2963" s="18">
        <v>0</v>
      </c>
      <c r="K2963" s="18">
        <v>278.60000000000002</v>
      </c>
      <c r="L2963" s="18" t="s">
        <v>118</v>
      </c>
      <c r="M2963" s="18" t="s">
        <v>119</v>
      </c>
      <c r="N2963" s="28">
        <v>45406.032638888886</v>
      </c>
      <c r="O2963" s="28">
        <v>45406.980555555558</v>
      </c>
      <c r="P2963" s="18">
        <v>3</v>
      </c>
      <c r="Q2963" s="18" t="b">
        <f>FALSE()</f>
        <v>0</v>
      </c>
      <c r="R2963" s="18" t="b">
        <f>TRUE()</f>
        <v>1</v>
      </c>
      <c r="S2963" s="19">
        <f t="shared" si="46"/>
        <v>22.8</v>
      </c>
      <c r="T2963">
        <f>COUNTIF('👤 Customers'!$A:$A, B2963)</f>
        <v>1</v>
      </c>
      <c r="U2963">
        <f>COUNTIF('🚴 Riders'!A2962:A3022, C2963)</f>
        <v>0</v>
      </c>
      <c r="V2963">
        <f>COUNTIF('🏭 Facilities'!A2962:A2970, D2963)</f>
        <v>0</v>
      </c>
    </row>
    <row r="2964" spans="1:22">
      <c r="A2964" s="16" t="s">
        <v>6572</v>
      </c>
      <c r="B2964" s="16" t="s">
        <v>728</v>
      </c>
      <c r="C2964" s="16" t="s">
        <v>580</v>
      </c>
      <c r="D2964" s="16" t="s">
        <v>184</v>
      </c>
      <c r="E2964" s="25">
        <v>45173</v>
      </c>
      <c r="F2964" s="16" t="s">
        <v>6573</v>
      </c>
      <c r="G2964" s="16" t="s">
        <v>145</v>
      </c>
      <c r="H2964" s="16">
        <v>2.5</v>
      </c>
      <c r="I2964" s="16">
        <v>299</v>
      </c>
      <c r="J2964" s="16">
        <v>10</v>
      </c>
      <c r="K2964" s="16">
        <v>672.75</v>
      </c>
      <c r="L2964" s="16" t="s">
        <v>139</v>
      </c>
      <c r="M2964" s="16" t="s">
        <v>119</v>
      </c>
      <c r="N2964" s="27">
        <v>45173.063194444447</v>
      </c>
      <c r="O2964" s="27">
        <v>45173.59097222222</v>
      </c>
      <c r="P2964" s="16">
        <v>4.5</v>
      </c>
      <c r="Q2964" s="16" t="b">
        <f>FALSE()</f>
        <v>0</v>
      </c>
      <c r="R2964" s="16" t="b">
        <f>TRUE()</f>
        <v>1</v>
      </c>
      <c r="S2964" s="17">
        <f t="shared" si="46"/>
        <v>12.7</v>
      </c>
      <c r="T2964">
        <f>COUNTIF('👤 Customers'!$A:$A, B2964)</f>
        <v>1</v>
      </c>
      <c r="U2964">
        <f>COUNTIF('🚴 Riders'!A2963:A3023, C2964)</f>
        <v>0</v>
      </c>
      <c r="V2964">
        <f>COUNTIF('🏭 Facilities'!A2963:A2971, D2964)</f>
        <v>0</v>
      </c>
    </row>
    <row r="2965" spans="1:22">
      <c r="A2965" s="18" t="s">
        <v>6574</v>
      </c>
      <c r="B2965" s="18" t="s">
        <v>811</v>
      </c>
      <c r="C2965" s="18" t="s">
        <v>750</v>
      </c>
      <c r="D2965" s="18" t="s">
        <v>197</v>
      </c>
      <c r="E2965" s="26">
        <v>45529</v>
      </c>
      <c r="F2965" s="18" t="s">
        <v>6575</v>
      </c>
      <c r="G2965" s="18" t="s">
        <v>117</v>
      </c>
      <c r="H2965" s="18">
        <v>2.7</v>
      </c>
      <c r="I2965" s="18">
        <v>149</v>
      </c>
      <c r="J2965" s="18">
        <v>10</v>
      </c>
      <c r="K2965" s="18">
        <v>362.07</v>
      </c>
      <c r="L2965" s="18" t="s">
        <v>118</v>
      </c>
      <c r="M2965" s="18" t="s">
        <v>119</v>
      </c>
      <c r="N2965" s="28">
        <v>45529.448611111111</v>
      </c>
      <c r="O2965" s="28">
        <v>45530.470138888886</v>
      </c>
      <c r="P2965" s="18">
        <v>4.0999999999999996</v>
      </c>
      <c r="Q2965" s="18" t="b">
        <f>FALSE()</f>
        <v>0</v>
      </c>
      <c r="R2965" s="18" t="b">
        <f>FALSE()</f>
        <v>0</v>
      </c>
      <c r="S2965" s="19">
        <f t="shared" si="46"/>
        <v>24.5</v>
      </c>
      <c r="T2965">
        <f>COUNTIF('👤 Customers'!$A:$A, B2965)</f>
        <v>1</v>
      </c>
      <c r="U2965">
        <f>COUNTIF('🚴 Riders'!A2964:A3024, C2965)</f>
        <v>0</v>
      </c>
      <c r="V2965">
        <f>COUNTIF('🏭 Facilities'!A2964:A2972, D2965)</f>
        <v>0</v>
      </c>
    </row>
    <row r="2966" spans="1:22">
      <c r="A2966" s="16" t="s">
        <v>6576</v>
      </c>
      <c r="B2966" s="16" t="s">
        <v>3332</v>
      </c>
      <c r="C2966" s="16" t="s">
        <v>431</v>
      </c>
      <c r="D2966" s="16" t="s">
        <v>123</v>
      </c>
      <c r="E2966" s="25">
        <v>44950</v>
      </c>
      <c r="F2966" s="16" t="s">
        <v>6577</v>
      </c>
      <c r="G2966" s="16" t="s">
        <v>125</v>
      </c>
      <c r="H2966" s="16">
        <v>5.0999999999999996</v>
      </c>
      <c r="I2966" s="16">
        <v>199</v>
      </c>
      <c r="J2966" s="16">
        <v>0</v>
      </c>
      <c r="K2966" s="16">
        <v>1014.9</v>
      </c>
      <c r="L2966" s="16" t="s">
        <v>118</v>
      </c>
      <c r="M2966" s="16" t="s">
        <v>119</v>
      </c>
      <c r="N2966" s="27">
        <v>44950.390972222223</v>
      </c>
      <c r="O2966" s="27">
        <v>44950.714583333334</v>
      </c>
      <c r="P2966" s="16">
        <v>3.5</v>
      </c>
      <c r="Q2966" s="16" t="b">
        <f>FALSE()</f>
        <v>0</v>
      </c>
      <c r="R2966" s="16" t="b">
        <f>FALSE()</f>
        <v>0</v>
      </c>
      <c r="S2966" s="17">
        <f t="shared" si="46"/>
        <v>7.8</v>
      </c>
      <c r="T2966">
        <f>COUNTIF('👤 Customers'!$A:$A, B2966)</f>
        <v>1</v>
      </c>
      <c r="U2966">
        <f>COUNTIF('🚴 Riders'!A2965:A3025, C2966)</f>
        <v>0</v>
      </c>
      <c r="V2966">
        <f>COUNTIF('🏭 Facilities'!A2965:A2973, D2966)</f>
        <v>0</v>
      </c>
    </row>
    <row r="2967" spans="1:22">
      <c r="A2967" s="18" t="s">
        <v>6578</v>
      </c>
      <c r="B2967" s="18" t="s">
        <v>293</v>
      </c>
      <c r="C2967" s="18" t="s">
        <v>153</v>
      </c>
      <c r="D2967" s="18" t="s">
        <v>130</v>
      </c>
      <c r="E2967" s="26">
        <v>44998</v>
      </c>
      <c r="F2967" s="18" t="s">
        <v>6579</v>
      </c>
      <c r="G2967" s="18" t="s">
        <v>132</v>
      </c>
      <c r="H2967" s="18">
        <v>4.3</v>
      </c>
      <c r="I2967" s="18">
        <v>399</v>
      </c>
      <c r="J2967" s="18">
        <v>10</v>
      </c>
      <c r="K2967" s="18">
        <v>1544.13</v>
      </c>
      <c r="L2967" s="18" t="s">
        <v>126</v>
      </c>
      <c r="M2967" s="18" t="s">
        <v>140</v>
      </c>
      <c r="N2967" s="28">
        <v>44998.292361111111</v>
      </c>
      <c r="O2967" s="28">
        <v>44998.688194444447</v>
      </c>
      <c r="P2967" s="20"/>
      <c r="Q2967" s="18" t="b">
        <f>FALSE()</f>
        <v>0</v>
      </c>
      <c r="R2967" s="18" t="b">
        <f>FALSE()</f>
        <v>0</v>
      </c>
      <c r="S2967" s="19">
        <f t="shared" si="46"/>
        <v>9.5</v>
      </c>
      <c r="T2967">
        <f>COUNTIF('👤 Customers'!$A:$A, B2967)</f>
        <v>1</v>
      </c>
      <c r="U2967">
        <f>COUNTIF('🚴 Riders'!A2966:A3026, C2967)</f>
        <v>0</v>
      </c>
      <c r="V2967">
        <f>COUNTIF('🏭 Facilities'!A2966:A2974, D2967)</f>
        <v>0</v>
      </c>
    </row>
    <row r="2968" spans="1:22">
      <c r="A2968" s="16" t="s">
        <v>6580</v>
      </c>
      <c r="B2968" s="16" t="s">
        <v>2096</v>
      </c>
      <c r="C2968" s="16" t="s">
        <v>717</v>
      </c>
      <c r="D2968" s="16" t="s">
        <v>130</v>
      </c>
      <c r="E2968" s="25">
        <v>45249</v>
      </c>
      <c r="F2968" s="16" t="s">
        <v>6581</v>
      </c>
      <c r="G2968" s="16" t="s">
        <v>125</v>
      </c>
      <c r="H2968" s="16">
        <v>6.6</v>
      </c>
      <c r="I2968" s="16">
        <v>199</v>
      </c>
      <c r="J2968" s="16">
        <v>30</v>
      </c>
      <c r="K2968" s="16">
        <v>919.38</v>
      </c>
      <c r="L2968" s="16" t="s">
        <v>139</v>
      </c>
      <c r="M2968" s="16" t="s">
        <v>119</v>
      </c>
      <c r="N2968" s="27">
        <v>45249.272916666669</v>
      </c>
      <c r="O2968" s="27">
        <v>45249.720138888886</v>
      </c>
      <c r="P2968" s="16">
        <v>3</v>
      </c>
      <c r="Q2968" s="16" t="b">
        <f>FALSE()</f>
        <v>0</v>
      </c>
      <c r="R2968" s="16" t="b">
        <f>FALSE()</f>
        <v>0</v>
      </c>
      <c r="S2968" s="17">
        <f t="shared" si="46"/>
        <v>10.7</v>
      </c>
      <c r="T2968">
        <f>COUNTIF('👤 Customers'!$A:$A, B2968)</f>
        <v>1</v>
      </c>
      <c r="U2968">
        <f>COUNTIF('🚴 Riders'!A2967:A3027, C2968)</f>
        <v>0</v>
      </c>
      <c r="V2968">
        <f>COUNTIF('🏭 Facilities'!A2967:A2975, D2968)</f>
        <v>0</v>
      </c>
    </row>
    <row r="2969" spans="1:22">
      <c r="A2969" s="18" t="s">
        <v>6582</v>
      </c>
      <c r="B2969" s="18" t="s">
        <v>1444</v>
      </c>
      <c r="C2969" s="18" t="s">
        <v>276</v>
      </c>
      <c r="D2969" s="18" t="s">
        <v>137</v>
      </c>
      <c r="E2969" s="26">
        <v>45419</v>
      </c>
      <c r="F2969" s="18" t="s">
        <v>6583</v>
      </c>
      <c r="G2969" s="18" t="s">
        <v>125</v>
      </c>
      <c r="H2969" s="18">
        <v>1.6</v>
      </c>
      <c r="I2969" s="18">
        <v>199</v>
      </c>
      <c r="J2969" s="18">
        <v>20</v>
      </c>
      <c r="K2969" s="18">
        <v>254.72</v>
      </c>
      <c r="L2969" s="18" t="s">
        <v>126</v>
      </c>
      <c r="M2969" s="18" t="s">
        <v>119</v>
      </c>
      <c r="N2969" s="28">
        <v>45419.180555555555</v>
      </c>
      <c r="O2969" s="28">
        <v>45420.156944444447</v>
      </c>
      <c r="P2969" s="18">
        <v>4.5999999999999996</v>
      </c>
      <c r="Q2969" s="18" t="b">
        <f>FALSE()</f>
        <v>0</v>
      </c>
      <c r="R2969" s="18" t="b">
        <f>FALSE()</f>
        <v>0</v>
      </c>
      <c r="S2969" s="19">
        <f t="shared" si="46"/>
        <v>23.4</v>
      </c>
      <c r="T2969">
        <f>COUNTIF('👤 Customers'!$A:$A, B2969)</f>
        <v>1</v>
      </c>
      <c r="U2969">
        <f>COUNTIF('🚴 Riders'!A2968:A3028, C2969)</f>
        <v>0</v>
      </c>
      <c r="V2969">
        <f>COUNTIF('🏭 Facilities'!A2968:A2976, D2969)</f>
        <v>0</v>
      </c>
    </row>
    <row r="2970" spans="1:22">
      <c r="A2970" s="16" t="s">
        <v>6584</v>
      </c>
      <c r="B2970" s="16" t="s">
        <v>1515</v>
      </c>
      <c r="C2970" s="16" t="s">
        <v>188</v>
      </c>
      <c r="D2970" s="16" t="s">
        <v>205</v>
      </c>
      <c r="E2970" s="25">
        <v>45049</v>
      </c>
      <c r="F2970" s="16" t="s">
        <v>6585</v>
      </c>
      <c r="G2970" s="16" t="s">
        <v>132</v>
      </c>
      <c r="H2970" s="16">
        <v>7.6</v>
      </c>
      <c r="I2970" s="16">
        <v>399</v>
      </c>
      <c r="J2970" s="16">
        <v>10</v>
      </c>
      <c r="K2970" s="16">
        <v>2729.16</v>
      </c>
      <c r="L2970" s="16" t="s">
        <v>118</v>
      </c>
      <c r="M2970" s="16" t="s">
        <v>119</v>
      </c>
      <c r="N2970" s="27">
        <v>45049.793749999997</v>
      </c>
      <c r="O2970" s="27">
        <v>45050.092361111114</v>
      </c>
      <c r="P2970" s="16">
        <v>4.5999999999999996</v>
      </c>
      <c r="Q2970" s="16" t="b">
        <f>FALSE()</f>
        <v>0</v>
      </c>
      <c r="R2970" s="16" t="b">
        <f>FALSE()</f>
        <v>0</v>
      </c>
      <c r="S2970" s="17">
        <f t="shared" si="46"/>
        <v>7.2</v>
      </c>
      <c r="T2970">
        <f>COUNTIF('👤 Customers'!$A:$A, B2970)</f>
        <v>1</v>
      </c>
      <c r="U2970">
        <f>COUNTIF('🚴 Riders'!A2969:A3029, C2970)</f>
        <v>0</v>
      </c>
      <c r="V2970">
        <f>COUNTIF('🏭 Facilities'!A2969:A2977, D2970)</f>
        <v>0</v>
      </c>
    </row>
    <row r="2971" spans="1:22">
      <c r="A2971" s="18" t="s">
        <v>6586</v>
      </c>
      <c r="B2971" s="18" t="s">
        <v>311</v>
      </c>
      <c r="C2971" s="18" t="s">
        <v>122</v>
      </c>
      <c r="D2971" s="18" t="s">
        <v>123</v>
      </c>
      <c r="E2971" s="26">
        <v>44968</v>
      </c>
      <c r="F2971" s="18" t="s">
        <v>6587</v>
      </c>
      <c r="G2971" s="18" t="s">
        <v>132</v>
      </c>
      <c r="H2971" s="18">
        <v>7.4</v>
      </c>
      <c r="I2971" s="18">
        <v>399</v>
      </c>
      <c r="J2971" s="18">
        <v>0</v>
      </c>
      <c r="K2971" s="18">
        <v>2952.6</v>
      </c>
      <c r="L2971" s="18" t="s">
        <v>139</v>
      </c>
      <c r="M2971" s="18" t="s">
        <v>119</v>
      </c>
      <c r="N2971" s="28">
        <v>44968.331250000003</v>
      </c>
      <c r="O2971" s="28">
        <v>44968.854166666664</v>
      </c>
      <c r="P2971" s="18">
        <v>2.7</v>
      </c>
      <c r="Q2971" s="18" t="b">
        <f>FALSE()</f>
        <v>0</v>
      </c>
      <c r="R2971" s="18" t="b">
        <f>FALSE()</f>
        <v>0</v>
      </c>
      <c r="S2971" s="19">
        <f t="shared" si="46"/>
        <v>12.5</v>
      </c>
      <c r="T2971">
        <f>COUNTIF('👤 Customers'!$A:$A, B2971)</f>
        <v>1</v>
      </c>
      <c r="U2971">
        <f>COUNTIF('🚴 Riders'!A2970:A3030, C2971)</f>
        <v>0</v>
      </c>
      <c r="V2971">
        <f>COUNTIF('🏭 Facilities'!A2970:A2978, D2971)</f>
        <v>0</v>
      </c>
    </row>
    <row r="2972" spans="1:22">
      <c r="A2972" s="16" t="s">
        <v>6588</v>
      </c>
      <c r="B2972" s="16" t="s">
        <v>908</v>
      </c>
      <c r="C2972" s="16" t="s">
        <v>487</v>
      </c>
      <c r="D2972" s="16" t="s">
        <v>205</v>
      </c>
      <c r="E2972" s="25">
        <v>44951</v>
      </c>
      <c r="F2972" s="16" t="s">
        <v>6589</v>
      </c>
      <c r="G2972" s="16" t="s">
        <v>125</v>
      </c>
      <c r="H2972" s="16">
        <v>7.7</v>
      </c>
      <c r="I2972" s="16">
        <v>199</v>
      </c>
      <c r="J2972" s="16">
        <v>0</v>
      </c>
      <c r="K2972" s="16">
        <v>1532.3</v>
      </c>
      <c r="L2972" s="16" t="s">
        <v>146</v>
      </c>
      <c r="M2972" s="16" t="s">
        <v>119</v>
      </c>
      <c r="N2972" s="27">
        <v>44951.181250000001</v>
      </c>
      <c r="O2972" s="27">
        <v>44952.109722222223</v>
      </c>
      <c r="P2972" s="16">
        <v>4.9000000000000004</v>
      </c>
      <c r="Q2972" s="16" t="b">
        <f>FALSE()</f>
        <v>0</v>
      </c>
      <c r="R2972" s="16" t="b">
        <f>FALSE()</f>
        <v>0</v>
      </c>
      <c r="S2972" s="17">
        <f t="shared" si="46"/>
        <v>22.3</v>
      </c>
      <c r="T2972">
        <f>COUNTIF('👤 Customers'!$A:$A, B2972)</f>
        <v>1</v>
      </c>
      <c r="U2972">
        <f>COUNTIF('🚴 Riders'!A2971:A3031, C2972)</f>
        <v>0</v>
      </c>
      <c r="V2972">
        <f>COUNTIF('🏭 Facilities'!A2971:A2979, D2972)</f>
        <v>0</v>
      </c>
    </row>
    <row r="2973" spans="1:22">
      <c r="A2973" s="18" t="s">
        <v>6590</v>
      </c>
      <c r="B2973" s="18" t="s">
        <v>2722</v>
      </c>
      <c r="C2973" s="18" t="s">
        <v>1092</v>
      </c>
      <c r="D2973" s="18" t="s">
        <v>123</v>
      </c>
      <c r="E2973" s="26">
        <v>45414</v>
      </c>
      <c r="F2973" s="18" t="s">
        <v>6591</v>
      </c>
      <c r="G2973" s="18" t="s">
        <v>145</v>
      </c>
      <c r="H2973" s="18">
        <v>1.4</v>
      </c>
      <c r="I2973" s="18">
        <v>299</v>
      </c>
      <c r="J2973" s="18">
        <v>30</v>
      </c>
      <c r="K2973" s="18">
        <v>293.02</v>
      </c>
      <c r="L2973" s="18" t="s">
        <v>139</v>
      </c>
      <c r="M2973" s="18" t="s">
        <v>119</v>
      </c>
      <c r="N2973" s="28">
        <v>45414.192361111112</v>
      </c>
      <c r="O2973" s="28">
        <v>45415.136111111111</v>
      </c>
      <c r="P2973" s="18">
        <v>5</v>
      </c>
      <c r="Q2973" s="18" t="b">
        <f>FALSE()</f>
        <v>0</v>
      </c>
      <c r="R2973" s="18" t="b">
        <f>FALSE()</f>
        <v>0</v>
      </c>
      <c r="S2973" s="19">
        <f t="shared" si="46"/>
        <v>22.6</v>
      </c>
      <c r="T2973">
        <f>COUNTIF('👤 Customers'!$A:$A, B2973)</f>
        <v>1</v>
      </c>
      <c r="U2973">
        <f>COUNTIF('🚴 Riders'!A2972:A3032, C2973)</f>
        <v>0</v>
      </c>
      <c r="V2973">
        <f>COUNTIF('🏭 Facilities'!A2972:A2980, D2973)</f>
        <v>0</v>
      </c>
    </row>
    <row r="2974" spans="1:22">
      <c r="A2974" s="16" t="s">
        <v>6592</v>
      </c>
      <c r="B2974" s="16" t="s">
        <v>513</v>
      </c>
      <c r="C2974" s="16" t="s">
        <v>153</v>
      </c>
      <c r="D2974" s="16" t="s">
        <v>137</v>
      </c>
      <c r="E2974" s="25">
        <v>45585</v>
      </c>
      <c r="F2974" s="16" t="s">
        <v>6593</v>
      </c>
      <c r="G2974" s="16" t="s">
        <v>117</v>
      </c>
      <c r="H2974" s="16">
        <v>2.8</v>
      </c>
      <c r="I2974" s="16">
        <v>149</v>
      </c>
      <c r="J2974" s="16">
        <v>0</v>
      </c>
      <c r="K2974" s="16">
        <v>417.2</v>
      </c>
      <c r="L2974" s="16" t="s">
        <v>207</v>
      </c>
      <c r="M2974" s="16" t="s">
        <v>119</v>
      </c>
      <c r="N2974" s="27">
        <v>45585.228472222225</v>
      </c>
      <c r="O2974" s="27">
        <v>45585.786805555559</v>
      </c>
      <c r="P2974" s="16">
        <v>3.3</v>
      </c>
      <c r="Q2974" s="16" t="b">
        <f>FALSE()</f>
        <v>0</v>
      </c>
      <c r="R2974" s="16" t="b">
        <f>FALSE()</f>
        <v>0</v>
      </c>
      <c r="S2974" s="17">
        <f t="shared" si="46"/>
        <v>13.4</v>
      </c>
      <c r="T2974">
        <f>COUNTIF('👤 Customers'!$A:$A, B2974)</f>
        <v>1</v>
      </c>
      <c r="U2974">
        <f>COUNTIF('🚴 Riders'!A2973:A3033, C2974)</f>
        <v>0</v>
      </c>
      <c r="V2974">
        <f>COUNTIF('🏭 Facilities'!A2973:A2981, D2974)</f>
        <v>0</v>
      </c>
    </row>
    <row r="2975" spans="1:22">
      <c r="A2975" s="18" t="s">
        <v>6594</v>
      </c>
      <c r="B2975" s="18" t="s">
        <v>219</v>
      </c>
      <c r="C2975" s="18" t="s">
        <v>236</v>
      </c>
      <c r="D2975" s="18" t="s">
        <v>205</v>
      </c>
      <c r="E2975" s="26">
        <v>45227</v>
      </c>
      <c r="F2975" s="18" t="s">
        <v>6595</v>
      </c>
      <c r="G2975" s="18" t="s">
        <v>176</v>
      </c>
      <c r="H2975" s="18">
        <v>7.1</v>
      </c>
      <c r="I2975" s="18">
        <v>599</v>
      </c>
      <c r="J2975" s="18">
        <v>10</v>
      </c>
      <c r="K2975" s="18">
        <v>3827.61</v>
      </c>
      <c r="L2975" s="18" t="s">
        <v>118</v>
      </c>
      <c r="M2975" s="18" t="s">
        <v>140</v>
      </c>
      <c r="N2975" s="28">
        <v>45227.522222222222</v>
      </c>
      <c r="O2975" s="28">
        <v>45228.446527777778</v>
      </c>
      <c r="P2975" s="20"/>
      <c r="Q2975" s="18" t="b">
        <f>FALSE()</f>
        <v>0</v>
      </c>
      <c r="R2975" s="18" t="b">
        <f>FALSE()</f>
        <v>0</v>
      </c>
      <c r="S2975" s="19">
        <f t="shared" si="46"/>
        <v>22.2</v>
      </c>
      <c r="T2975">
        <f>COUNTIF('👤 Customers'!$A:$A, B2975)</f>
        <v>1</v>
      </c>
      <c r="U2975">
        <f>COUNTIF('🚴 Riders'!A2974:A3034, C2975)</f>
        <v>0</v>
      </c>
      <c r="V2975">
        <f>COUNTIF('🏭 Facilities'!A2974:A2982, D2975)</f>
        <v>0</v>
      </c>
    </row>
    <row r="2976" spans="1:22">
      <c r="A2976" s="16" t="s">
        <v>6596</v>
      </c>
      <c r="B2976" s="16" t="s">
        <v>1345</v>
      </c>
      <c r="C2976" s="16" t="s">
        <v>174</v>
      </c>
      <c r="D2976" s="16" t="s">
        <v>205</v>
      </c>
      <c r="E2976" s="25">
        <v>45050</v>
      </c>
      <c r="F2976" s="16" t="s">
        <v>6597</v>
      </c>
      <c r="G2976" s="16" t="s">
        <v>145</v>
      </c>
      <c r="H2976" s="16">
        <v>6.4</v>
      </c>
      <c r="I2976" s="16">
        <v>299</v>
      </c>
      <c r="J2976" s="16">
        <v>0</v>
      </c>
      <c r="K2976" s="16">
        <v>1913.6</v>
      </c>
      <c r="L2976" s="16" t="s">
        <v>146</v>
      </c>
      <c r="M2976" s="16" t="s">
        <v>119</v>
      </c>
      <c r="N2976" s="27">
        <v>45050.843055555553</v>
      </c>
      <c r="O2976" s="27">
        <v>45051.618750000001</v>
      </c>
      <c r="P2976" s="16">
        <v>2.6</v>
      </c>
      <c r="Q2976" s="16" t="b">
        <f>TRUE()</f>
        <v>1</v>
      </c>
      <c r="R2976" s="16" t="b">
        <f>FALSE()</f>
        <v>0</v>
      </c>
      <c r="S2976" s="17">
        <f t="shared" si="46"/>
        <v>18.600000000000001</v>
      </c>
      <c r="T2976">
        <f>COUNTIF('👤 Customers'!$A:$A, B2976)</f>
        <v>1</v>
      </c>
      <c r="U2976">
        <f>COUNTIF('🚴 Riders'!A2975:A3035, C2976)</f>
        <v>0</v>
      </c>
      <c r="V2976">
        <f>COUNTIF('🏭 Facilities'!A2975:A2983, D2976)</f>
        <v>0</v>
      </c>
    </row>
    <row r="2977" spans="1:22">
      <c r="A2977" s="18" t="s">
        <v>6598</v>
      </c>
      <c r="B2977" s="18" t="s">
        <v>2096</v>
      </c>
      <c r="C2977" s="18" t="s">
        <v>114</v>
      </c>
      <c r="D2977" s="18" t="s">
        <v>184</v>
      </c>
      <c r="E2977" s="26">
        <v>45537</v>
      </c>
      <c r="F2977" s="18" t="s">
        <v>6599</v>
      </c>
      <c r="G2977" s="18" t="s">
        <v>117</v>
      </c>
      <c r="H2977" s="18">
        <v>3.5</v>
      </c>
      <c r="I2977" s="18">
        <v>149</v>
      </c>
      <c r="J2977" s="18">
        <v>0</v>
      </c>
      <c r="K2977" s="18">
        <v>521.5</v>
      </c>
      <c r="L2977" s="18" t="s">
        <v>118</v>
      </c>
      <c r="M2977" s="18" t="s">
        <v>133</v>
      </c>
      <c r="N2977" s="20"/>
      <c r="O2977" s="20"/>
      <c r="P2977" s="20"/>
      <c r="Q2977" s="18" t="b">
        <f>FALSE()</f>
        <v>0</v>
      </c>
      <c r="R2977" s="18" t="b">
        <f>FALSE()</f>
        <v>0</v>
      </c>
      <c r="S2977" s="19" t="str">
        <f t="shared" si="46"/>
        <v>N/A</v>
      </c>
      <c r="T2977">
        <f>COUNTIF('👤 Customers'!$A:$A, B2977)</f>
        <v>1</v>
      </c>
      <c r="U2977">
        <f>COUNTIF('🚴 Riders'!A2976:A3036, C2977)</f>
        <v>0</v>
      </c>
      <c r="V2977">
        <f>COUNTIF('🏭 Facilities'!A2976:A2984, D2977)</f>
        <v>0</v>
      </c>
    </row>
    <row r="2978" spans="1:22">
      <c r="A2978" s="16" t="s">
        <v>6600</v>
      </c>
      <c r="B2978" s="16" t="s">
        <v>1518</v>
      </c>
      <c r="C2978" s="16" t="s">
        <v>354</v>
      </c>
      <c r="D2978" s="16" t="s">
        <v>115</v>
      </c>
      <c r="E2978" s="25">
        <v>45627</v>
      </c>
      <c r="F2978" s="16" t="s">
        <v>6601</v>
      </c>
      <c r="G2978" s="16" t="s">
        <v>117</v>
      </c>
      <c r="H2978" s="16">
        <v>7.3</v>
      </c>
      <c r="I2978" s="16">
        <v>149</v>
      </c>
      <c r="J2978" s="16">
        <v>0</v>
      </c>
      <c r="K2978" s="16">
        <v>1087.7</v>
      </c>
      <c r="L2978" s="16" t="s">
        <v>126</v>
      </c>
      <c r="M2978" s="16" t="s">
        <v>119</v>
      </c>
      <c r="N2978" s="27">
        <v>45627.955555555556</v>
      </c>
      <c r="O2978" s="27">
        <v>45629.004166666666</v>
      </c>
      <c r="P2978" s="16">
        <v>3.8</v>
      </c>
      <c r="Q2978" s="16" t="b">
        <f>TRUE()</f>
        <v>1</v>
      </c>
      <c r="R2978" s="16" t="b">
        <f>FALSE()</f>
        <v>0</v>
      </c>
      <c r="S2978" s="17">
        <f t="shared" si="46"/>
        <v>25.2</v>
      </c>
      <c r="T2978">
        <f>COUNTIF('👤 Customers'!$A:$A, B2978)</f>
        <v>1</v>
      </c>
      <c r="U2978">
        <f>COUNTIF('🚴 Riders'!A2977:A3037, C2978)</f>
        <v>0</v>
      </c>
      <c r="V2978">
        <f>COUNTIF('🏭 Facilities'!A2977:A2985, D2978)</f>
        <v>0</v>
      </c>
    </row>
    <row r="2979" spans="1:22">
      <c r="A2979" s="18" t="s">
        <v>6602</v>
      </c>
      <c r="B2979" s="18" t="s">
        <v>2865</v>
      </c>
      <c r="C2979" s="18" t="s">
        <v>536</v>
      </c>
      <c r="D2979" s="18" t="s">
        <v>158</v>
      </c>
      <c r="E2979" s="26">
        <v>44960</v>
      </c>
      <c r="F2979" s="18" t="s">
        <v>6603</v>
      </c>
      <c r="G2979" s="18" t="s">
        <v>125</v>
      </c>
      <c r="H2979" s="18">
        <v>3.3</v>
      </c>
      <c r="I2979" s="18">
        <v>199</v>
      </c>
      <c r="J2979" s="18">
        <v>0</v>
      </c>
      <c r="K2979" s="18">
        <v>656.7</v>
      </c>
      <c r="L2979" s="18" t="s">
        <v>146</v>
      </c>
      <c r="M2979" s="18" t="s">
        <v>119</v>
      </c>
      <c r="N2979" s="28">
        <v>44961.004166666666</v>
      </c>
      <c r="O2979" s="28">
        <v>44961.870833333334</v>
      </c>
      <c r="P2979" s="18">
        <v>3.1</v>
      </c>
      <c r="Q2979" s="18" t="b">
        <f>FALSE()</f>
        <v>0</v>
      </c>
      <c r="R2979" s="18" t="b">
        <f>FALSE()</f>
        <v>0</v>
      </c>
      <c r="S2979" s="19">
        <f t="shared" si="46"/>
        <v>20.8</v>
      </c>
      <c r="T2979">
        <f>COUNTIF('👤 Customers'!$A:$A, B2979)</f>
        <v>1</v>
      </c>
      <c r="U2979">
        <f>COUNTIF('🚴 Riders'!A2978:A3038, C2979)</f>
        <v>0</v>
      </c>
      <c r="V2979">
        <f>COUNTIF('🏭 Facilities'!A2978:A2986, D2979)</f>
        <v>0</v>
      </c>
    </row>
    <row r="2980" spans="1:22">
      <c r="A2980" s="16" t="s">
        <v>6604</v>
      </c>
      <c r="B2980" s="16" t="s">
        <v>657</v>
      </c>
      <c r="C2980" s="16" t="s">
        <v>170</v>
      </c>
      <c r="D2980" s="16" t="s">
        <v>184</v>
      </c>
      <c r="E2980" s="25">
        <v>44960</v>
      </c>
      <c r="F2980" s="16" t="s">
        <v>6605</v>
      </c>
      <c r="G2980" s="16" t="s">
        <v>117</v>
      </c>
      <c r="H2980" s="16">
        <v>2</v>
      </c>
      <c r="I2980" s="16">
        <v>149</v>
      </c>
      <c r="J2980" s="16">
        <v>0</v>
      </c>
      <c r="K2980" s="16">
        <v>298</v>
      </c>
      <c r="L2980" s="16" t="s">
        <v>139</v>
      </c>
      <c r="M2980" s="16" t="s">
        <v>140</v>
      </c>
      <c r="N2980" s="27">
        <v>44960.502083333333</v>
      </c>
      <c r="O2980" s="27">
        <v>44961.197222222225</v>
      </c>
      <c r="P2980" s="20"/>
      <c r="Q2980" s="16" t="b">
        <f>FALSE()</f>
        <v>0</v>
      </c>
      <c r="R2980" s="16" t="b">
        <f>FALSE()</f>
        <v>0</v>
      </c>
      <c r="S2980" s="17">
        <f t="shared" si="46"/>
        <v>16.7</v>
      </c>
      <c r="T2980">
        <f>COUNTIF('👤 Customers'!$A:$A, B2980)</f>
        <v>1</v>
      </c>
      <c r="U2980">
        <f>COUNTIF('🚴 Riders'!A2979:A3039, C2980)</f>
        <v>0</v>
      </c>
      <c r="V2980">
        <f>COUNTIF('🏭 Facilities'!A2979:A2987, D2980)</f>
        <v>0</v>
      </c>
    </row>
    <row r="2981" spans="1:22">
      <c r="A2981" s="18" t="s">
        <v>6606</v>
      </c>
      <c r="B2981" s="18" t="s">
        <v>990</v>
      </c>
      <c r="C2981" s="18" t="s">
        <v>213</v>
      </c>
      <c r="D2981" s="18" t="s">
        <v>137</v>
      </c>
      <c r="E2981" s="26">
        <v>44988</v>
      </c>
      <c r="F2981" s="18" t="s">
        <v>6607</v>
      </c>
      <c r="G2981" s="18" t="s">
        <v>145</v>
      </c>
      <c r="H2981" s="18">
        <v>5.6</v>
      </c>
      <c r="I2981" s="18">
        <v>299</v>
      </c>
      <c r="J2981" s="18">
        <v>0</v>
      </c>
      <c r="K2981" s="18">
        <v>1674.4</v>
      </c>
      <c r="L2981" s="18" t="s">
        <v>207</v>
      </c>
      <c r="M2981" s="18" t="s">
        <v>133</v>
      </c>
      <c r="N2981" s="20"/>
      <c r="O2981" s="20"/>
      <c r="P2981" s="20"/>
      <c r="Q2981" s="18" t="b">
        <f>FALSE()</f>
        <v>0</v>
      </c>
      <c r="R2981" s="18" t="b">
        <f>FALSE()</f>
        <v>0</v>
      </c>
      <c r="S2981" s="19" t="str">
        <f t="shared" si="46"/>
        <v>N/A</v>
      </c>
      <c r="T2981">
        <f>COUNTIF('👤 Customers'!$A:$A, B2981)</f>
        <v>1</v>
      </c>
      <c r="U2981">
        <f>COUNTIF('🚴 Riders'!A2980:A3040, C2981)</f>
        <v>0</v>
      </c>
      <c r="V2981">
        <f>COUNTIF('🏭 Facilities'!A2980:A2988, D2981)</f>
        <v>0</v>
      </c>
    </row>
    <row r="2982" spans="1:22">
      <c r="A2982" s="16" t="s">
        <v>6608</v>
      </c>
      <c r="B2982" s="16" t="s">
        <v>254</v>
      </c>
      <c r="C2982" s="16" t="s">
        <v>114</v>
      </c>
      <c r="D2982" s="16" t="s">
        <v>184</v>
      </c>
      <c r="E2982" s="25">
        <v>45290</v>
      </c>
      <c r="F2982" s="16" t="s">
        <v>6609</v>
      </c>
      <c r="G2982" s="16" t="s">
        <v>145</v>
      </c>
      <c r="H2982" s="16">
        <v>3.9</v>
      </c>
      <c r="I2982" s="16">
        <v>299</v>
      </c>
      <c r="J2982" s="16">
        <v>0</v>
      </c>
      <c r="K2982" s="16">
        <v>1166.0999999999999</v>
      </c>
      <c r="L2982" s="16" t="s">
        <v>126</v>
      </c>
      <c r="M2982" s="16" t="s">
        <v>119</v>
      </c>
      <c r="N2982" s="27">
        <v>45290.205555555556</v>
      </c>
      <c r="O2982" s="27">
        <v>45290.627083333333</v>
      </c>
      <c r="P2982" s="16">
        <v>4.5</v>
      </c>
      <c r="Q2982" s="16" t="b">
        <f>FALSE()</f>
        <v>0</v>
      </c>
      <c r="R2982" s="16" t="b">
        <f>TRUE()</f>
        <v>1</v>
      </c>
      <c r="S2982" s="17">
        <f t="shared" si="46"/>
        <v>10.1</v>
      </c>
      <c r="T2982">
        <f>COUNTIF('👤 Customers'!$A:$A, B2982)</f>
        <v>1</v>
      </c>
      <c r="U2982">
        <f>COUNTIF('🚴 Riders'!A2981:A3041, C2982)</f>
        <v>0</v>
      </c>
      <c r="V2982">
        <f>COUNTIF('🏭 Facilities'!A2981:A2989, D2982)</f>
        <v>0</v>
      </c>
    </row>
    <row r="2983" spans="1:22">
      <c r="A2983" s="18" t="s">
        <v>6610</v>
      </c>
      <c r="B2983" s="18" t="s">
        <v>3700</v>
      </c>
      <c r="C2983" s="18" t="s">
        <v>170</v>
      </c>
      <c r="D2983" s="18" t="s">
        <v>115</v>
      </c>
      <c r="E2983" s="26">
        <v>45573</v>
      </c>
      <c r="F2983" s="18" t="s">
        <v>6611</v>
      </c>
      <c r="G2983" s="18" t="s">
        <v>145</v>
      </c>
      <c r="H2983" s="18">
        <v>3.4</v>
      </c>
      <c r="I2983" s="18">
        <v>299</v>
      </c>
      <c r="J2983" s="18">
        <v>30</v>
      </c>
      <c r="K2983" s="18">
        <v>711.62</v>
      </c>
      <c r="L2983" s="18" t="s">
        <v>146</v>
      </c>
      <c r="M2983" s="18" t="s">
        <v>140</v>
      </c>
      <c r="N2983" s="28">
        <v>45573.13958333333</v>
      </c>
      <c r="O2983" s="28">
        <v>45574.091666666667</v>
      </c>
      <c r="P2983" s="20"/>
      <c r="Q2983" s="18" t="b">
        <f>FALSE()</f>
        <v>0</v>
      </c>
      <c r="R2983" s="18" t="b">
        <f>FALSE()</f>
        <v>0</v>
      </c>
      <c r="S2983" s="19">
        <f t="shared" si="46"/>
        <v>22.9</v>
      </c>
      <c r="T2983">
        <f>COUNTIF('👤 Customers'!$A:$A, B2983)</f>
        <v>1</v>
      </c>
      <c r="U2983">
        <f>COUNTIF('🚴 Riders'!A2982:A3042, C2983)</f>
        <v>0</v>
      </c>
      <c r="V2983">
        <f>COUNTIF('🏭 Facilities'!A2982:A2990, D2983)</f>
        <v>0</v>
      </c>
    </row>
    <row r="2984" spans="1:22">
      <c r="A2984" s="16" t="s">
        <v>6612</v>
      </c>
      <c r="B2984" s="16" t="s">
        <v>1191</v>
      </c>
      <c r="C2984" s="16" t="s">
        <v>247</v>
      </c>
      <c r="D2984" s="16" t="s">
        <v>115</v>
      </c>
      <c r="E2984" s="25">
        <v>45212</v>
      </c>
      <c r="F2984" s="16" t="s">
        <v>6613</v>
      </c>
      <c r="G2984" s="16" t="s">
        <v>117</v>
      </c>
      <c r="H2984" s="16">
        <v>4.2</v>
      </c>
      <c r="I2984" s="16">
        <v>149</v>
      </c>
      <c r="J2984" s="16">
        <v>0</v>
      </c>
      <c r="K2984" s="16">
        <v>625.79999999999995</v>
      </c>
      <c r="L2984" s="16" t="s">
        <v>207</v>
      </c>
      <c r="M2984" s="16" t="s">
        <v>140</v>
      </c>
      <c r="N2984" s="27">
        <v>45212.70208333333</v>
      </c>
      <c r="O2984" s="27">
        <v>45213.42291666667</v>
      </c>
      <c r="P2984" s="20"/>
      <c r="Q2984" s="16" t="b">
        <f>FALSE()</f>
        <v>0</v>
      </c>
      <c r="R2984" s="16" t="b">
        <f>FALSE()</f>
        <v>0</v>
      </c>
      <c r="S2984" s="17">
        <f t="shared" si="46"/>
        <v>17.3</v>
      </c>
      <c r="T2984">
        <f>COUNTIF('👤 Customers'!$A:$A, B2984)</f>
        <v>1</v>
      </c>
      <c r="U2984">
        <f>COUNTIF('🚴 Riders'!A2983:A3043, C2984)</f>
        <v>0</v>
      </c>
      <c r="V2984">
        <f>COUNTIF('🏭 Facilities'!A2983:A2991, D2984)</f>
        <v>0</v>
      </c>
    </row>
    <row r="2985" spans="1:22">
      <c r="A2985" s="18" t="s">
        <v>6614</v>
      </c>
      <c r="B2985" s="18" t="s">
        <v>1754</v>
      </c>
      <c r="C2985" s="18" t="s">
        <v>220</v>
      </c>
      <c r="D2985" s="18" t="s">
        <v>137</v>
      </c>
      <c r="E2985" s="26">
        <v>45050</v>
      </c>
      <c r="F2985" s="18" t="s">
        <v>6615</v>
      </c>
      <c r="G2985" s="18" t="s">
        <v>132</v>
      </c>
      <c r="H2985" s="18">
        <v>4.9000000000000004</v>
      </c>
      <c r="I2985" s="18">
        <v>399</v>
      </c>
      <c r="J2985" s="18">
        <v>0</v>
      </c>
      <c r="K2985" s="18">
        <v>1955.1</v>
      </c>
      <c r="L2985" s="18" t="s">
        <v>126</v>
      </c>
      <c r="M2985" s="18" t="s">
        <v>133</v>
      </c>
      <c r="N2985" s="20"/>
      <c r="O2985" s="20"/>
      <c r="P2985" s="20"/>
      <c r="Q2985" s="18" t="b">
        <f>FALSE()</f>
        <v>0</v>
      </c>
      <c r="R2985" s="18" t="b">
        <f>FALSE()</f>
        <v>0</v>
      </c>
      <c r="S2985" s="19" t="str">
        <f t="shared" si="46"/>
        <v>N/A</v>
      </c>
      <c r="T2985">
        <f>COUNTIF('👤 Customers'!$A:$A, B2985)</f>
        <v>1</v>
      </c>
      <c r="U2985">
        <f>COUNTIF('🚴 Riders'!A2984:A3044, C2985)</f>
        <v>0</v>
      </c>
      <c r="V2985">
        <f>COUNTIF('🏭 Facilities'!A2984:A2992, D2985)</f>
        <v>0</v>
      </c>
    </row>
    <row r="2986" spans="1:22">
      <c r="A2986" s="16" t="s">
        <v>6616</v>
      </c>
      <c r="B2986" s="16" t="s">
        <v>1070</v>
      </c>
      <c r="C2986" s="16" t="s">
        <v>272</v>
      </c>
      <c r="D2986" s="16" t="s">
        <v>184</v>
      </c>
      <c r="E2986" s="25">
        <v>45064</v>
      </c>
      <c r="F2986" s="16" t="s">
        <v>6617</v>
      </c>
      <c r="G2986" s="16" t="s">
        <v>117</v>
      </c>
      <c r="H2986" s="16">
        <v>5.4</v>
      </c>
      <c r="I2986" s="16">
        <v>149</v>
      </c>
      <c r="J2986" s="16">
        <v>0</v>
      </c>
      <c r="K2986" s="16">
        <v>804.6</v>
      </c>
      <c r="L2986" s="16" t="s">
        <v>146</v>
      </c>
      <c r="M2986" s="16" t="s">
        <v>119</v>
      </c>
      <c r="N2986" s="27">
        <v>45064.333333333336</v>
      </c>
      <c r="O2986" s="27">
        <v>45065.322916666664</v>
      </c>
      <c r="P2986" s="16">
        <v>4.2</v>
      </c>
      <c r="Q2986" s="16" t="b">
        <f>TRUE()</f>
        <v>1</v>
      </c>
      <c r="R2986" s="16" t="b">
        <f>FALSE()</f>
        <v>0</v>
      </c>
      <c r="S2986" s="17">
        <f t="shared" si="46"/>
        <v>23.7</v>
      </c>
      <c r="T2986">
        <f>COUNTIF('👤 Customers'!$A:$A, B2986)</f>
        <v>1</v>
      </c>
      <c r="U2986">
        <f>COUNTIF('🚴 Riders'!A2985:A3045, C2986)</f>
        <v>0</v>
      </c>
      <c r="V2986">
        <f>COUNTIF('🏭 Facilities'!A2985:A2993, D2986)</f>
        <v>0</v>
      </c>
    </row>
    <row r="2987" spans="1:22">
      <c r="A2987" s="18" t="s">
        <v>6618</v>
      </c>
      <c r="B2987" s="18" t="s">
        <v>2673</v>
      </c>
      <c r="C2987" s="18" t="s">
        <v>149</v>
      </c>
      <c r="D2987" s="18" t="s">
        <v>184</v>
      </c>
      <c r="E2987" s="26">
        <v>44961</v>
      </c>
      <c r="F2987" s="18" t="s">
        <v>6619</v>
      </c>
      <c r="G2987" s="18" t="s">
        <v>117</v>
      </c>
      <c r="H2987" s="18">
        <v>5.2</v>
      </c>
      <c r="I2987" s="18">
        <v>149</v>
      </c>
      <c r="J2987" s="18">
        <v>20</v>
      </c>
      <c r="K2987" s="18">
        <v>619.84</v>
      </c>
      <c r="L2987" s="18" t="s">
        <v>126</v>
      </c>
      <c r="M2987" s="18" t="s">
        <v>119</v>
      </c>
      <c r="N2987" s="28">
        <v>44962.025694444441</v>
      </c>
      <c r="O2987" s="28">
        <v>44962.852777777778</v>
      </c>
      <c r="P2987" s="18">
        <v>2.9</v>
      </c>
      <c r="Q2987" s="18" t="b">
        <f>FALSE()</f>
        <v>0</v>
      </c>
      <c r="R2987" s="18" t="b">
        <f>FALSE()</f>
        <v>0</v>
      </c>
      <c r="S2987" s="19">
        <f t="shared" si="46"/>
        <v>19.899999999999999</v>
      </c>
      <c r="T2987">
        <f>COUNTIF('👤 Customers'!$A:$A, B2987)</f>
        <v>1</v>
      </c>
      <c r="U2987">
        <f>COUNTIF('🚴 Riders'!A2986:A3046, C2987)</f>
        <v>0</v>
      </c>
      <c r="V2987">
        <f>COUNTIF('🏭 Facilities'!A2986:A2994, D2987)</f>
        <v>0</v>
      </c>
    </row>
    <row r="2988" spans="1:22">
      <c r="A2988" s="16" t="s">
        <v>6620</v>
      </c>
      <c r="B2988" s="16" t="s">
        <v>569</v>
      </c>
      <c r="C2988" s="16" t="s">
        <v>265</v>
      </c>
      <c r="D2988" s="16" t="s">
        <v>115</v>
      </c>
      <c r="E2988" s="25">
        <v>45241</v>
      </c>
      <c r="F2988" s="16" t="s">
        <v>6621</v>
      </c>
      <c r="G2988" s="16" t="s">
        <v>132</v>
      </c>
      <c r="H2988" s="16">
        <v>1.4</v>
      </c>
      <c r="I2988" s="16">
        <v>399</v>
      </c>
      <c r="J2988" s="16">
        <v>0</v>
      </c>
      <c r="K2988" s="16">
        <v>558.6</v>
      </c>
      <c r="L2988" s="16" t="s">
        <v>126</v>
      </c>
      <c r="M2988" s="16" t="s">
        <v>119</v>
      </c>
      <c r="N2988" s="27">
        <v>45241.705555555556</v>
      </c>
      <c r="O2988" s="27">
        <v>45242.686805555553</v>
      </c>
      <c r="P2988" s="16">
        <v>4.5</v>
      </c>
      <c r="Q2988" s="16" t="b">
        <f>FALSE()</f>
        <v>0</v>
      </c>
      <c r="R2988" s="16" t="b">
        <f>FALSE()</f>
        <v>0</v>
      </c>
      <c r="S2988" s="17">
        <f t="shared" si="46"/>
        <v>23.5</v>
      </c>
      <c r="T2988">
        <f>COUNTIF('👤 Customers'!$A:$A, B2988)</f>
        <v>1</v>
      </c>
      <c r="U2988">
        <f>COUNTIF('🚴 Riders'!A2987:A3047, C2988)</f>
        <v>0</v>
      </c>
      <c r="V2988">
        <f>COUNTIF('🏭 Facilities'!A2987:A2995, D2988)</f>
        <v>0</v>
      </c>
    </row>
    <row r="2989" spans="1:22">
      <c r="A2989" s="18" t="s">
        <v>6622</v>
      </c>
      <c r="B2989" s="18" t="s">
        <v>2375</v>
      </c>
      <c r="C2989" s="18" t="s">
        <v>157</v>
      </c>
      <c r="D2989" s="18" t="s">
        <v>205</v>
      </c>
      <c r="E2989" s="26">
        <v>45057</v>
      </c>
      <c r="F2989" s="18" t="s">
        <v>6623</v>
      </c>
      <c r="G2989" s="18" t="s">
        <v>125</v>
      </c>
      <c r="H2989" s="18">
        <v>6.1</v>
      </c>
      <c r="I2989" s="18">
        <v>199</v>
      </c>
      <c r="J2989" s="18">
        <v>0</v>
      </c>
      <c r="K2989" s="18">
        <v>1213.9000000000001</v>
      </c>
      <c r="L2989" s="18" t="s">
        <v>146</v>
      </c>
      <c r="M2989" s="18" t="s">
        <v>119</v>
      </c>
      <c r="N2989" s="28">
        <v>45057.88958333333</v>
      </c>
      <c r="O2989" s="28">
        <v>45058.381944444445</v>
      </c>
      <c r="P2989" s="18">
        <v>2.8</v>
      </c>
      <c r="Q2989" s="18" t="b">
        <f>TRUE()</f>
        <v>1</v>
      </c>
      <c r="R2989" s="18" t="b">
        <f>FALSE()</f>
        <v>0</v>
      </c>
      <c r="S2989" s="19">
        <f t="shared" si="46"/>
        <v>11.8</v>
      </c>
      <c r="T2989">
        <f>COUNTIF('👤 Customers'!$A:$A, B2989)</f>
        <v>1</v>
      </c>
      <c r="U2989">
        <f>COUNTIF('🚴 Riders'!A2988:A3048, C2989)</f>
        <v>0</v>
      </c>
      <c r="V2989">
        <f>COUNTIF('🏭 Facilities'!A2988:A2996, D2989)</f>
        <v>0</v>
      </c>
    </row>
    <row r="2990" spans="1:22">
      <c r="A2990" s="16" t="s">
        <v>6624</v>
      </c>
      <c r="B2990" s="16" t="s">
        <v>4375</v>
      </c>
      <c r="C2990" s="16" t="s">
        <v>354</v>
      </c>
      <c r="D2990" s="16" t="s">
        <v>130</v>
      </c>
      <c r="E2990" s="25">
        <v>45221</v>
      </c>
      <c r="F2990" s="16" t="s">
        <v>6625</v>
      </c>
      <c r="G2990" s="16" t="s">
        <v>125</v>
      </c>
      <c r="H2990" s="16">
        <v>4</v>
      </c>
      <c r="I2990" s="16">
        <v>199</v>
      </c>
      <c r="J2990" s="16">
        <v>0</v>
      </c>
      <c r="K2990" s="16">
        <v>796</v>
      </c>
      <c r="L2990" s="16" t="s">
        <v>139</v>
      </c>
      <c r="M2990" s="16" t="s">
        <v>133</v>
      </c>
      <c r="N2990" s="20"/>
      <c r="O2990" s="20"/>
      <c r="P2990" s="20"/>
      <c r="Q2990" s="16" t="b">
        <f>FALSE()</f>
        <v>0</v>
      </c>
      <c r="R2990" s="16" t="b">
        <f>TRUE()</f>
        <v>1</v>
      </c>
      <c r="S2990" s="17" t="str">
        <f t="shared" si="46"/>
        <v>N/A</v>
      </c>
      <c r="T2990">
        <f>COUNTIF('👤 Customers'!$A:$A, B2990)</f>
        <v>1</v>
      </c>
      <c r="U2990">
        <f>COUNTIF('🚴 Riders'!A2989:A3049, C2990)</f>
        <v>0</v>
      </c>
      <c r="V2990">
        <f>COUNTIF('🏭 Facilities'!A2989:A2997, D2990)</f>
        <v>0</v>
      </c>
    </row>
    <row r="2991" spans="1:22">
      <c r="A2991" s="18" t="s">
        <v>6626</v>
      </c>
      <c r="B2991" s="18" t="s">
        <v>1088</v>
      </c>
      <c r="C2991" s="18" t="s">
        <v>842</v>
      </c>
      <c r="D2991" s="18" t="s">
        <v>137</v>
      </c>
      <c r="E2991" s="26">
        <v>45533</v>
      </c>
      <c r="F2991" s="18" t="s">
        <v>6627</v>
      </c>
      <c r="G2991" s="18" t="s">
        <v>117</v>
      </c>
      <c r="H2991" s="18">
        <v>2.7</v>
      </c>
      <c r="I2991" s="18">
        <v>149</v>
      </c>
      <c r="J2991" s="18">
        <v>20</v>
      </c>
      <c r="K2991" s="18">
        <v>321.83999999999997</v>
      </c>
      <c r="L2991" s="18" t="s">
        <v>118</v>
      </c>
      <c r="M2991" s="18" t="s">
        <v>133</v>
      </c>
      <c r="N2991" s="20"/>
      <c r="O2991" s="20"/>
      <c r="P2991" s="20"/>
      <c r="Q2991" s="18" t="b">
        <f>FALSE()</f>
        <v>0</v>
      </c>
      <c r="R2991" s="18" t="b">
        <f>FALSE()</f>
        <v>0</v>
      </c>
      <c r="S2991" s="19" t="str">
        <f t="shared" si="46"/>
        <v>N/A</v>
      </c>
      <c r="T2991">
        <f>COUNTIF('👤 Customers'!$A:$A, B2991)</f>
        <v>1</v>
      </c>
      <c r="U2991">
        <f>COUNTIF('🚴 Riders'!A2990:A3050, C2991)</f>
        <v>0</v>
      </c>
      <c r="V2991">
        <f>COUNTIF('🏭 Facilities'!A2990:A2998, D2991)</f>
        <v>0</v>
      </c>
    </row>
    <row r="2992" spans="1:22">
      <c r="A2992" s="16" t="s">
        <v>6628</v>
      </c>
      <c r="B2992" s="16" t="s">
        <v>2446</v>
      </c>
      <c r="C2992" s="16" t="s">
        <v>611</v>
      </c>
      <c r="D2992" s="16" t="s">
        <v>115</v>
      </c>
      <c r="E2992" s="25">
        <v>45552</v>
      </c>
      <c r="F2992" s="16" t="s">
        <v>6629</v>
      </c>
      <c r="G2992" s="16" t="s">
        <v>176</v>
      </c>
      <c r="H2992" s="16">
        <v>8</v>
      </c>
      <c r="I2992" s="16">
        <v>599</v>
      </c>
      <c r="J2992" s="16">
        <v>20</v>
      </c>
      <c r="K2992" s="16">
        <v>3833.6</v>
      </c>
      <c r="L2992" s="16" t="s">
        <v>207</v>
      </c>
      <c r="M2992" s="16" t="s">
        <v>119</v>
      </c>
      <c r="N2992" s="27">
        <v>45552.428472222222</v>
      </c>
      <c r="O2992" s="27">
        <v>45552.770138888889</v>
      </c>
      <c r="P2992" s="16">
        <v>4.5999999999999996</v>
      </c>
      <c r="Q2992" s="16" t="b">
        <f>FALSE()</f>
        <v>0</v>
      </c>
      <c r="R2992" s="16" t="b">
        <f>FALSE()</f>
        <v>0</v>
      </c>
      <c r="S2992" s="17">
        <f t="shared" si="46"/>
        <v>8.1999999999999993</v>
      </c>
      <c r="T2992">
        <f>COUNTIF('👤 Customers'!$A:$A, B2992)</f>
        <v>1</v>
      </c>
      <c r="U2992">
        <f>COUNTIF('🚴 Riders'!A2991:A3051, C2992)</f>
        <v>0</v>
      </c>
      <c r="V2992">
        <f>COUNTIF('🏭 Facilities'!A2991:A2999, D2992)</f>
        <v>0</v>
      </c>
    </row>
    <row r="2993" spans="1:22">
      <c r="A2993" s="18" t="s">
        <v>6630</v>
      </c>
      <c r="B2993" s="18" t="s">
        <v>938</v>
      </c>
      <c r="C2993" s="18" t="s">
        <v>174</v>
      </c>
      <c r="D2993" s="18" t="s">
        <v>184</v>
      </c>
      <c r="E2993" s="26">
        <v>45313</v>
      </c>
      <c r="F2993" s="18" t="s">
        <v>6631</v>
      </c>
      <c r="G2993" s="18" t="s">
        <v>125</v>
      </c>
      <c r="H2993" s="18">
        <v>6.7</v>
      </c>
      <c r="I2993" s="18">
        <v>199</v>
      </c>
      <c r="J2993" s="18">
        <v>0</v>
      </c>
      <c r="K2993" s="18">
        <v>1333.3</v>
      </c>
      <c r="L2993" s="18" t="s">
        <v>139</v>
      </c>
      <c r="M2993" s="18" t="s">
        <v>119</v>
      </c>
      <c r="N2993" s="28">
        <v>45313.93472222222</v>
      </c>
      <c r="O2993" s="28">
        <v>45314.45208333333</v>
      </c>
      <c r="P2993" s="18">
        <v>3.5</v>
      </c>
      <c r="Q2993" s="18" t="b">
        <f>FALSE()</f>
        <v>0</v>
      </c>
      <c r="R2993" s="18" t="b">
        <f>FALSE()</f>
        <v>0</v>
      </c>
      <c r="S2993" s="19">
        <f t="shared" si="46"/>
        <v>12.4</v>
      </c>
      <c r="T2993">
        <f>COUNTIF('👤 Customers'!$A:$A, B2993)</f>
        <v>1</v>
      </c>
      <c r="U2993">
        <f>COUNTIF('🚴 Riders'!A2992:A3052, C2993)</f>
        <v>0</v>
      </c>
      <c r="V2993">
        <f>COUNTIF('🏭 Facilities'!A2992:A3000, D2993)</f>
        <v>0</v>
      </c>
    </row>
    <row r="2994" spans="1:22">
      <c r="A2994" s="16" t="s">
        <v>6632</v>
      </c>
      <c r="B2994" s="16" t="s">
        <v>623</v>
      </c>
      <c r="C2994" s="16" t="s">
        <v>563</v>
      </c>
      <c r="D2994" s="16" t="s">
        <v>158</v>
      </c>
      <c r="E2994" s="25">
        <v>45114</v>
      </c>
      <c r="F2994" s="16" t="s">
        <v>6633</v>
      </c>
      <c r="G2994" s="16" t="s">
        <v>176</v>
      </c>
      <c r="H2994" s="16">
        <v>2.6</v>
      </c>
      <c r="I2994" s="16">
        <v>599</v>
      </c>
      <c r="J2994" s="16">
        <v>0</v>
      </c>
      <c r="K2994" s="16">
        <v>1557.4</v>
      </c>
      <c r="L2994" s="16" t="s">
        <v>126</v>
      </c>
      <c r="M2994" s="16" t="s">
        <v>119</v>
      </c>
      <c r="N2994" s="27">
        <v>45114.131944444445</v>
      </c>
      <c r="O2994" s="27">
        <v>45114.529166666667</v>
      </c>
      <c r="P2994" s="16">
        <v>4.3</v>
      </c>
      <c r="Q2994" s="16" t="b">
        <f>FALSE()</f>
        <v>0</v>
      </c>
      <c r="R2994" s="16" t="b">
        <f>FALSE()</f>
        <v>0</v>
      </c>
      <c r="S2994" s="17">
        <f t="shared" si="46"/>
        <v>9.5</v>
      </c>
      <c r="T2994">
        <f>COUNTIF('👤 Customers'!$A:$A, B2994)</f>
        <v>1</v>
      </c>
      <c r="U2994">
        <f>COUNTIF('🚴 Riders'!A2993:A3053, C2994)</f>
        <v>0</v>
      </c>
      <c r="V2994">
        <f>COUNTIF('🏭 Facilities'!A2993:A3001, D2994)</f>
        <v>0</v>
      </c>
    </row>
    <row r="2995" spans="1:22">
      <c r="A2995" s="18" t="s">
        <v>6634</v>
      </c>
      <c r="B2995" s="18" t="s">
        <v>3825</v>
      </c>
      <c r="C2995" s="18" t="s">
        <v>272</v>
      </c>
      <c r="D2995" s="18" t="s">
        <v>184</v>
      </c>
      <c r="E2995" s="26">
        <v>45415</v>
      </c>
      <c r="F2995" s="18" t="s">
        <v>6635</v>
      </c>
      <c r="G2995" s="18" t="s">
        <v>145</v>
      </c>
      <c r="H2995" s="18">
        <v>7.2</v>
      </c>
      <c r="I2995" s="18">
        <v>299</v>
      </c>
      <c r="J2995" s="18">
        <v>0</v>
      </c>
      <c r="K2995" s="18">
        <v>2152.8000000000002</v>
      </c>
      <c r="L2995" s="18" t="s">
        <v>118</v>
      </c>
      <c r="M2995" s="18" t="s">
        <v>133</v>
      </c>
      <c r="N2995" s="20"/>
      <c r="O2995" s="20"/>
      <c r="P2995" s="20"/>
      <c r="Q2995" s="18" t="b">
        <f>FALSE()</f>
        <v>0</v>
      </c>
      <c r="R2995" s="18" t="b">
        <f>FALSE()</f>
        <v>0</v>
      </c>
      <c r="S2995" s="19" t="str">
        <f t="shared" si="46"/>
        <v>N/A</v>
      </c>
      <c r="T2995">
        <f>COUNTIF('👤 Customers'!$A:$A, B2995)</f>
        <v>1</v>
      </c>
      <c r="U2995">
        <f>COUNTIF('🚴 Riders'!A2994:A3054, C2995)</f>
        <v>0</v>
      </c>
      <c r="V2995">
        <f>COUNTIF('🏭 Facilities'!A2994:A3002, D2995)</f>
        <v>0</v>
      </c>
    </row>
    <row r="2996" spans="1:22">
      <c r="A2996" s="16" t="s">
        <v>6636</v>
      </c>
      <c r="B2996" s="16" t="s">
        <v>1672</v>
      </c>
      <c r="C2996" s="16" t="s">
        <v>483</v>
      </c>
      <c r="D2996" s="16" t="s">
        <v>184</v>
      </c>
      <c r="E2996" s="25">
        <v>44966</v>
      </c>
      <c r="F2996" s="16" t="s">
        <v>6637</v>
      </c>
      <c r="G2996" s="16" t="s">
        <v>117</v>
      </c>
      <c r="H2996" s="16">
        <v>6.2</v>
      </c>
      <c r="I2996" s="16">
        <v>149</v>
      </c>
      <c r="J2996" s="16">
        <v>20</v>
      </c>
      <c r="K2996" s="16">
        <v>739.04</v>
      </c>
      <c r="L2996" s="16" t="s">
        <v>207</v>
      </c>
      <c r="M2996" s="16" t="s">
        <v>119</v>
      </c>
      <c r="N2996" s="27">
        <v>44966.624305555553</v>
      </c>
      <c r="O2996" s="27">
        <v>44966.967361111114</v>
      </c>
      <c r="P2996" s="16">
        <v>4.5999999999999996</v>
      </c>
      <c r="Q2996" s="16" t="b">
        <f>FALSE()</f>
        <v>0</v>
      </c>
      <c r="R2996" s="16" t="b">
        <f>FALSE()</f>
        <v>0</v>
      </c>
      <c r="S2996" s="17">
        <f t="shared" si="46"/>
        <v>8.1999999999999993</v>
      </c>
      <c r="T2996">
        <f>COUNTIF('👤 Customers'!$A:$A, B2996)</f>
        <v>1</v>
      </c>
      <c r="U2996">
        <f>COUNTIF('🚴 Riders'!A2995:A3055, C2996)</f>
        <v>0</v>
      </c>
      <c r="V2996">
        <f>COUNTIF('🏭 Facilities'!A2995:A3003, D2996)</f>
        <v>0</v>
      </c>
    </row>
    <row r="2997" spans="1:22">
      <c r="A2997" s="18" t="s">
        <v>6638</v>
      </c>
      <c r="B2997" s="18" t="s">
        <v>689</v>
      </c>
      <c r="C2997" s="18" t="s">
        <v>580</v>
      </c>
      <c r="D2997" s="18" t="s">
        <v>205</v>
      </c>
      <c r="E2997" s="26">
        <v>45073</v>
      </c>
      <c r="F2997" s="18" t="s">
        <v>6639</v>
      </c>
      <c r="G2997" s="18" t="s">
        <v>125</v>
      </c>
      <c r="H2997" s="18">
        <v>5.8</v>
      </c>
      <c r="I2997" s="18">
        <v>199</v>
      </c>
      <c r="J2997" s="18">
        <v>10</v>
      </c>
      <c r="K2997" s="18">
        <v>1038.78</v>
      </c>
      <c r="L2997" s="18" t="s">
        <v>139</v>
      </c>
      <c r="M2997" s="18" t="s">
        <v>119</v>
      </c>
      <c r="N2997" s="28">
        <v>45073.23541666667</v>
      </c>
      <c r="O2997" s="28">
        <v>45074.197916666664</v>
      </c>
      <c r="P2997" s="18">
        <v>3.3</v>
      </c>
      <c r="Q2997" s="18" t="b">
        <f>FALSE()</f>
        <v>0</v>
      </c>
      <c r="R2997" s="18" t="b">
        <f>FALSE()</f>
        <v>0</v>
      </c>
      <c r="S2997" s="19">
        <f t="shared" si="46"/>
        <v>23.1</v>
      </c>
      <c r="T2997">
        <f>COUNTIF('👤 Customers'!$A:$A, B2997)</f>
        <v>1</v>
      </c>
      <c r="U2997">
        <f>COUNTIF('🚴 Riders'!A2996:A3056, C2997)</f>
        <v>0</v>
      </c>
      <c r="V2997">
        <f>COUNTIF('🏭 Facilities'!A2996:A3004, D2997)</f>
        <v>0</v>
      </c>
    </row>
    <row r="2998" spans="1:22">
      <c r="A2998" s="16" t="s">
        <v>6640</v>
      </c>
      <c r="B2998" s="16" t="s">
        <v>845</v>
      </c>
      <c r="C2998" s="16" t="s">
        <v>272</v>
      </c>
      <c r="D2998" s="16" t="s">
        <v>184</v>
      </c>
      <c r="E2998" s="25">
        <v>45321</v>
      </c>
      <c r="F2998" s="16" t="s">
        <v>6641</v>
      </c>
      <c r="G2998" s="16" t="s">
        <v>125</v>
      </c>
      <c r="H2998" s="16">
        <v>4.8</v>
      </c>
      <c r="I2998" s="16">
        <v>199</v>
      </c>
      <c r="J2998" s="16">
        <v>0</v>
      </c>
      <c r="K2998" s="16">
        <v>955.2</v>
      </c>
      <c r="L2998" s="16" t="s">
        <v>139</v>
      </c>
      <c r="M2998" s="16" t="s">
        <v>119</v>
      </c>
      <c r="N2998" s="27">
        <v>45321.554861111108</v>
      </c>
      <c r="O2998" s="27">
        <v>45321.979861111111</v>
      </c>
      <c r="P2998" s="16">
        <v>2.9</v>
      </c>
      <c r="Q2998" s="16" t="b">
        <f>FALSE()</f>
        <v>0</v>
      </c>
      <c r="R2998" s="16" t="b">
        <f>TRUE()</f>
        <v>1</v>
      </c>
      <c r="S2998" s="17">
        <f t="shared" si="46"/>
        <v>10.199999999999999</v>
      </c>
      <c r="T2998">
        <f>COUNTIF('👤 Customers'!$A:$A, B2998)</f>
        <v>1</v>
      </c>
      <c r="U2998">
        <f>COUNTIF('🚴 Riders'!A2997:A3057, C2998)</f>
        <v>0</v>
      </c>
      <c r="V2998">
        <f>COUNTIF('🏭 Facilities'!A2997:A3005, D2998)</f>
        <v>0</v>
      </c>
    </row>
    <row r="2999" spans="1:22">
      <c r="A2999" s="18" t="s">
        <v>6642</v>
      </c>
      <c r="B2999" s="18" t="s">
        <v>1781</v>
      </c>
      <c r="C2999" s="18" t="s">
        <v>315</v>
      </c>
      <c r="D2999" s="18" t="s">
        <v>123</v>
      </c>
      <c r="E2999" s="26">
        <v>45214</v>
      </c>
      <c r="F2999" s="18" t="s">
        <v>6643</v>
      </c>
      <c r="G2999" s="18" t="s">
        <v>132</v>
      </c>
      <c r="H2999" s="18">
        <v>7.7</v>
      </c>
      <c r="I2999" s="18">
        <v>399</v>
      </c>
      <c r="J2999" s="18">
        <v>0</v>
      </c>
      <c r="K2999" s="18">
        <v>3072.3</v>
      </c>
      <c r="L2999" s="18" t="s">
        <v>139</v>
      </c>
      <c r="M2999" s="18" t="s">
        <v>119</v>
      </c>
      <c r="N2999" s="28">
        <v>45214.881249999999</v>
      </c>
      <c r="O2999" s="28">
        <v>45215.856249999997</v>
      </c>
      <c r="P2999" s="18">
        <v>2.7</v>
      </c>
      <c r="Q2999" s="18" t="b">
        <f>FALSE()</f>
        <v>0</v>
      </c>
      <c r="R2999" s="18" t="b">
        <f>FALSE()</f>
        <v>0</v>
      </c>
      <c r="S2999" s="19">
        <f t="shared" si="46"/>
        <v>23.4</v>
      </c>
      <c r="T2999">
        <f>COUNTIF('👤 Customers'!$A:$A, B2999)</f>
        <v>1</v>
      </c>
      <c r="U2999">
        <f>COUNTIF('🚴 Riders'!A2998:A3058, C2999)</f>
        <v>0</v>
      </c>
      <c r="V2999">
        <f>COUNTIF('🏭 Facilities'!A2998:A3006, D2999)</f>
        <v>0</v>
      </c>
    </row>
    <row r="3000" spans="1:22">
      <c r="A3000" s="16" t="s">
        <v>6644</v>
      </c>
      <c r="B3000" s="16" t="s">
        <v>357</v>
      </c>
      <c r="C3000" s="16" t="s">
        <v>750</v>
      </c>
      <c r="D3000" s="16" t="s">
        <v>123</v>
      </c>
      <c r="E3000" s="25">
        <v>45295</v>
      </c>
      <c r="F3000" s="16" t="s">
        <v>6645</v>
      </c>
      <c r="G3000" s="16" t="s">
        <v>117</v>
      </c>
      <c r="H3000" s="16">
        <v>1.1000000000000001</v>
      </c>
      <c r="I3000" s="16">
        <v>149</v>
      </c>
      <c r="J3000" s="16">
        <v>0</v>
      </c>
      <c r="K3000" s="16">
        <v>163.9</v>
      </c>
      <c r="L3000" s="16" t="s">
        <v>126</v>
      </c>
      <c r="M3000" s="16" t="s">
        <v>119</v>
      </c>
      <c r="N3000" s="27">
        <v>45295.317361111112</v>
      </c>
      <c r="O3000" s="27">
        <v>45296.134027777778</v>
      </c>
      <c r="P3000" s="16">
        <v>3.8</v>
      </c>
      <c r="Q3000" s="16" t="b">
        <f>FALSE()</f>
        <v>0</v>
      </c>
      <c r="R3000" s="16" t="b">
        <f>TRUE()</f>
        <v>1</v>
      </c>
      <c r="S3000" s="17">
        <f t="shared" si="46"/>
        <v>19.600000000000001</v>
      </c>
      <c r="T3000">
        <f>COUNTIF('👤 Customers'!$A:$A, B3000)</f>
        <v>1</v>
      </c>
      <c r="U3000">
        <f>COUNTIF('🚴 Riders'!A2999:A3059, C3000)</f>
        <v>0</v>
      </c>
      <c r="V3000">
        <f>COUNTIF('🏭 Facilities'!A2999:A3007, D3000)</f>
        <v>0</v>
      </c>
    </row>
    <row r="3001" spans="1:22">
      <c r="A3001" s="18" t="s">
        <v>6646</v>
      </c>
      <c r="B3001" s="18" t="s">
        <v>2033</v>
      </c>
      <c r="C3001" s="18" t="s">
        <v>149</v>
      </c>
      <c r="D3001" s="18" t="s">
        <v>205</v>
      </c>
      <c r="E3001" s="26">
        <v>45151</v>
      </c>
      <c r="F3001" s="18" t="s">
        <v>6647</v>
      </c>
      <c r="G3001" s="18" t="s">
        <v>125</v>
      </c>
      <c r="H3001" s="18">
        <v>1.9</v>
      </c>
      <c r="I3001" s="18">
        <v>199</v>
      </c>
      <c r="J3001" s="18">
        <v>30</v>
      </c>
      <c r="K3001" s="18">
        <v>264.67</v>
      </c>
      <c r="L3001" s="18" t="s">
        <v>126</v>
      </c>
      <c r="M3001" s="18" t="s">
        <v>119</v>
      </c>
      <c r="N3001" s="28">
        <v>45151.948611111111</v>
      </c>
      <c r="O3001" s="28">
        <v>45152.717361111114</v>
      </c>
      <c r="P3001" s="18">
        <v>3.3</v>
      </c>
      <c r="Q3001" s="18" t="b">
        <f>FALSE()</f>
        <v>0</v>
      </c>
      <c r="R3001" s="18" t="b">
        <f>FALSE()</f>
        <v>0</v>
      </c>
      <c r="S3001" s="19">
        <f t="shared" si="46"/>
        <v>18.5</v>
      </c>
      <c r="T3001">
        <f>COUNTIF('👤 Customers'!$A:$A, B3001)</f>
        <v>1</v>
      </c>
      <c r="U3001">
        <f>COUNTIF('🚴 Riders'!A3000:A3060, C3001)</f>
        <v>0</v>
      </c>
      <c r="V3001">
        <f>COUNTIF('🏭 Facilities'!A3000:A3008, D3001)</f>
        <v>0</v>
      </c>
    </row>
  </sheetData>
  <autoFilter ref="A1:T3001" xr:uid="{00000000-0001-0000-0200-000000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01"/>
  <sheetViews>
    <sheetView showGridLines="0" zoomScaleNormal="100" workbookViewId="0">
      <pane ySplit="1" topLeftCell="A477" activePane="bottomLeft" state="frozen"/>
      <selection pane="bottomLeft"/>
    </sheetView>
  </sheetViews>
  <sheetFormatPr defaultColWidth="8.7109375" defaultRowHeight="14.45"/>
  <cols>
    <col min="1" max="1" width="13" customWidth="1"/>
    <col min="2" max="2" width="26" customWidth="1"/>
    <col min="3" max="3" width="30" customWidth="1"/>
    <col min="4" max="4" width="14" customWidth="1"/>
    <col min="5" max="5" width="17" customWidth="1"/>
    <col min="6" max="6" width="11" customWidth="1"/>
    <col min="7" max="7" width="13" customWidth="1"/>
    <col min="8" max="8" width="8" customWidth="1"/>
    <col min="9" max="9" width="15" customWidth="1"/>
  </cols>
  <sheetData>
    <row r="1" spans="1:9" ht="24.75" customHeight="1">
      <c r="A1" s="21" t="s">
        <v>94</v>
      </c>
      <c r="B1" s="21" t="s">
        <v>6648</v>
      </c>
      <c r="C1" s="21" t="s">
        <v>6649</v>
      </c>
      <c r="D1" s="21" t="s">
        <v>6650</v>
      </c>
      <c r="E1" s="21" t="s">
        <v>6651</v>
      </c>
      <c r="F1" s="21" t="s">
        <v>6652</v>
      </c>
      <c r="G1" s="21" t="s">
        <v>6653</v>
      </c>
      <c r="H1" s="21" t="s">
        <v>6654</v>
      </c>
      <c r="I1" s="21" t="s">
        <v>6655</v>
      </c>
    </row>
    <row r="2" spans="1:9">
      <c r="A2" s="16" t="s">
        <v>817</v>
      </c>
      <c r="B2" s="16" t="s">
        <v>6656</v>
      </c>
      <c r="C2" s="16" t="s">
        <v>6657</v>
      </c>
      <c r="D2" s="16">
        <v>910520976424</v>
      </c>
      <c r="E2" s="16" t="s">
        <v>6658</v>
      </c>
      <c r="F2" s="16" t="s">
        <v>6659</v>
      </c>
      <c r="G2" s="16" t="s">
        <v>6660</v>
      </c>
      <c r="H2" s="16" t="s">
        <v>6661</v>
      </c>
      <c r="I2" s="16" t="s">
        <v>6662</v>
      </c>
    </row>
    <row r="3" spans="1:9">
      <c r="A3" s="18" t="s">
        <v>1030</v>
      </c>
      <c r="B3" s="18" t="s">
        <v>6663</v>
      </c>
      <c r="C3" s="18" t="s">
        <v>6664</v>
      </c>
      <c r="D3" s="18">
        <v>288192806</v>
      </c>
      <c r="E3" s="18" t="s">
        <v>6665</v>
      </c>
      <c r="F3" s="18" t="s">
        <v>6659</v>
      </c>
      <c r="G3" s="18" t="s">
        <v>6666</v>
      </c>
      <c r="H3" s="18" t="s">
        <v>6661</v>
      </c>
      <c r="I3" s="18" t="s">
        <v>6662</v>
      </c>
    </row>
    <row r="4" spans="1:9">
      <c r="A4" s="16" t="s">
        <v>731</v>
      </c>
      <c r="B4" s="16" t="s">
        <v>6667</v>
      </c>
      <c r="C4" s="16" t="s">
        <v>6668</v>
      </c>
      <c r="D4" s="16">
        <v>918215623201</v>
      </c>
      <c r="E4" s="16" t="s">
        <v>6669</v>
      </c>
      <c r="F4" s="16" t="s">
        <v>6659</v>
      </c>
      <c r="G4" s="16" t="s">
        <v>6670</v>
      </c>
      <c r="H4" s="16" t="s">
        <v>6671</v>
      </c>
      <c r="I4" s="16" t="s">
        <v>6662</v>
      </c>
    </row>
    <row r="5" spans="1:9">
      <c r="A5" s="18" t="s">
        <v>838</v>
      </c>
      <c r="B5" s="18" t="s">
        <v>6672</v>
      </c>
      <c r="C5" s="18" t="s">
        <v>6673</v>
      </c>
      <c r="D5" s="18">
        <v>4011752837</v>
      </c>
      <c r="E5" s="18" t="s">
        <v>6674</v>
      </c>
      <c r="F5" s="18" t="s">
        <v>6659</v>
      </c>
      <c r="G5" s="18" t="s">
        <v>6675</v>
      </c>
      <c r="H5" s="18" t="s">
        <v>6661</v>
      </c>
      <c r="I5" s="18" t="s">
        <v>6662</v>
      </c>
    </row>
    <row r="6" spans="1:9">
      <c r="A6" s="16" t="s">
        <v>869</v>
      </c>
      <c r="B6" s="16" t="s">
        <v>6676</v>
      </c>
      <c r="C6" s="16" t="s">
        <v>6677</v>
      </c>
      <c r="D6" s="16">
        <v>9966274843</v>
      </c>
      <c r="E6" s="16" t="s">
        <v>6678</v>
      </c>
      <c r="F6" s="16" t="s">
        <v>6659</v>
      </c>
      <c r="G6" s="16" t="s">
        <v>6679</v>
      </c>
      <c r="H6" s="16" t="s">
        <v>6671</v>
      </c>
      <c r="I6" s="16" t="s">
        <v>6662</v>
      </c>
    </row>
    <row r="7" spans="1:9">
      <c r="A7" s="18" t="s">
        <v>1567</v>
      </c>
      <c r="B7" s="18" t="s">
        <v>6680</v>
      </c>
      <c r="C7" s="18" t="s">
        <v>6681</v>
      </c>
      <c r="D7" s="18">
        <v>7084045507</v>
      </c>
      <c r="E7" s="18" t="s">
        <v>6669</v>
      </c>
      <c r="F7" s="18" t="s">
        <v>6659</v>
      </c>
      <c r="G7" s="18" t="s">
        <v>6682</v>
      </c>
      <c r="H7" s="18" t="s">
        <v>6671</v>
      </c>
      <c r="I7" s="18" t="s">
        <v>6662</v>
      </c>
    </row>
    <row r="8" spans="1:9">
      <c r="A8" s="16" t="s">
        <v>397</v>
      </c>
      <c r="B8" s="16" t="s">
        <v>6683</v>
      </c>
      <c r="C8" s="16" t="s">
        <v>6684</v>
      </c>
      <c r="D8" s="16">
        <v>917470542598</v>
      </c>
      <c r="E8" s="16" t="s">
        <v>6665</v>
      </c>
      <c r="F8" s="16" t="s">
        <v>6659</v>
      </c>
      <c r="G8" s="16" t="s">
        <v>6685</v>
      </c>
      <c r="H8" s="16" t="s">
        <v>6686</v>
      </c>
      <c r="I8" s="16" t="s">
        <v>6662</v>
      </c>
    </row>
    <row r="9" spans="1:9">
      <c r="A9" s="18" t="s">
        <v>1000</v>
      </c>
      <c r="B9" s="18" t="s">
        <v>6687</v>
      </c>
      <c r="C9" s="18" t="s">
        <v>6688</v>
      </c>
      <c r="D9" s="18">
        <v>4660628221</v>
      </c>
      <c r="E9" s="18" t="s">
        <v>6674</v>
      </c>
      <c r="F9" s="18" t="s">
        <v>6659</v>
      </c>
      <c r="G9" s="18" t="s">
        <v>6689</v>
      </c>
      <c r="H9" s="18" t="s">
        <v>6661</v>
      </c>
      <c r="I9" s="18" t="s">
        <v>6662</v>
      </c>
    </row>
    <row r="10" spans="1:9">
      <c r="A10" s="16" t="s">
        <v>2028</v>
      </c>
      <c r="B10" s="16" t="s">
        <v>6690</v>
      </c>
      <c r="C10" s="16" t="s">
        <v>6691</v>
      </c>
      <c r="D10" s="16">
        <v>741361235</v>
      </c>
      <c r="E10" s="16" t="s">
        <v>6692</v>
      </c>
      <c r="F10" s="16" t="s">
        <v>6659</v>
      </c>
      <c r="G10" s="16" t="s">
        <v>6693</v>
      </c>
      <c r="H10" s="16" t="s">
        <v>6661</v>
      </c>
      <c r="I10" s="16" t="s">
        <v>6662</v>
      </c>
    </row>
    <row r="11" spans="1:9">
      <c r="A11" s="18" t="s">
        <v>1272</v>
      </c>
      <c r="B11" s="18" t="s">
        <v>6694</v>
      </c>
      <c r="C11" s="18" t="s">
        <v>6695</v>
      </c>
      <c r="D11" s="18">
        <v>914474583269</v>
      </c>
      <c r="E11" s="18" t="s">
        <v>6696</v>
      </c>
      <c r="F11" s="18" t="s">
        <v>6659</v>
      </c>
      <c r="G11" s="18" t="s">
        <v>6697</v>
      </c>
      <c r="H11" s="18" t="s">
        <v>6661</v>
      </c>
      <c r="I11" s="18" t="s">
        <v>6662</v>
      </c>
    </row>
    <row r="12" spans="1:9">
      <c r="A12" s="16" t="s">
        <v>1279</v>
      </c>
      <c r="B12" s="16" t="s">
        <v>6698</v>
      </c>
      <c r="C12" s="16" t="s">
        <v>6699</v>
      </c>
      <c r="D12" s="16">
        <v>919802367003</v>
      </c>
      <c r="E12" s="16" t="s">
        <v>6696</v>
      </c>
      <c r="F12" s="16" t="s">
        <v>6659</v>
      </c>
      <c r="G12" s="16" t="s">
        <v>6700</v>
      </c>
      <c r="H12" s="16" t="s">
        <v>6686</v>
      </c>
      <c r="I12" s="16" t="s">
        <v>6662</v>
      </c>
    </row>
    <row r="13" spans="1:9">
      <c r="A13" s="18" t="s">
        <v>2621</v>
      </c>
      <c r="B13" s="18" t="s">
        <v>6701</v>
      </c>
      <c r="C13" s="18" t="s">
        <v>6702</v>
      </c>
      <c r="D13" s="18">
        <v>2541079072</v>
      </c>
      <c r="E13" s="18" t="s">
        <v>6674</v>
      </c>
      <c r="F13" s="18" t="s">
        <v>6659</v>
      </c>
      <c r="G13" s="18" t="s">
        <v>6703</v>
      </c>
      <c r="H13" s="18" t="s">
        <v>6671</v>
      </c>
      <c r="I13" s="18" t="s">
        <v>6662</v>
      </c>
    </row>
    <row r="14" spans="1:9">
      <c r="A14" s="16" t="s">
        <v>930</v>
      </c>
      <c r="B14" s="16" t="s">
        <v>6704</v>
      </c>
      <c r="C14" s="16" t="s">
        <v>6705</v>
      </c>
      <c r="D14" s="16">
        <v>914100488699</v>
      </c>
      <c r="E14" s="16" t="s">
        <v>6706</v>
      </c>
      <c r="F14" s="16" t="s">
        <v>6659</v>
      </c>
      <c r="G14" s="16" t="s">
        <v>6707</v>
      </c>
      <c r="H14" s="16" t="s">
        <v>6661</v>
      </c>
      <c r="I14" s="16" t="s">
        <v>6662</v>
      </c>
    </row>
    <row r="15" spans="1:9">
      <c r="A15" s="18" t="s">
        <v>2398</v>
      </c>
      <c r="B15" s="18" t="s">
        <v>6708</v>
      </c>
      <c r="C15" s="18" t="s">
        <v>6709</v>
      </c>
      <c r="D15" s="18">
        <v>8551237136</v>
      </c>
      <c r="E15" s="18" t="s">
        <v>6710</v>
      </c>
      <c r="F15" s="18" t="s">
        <v>6659</v>
      </c>
      <c r="G15" s="18" t="s">
        <v>6711</v>
      </c>
      <c r="H15" s="18" t="s">
        <v>6671</v>
      </c>
      <c r="I15" s="18" t="s">
        <v>6712</v>
      </c>
    </row>
    <row r="16" spans="1:9">
      <c r="A16" s="16" t="s">
        <v>1200</v>
      </c>
      <c r="B16" s="16" t="s">
        <v>6713</v>
      </c>
      <c r="C16" s="16" t="s">
        <v>6714</v>
      </c>
      <c r="D16" s="16">
        <v>2002014365</v>
      </c>
      <c r="E16" s="16" t="s">
        <v>6715</v>
      </c>
      <c r="F16" s="16" t="s">
        <v>6659</v>
      </c>
      <c r="G16" s="16" t="s">
        <v>6716</v>
      </c>
      <c r="H16" s="16" t="s">
        <v>6661</v>
      </c>
      <c r="I16" s="16" t="s">
        <v>6662</v>
      </c>
    </row>
    <row r="17" spans="1:9">
      <c r="A17" s="18" t="s">
        <v>335</v>
      </c>
      <c r="B17" s="18" t="s">
        <v>6717</v>
      </c>
      <c r="C17" s="18" t="s">
        <v>6718</v>
      </c>
      <c r="D17" s="18">
        <v>6997135381</v>
      </c>
      <c r="E17" s="18" t="s">
        <v>6710</v>
      </c>
      <c r="F17" s="18" t="s">
        <v>6659</v>
      </c>
      <c r="G17" s="18" t="s">
        <v>6719</v>
      </c>
      <c r="H17" s="18" t="s">
        <v>6661</v>
      </c>
      <c r="I17" s="18" t="s">
        <v>6712</v>
      </c>
    </row>
    <row r="18" spans="1:9">
      <c r="A18" s="16" t="s">
        <v>1003</v>
      </c>
      <c r="B18" s="16" t="s">
        <v>6720</v>
      </c>
      <c r="C18" s="16" t="s">
        <v>6721</v>
      </c>
      <c r="D18" s="16">
        <v>6956496266</v>
      </c>
      <c r="E18" s="16" t="s">
        <v>6665</v>
      </c>
      <c r="F18" s="16" t="s">
        <v>6659</v>
      </c>
      <c r="G18" s="16" t="s">
        <v>6722</v>
      </c>
      <c r="H18" s="16" t="s">
        <v>6661</v>
      </c>
      <c r="I18" s="16" t="s">
        <v>6662</v>
      </c>
    </row>
    <row r="19" spans="1:9">
      <c r="A19" s="18" t="s">
        <v>1078</v>
      </c>
      <c r="B19" s="18" t="s">
        <v>6723</v>
      </c>
      <c r="C19" s="18" t="s">
        <v>6724</v>
      </c>
      <c r="D19" s="18">
        <v>2004942076</v>
      </c>
      <c r="E19" s="18" t="s">
        <v>6710</v>
      </c>
      <c r="F19" s="18" t="s">
        <v>6659</v>
      </c>
      <c r="G19" s="18" t="s">
        <v>6725</v>
      </c>
      <c r="H19" s="18" t="s">
        <v>6686</v>
      </c>
      <c r="I19" s="18" t="s">
        <v>6662</v>
      </c>
    </row>
    <row r="20" spans="1:9">
      <c r="A20" s="16" t="s">
        <v>4314</v>
      </c>
      <c r="B20" s="16" t="s">
        <v>6726</v>
      </c>
      <c r="C20" s="16" t="s">
        <v>6727</v>
      </c>
      <c r="D20" s="16">
        <v>2223344980</v>
      </c>
      <c r="E20" s="16" t="s">
        <v>6665</v>
      </c>
      <c r="F20" s="16" t="s">
        <v>6659</v>
      </c>
      <c r="G20" s="16" t="s">
        <v>6728</v>
      </c>
      <c r="H20" s="16" t="s">
        <v>6671</v>
      </c>
      <c r="I20" s="16" t="s">
        <v>6662</v>
      </c>
    </row>
    <row r="21" spans="1:9">
      <c r="A21" s="18" t="s">
        <v>4254</v>
      </c>
      <c r="B21" s="18" t="s">
        <v>6729</v>
      </c>
      <c r="C21" s="18" t="s">
        <v>6730</v>
      </c>
      <c r="D21" s="18">
        <v>910753711469</v>
      </c>
      <c r="E21" s="18" t="s">
        <v>6710</v>
      </c>
      <c r="F21" s="18" t="s">
        <v>6659</v>
      </c>
      <c r="G21" s="18" t="s">
        <v>6731</v>
      </c>
      <c r="H21" s="18" t="s">
        <v>6661</v>
      </c>
      <c r="I21" s="18" t="s">
        <v>6662</v>
      </c>
    </row>
    <row r="22" spans="1:9">
      <c r="A22" s="16" t="s">
        <v>1051</v>
      </c>
      <c r="B22" s="16" t="s">
        <v>6732</v>
      </c>
      <c r="C22" s="16" t="s">
        <v>6733</v>
      </c>
      <c r="D22" s="16">
        <v>1575574569</v>
      </c>
      <c r="E22" s="16" t="s">
        <v>6678</v>
      </c>
      <c r="F22" s="16" t="s">
        <v>6659</v>
      </c>
      <c r="G22" s="16" t="s">
        <v>6734</v>
      </c>
      <c r="H22" s="16" t="s">
        <v>6671</v>
      </c>
      <c r="I22" s="16" t="s">
        <v>6662</v>
      </c>
    </row>
    <row r="23" spans="1:9">
      <c r="A23" s="18" t="s">
        <v>1011</v>
      </c>
      <c r="B23" s="18" t="s">
        <v>6735</v>
      </c>
      <c r="C23" s="18" t="s">
        <v>6736</v>
      </c>
      <c r="D23" s="18">
        <v>5742733199</v>
      </c>
      <c r="E23" s="18" t="s">
        <v>6706</v>
      </c>
      <c r="F23" s="18" t="s">
        <v>6659</v>
      </c>
      <c r="G23" s="18" t="s">
        <v>6737</v>
      </c>
      <c r="H23" s="18" t="s">
        <v>6686</v>
      </c>
      <c r="I23" s="18" t="s">
        <v>6712</v>
      </c>
    </row>
    <row r="24" spans="1:9">
      <c r="A24" s="16" t="s">
        <v>4356</v>
      </c>
      <c r="B24" s="16" t="s">
        <v>6738</v>
      </c>
      <c r="C24" s="16" t="s">
        <v>6739</v>
      </c>
      <c r="D24" s="16">
        <v>918614478052</v>
      </c>
      <c r="E24" s="16" t="s">
        <v>6669</v>
      </c>
      <c r="F24" s="16" t="s">
        <v>6659</v>
      </c>
      <c r="G24" s="16" t="s">
        <v>6740</v>
      </c>
      <c r="H24" s="16" t="s">
        <v>6671</v>
      </c>
      <c r="I24" s="16" t="s">
        <v>6662</v>
      </c>
    </row>
    <row r="25" spans="1:9">
      <c r="A25" s="18" t="s">
        <v>365</v>
      </c>
      <c r="B25" s="18" t="s">
        <v>6741</v>
      </c>
      <c r="C25" s="18" t="s">
        <v>6742</v>
      </c>
      <c r="D25" s="18">
        <v>7745100190</v>
      </c>
      <c r="E25" s="18" t="s">
        <v>6674</v>
      </c>
      <c r="F25" s="18" t="s">
        <v>6659</v>
      </c>
      <c r="G25" s="18" t="s">
        <v>6743</v>
      </c>
      <c r="H25" s="18" t="s">
        <v>6661</v>
      </c>
      <c r="I25" s="18" t="s">
        <v>6712</v>
      </c>
    </row>
    <row r="26" spans="1:9">
      <c r="A26" s="16" t="s">
        <v>200</v>
      </c>
      <c r="B26" s="16" t="s">
        <v>6744</v>
      </c>
      <c r="C26" s="16" t="s">
        <v>6745</v>
      </c>
      <c r="D26" s="16">
        <v>3616527802</v>
      </c>
      <c r="E26" s="16" t="s">
        <v>6696</v>
      </c>
      <c r="F26" s="16" t="s">
        <v>6659</v>
      </c>
      <c r="G26" s="16" t="s">
        <v>6746</v>
      </c>
      <c r="H26" s="16" t="s">
        <v>6686</v>
      </c>
      <c r="I26" s="16" t="s">
        <v>6662</v>
      </c>
    </row>
    <row r="27" spans="1:9">
      <c r="A27" s="18" t="s">
        <v>2976</v>
      </c>
      <c r="B27" s="18" t="s">
        <v>6747</v>
      </c>
      <c r="C27" s="18" t="s">
        <v>6748</v>
      </c>
      <c r="D27" s="18">
        <v>5018207800</v>
      </c>
      <c r="E27" s="18" t="s">
        <v>6715</v>
      </c>
      <c r="F27" s="18" t="s">
        <v>6659</v>
      </c>
      <c r="G27" s="18" t="s">
        <v>6749</v>
      </c>
      <c r="H27" s="18" t="s">
        <v>6671</v>
      </c>
      <c r="I27" s="18" t="s">
        <v>6662</v>
      </c>
    </row>
    <row r="28" spans="1:9">
      <c r="A28" s="16" t="s">
        <v>3531</v>
      </c>
      <c r="B28" s="16" t="s">
        <v>6750</v>
      </c>
      <c r="C28" s="16" t="s">
        <v>6751</v>
      </c>
      <c r="D28" s="16">
        <v>8327902641</v>
      </c>
      <c r="E28" s="16" t="s">
        <v>6752</v>
      </c>
      <c r="F28" s="16" t="s">
        <v>6659</v>
      </c>
      <c r="G28" s="16" t="s">
        <v>6753</v>
      </c>
      <c r="H28" s="16" t="s">
        <v>6686</v>
      </c>
      <c r="I28" s="16" t="s">
        <v>6712</v>
      </c>
    </row>
    <row r="29" spans="1:9">
      <c r="A29" s="18" t="s">
        <v>749</v>
      </c>
      <c r="B29" s="18" t="s">
        <v>6754</v>
      </c>
      <c r="C29" s="18" t="s">
        <v>6755</v>
      </c>
      <c r="D29" s="18">
        <v>915376028160</v>
      </c>
      <c r="E29" s="18" t="s">
        <v>6752</v>
      </c>
      <c r="F29" s="18" t="s">
        <v>6659</v>
      </c>
      <c r="G29" s="18" t="s">
        <v>6756</v>
      </c>
      <c r="H29" s="18" t="s">
        <v>6661</v>
      </c>
      <c r="I29" s="18" t="s">
        <v>6662</v>
      </c>
    </row>
    <row r="30" spans="1:9">
      <c r="A30" s="16" t="s">
        <v>938</v>
      </c>
      <c r="B30" s="16" t="s">
        <v>6757</v>
      </c>
      <c r="C30" s="16" t="s">
        <v>6758</v>
      </c>
      <c r="D30" s="16">
        <v>5296807466</v>
      </c>
      <c r="E30" s="16" t="s">
        <v>6669</v>
      </c>
      <c r="F30" s="16" t="s">
        <v>6659</v>
      </c>
      <c r="G30" s="16" t="s">
        <v>6759</v>
      </c>
      <c r="H30" s="16" t="s">
        <v>6671</v>
      </c>
      <c r="I30" s="16" t="s">
        <v>6662</v>
      </c>
    </row>
    <row r="31" spans="1:9">
      <c r="A31" s="18" t="s">
        <v>3301</v>
      </c>
      <c r="B31" s="18" t="s">
        <v>6760</v>
      </c>
      <c r="C31" s="18" t="s">
        <v>6761</v>
      </c>
      <c r="D31" s="18">
        <v>914286619330</v>
      </c>
      <c r="E31" s="18" t="s">
        <v>6715</v>
      </c>
      <c r="F31" s="18" t="s">
        <v>6659</v>
      </c>
      <c r="G31" s="18" t="s">
        <v>6762</v>
      </c>
      <c r="H31" s="18" t="s">
        <v>6686</v>
      </c>
      <c r="I31" s="18" t="s">
        <v>6712</v>
      </c>
    </row>
    <row r="32" spans="1:9">
      <c r="A32" s="16" t="s">
        <v>1317</v>
      </c>
      <c r="B32" s="16" t="s">
        <v>6763</v>
      </c>
      <c r="C32" s="16" t="s">
        <v>6764</v>
      </c>
      <c r="D32" s="16">
        <v>1162965208</v>
      </c>
      <c r="E32" s="16" t="s">
        <v>6696</v>
      </c>
      <c r="F32" s="16" t="s">
        <v>6659</v>
      </c>
      <c r="G32" s="16" t="s">
        <v>6765</v>
      </c>
      <c r="H32" s="16" t="s">
        <v>6661</v>
      </c>
      <c r="I32" s="16" t="s">
        <v>6712</v>
      </c>
    </row>
    <row r="33" spans="1:9">
      <c r="A33" s="18" t="s">
        <v>1886</v>
      </c>
      <c r="B33" s="18" t="s">
        <v>6766</v>
      </c>
      <c r="C33" s="18" t="s">
        <v>6767</v>
      </c>
      <c r="D33" s="18">
        <v>5009751906</v>
      </c>
      <c r="E33" s="18" t="s">
        <v>6678</v>
      </c>
      <c r="F33" s="18" t="s">
        <v>6659</v>
      </c>
      <c r="G33" s="18" t="s">
        <v>6768</v>
      </c>
      <c r="H33" s="18" t="s">
        <v>6686</v>
      </c>
      <c r="I33" s="18" t="s">
        <v>6662</v>
      </c>
    </row>
    <row r="34" spans="1:9">
      <c r="A34" s="16" t="s">
        <v>1870</v>
      </c>
      <c r="B34" s="16" t="s">
        <v>6769</v>
      </c>
      <c r="C34" s="16" t="s">
        <v>6770</v>
      </c>
      <c r="D34" s="16">
        <v>3987551736</v>
      </c>
      <c r="E34" s="16" t="s">
        <v>6658</v>
      </c>
      <c r="F34" s="16" t="s">
        <v>6659</v>
      </c>
      <c r="G34" s="16" t="s">
        <v>6771</v>
      </c>
      <c r="H34" s="16" t="s">
        <v>6661</v>
      </c>
      <c r="I34" s="16" t="s">
        <v>6662</v>
      </c>
    </row>
    <row r="35" spans="1:9">
      <c r="A35" s="18" t="s">
        <v>1147</v>
      </c>
      <c r="B35" s="18" t="s">
        <v>6772</v>
      </c>
      <c r="C35" s="18" t="s">
        <v>6773</v>
      </c>
      <c r="D35" s="18">
        <v>913076409311</v>
      </c>
      <c r="E35" s="18" t="s">
        <v>6710</v>
      </c>
      <c r="F35" s="18" t="s">
        <v>6659</v>
      </c>
      <c r="G35" s="18" t="s">
        <v>6774</v>
      </c>
      <c r="H35" s="18" t="s">
        <v>6686</v>
      </c>
      <c r="I35" s="18" t="s">
        <v>6662</v>
      </c>
    </row>
    <row r="36" spans="1:9">
      <c r="A36" s="16" t="s">
        <v>389</v>
      </c>
      <c r="B36" s="16" t="s">
        <v>6775</v>
      </c>
      <c r="C36" s="16" t="s">
        <v>6776</v>
      </c>
      <c r="D36" s="16">
        <v>488740182</v>
      </c>
      <c r="E36" s="16" t="s">
        <v>6706</v>
      </c>
      <c r="F36" s="16" t="s">
        <v>6659</v>
      </c>
      <c r="G36" s="16" t="s">
        <v>6777</v>
      </c>
      <c r="H36" s="16" t="s">
        <v>6671</v>
      </c>
      <c r="I36" s="16" t="s">
        <v>6712</v>
      </c>
    </row>
    <row r="37" spans="1:9">
      <c r="A37" s="18" t="s">
        <v>1447</v>
      </c>
      <c r="B37" s="18" t="s">
        <v>6778</v>
      </c>
      <c r="C37" s="18" t="s">
        <v>6779</v>
      </c>
      <c r="D37" s="18">
        <v>2184334241</v>
      </c>
      <c r="E37" s="18" t="s">
        <v>6692</v>
      </c>
      <c r="F37" s="18" t="s">
        <v>6659</v>
      </c>
      <c r="G37" s="18" t="s">
        <v>6780</v>
      </c>
      <c r="H37" s="18" t="s">
        <v>6671</v>
      </c>
      <c r="I37" s="18" t="s">
        <v>6712</v>
      </c>
    </row>
    <row r="38" spans="1:9">
      <c r="A38" s="16" t="s">
        <v>374</v>
      </c>
      <c r="B38" s="16" t="s">
        <v>6781</v>
      </c>
      <c r="C38" s="16" t="s">
        <v>6782</v>
      </c>
      <c r="D38" s="16">
        <v>4844423852</v>
      </c>
      <c r="E38" s="16" t="s">
        <v>6710</v>
      </c>
      <c r="F38" s="16" t="s">
        <v>6659</v>
      </c>
      <c r="G38" s="16" t="s">
        <v>6783</v>
      </c>
      <c r="H38" s="16" t="s">
        <v>6671</v>
      </c>
      <c r="I38" s="16" t="s">
        <v>6662</v>
      </c>
    </row>
    <row r="39" spans="1:9">
      <c r="A39" s="18" t="s">
        <v>475</v>
      </c>
      <c r="B39" s="18" t="s">
        <v>6784</v>
      </c>
      <c r="C39" s="18" t="s">
        <v>6785</v>
      </c>
      <c r="D39" s="18">
        <v>9251536610</v>
      </c>
      <c r="E39" s="18" t="s">
        <v>6678</v>
      </c>
      <c r="F39" s="18" t="s">
        <v>6659</v>
      </c>
      <c r="G39" s="18" t="s">
        <v>6786</v>
      </c>
      <c r="H39" s="18" t="s">
        <v>6686</v>
      </c>
      <c r="I39" s="18" t="s">
        <v>6712</v>
      </c>
    </row>
    <row r="40" spans="1:9">
      <c r="A40" s="16" t="s">
        <v>239</v>
      </c>
      <c r="B40" s="16" t="s">
        <v>6787</v>
      </c>
      <c r="C40" s="16" t="s">
        <v>6788</v>
      </c>
      <c r="D40" s="16">
        <v>917527111375</v>
      </c>
      <c r="E40" s="16" t="s">
        <v>6658</v>
      </c>
      <c r="F40" s="16" t="s">
        <v>6659</v>
      </c>
      <c r="G40" s="16" t="s">
        <v>6693</v>
      </c>
      <c r="H40" s="16" t="s">
        <v>6686</v>
      </c>
      <c r="I40" s="16" t="s">
        <v>6662</v>
      </c>
    </row>
    <row r="41" spans="1:9">
      <c r="A41" s="18" t="s">
        <v>260</v>
      </c>
      <c r="B41" s="18" t="s">
        <v>6789</v>
      </c>
      <c r="C41" s="18" t="s">
        <v>6790</v>
      </c>
      <c r="D41" s="18">
        <v>913687370201</v>
      </c>
      <c r="E41" s="18" t="s">
        <v>6674</v>
      </c>
      <c r="F41" s="18" t="s">
        <v>6659</v>
      </c>
      <c r="G41" s="18" t="s">
        <v>6725</v>
      </c>
      <c r="H41" s="18" t="s">
        <v>6671</v>
      </c>
      <c r="I41" s="18" t="s">
        <v>6712</v>
      </c>
    </row>
    <row r="42" spans="1:9">
      <c r="A42" s="16" t="s">
        <v>774</v>
      </c>
      <c r="B42" s="16" t="s">
        <v>6791</v>
      </c>
      <c r="C42" s="16" t="s">
        <v>6792</v>
      </c>
      <c r="D42" s="16">
        <v>4237923154</v>
      </c>
      <c r="E42" s="16" t="s">
        <v>6678</v>
      </c>
      <c r="F42" s="16" t="s">
        <v>6659</v>
      </c>
      <c r="G42" s="16" t="s">
        <v>6793</v>
      </c>
      <c r="H42" s="16" t="s">
        <v>6661</v>
      </c>
      <c r="I42" s="16" t="s">
        <v>6662</v>
      </c>
    </row>
    <row r="43" spans="1:9">
      <c r="A43" s="18" t="s">
        <v>670</v>
      </c>
      <c r="B43" s="18" t="s">
        <v>6794</v>
      </c>
      <c r="C43" s="18" t="s">
        <v>6795</v>
      </c>
      <c r="D43" s="18">
        <v>18499071</v>
      </c>
      <c r="E43" s="18" t="s">
        <v>6710</v>
      </c>
      <c r="F43" s="18" t="s">
        <v>6659</v>
      </c>
      <c r="G43" s="18" t="s">
        <v>6796</v>
      </c>
      <c r="H43" s="18" t="s">
        <v>6686</v>
      </c>
      <c r="I43" s="18" t="s">
        <v>6712</v>
      </c>
    </row>
    <row r="44" spans="1:9">
      <c r="A44" s="16" t="s">
        <v>254</v>
      </c>
      <c r="B44" s="16" t="s">
        <v>6797</v>
      </c>
      <c r="C44" s="16" t="s">
        <v>6798</v>
      </c>
      <c r="D44" s="16">
        <v>2149946625</v>
      </c>
      <c r="E44" s="16" t="s">
        <v>6715</v>
      </c>
      <c r="F44" s="16" t="s">
        <v>6659</v>
      </c>
      <c r="G44" s="16" t="s">
        <v>6799</v>
      </c>
      <c r="H44" s="16" t="s">
        <v>6661</v>
      </c>
      <c r="I44" s="16" t="s">
        <v>6662</v>
      </c>
    </row>
    <row r="45" spans="1:9">
      <c r="A45" s="18" t="s">
        <v>1339</v>
      </c>
      <c r="B45" s="18" t="s">
        <v>6800</v>
      </c>
      <c r="C45" s="18" t="s">
        <v>6801</v>
      </c>
      <c r="D45" s="18">
        <v>6732639642</v>
      </c>
      <c r="E45" s="18" t="s">
        <v>6802</v>
      </c>
      <c r="F45" s="18" t="s">
        <v>6659</v>
      </c>
      <c r="G45" s="18" t="s">
        <v>6803</v>
      </c>
      <c r="H45" s="18" t="s">
        <v>6671</v>
      </c>
      <c r="I45" s="18" t="s">
        <v>6712</v>
      </c>
    </row>
    <row r="46" spans="1:9">
      <c r="A46" s="16" t="s">
        <v>1578</v>
      </c>
      <c r="B46" s="16" t="s">
        <v>6804</v>
      </c>
      <c r="C46" s="16" t="s">
        <v>6805</v>
      </c>
      <c r="D46" s="16">
        <v>4853488116</v>
      </c>
      <c r="E46" s="16" t="s">
        <v>6674</v>
      </c>
      <c r="F46" s="16" t="s">
        <v>6659</v>
      </c>
      <c r="G46" s="16" t="s">
        <v>6806</v>
      </c>
      <c r="H46" s="16" t="s">
        <v>6671</v>
      </c>
      <c r="I46" s="16" t="s">
        <v>6662</v>
      </c>
    </row>
    <row r="47" spans="1:9">
      <c r="A47" s="18" t="s">
        <v>142</v>
      </c>
      <c r="B47" s="18" t="s">
        <v>6807</v>
      </c>
      <c r="C47" s="18" t="s">
        <v>6808</v>
      </c>
      <c r="D47" s="18">
        <v>3694107032</v>
      </c>
      <c r="E47" s="18" t="s">
        <v>6658</v>
      </c>
      <c r="F47" s="18" t="s">
        <v>6659</v>
      </c>
      <c r="G47" s="18" t="s">
        <v>6809</v>
      </c>
      <c r="H47" s="18" t="s">
        <v>6686</v>
      </c>
      <c r="I47" s="18" t="s">
        <v>6712</v>
      </c>
    </row>
    <row r="48" spans="1:9">
      <c r="A48" s="16" t="s">
        <v>720</v>
      </c>
      <c r="B48" s="16" t="s">
        <v>6810</v>
      </c>
      <c r="C48" s="16" t="s">
        <v>6811</v>
      </c>
      <c r="D48" s="16">
        <v>910839337017</v>
      </c>
      <c r="E48" s="16" t="s">
        <v>6692</v>
      </c>
      <c r="F48" s="16" t="s">
        <v>6659</v>
      </c>
      <c r="G48" s="16" t="s">
        <v>6812</v>
      </c>
      <c r="H48" s="16" t="s">
        <v>6661</v>
      </c>
      <c r="I48" s="16" t="s">
        <v>6662</v>
      </c>
    </row>
    <row r="49" spans="1:9">
      <c r="A49" s="18" t="s">
        <v>2170</v>
      </c>
      <c r="B49" s="18" t="s">
        <v>6813</v>
      </c>
      <c r="C49" s="18" t="s">
        <v>6814</v>
      </c>
      <c r="D49" s="18">
        <v>914639352607</v>
      </c>
      <c r="E49" s="18" t="s">
        <v>6715</v>
      </c>
      <c r="F49" s="18" t="s">
        <v>6659</v>
      </c>
      <c r="G49" s="18" t="s">
        <v>6815</v>
      </c>
      <c r="H49" s="18" t="s">
        <v>6661</v>
      </c>
      <c r="I49" s="18" t="s">
        <v>6662</v>
      </c>
    </row>
    <row r="50" spans="1:9">
      <c r="A50" s="16" t="s">
        <v>371</v>
      </c>
      <c r="B50" s="16" t="s">
        <v>6816</v>
      </c>
      <c r="C50" s="16" t="s">
        <v>6817</v>
      </c>
      <c r="D50" s="16">
        <v>9314237820</v>
      </c>
      <c r="E50" s="16" t="s">
        <v>6658</v>
      </c>
      <c r="F50" s="16" t="s">
        <v>6659</v>
      </c>
      <c r="G50" s="16" t="s">
        <v>6818</v>
      </c>
      <c r="H50" s="16" t="s">
        <v>6671</v>
      </c>
      <c r="I50" s="16" t="s">
        <v>6712</v>
      </c>
    </row>
    <row r="51" spans="1:9">
      <c r="A51" s="18" t="s">
        <v>1867</v>
      </c>
      <c r="B51" s="18" t="s">
        <v>6819</v>
      </c>
      <c r="C51" s="18" t="s">
        <v>6820</v>
      </c>
      <c r="D51" s="18">
        <v>1318147544</v>
      </c>
      <c r="E51" s="18" t="s">
        <v>6710</v>
      </c>
      <c r="F51" s="18" t="s">
        <v>6659</v>
      </c>
      <c r="G51" s="18" t="s">
        <v>6821</v>
      </c>
      <c r="H51" s="18" t="s">
        <v>6686</v>
      </c>
      <c r="I51" s="18" t="s">
        <v>6712</v>
      </c>
    </row>
    <row r="52" spans="1:9">
      <c r="A52" s="16" t="s">
        <v>1428</v>
      </c>
      <c r="B52" s="16" t="s">
        <v>6822</v>
      </c>
      <c r="C52" s="16" t="s">
        <v>6823</v>
      </c>
      <c r="D52" s="16">
        <v>5081569301</v>
      </c>
      <c r="E52" s="16" t="s">
        <v>6692</v>
      </c>
      <c r="F52" s="16" t="s">
        <v>6659</v>
      </c>
      <c r="G52" s="16" t="s">
        <v>6824</v>
      </c>
      <c r="H52" s="16" t="s">
        <v>6671</v>
      </c>
      <c r="I52" s="16" t="s">
        <v>6712</v>
      </c>
    </row>
    <row r="53" spans="1:9">
      <c r="A53" s="18" t="s">
        <v>1634</v>
      </c>
      <c r="B53" s="18" t="s">
        <v>6825</v>
      </c>
      <c r="C53" s="18" t="s">
        <v>6826</v>
      </c>
      <c r="D53" s="18">
        <v>545027090</v>
      </c>
      <c r="E53" s="18" t="s">
        <v>6665</v>
      </c>
      <c r="F53" s="18" t="s">
        <v>6659</v>
      </c>
      <c r="G53" s="18" t="s">
        <v>6827</v>
      </c>
      <c r="H53" s="18" t="s">
        <v>6671</v>
      </c>
      <c r="I53" s="18" t="s">
        <v>6712</v>
      </c>
    </row>
    <row r="54" spans="1:9">
      <c r="A54" s="16" t="s">
        <v>592</v>
      </c>
      <c r="B54" s="16" t="s">
        <v>6828</v>
      </c>
      <c r="C54" s="16" t="s">
        <v>6829</v>
      </c>
      <c r="D54" s="16">
        <v>1833397118</v>
      </c>
      <c r="E54" s="16" t="s">
        <v>6665</v>
      </c>
      <c r="F54" s="16" t="s">
        <v>6659</v>
      </c>
      <c r="G54" s="16" t="s">
        <v>6830</v>
      </c>
      <c r="H54" s="16" t="s">
        <v>6671</v>
      </c>
      <c r="I54" s="16" t="s">
        <v>6662</v>
      </c>
    </row>
    <row r="55" spans="1:9">
      <c r="A55" s="18" t="s">
        <v>1793</v>
      </c>
      <c r="B55" s="18" t="s">
        <v>6831</v>
      </c>
      <c r="C55" s="18" t="s">
        <v>6832</v>
      </c>
      <c r="D55" s="18">
        <v>7781783850</v>
      </c>
      <c r="E55" s="18" t="s">
        <v>6710</v>
      </c>
      <c r="F55" s="18" t="s">
        <v>6659</v>
      </c>
      <c r="G55" s="18" t="s">
        <v>6833</v>
      </c>
      <c r="H55" s="18" t="s">
        <v>6686</v>
      </c>
      <c r="I55" s="18" t="s">
        <v>6662</v>
      </c>
    </row>
    <row r="56" spans="1:9">
      <c r="A56" s="16" t="s">
        <v>303</v>
      </c>
      <c r="B56" s="16" t="s">
        <v>6834</v>
      </c>
      <c r="C56" s="16" t="s">
        <v>6835</v>
      </c>
      <c r="D56" s="16">
        <v>7842210173</v>
      </c>
      <c r="E56" s="16" t="s">
        <v>6752</v>
      </c>
      <c r="F56" s="16" t="s">
        <v>6659</v>
      </c>
      <c r="G56" s="16" t="s">
        <v>6836</v>
      </c>
      <c r="H56" s="16" t="s">
        <v>6661</v>
      </c>
      <c r="I56" s="16" t="s">
        <v>6662</v>
      </c>
    </row>
    <row r="57" spans="1:9">
      <c r="A57" s="18" t="s">
        <v>5080</v>
      </c>
      <c r="B57" s="18" t="s">
        <v>6837</v>
      </c>
      <c r="C57" s="18" t="s">
        <v>6838</v>
      </c>
      <c r="D57" s="18">
        <v>3192004241</v>
      </c>
      <c r="E57" s="18" t="s">
        <v>6696</v>
      </c>
      <c r="F57" s="18" t="s">
        <v>6659</v>
      </c>
      <c r="G57" s="18" t="s">
        <v>6839</v>
      </c>
      <c r="H57" s="18" t="s">
        <v>6661</v>
      </c>
      <c r="I57" s="18" t="s">
        <v>6662</v>
      </c>
    </row>
    <row r="58" spans="1:9">
      <c r="A58" s="16" t="s">
        <v>1832</v>
      </c>
      <c r="B58" s="16" t="s">
        <v>6840</v>
      </c>
      <c r="C58" s="16" t="s">
        <v>6841</v>
      </c>
      <c r="D58" s="16">
        <v>6387028574</v>
      </c>
      <c r="E58" s="16" t="s">
        <v>6715</v>
      </c>
      <c r="F58" s="16" t="s">
        <v>6659</v>
      </c>
      <c r="G58" s="16" t="s">
        <v>6842</v>
      </c>
      <c r="H58" s="16" t="s">
        <v>6661</v>
      </c>
      <c r="I58" s="16" t="s">
        <v>6662</v>
      </c>
    </row>
    <row r="59" spans="1:9">
      <c r="A59" s="18" t="s">
        <v>173</v>
      </c>
      <c r="B59" s="18" t="s">
        <v>6843</v>
      </c>
      <c r="C59" s="18" t="s">
        <v>6844</v>
      </c>
      <c r="D59" s="18">
        <v>914973564113</v>
      </c>
      <c r="E59" s="18" t="s">
        <v>6710</v>
      </c>
      <c r="F59" s="18" t="s">
        <v>6659</v>
      </c>
      <c r="G59" s="18" t="s">
        <v>6845</v>
      </c>
      <c r="H59" s="18" t="s">
        <v>6661</v>
      </c>
      <c r="I59" s="18" t="s">
        <v>6662</v>
      </c>
    </row>
    <row r="60" spans="1:9">
      <c r="A60" s="16" t="s">
        <v>1405</v>
      </c>
      <c r="B60" s="16" t="s">
        <v>6846</v>
      </c>
      <c r="C60" s="16" t="s">
        <v>6847</v>
      </c>
      <c r="D60" s="16">
        <v>913517599920</v>
      </c>
      <c r="E60" s="16" t="s">
        <v>6696</v>
      </c>
      <c r="F60" s="16" t="s">
        <v>6659</v>
      </c>
      <c r="G60" s="16" t="s">
        <v>6848</v>
      </c>
      <c r="H60" s="16" t="s">
        <v>6661</v>
      </c>
      <c r="I60" s="16" t="s">
        <v>6662</v>
      </c>
    </row>
    <row r="61" spans="1:9">
      <c r="A61" s="18" t="s">
        <v>614</v>
      </c>
      <c r="B61" s="18" t="s">
        <v>6849</v>
      </c>
      <c r="C61" s="18" t="s">
        <v>6850</v>
      </c>
      <c r="D61" s="18">
        <v>7991955872</v>
      </c>
      <c r="E61" s="18" t="s">
        <v>6710</v>
      </c>
      <c r="F61" s="18" t="s">
        <v>6659</v>
      </c>
      <c r="G61" s="18" t="s">
        <v>6851</v>
      </c>
      <c r="H61" s="18" t="s">
        <v>6686</v>
      </c>
      <c r="I61" s="18" t="s">
        <v>6662</v>
      </c>
    </row>
    <row r="62" spans="1:9">
      <c r="A62" s="16" t="s">
        <v>689</v>
      </c>
      <c r="B62" s="16" t="s">
        <v>6852</v>
      </c>
      <c r="C62" s="16" t="s">
        <v>6853</v>
      </c>
      <c r="D62" s="16">
        <v>8073199852</v>
      </c>
      <c r="E62" s="16" t="s">
        <v>6669</v>
      </c>
      <c r="F62" s="16" t="s">
        <v>6659</v>
      </c>
      <c r="G62" s="16" t="s">
        <v>6854</v>
      </c>
      <c r="H62" s="16" t="s">
        <v>6671</v>
      </c>
      <c r="I62" s="16" t="s">
        <v>6662</v>
      </c>
    </row>
    <row r="63" spans="1:9">
      <c r="A63" s="18" t="s">
        <v>806</v>
      </c>
      <c r="B63" s="18" t="s">
        <v>6855</v>
      </c>
      <c r="C63" s="18" t="s">
        <v>6856</v>
      </c>
      <c r="D63" s="18">
        <v>914089443409</v>
      </c>
      <c r="E63" s="18" t="s">
        <v>6752</v>
      </c>
      <c r="F63" s="18" t="s">
        <v>6659</v>
      </c>
      <c r="G63" s="18" t="s">
        <v>6857</v>
      </c>
      <c r="H63" s="18" t="s">
        <v>6686</v>
      </c>
      <c r="I63" s="18" t="s">
        <v>6662</v>
      </c>
    </row>
    <row r="64" spans="1:9">
      <c r="A64" s="16" t="s">
        <v>2604</v>
      </c>
      <c r="B64" s="16" t="s">
        <v>6858</v>
      </c>
      <c r="C64" s="16" t="s">
        <v>6859</v>
      </c>
      <c r="D64" s="16">
        <v>3326065110</v>
      </c>
      <c r="E64" s="16" t="s">
        <v>6710</v>
      </c>
      <c r="F64" s="16" t="s">
        <v>6659</v>
      </c>
      <c r="G64" s="16" t="s">
        <v>6700</v>
      </c>
      <c r="H64" s="16" t="s">
        <v>6686</v>
      </c>
      <c r="I64" s="16" t="s">
        <v>6662</v>
      </c>
    </row>
    <row r="65" spans="1:9">
      <c r="A65" s="18" t="s">
        <v>1503</v>
      </c>
      <c r="B65" s="18" t="s">
        <v>6860</v>
      </c>
      <c r="C65" s="18" t="s">
        <v>6861</v>
      </c>
      <c r="D65" s="18">
        <v>4723439471</v>
      </c>
      <c r="E65" s="18" t="s">
        <v>6752</v>
      </c>
      <c r="F65" s="18" t="s">
        <v>6659</v>
      </c>
      <c r="G65" s="18" t="s">
        <v>6862</v>
      </c>
      <c r="H65" s="18" t="s">
        <v>6671</v>
      </c>
      <c r="I65" s="18" t="s">
        <v>6662</v>
      </c>
    </row>
    <row r="66" spans="1:9">
      <c r="A66" s="16" t="s">
        <v>3098</v>
      </c>
      <c r="B66" s="16" t="s">
        <v>6863</v>
      </c>
      <c r="C66" s="16" t="s">
        <v>6864</v>
      </c>
      <c r="D66" s="16">
        <v>5487619111</v>
      </c>
      <c r="E66" s="16" t="s">
        <v>6710</v>
      </c>
      <c r="F66" s="16" t="s">
        <v>6659</v>
      </c>
      <c r="G66" s="16" t="s">
        <v>6865</v>
      </c>
      <c r="H66" s="16" t="s">
        <v>6661</v>
      </c>
      <c r="I66" s="16" t="s">
        <v>6662</v>
      </c>
    </row>
    <row r="67" spans="1:9">
      <c r="A67" s="18" t="s">
        <v>1970</v>
      </c>
      <c r="B67" s="18" t="s">
        <v>6866</v>
      </c>
      <c r="C67" s="18" t="s">
        <v>6867</v>
      </c>
      <c r="D67" s="18">
        <v>9473743938</v>
      </c>
      <c r="E67" s="18" t="s">
        <v>6696</v>
      </c>
      <c r="F67" s="18" t="s">
        <v>6659</v>
      </c>
      <c r="G67" s="18" t="s">
        <v>6868</v>
      </c>
      <c r="H67" s="18" t="s">
        <v>6661</v>
      </c>
      <c r="I67" s="18" t="s">
        <v>6662</v>
      </c>
    </row>
    <row r="68" spans="1:9">
      <c r="A68" s="16" t="s">
        <v>958</v>
      </c>
      <c r="B68" s="16" t="s">
        <v>6869</v>
      </c>
      <c r="C68" s="16" t="s">
        <v>6870</v>
      </c>
      <c r="D68" s="16">
        <v>914380761281</v>
      </c>
      <c r="E68" s="16" t="s">
        <v>6678</v>
      </c>
      <c r="F68" s="16" t="s">
        <v>6659</v>
      </c>
      <c r="G68" s="16" t="s">
        <v>6871</v>
      </c>
      <c r="H68" s="16" t="s">
        <v>6686</v>
      </c>
      <c r="I68" s="16" t="s">
        <v>6662</v>
      </c>
    </row>
    <row r="69" spans="1:9">
      <c r="A69" s="18" t="s">
        <v>2401</v>
      </c>
      <c r="B69" s="18" t="s">
        <v>6872</v>
      </c>
      <c r="C69" s="18" t="s">
        <v>6873</v>
      </c>
      <c r="D69" s="18">
        <v>9972542676</v>
      </c>
      <c r="E69" s="18" t="s">
        <v>6692</v>
      </c>
      <c r="F69" s="18" t="s">
        <v>6659</v>
      </c>
      <c r="G69" s="18" t="s">
        <v>6874</v>
      </c>
      <c r="H69" s="18" t="s">
        <v>6686</v>
      </c>
      <c r="I69" s="18" t="s">
        <v>6662</v>
      </c>
    </row>
    <row r="70" spans="1:9">
      <c r="A70" s="16" t="s">
        <v>1423</v>
      </c>
      <c r="B70" s="16" t="s">
        <v>6875</v>
      </c>
      <c r="C70" s="16" t="s">
        <v>6876</v>
      </c>
      <c r="D70" s="16">
        <v>8560840290</v>
      </c>
      <c r="E70" s="16" t="s">
        <v>6752</v>
      </c>
      <c r="F70" s="16" t="s">
        <v>6659</v>
      </c>
      <c r="G70" s="16" t="s">
        <v>6877</v>
      </c>
      <c r="H70" s="16" t="s">
        <v>6671</v>
      </c>
      <c r="I70" s="16" t="s">
        <v>6662</v>
      </c>
    </row>
    <row r="71" spans="1:9">
      <c r="A71" s="18" t="s">
        <v>785</v>
      </c>
      <c r="B71" s="18" t="s">
        <v>6878</v>
      </c>
      <c r="C71" s="18" t="s">
        <v>6879</v>
      </c>
      <c r="D71" s="18">
        <v>3067329634</v>
      </c>
      <c r="E71" s="18" t="s">
        <v>6678</v>
      </c>
      <c r="F71" s="18" t="s">
        <v>6659</v>
      </c>
      <c r="G71" s="18" t="s">
        <v>6880</v>
      </c>
      <c r="H71" s="18" t="s">
        <v>6661</v>
      </c>
      <c r="I71" s="18" t="s">
        <v>6712</v>
      </c>
    </row>
    <row r="72" spans="1:9">
      <c r="A72" s="16" t="s">
        <v>1431</v>
      </c>
      <c r="B72" s="16" t="s">
        <v>6881</v>
      </c>
      <c r="C72" s="16" t="s">
        <v>6882</v>
      </c>
      <c r="D72" s="16">
        <v>7842227655</v>
      </c>
      <c r="E72" s="16" t="s">
        <v>6665</v>
      </c>
      <c r="F72" s="16" t="s">
        <v>6659</v>
      </c>
      <c r="G72" s="16" t="s">
        <v>6883</v>
      </c>
      <c r="H72" s="16" t="s">
        <v>6661</v>
      </c>
      <c r="I72" s="16" t="s">
        <v>6662</v>
      </c>
    </row>
    <row r="73" spans="1:9">
      <c r="A73" s="18" t="s">
        <v>1361</v>
      </c>
      <c r="B73" s="18" t="s">
        <v>6884</v>
      </c>
      <c r="C73" s="18" t="s">
        <v>6885</v>
      </c>
      <c r="D73" s="18">
        <v>8889288505</v>
      </c>
      <c r="E73" s="18" t="s">
        <v>6665</v>
      </c>
      <c r="F73" s="18" t="s">
        <v>6659</v>
      </c>
      <c r="G73" s="18" t="s">
        <v>6886</v>
      </c>
      <c r="H73" s="18" t="s">
        <v>6686</v>
      </c>
      <c r="I73" s="18" t="s">
        <v>6712</v>
      </c>
    </row>
    <row r="74" spans="1:9">
      <c r="A74" s="16" t="s">
        <v>419</v>
      </c>
      <c r="B74" s="16" t="s">
        <v>6887</v>
      </c>
      <c r="C74" s="16" t="s">
        <v>6888</v>
      </c>
      <c r="D74" s="16">
        <v>5865707293</v>
      </c>
      <c r="E74" s="16" t="s">
        <v>6706</v>
      </c>
      <c r="F74" s="16" t="s">
        <v>6659</v>
      </c>
      <c r="G74" s="16" t="s">
        <v>6889</v>
      </c>
      <c r="H74" s="16" t="s">
        <v>6661</v>
      </c>
      <c r="I74" s="16" t="s">
        <v>6712</v>
      </c>
    </row>
    <row r="75" spans="1:9">
      <c r="A75" s="18" t="s">
        <v>1533</v>
      </c>
      <c r="B75" s="18" t="s">
        <v>6890</v>
      </c>
      <c r="C75" s="18" t="s">
        <v>6891</v>
      </c>
      <c r="D75" s="18">
        <v>915529495435</v>
      </c>
      <c r="E75" s="18" t="s">
        <v>6752</v>
      </c>
      <c r="F75" s="18" t="s">
        <v>6659</v>
      </c>
      <c r="G75" s="18" t="s">
        <v>6892</v>
      </c>
      <c r="H75" s="18" t="s">
        <v>6686</v>
      </c>
      <c r="I75" s="18" t="s">
        <v>6662</v>
      </c>
    </row>
    <row r="76" spans="1:9">
      <c r="A76" s="16" t="s">
        <v>1233</v>
      </c>
      <c r="B76" s="16" t="s">
        <v>6893</v>
      </c>
      <c r="C76" s="16" t="s">
        <v>6894</v>
      </c>
      <c r="D76" s="16">
        <v>1064647521</v>
      </c>
      <c r="E76" s="16" t="s">
        <v>6678</v>
      </c>
      <c r="F76" s="16" t="s">
        <v>6659</v>
      </c>
      <c r="G76" s="16" t="s">
        <v>6895</v>
      </c>
      <c r="H76" s="16" t="s">
        <v>6671</v>
      </c>
      <c r="I76" s="16" t="s">
        <v>6662</v>
      </c>
    </row>
    <row r="77" spans="1:9">
      <c r="A77" s="18" t="s">
        <v>2792</v>
      </c>
      <c r="B77" s="18" t="s">
        <v>6896</v>
      </c>
      <c r="C77" s="18" t="s">
        <v>6897</v>
      </c>
      <c r="D77" s="18">
        <v>4368225199</v>
      </c>
      <c r="E77" s="18" t="s">
        <v>6665</v>
      </c>
      <c r="F77" s="18" t="s">
        <v>6659</v>
      </c>
      <c r="G77" s="18" t="s">
        <v>6898</v>
      </c>
      <c r="H77" s="18" t="s">
        <v>6686</v>
      </c>
      <c r="I77" s="18" t="s">
        <v>6662</v>
      </c>
    </row>
    <row r="78" spans="1:9">
      <c r="A78" s="16" t="s">
        <v>569</v>
      </c>
      <c r="B78" s="16" t="s">
        <v>6899</v>
      </c>
      <c r="C78" s="16" t="s">
        <v>6900</v>
      </c>
      <c r="D78" s="16">
        <v>7796590717</v>
      </c>
      <c r="E78" s="16" t="s">
        <v>6715</v>
      </c>
      <c r="F78" s="16" t="s">
        <v>6659</v>
      </c>
      <c r="G78" s="16" t="s">
        <v>6901</v>
      </c>
      <c r="H78" s="16" t="s">
        <v>6671</v>
      </c>
      <c r="I78" s="16" t="s">
        <v>6662</v>
      </c>
    </row>
    <row r="79" spans="1:9">
      <c r="A79" s="18" t="s">
        <v>796</v>
      </c>
      <c r="B79" s="18" t="s">
        <v>6902</v>
      </c>
      <c r="C79" s="18" t="s">
        <v>6903</v>
      </c>
      <c r="D79" s="18">
        <v>911303774471</v>
      </c>
      <c r="E79" s="18" t="s">
        <v>6696</v>
      </c>
      <c r="F79" s="18" t="s">
        <v>6659</v>
      </c>
      <c r="G79" s="18" t="s">
        <v>6762</v>
      </c>
      <c r="H79" s="18" t="s">
        <v>6661</v>
      </c>
      <c r="I79" s="18" t="s">
        <v>6662</v>
      </c>
    </row>
    <row r="80" spans="1:9">
      <c r="A80" s="16" t="s">
        <v>231</v>
      </c>
      <c r="B80" s="16" t="s">
        <v>6904</v>
      </c>
      <c r="C80" s="16" t="s">
        <v>6905</v>
      </c>
      <c r="D80" s="16">
        <v>3973251678</v>
      </c>
      <c r="E80" s="16" t="s">
        <v>6678</v>
      </c>
      <c r="F80" s="16" t="s">
        <v>6659</v>
      </c>
      <c r="G80" s="16" t="s">
        <v>6906</v>
      </c>
      <c r="H80" s="16" t="s">
        <v>6671</v>
      </c>
      <c r="I80" s="16" t="s">
        <v>6662</v>
      </c>
    </row>
    <row r="81" spans="1:9">
      <c r="A81" s="18" t="s">
        <v>1691</v>
      </c>
      <c r="B81" s="18" t="s">
        <v>6907</v>
      </c>
      <c r="C81" s="18" t="s">
        <v>6908</v>
      </c>
      <c r="D81" s="18">
        <v>913825915936</v>
      </c>
      <c r="E81" s="18" t="s">
        <v>6658</v>
      </c>
      <c r="F81" s="18" t="s">
        <v>6659</v>
      </c>
      <c r="G81" s="18" t="s">
        <v>6799</v>
      </c>
      <c r="H81" s="18" t="s">
        <v>6661</v>
      </c>
      <c r="I81" s="18" t="s">
        <v>6662</v>
      </c>
    </row>
    <row r="82" spans="1:9">
      <c r="A82" s="16" t="s">
        <v>654</v>
      </c>
      <c r="B82" s="16" t="s">
        <v>6909</v>
      </c>
      <c r="C82" s="16" t="s">
        <v>6910</v>
      </c>
      <c r="D82" s="16">
        <v>910547444905</v>
      </c>
      <c r="E82" s="16" t="s">
        <v>6710</v>
      </c>
      <c r="F82" s="16" t="s">
        <v>6659</v>
      </c>
      <c r="G82" s="16" t="s">
        <v>6911</v>
      </c>
      <c r="H82" s="16" t="s">
        <v>6661</v>
      </c>
      <c r="I82" s="16" t="s">
        <v>6662</v>
      </c>
    </row>
    <row r="83" spans="1:9">
      <c r="A83" s="18" t="s">
        <v>678</v>
      </c>
      <c r="B83" s="18" t="s">
        <v>6912</v>
      </c>
      <c r="C83" s="18" t="s">
        <v>6913</v>
      </c>
      <c r="D83" s="18">
        <v>918685242392</v>
      </c>
      <c r="E83" s="18" t="s">
        <v>6715</v>
      </c>
      <c r="F83" s="18" t="s">
        <v>6659</v>
      </c>
      <c r="G83" s="18" t="s">
        <v>6914</v>
      </c>
      <c r="H83" s="18" t="s">
        <v>6661</v>
      </c>
      <c r="I83" s="18" t="s">
        <v>6662</v>
      </c>
    </row>
    <row r="84" spans="1:9">
      <c r="A84" s="16" t="s">
        <v>692</v>
      </c>
      <c r="B84" s="16" t="s">
        <v>6915</v>
      </c>
      <c r="C84" s="16" t="s">
        <v>6916</v>
      </c>
      <c r="D84" s="16">
        <v>3879670277</v>
      </c>
      <c r="E84" s="16" t="s">
        <v>6715</v>
      </c>
      <c r="F84" s="16" t="s">
        <v>6659</v>
      </c>
      <c r="G84" s="16" t="s">
        <v>6917</v>
      </c>
      <c r="H84" s="16" t="s">
        <v>6661</v>
      </c>
      <c r="I84" s="16" t="s">
        <v>6662</v>
      </c>
    </row>
    <row r="85" spans="1:9">
      <c r="A85" s="18" t="s">
        <v>1743</v>
      </c>
      <c r="B85" s="18" t="s">
        <v>6918</v>
      </c>
      <c r="C85" s="18" t="s">
        <v>6919</v>
      </c>
      <c r="D85" s="18">
        <v>2971209082</v>
      </c>
      <c r="E85" s="18" t="s">
        <v>6715</v>
      </c>
      <c r="F85" s="18" t="s">
        <v>6659</v>
      </c>
      <c r="G85" s="18" t="s">
        <v>6920</v>
      </c>
      <c r="H85" s="18" t="s">
        <v>6671</v>
      </c>
      <c r="I85" s="18" t="s">
        <v>6662</v>
      </c>
    </row>
    <row r="86" spans="1:9">
      <c r="A86" s="16" t="s">
        <v>346</v>
      </c>
      <c r="B86" s="16" t="s">
        <v>6921</v>
      </c>
      <c r="C86" s="16" t="s">
        <v>6922</v>
      </c>
      <c r="D86" s="16">
        <v>2315001690</v>
      </c>
      <c r="E86" s="16" t="s">
        <v>6665</v>
      </c>
      <c r="F86" s="16" t="s">
        <v>6659</v>
      </c>
      <c r="G86" s="16" t="s">
        <v>6923</v>
      </c>
      <c r="H86" s="16" t="s">
        <v>6671</v>
      </c>
      <c r="I86" s="16" t="s">
        <v>6662</v>
      </c>
    </row>
    <row r="87" spans="1:9">
      <c r="A87" s="18" t="s">
        <v>643</v>
      </c>
      <c r="B87" s="18" t="s">
        <v>6924</v>
      </c>
      <c r="C87" s="18" t="s">
        <v>6925</v>
      </c>
      <c r="D87" s="18">
        <v>5784216362</v>
      </c>
      <c r="E87" s="18" t="s">
        <v>6692</v>
      </c>
      <c r="F87" s="18" t="s">
        <v>6659</v>
      </c>
      <c r="G87" s="18" t="s">
        <v>6926</v>
      </c>
      <c r="H87" s="18" t="s">
        <v>6686</v>
      </c>
      <c r="I87" s="18" t="s">
        <v>6662</v>
      </c>
    </row>
    <row r="88" spans="1:9">
      <c r="A88" s="16" t="s">
        <v>2347</v>
      </c>
      <c r="B88" s="16" t="s">
        <v>6927</v>
      </c>
      <c r="C88" s="16" t="s">
        <v>6928</v>
      </c>
      <c r="D88" s="16">
        <v>4472390093</v>
      </c>
      <c r="E88" s="16" t="s">
        <v>6692</v>
      </c>
      <c r="F88" s="16" t="s">
        <v>6659</v>
      </c>
      <c r="G88" s="16" t="s">
        <v>6929</v>
      </c>
      <c r="H88" s="16" t="s">
        <v>6686</v>
      </c>
      <c r="I88" s="16" t="s">
        <v>6662</v>
      </c>
    </row>
    <row r="89" spans="1:9">
      <c r="A89" s="18" t="s">
        <v>1444</v>
      </c>
      <c r="B89" s="18" t="s">
        <v>6930</v>
      </c>
      <c r="C89" s="18" t="s">
        <v>6931</v>
      </c>
      <c r="D89" s="18">
        <v>912167952576</v>
      </c>
      <c r="E89" s="18" t="s">
        <v>6658</v>
      </c>
      <c r="F89" s="18" t="s">
        <v>6659</v>
      </c>
      <c r="G89" s="18" t="s">
        <v>6932</v>
      </c>
      <c r="H89" s="18" t="s">
        <v>6661</v>
      </c>
      <c r="I89" s="18" t="s">
        <v>6662</v>
      </c>
    </row>
    <row r="90" spans="1:9">
      <c r="A90" s="16" t="s">
        <v>982</v>
      </c>
      <c r="B90" s="16" t="s">
        <v>6933</v>
      </c>
      <c r="C90" s="16" t="s">
        <v>6934</v>
      </c>
      <c r="D90" s="16">
        <v>4661310876</v>
      </c>
      <c r="E90" s="16" t="s">
        <v>6658</v>
      </c>
      <c r="F90" s="16" t="s">
        <v>6659</v>
      </c>
      <c r="G90" s="16" t="s">
        <v>6935</v>
      </c>
      <c r="H90" s="16" t="s">
        <v>6661</v>
      </c>
      <c r="I90" s="16" t="s">
        <v>6662</v>
      </c>
    </row>
    <row r="91" spans="1:9">
      <c r="A91" s="18" t="s">
        <v>156</v>
      </c>
      <c r="B91" s="18" t="s">
        <v>6936</v>
      </c>
      <c r="C91" s="18" t="s">
        <v>6937</v>
      </c>
      <c r="D91" s="18">
        <v>627900235</v>
      </c>
      <c r="E91" s="18" t="s">
        <v>6692</v>
      </c>
      <c r="F91" s="18" t="s">
        <v>6659</v>
      </c>
      <c r="G91" s="18" t="s">
        <v>6938</v>
      </c>
      <c r="H91" s="18" t="s">
        <v>6661</v>
      </c>
      <c r="I91" s="18" t="s">
        <v>6712</v>
      </c>
    </row>
    <row r="92" spans="1:9">
      <c r="A92" s="16" t="s">
        <v>701</v>
      </c>
      <c r="B92" s="16" t="s">
        <v>6939</v>
      </c>
      <c r="C92" s="16" t="s">
        <v>6940</v>
      </c>
      <c r="D92" s="16">
        <v>7117757328</v>
      </c>
      <c r="E92" s="16" t="s">
        <v>6658</v>
      </c>
      <c r="F92" s="16" t="s">
        <v>6659</v>
      </c>
      <c r="G92" s="16" t="s">
        <v>6941</v>
      </c>
      <c r="H92" s="16" t="s">
        <v>6661</v>
      </c>
      <c r="I92" s="16" t="s">
        <v>6662</v>
      </c>
    </row>
    <row r="93" spans="1:9">
      <c r="A93" s="18" t="s">
        <v>919</v>
      </c>
      <c r="B93" s="18" t="s">
        <v>6942</v>
      </c>
      <c r="C93" s="18" t="s">
        <v>6943</v>
      </c>
      <c r="D93" s="18">
        <v>3091086979</v>
      </c>
      <c r="E93" s="18" t="s">
        <v>6752</v>
      </c>
      <c r="F93" s="18" t="s">
        <v>6659</v>
      </c>
      <c r="G93" s="18" t="s">
        <v>6944</v>
      </c>
      <c r="H93" s="18" t="s">
        <v>6671</v>
      </c>
      <c r="I93" s="18" t="s">
        <v>6662</v>
      </c>
    </row>
    <row r="94" spans="1:9">
      <c r="A94" s="16" t="s">
        <v>1348</v>
      </c>
      <c r="B94" s="16" t="s">
        <v>6945</v>
      </c>
      <c r="C94" s="16" t="s">
        <v>6946</v>
      </c>
      <c r="D94" s="16">
        <v>7498168581</v>
      </c>
      <c r="E94" s="16" t="s">
        <v>6710</v>
      </c>
      <c r="F94" s="16" t="s">
        <v>6659</v>
      </c>
      <c r="G94" s="16" t="s">
        <v>6947</v>
      </c>
      <c r="H94" s="16" t="s">
        <v>6671</v>
      </c>
      <c r="I94" s="16" t="s">
        <v>6662</v>
      </c>
    </row>
    <row r="95" spans="1:9">
      <c r="A95" s="18" t="s">
        <v>1331</v>
      </c>
      <c r="B95" s="18" t="s">
        <v>6948</v>
      </c>
      <c r="C95" s="18" t="s">
        <v>6949</v>
      </c>
      <c r="D95" s="18">
        <v>83439672</v>
      </c>
      <c r="E95" s="18" t="s">
        <v>6678</v>
      </c>
      <c r="F95" s="18" t="s">
        <v>6659</v>
      </c>
      <c r="G95" s="18" t="s">
        <v>6950</v>
      </c>
      <c r="H95" s="18" t="s">
        <v>6686</v>
      </c>
      <c r="I95" s="18" t="s">
        <v>6712</v>
      </c>
    </row>
    <row r="96" spans="1:9">
      <c r="A96" s="16" t="s">
        <v>1697</v>
      </c>
      <c r="B96" s="16" t="s">
        <v>6951</v>
      </c>
      <c r="C96" s="16" t="s">
        <v>6952</v>
      </c>
      <c r="D96" s="16">
        <v>919587560817</v>
      </c>
      <c r="E96" s="16" t="s">
        <v>6802</v>
      </c>
      <c r="F96" s="16" t="s">
        <v>6659</v>
      </c>
      <c r="G96" s="16" t="s">
        <v>6953</v>
      </c>
      <c r="H96" s="16" t="s">
        <v>6686</v>
      </c>
      <c r="I96" s="16" t="s">
        <v>6662</v>
      </c>
    </row>
    <row r="97" spans="1:9">
      <c r="A97" s="18" t="s">
        <v>2580</v>
      </c>
      <c r="B97" s="18" t="s">
        <v>6954</v>
      </c>
      <c r="C97" s="18" t="s">
        <v>6955</v>
      </c>
      <c r="D97" s="18">
        <v>915837333368</v>
      </c>
      <c r="E97" s="18" t="s">
        <v>6669</v>
      </c>
      <c r="F97" s="18" t="s">
        <v>6659</v>
      </c>
      <c r="G97" s="18" t="s">
        <v>6956</v>
      </c>
      <c r="H97" s="18" t="s">
        <v>6671</v>
      </c>
      <c r="I97" s="18" t="s">
        <v>6662</v>
      </c>
    </row>
    <row r="98" spans="1:9">
      <c r="A98" s="16" t="s">
        <v>788</v>
      </c>
      <c r="B98" s="16" t="s">
        <v>6957</v>
      </c>
      <c r="C98" s="16" t="s">
        <v>6958</v>
      </c>
      <c r="D98" s="16">
        <v>918901113607</v>
      </c>
      <c r="E98" s="16" t="s">
        <v>6715</v>
      </c>
      <c r="F98" s="16" t="s">
        <v>6659</v>
      </c>
      <c r="G98" s="16" t="s">
        <v>6959</v>
      </c>
      <c r="H98" s="16" t="s">
        <v>6661</v>
      </c>
      <c r="I98" s="16" t="s">
        <v>6662</v>
      </c>
    </row>
    <row r="99" spans="1:9">
      <c r="A99" s="18" t="s">
        <v>1474</v>
      </c>
      <c r="B99" s="18" t="s">
        <v>6960</v>
      </c>
      <c r="C99" s="18" t="s">
        <v>6961</v>
      </c>
      <c r="D99" s="18">
        <v>7833495482</v>
      </c>
      <c r="E99" s="18" t="s">
        <v>6710</v>
      </c>
      <c r="F99" s="18" t="s">
        <v>6659</v>
      </c>
      <c r="G99" s="18" t="s">
        <v>6962</v>
      </c>
      <c r="H99" s="18" t="s">
        <v>6671</v>
      </c>
      <c r="I99" s="18" t="s">
        <v>6712</v>
      </c>
    </row>
    <row r="100" spans="1:9">
      <c r="A100" s="16" t="s">
        <v>1491</v>
      </c>
      <c r="B100" s="16" t="s">
        <v>6963</v>
      </c>
      <c r="C100" s="16" t="s">
        <v>6964</v>
      </c>
      <c r="D100" s="16">
        <v>914844672590</v>
      </c>
      <c r="E100" s="16" t="s">
        <v>6752</v>
      </c>
      <c r="F100" s="16" t="s">
        <v>6659</v>
      </c>
      <c r="G100" s="16" t="s">
        <v>6938</v>
      </c>
      <c r="H100" s="16" t="s">
        <v>6686</v>
      </c>
      <c r="I100" s="16" t="s">
        <v>6712</v>
      </c>
    </row>
    <row r="101" spans="1:9">
      <c r="A101" s="18" t="s">
        <v>2549</v>
      </c>
      <c r="B101" s="18" t="s">
        <v>6965</v>
      </c>
      <c r="C101" s="18" t="s">
        <v>6966</v>
      </c>
      <c r="D101" s="18">
        <v>4844590866</v>
      </c>
      <c r="E101" s="18" t="s">
        <v>6674</v>
      </c>
      <c r="F101" s="18" t="s">
        <v>6659</v>
      </c>
      <c r="G101" s="18" t="s">
        <v>6967</v>
      </c>
      <c r="H101" s="18" t="s">
        <v>6661</v>
      </c>
      <c r="I101" s="18" t="s">
        <v>6662</v>
      </c>
    </row>
    <row r="102" spans="1:9">
      <c r="A102" s="16" t="s">
        <v>3000</v>
      </c>
      <c r="B102" s="16" t="s">
        <v>6968</v>
      </c>
      <c r="C102" s="16" t="s">
        <v>6969</v>
      </c>
      <c r="D102" s="16">
        <v>911530176100</v>
      </c>
      <c r="E102" s="16" t="s">
        <v>6692</v>
      </c>
      <c r="F102" s="16" t="s">
        <v>6659</v>
      </c>
      <c r="G102" s="16" t="s">
        <v>6711</v>
      </c>
      <c r="H102" s="16" t="s">
        <v>6661</v>
      </c>
      <c r="I102" s="16" t="s">
        <v>6662</v>
      </c>
    </row>
    <row r="103" spans="1:9">
      <c r="A103" s="18" t="s">
        <v>1064</v>
      </c>
      <c r="B103" s="18" t="s">
        <v>6970</v>
      </c>
      <c r="C103" s="18" t="s">
        <v>6971</v>
      </c>
      <c r="D103" s="18">
        <v>6562711171</v>
      </c>
      <c r="E103" s="18" t="s">
        <v>6802</v>
      </c>
      <c r="F103" s="18" t="s">
        <v>6659</v>
      </c>
      <c r="G103" s="18" t="s">
        <v>6972</v>
      </c>
      <c r="H103" s="18" t="s">
        <v>6671</v>
      </c>
      <c r="I103" s="18" t="s">
        <v>6712</v>
      </c>
    </row>
    <row r="104" spans="1:9">
      <c r="A104" s="16" t="s">
        <v>412</v>
      </c>
      <c r="B104" s="16" t="s">
        <v>6973</v>
      </c>
      <c r="C104" s="16" t="s">
        <v>6974</v>
      </c>
      <c r="D104" s="16">
        <v>912371191750</v>
      </c>
      <c r="E104" s="16" t="s">
        <v>6669</v>
      </c>
      <c r="F104" s="16" t="s">
        <v>6659</v>
      </c>
      <c r="G104" s="16" t="s">
        <v>6975</v>
      </c>
      <c r="H104" s="16" t="s">
        <v>6686</v>
      </c>
      <c r="I104" s="16" t="s">
        <v>6662</v>
      </c>
    </row>
    <row r="105" spans="1:9">
      <c r="A105" s="18" t="s">
        <v>822</v>
      </c>
      <c r="B105" s="18" t="s">
        <v>6976</v>
      </c>
      <c r="C105" s="18" t="s">
        <v>6977</v>
      </c>
      <c r="D105" s="18">
        <v>5954487987</v>
      </c>
      <c r="E105" s="18" t="s">
        <v>6678</v>
      </c>
      <c r="F105" s="18" t="s">
        <v>6659</v>
      </c>
      <c r="G105" s="18" t="s">
        <v>6978</v>
      </c>
      <c r="H105" s="18" t="s">
        <v>6661</v>
      </c>
      <c r="I105" s="18" t="s">
        <v>6662</v>
      </c>
    </row>
    <row r="106" spans="1:9">
      <c r="A106" s="16" t="s">
        <v>713</v>
      </c>
      <c r="B106" s="16" t="s">
        <v>6979</v>
      </c>
      <c r="C106" s="16" t="s">
        <v>6980</v>
      </c>
      <c r="D106" s="16">
        <v>9456399829</v>
      </c>
      <c r="E106" s="16" t="s">
        <v>6669</v>
      </c>
      <c r="F106" s="16" t="s">
        <v>6659</v>
      </c>
      <c r="G106" s="16" t="s">
        <v>6981</v>
      </c>
      <c r="H106" s="16" t="s">
        <v>6661</v>
      </c>
      <c r="I106" s="16" t="s">
        <v>6662</v>
      </c>
    </row>
    <row r="107" spans="1:9">
      <c r="A107" s="18" t="s">
        <v>1108</v>
      </c>
      <c r="B107" s="18" t="s">
        <v>6982</v>
      </c>
      <c r="C107" s="18" t="s">
        <v>6983</v>
      </c>
      <c r="D107" s="18">
        <v>5096503896</v>
      </c>
      <c r="E107" s="18" t="s">
        <v>6696</v>
      </c>
      <c r="F107" s="18" t="s">
        <v>6659</v>
      </c>
      <c r="G107" s="18" t="s">
        <v>6984</v>
      </c>
      <c r="H107" s="18" t="s">
        <v>6671</v>
      </c>
      <c r="I107" s="18" t="s">
        <v>6662</v>
      </c>
    </row>
    <row r="108" spans="1:9">
      <c r="A108" s="16" t="s">
        <v>916</v>
      </c>
      <c r="B108" s="16" t="s">
        <v>6985</v>
      </c>
      <c r="C108" s="16" t="s">
        <v>6986</v>
      </c>
      <c r="D108" s="16">
        <v>910899313292</v>
      </c>
      <c r="E108" s="16" t="s">
        <v>6802</v>
      </c>
      <c r="F108" s="16" t="s">
        <v>6659</v>
      </c>
      <c r="G108" s="16" t="s">
        <v>6987</v>
      </c>
      <c r="H108" s="16" t="s">
        <v>6661</v>
      </c>
      <c r="I108" s="16" t="s">
        <v>6662</v>
      </c>
    </row>
    <row r="109" spans="1:9">
      <c r="A109" s="18" t="s">
        <v>1006</v>
      </c>
      <c r="B109" s="18" t="s">
        <v>6988</v>
      </c>
      <c r="C109" s="18" t="s">
        <v>6989</v>
      </c>
      <c r="D109" s="18">
        <v>4891606338</v>
      </c>
      <c r="E109" s="18" t="s">
        <v>6674</v>
      </c>
      <c r="F109" s="18" t="s">
        <v>6659</v>
      </c>
      <c r="G109" s="18" t="s">
        <v>6990</v>
      </c>
      <c r="H109" s="18" t="s">
        <v>6686</v>
      </c>
      <c r="I109" s="18" t="s">
        <v>6662</v>
      </c>
    </row>
    <row r="110" spans="1:9">
      <c r="A110" s="16" t="s">
        <v>1724</v>
      </c>
      <c r="B110" s="16" t="s">
        <v>6991</v>
      </c>
      <c r="C110" s="16" t="s">
        <v>6992</v>
      </c>
      <c r="D110" s="16">
        <v>915953268758</v>
      </c>
      <c r="E110" s="16" t="s">
        <v>6710</v>
      </c>
      <c r="F110" s="16" t="s">
        <v>6659</v>
      </c>
      <c r="G110" s="16" t="s">
        <v>6993</v>
      </c>
      <c r="H110" s="16" t="s">
        <v>6661</v>
      </c>
      <c r="I110" s="16" t="s">
        <v>6662</v>
      </c>
    </row>
    <row r="111" spans="1:9">
      <c r="A111" s="18" t="s">
        <v>1048</v>
      </c>
      <c r="B111" s="18" t="s">
        <v>6994</v>
      </c>
      <c r="C111" s="18" t="s">
        <v>6995</v>
      </c>
      <c r="D111" s="18">
        <v>3895579100</v>
      </c>
      <c r="E111" s="18" t="s">
        <v>6706</v>
      </c>
      <c r="F111" s="18" t="s">
        <v>6659</v>
      </c>
      <c r="G111" s="18" t="s">
        <v>6996</v>
      </c>
      <c r="H111" s="18" t="s">
        <v>6671</v>
      </c>
      <c r="I111" s="18" t="s">
        <v>6662</v>
      </c>
    </row>
    <row r="112" spans="1:9">
      <c r="A112" s="16" t="s">
        <v>1979</v>
      </c>
      <c r="B112" s="16" t="s">
        <v>6997</v>
      </c>
      <c r="C112" s="16" t="s">
        <v>6998</v>
      </c>
      <c r="D112" s="16">
        <v>3196197419</v>
      </c>
      <c r="E112" s="16" t="s">
        <v>6802</v>
      </c>
      <c r="F112" s="16" t="s">
        <v>6659</v>
      </c>
      <c r="G112" s="16" t="s">
        <v>6999</v>
      </c>
      <c r="H112" s="16" t="s">
        <v>6661</v>
      </c>
      <c r="I112" s="16" t="s">
        <v>6712</v>
      </c>
    </row>
    <row r="113" spans="1:9">
      <c r="A113" s="18" t="s">
        <v>1207</v>
      </c>
      <c r="B113" s="18" t="s">
        <v>7000</v>
      </c>
      <c r="C113" s="18" t="s">
        <v>7001</v>
      </c>
      <c r="D113" s="18">
        <v>917710634063</v>
      </c>
      <c r="E113" s="18" t="s">
        <v>6802</v>
      </c>
      <c r="F113" s="18" t="s">
        <v>6659</v>
      </c>
      <c r="G113" s="18" t="s">
        <v>7002</v>
      </c>
      <c r="H113" s="18" t="s">
        <v>6671</v>
      </c>
      <c r="I113" s="18" t="s">
        <v>6712</v>
      </c>
    </row>
    <row r="114" spans="1:9">
      <c r="A114" s="16" t="s">
        <v>1058</v>
      </c>
      <c r="B114" s="16" t="s">
        <v>7003</v>
      </c>
      <c r="C114" s="16" t="s">
        <v>7004</v>
      </c>
      <c r="D114" s="16">
        <v>2627897820</v>
      </c>
      <c r="E114" s="16" t="s">
        <v>6706</v>
      </c>
      <c r="F114" s="16" t="s">
        <v>6659</v>
      </c>
      <c r="G114" s="16" t="s">
        <v>7005</v>
      </c>
      <c r="H114" s="16" t="s">
        <v>6671</v>
      </c>
      <c r="I114" s="16" t="s">
        <v>6712</v>
      </c>
    </row>
    <row r="115" spans="1:9">
      <c r="A115" s="18" t="s">
        <v>598</v>
      </c>
      <c r="B115" s="18" t="s">
        <v>7006</v>
      </c>
      <c r="C115" s="18" t="s">
        <v>7007</v>
      </c>
      <c r="D115" s="18">
        <v>912759102745</v>
      </c>
      <c r="E115" s="18" t="s">
        <v>6665</v>
      </c>
      <c r="F115" s="18" t="s">
        <v>6659</v>
      </c>
      <c r="G115" s="18" t="s">
        <v>7008</v>
      </c>
      <c r="H115" s="18" t="s">
        <v>6686</v>
      </c>
      <c r="I115" s="18" t="s">
        <v>6662</v>
      </c>
    </row>
    <row r="116" spans="1:9">
      <c r="A116" s="16" t="s">
        <v>539</v>
      </c>
      <c r="B116" s="16" t="s">
        <v>7009</v>
      </c>
      <c r="C116" s="16" t="s">
        <v>7010</v>
      </c>
      <c r="D116" s="16">
        <v>2714207648</v>
      </c>
      <c r="E116" s="16" t="s">
        <v>6658</v>
      </c>
      <c r="F116" s="16" t="s">
        <v>6659</v>
      </c>
      <c r="G116" s="16" t="s">
        <v>7011</v>
      </c>
      <c r="H116" s="16" t="s">
        <v>6686</v>
      </c>
      <c r="I116" s="16" t="s">
        <v>6712</v>
      </c>
    </row>
    <row r="117" spans="1:9">
      <c r="A117" s="18" t="s">
        <v>3278</v>
      </c>
      <c r="B117" s="18" t="s">
        <v>7012</v>
      </c>
      <c r="C117" s="18" t="s">
        <v>7013</v>
      </c>
      <c r="D117" s="18">
        <v>4509659672</v>
      </c>
      <c r="E117" s="18" t="s">
        <v>6752</v>
      </c>
      <c r="F117" s="18" t="s">
        <v>6659</v>
      </c>
      <c r="G117" s="18" t="s">
        <v>7014</v>
      </c>
      <c r="H117" s="18" t="s">
        <v>6661</v>
      </c>
      <c r="I117" s="18" t="s">
        <v>6662</v>
      </c>
    </row>
    <row r="118" spans="1:9">
      <c r="A118" s="16" t="s">
        <v>2164</v>
      </c>
      <c r="B118" s="16" t="s">
        <v>7015</v>
      </c>
      <c r="C118" s="16" t="s">
        <v>7016</v>
      </c>
      <c r="D118" s="16">
        <v>8540732464</v>
      </c>
      <c r="E118" s="16" t="s">
        <v>6696</v>
      </c>
      <c r="F118" s="16" t="s">
        <v>6659</v>
      </c>
      <c r="G118" s="16" t="s">
        <v>7017</v>
      </c>
      <c r="H118" s="16" t="s">
        <v>6686</v>
      </c>
      <c r="I118" s="16" t="s">
        <v>6712</v>
      </c>
    </row>
    <row r="119" spans="1:9">
      <c r="A119" s="18" t="s">
        <v>716</v>
      </c>
      <c r="B119" s="18" t="s">
        <v>7018</v>
      </c>
      <c r="C119" s="18" t="s">
        <v>7019</v>
      </c>
      <c r="D119" s="18">
        <v>919235598379</v>
      </c>
      <c r="E119" s="18" t="s">
        <v>6665</v>
      </c>
      <c r="F119" s="18" t="s">
        <v>6659</v>
      </c>
      <c r="G119" s="18" t="s">
        <v>7020</v>
      </c>
      <c r="H119" s="18" t="s">
        <v>6661</v>
      </c>
      <c r="I119" s="18" t="s">
        <v>6662</v>
      </c>
    </row>
    <row r="120" spans="1:9">
      <c r="A120" s="16" t="s">
        <v>1948</v>
      </c>
      <c r="B120" s="16" t="s">
        <v>7021</v>
      </c>
      <c r="C120" s="16" t="s">
        <v>7022</v>
      </c>
      <c r="D120" s="16">
        <v>915643420499</v>
      </c>
      <c r="E120" s="16" t="s">
        <v>6706</v>
      </c>
      <c r="F120" s="16" t="s">
        <v>6659</v>
      </c>
      <c r="G120" s="16" t="s">
        <v>7023</v>
      </c>
      <c r="H120" s="16" t="s">
        <v>6686</v>
      </c>
      <c r="I120" s="16" t="s">
        <v>6662</v>
      </c>
    </row>
    <row r="121" spans="1:9">
      <c r="A121" s="18" t="s">
        <v>1530</v>
      </c>
      <c r="B121" s="18" t="s">
        <v>7024</v>
      </c>
      <c r="C121" s="18" t="s">
        <v>7025</v>
      </c>
      <c r="D121" s="18">
        <v>3211304079</v>
      </c>
      <c r="E121" s="18" t="s">
        <v>6692</v>
      </c>
      <c r="F121" s="18" t="s">
        <v>6659</v>
      </c>
      <c r="G121" s="18" t="s">
        <v>7026</v>
      </c>
      <c r="H121" s="18" t="s">
        <v>6686</v>
      </c>
      <c r="I121" s="18" t="s">
        <v>6662</v>
      </c>
    </row>
    <row r="122" spans="1:9">
      <c r="A122" s="16" t="s">
        <v>743</v>
      </c>
      <c r="B122" s="16" t="s">
        <v>7027</v>
      </c>
      <c r="C122" s="16" t="s">
        <v>7028</v>
      </c>
      <c r="D122" s="16">
        <v>9710697245</v>
      </c>
      <c r="E122" s="16" t="s">
        <v>6710</v>
      </c>
      <c r="F122" s="16" t="s">
        <v>6659</v>
      </c>
      <c r="G122" s="16" t="s">
        <v>6765</v>
      </c>
      <c r="H122" s="16" t="s">
        <v>6671</v>
      </c>
      <c r="I122" s="16" t="s">
        <v>6662</v>
      </c>
    </row>
    <row r="123" spans="1:9">
      <c r="A123" s="18" t="s">
        <v>1351</v>
      </c>
      <c r="B123" s="18" t="s">
        <v>7029</v>
      </c>
      <c r="C123" s="18" t="s">
        <v>7030</v>
      </c>
      <c r="D123" s="18">
        <v>910151305667</v>
      </c>
      <c r="E123" s="18" t="s">
        <v>6658</v>
      </c>
      <c r="F123" s="18" t="s">
        <v>6659</v>
      </c>
      <c r="G123" s="18" t="s">
        <v>7031</v>
      </c>
      <c r="H123" s="18" t="s">
        <v>6686</v>
      </c>
      <c r="I123" s="18" t="s">
        <v>6662</v>
      </c>
    </row>
    <row r="124" spans="1:9">
      <c r="A124" s="16" t="s">
        <v>4073</v>
      </c>
      <c r="B124" s="16" t="s">
        <v>7032</v>
      </c>
      <c r="C124" s="16" t="s">
        <v>7033</v>
      </c>
      <c r="D124" s="16">
        <v>7697885543</v>
      </c>
      <c r="E124" s="16" t="s">
        <v>6674</v>
      </c>
      <c r="F124" s="16" t="s">
        <v>6659</v>
      </c>
      <c r="G124" s="16" t="s">
        <v>7034</v>
      </c>
      <c r="H124" s="16" t="s">
        <v>6661</v>
      </c>
      <c r="I124" s="16" t="s">
        <v>6662</v>
      </c>
    </row>
    <row r="125" spans="1:9">
      <c r="A125" s="18" t="s">
        <v>516</v>
      </c>
      <c r="B125" s="18" t="s">
        <v>7035</v>
      </c>
      <c r="C125" s="18" t="s">
        <v>7036</v>
      </c>
      <c r="D125" s="18">
        <v>7399790425</v>
      </c>
      <c r="E125" s="18" t="s">
        <v>6669</v>
      </c>
      <c r="F125" s="18" t="s">
        <v>6659</v>
      </c>
      <c r="G125" s="18" t="s">
        <v>7037</v>
      </c>
      <c r="H125" s="18" t="s">
        <v>6686</v>
      </c>
      <c r="I125" s="18" t="s">
        <v>6662</v>
      </c>
    </row>
    <row r="126" spans="1:9">
      <c r="A126" s="16" t="s">
        <v>223</v>
      </c>
      <c r="B126" s="16" t="s">
        <v>7038</v>
      </c>
      <c r="C126" s="16" t="s">
        <v>7039</v>
      </c>
      <c r="D126" s="16">
        <v>917514370652</v>
      </c>
      <c r="E126" s="16" t="s">
        <v>6658</v>
      </c>
      <c r="F126" s="16" t="s">
        <v>6659</v>
      </c>
      <c r="G126" s="16" t="s">
        <v>7040</v>
      </c>
      <c r="H126" s="16" t="s">
        <v>6686</v>
      </c>
      <c r="I126" s="16" t="s">
        <v>6712</v>
      </c>
    </row>
    <row r="127" spans="1:9">
      <c r="A127" s="18" t="s">
        <v>1130</v>
      </c>
      <c r="B127" s="18" t="s">
        <v>7041</v>
      </c>
      <c r="C127" s="18" t="s">
        <v>7042</v>
      </c>
      <c r="D127" s="18">
        <v>6664463930</v>
      </c>
      <c r="E127" s="18" t="s">
        <v>6692</v>
      </c>
      <c r="F127" s="18" t="s">
        <v>6659</v>
      </c>
      <c r="G127" s="18" t="s">
        <v>6871</v>
      </c>
      <c r="H127" s="18" t="s">
        <v>6661</v>
      </c>
      <c r="I127" s="18" t="s">
        <v>6662</v>
      </c>
    </row>
    <row r="128" spans="1:9">
      <c r="A128" s="16" t="s">
        <v>282</v>
      </c>
      <c r="B128" s="16" t="s">
        <v>7043</v>
      </c>
      <c r="C128" s="16" t="s">
        <v>7044</v>
      </c>
      <c r="D128" s="16">
        <v>912887307036</v>
      </c>
      <c r="E128" s="16" t="s">
        <v>6678</v>
      </c>
      <c r="F128" s="16" t="s">
        <v>6659</v>
      </c>
      <c r="G128" s="16" t="s">
        <v>7045</v>
      </c>
      <c r="H128" s="16" t="s">
        <v>6671</v>
      </c>
      <c r="I128" s="16" t="s">
        <v>6662</v>
      </c>
    </row>
    <row r="129" spans="1:9">
      <c r="A129" s="18" t="s">
        <v>469</v>
      </c>
      <c r="B129" s="18" t="s">
        <v>7046</v>
      </c>
      <c r="C129" s="18" t="s">
        <v>7047</v>
      </c>
      <c r="D129" s="18">
        <v>918199311550</v>
      </c>
      <c r="E129" s="18" t="s">
        <v>6669</v>
      </c>
      <c r="F129" s="18" t="s">
        <v>6659</v>
      </c>
      <c r="G129" s="18" t="s">
        <v>7048</v>
      </c>
      <c r="H129" s="18" t="s">
        <v>6671</v>
      </c>
      <c r="I129" s="18" t="s">
        <v>6662</v>
      </c>
    </row>
    <row r="130" spans="1:9">
      <c r="A130" s="16" t="s">
        <v>1061</v>
      </c>
      <c r="B130" s="16" t="s">
        <v>7049</v>
      </c>
      <c r="C130" s="16" t="s">
        <v>7050</v>
      </c>
      <c r="D130" s="16">
        <v>2461319695</v>
      </c>
      <c r="E130" s="16" t="s">
        <v>6658</v>
      </c>
      <c r="F130" s="16" t="s">
        <v>6659</v>
      </c>
      <c r="G130" s="16" t="s">
        <v>7051</v>
      </c>
      <c r="H130" s="16" t="s">
        <v>6671</v>
      </c>
      <c r="I130" s="16" t="s">
        <v>6712</v>
      </c>
    </row>
    <row r="131" spans="1:9">
      <c r="A131" s="18" t="s">
        <v>525</v>
      </c>
      <c r="B131" s="18" t="s">
        <v>7052</v>
      </c>
      <c r="C131" s="18" t="s">
        <v>7053</v>
      </c>
      <c r="D131" s="18">
        <v>6727040697</v>
      </c>
      <c r="E131" s="18" t="s">
        <v>6696</v>
      </c>
      <c r="F131" s="18" t="s">
        <v>6659</v>
      </c>
      <c r="G131" s="18" t="s">
        <v>7054</v>
      </c>
      <c r="H131" s="18" t="s">
        <v>6671</v>
      </c>
      <c r="I131" s="18" t="s">
        <v>6712</v>
      </c>
    </row>
    <row r="132" spans="1:9">
      <c r="A132" s="16" t="s">
        <v>403</v>
      </c>
      <c r="B132" s="16" t="s">
        <v>7055</v>
      </c>
      <c r="C132" s="16" t="s">
        <v>7056</v>
      </c>
      <c r="D132" s="16">
        <v>915317305683</v>
      </c>
      <c r="E132" s="16" t="s">
        <v>6692</v>
      </c>
      <c r="F132" s="16" t="s">
        <v>6659</v>
      </c>
      <c r="G132" s="16" t="s">
        <v>7057</v>
      </c>
      <c r="H132" s="16" t="s">
        <v>6671</v>
      </c>
      <c r="I132" s="16" t="s">
        <v>6662</v>
      </c>
    </row>
    <row r="133" spans="1:9">
      <c r="A133" s="18" t="s">
        <v>640</v>
      </c>
      <c r="B133" s="18" t="s">
        <v>7058</v>
      </c>
      <c r="C133" s="18" t="s">
        <v>7059</v>
      </c>
      <c r="D133" s="18">
        <v>6443293384</v>
      </c>
      <c r="E133" s="18" t="s">
        <v>6696</v>
      </c>
      <c r="F133" s="18" t="s">
        <v>6659</v>
      </c>
      <c r="G133" s="18" t="s">
        <v>7060</v>
      </c>
      <c r="H133" s="18" t="s">
        <v>6686</v>
      </c>
      <c r="I133" s="18" t="s">
        <v>6662</v>
      </c>
    </row>
    <row r="134" spans="1:9">
      <c r="A134" s="16" t="s">
        <v>737</v>
      </c>
      <c r="B134" s="16" t="s">
        <v>7061</v>
      </c>
      <c r="C134" s="16" t="s">
        <v>7062</v>
      </c>
      <c r="D134" s="16">
        <v>8308717816</v>
      </c>
      <c r="E134" s="16" t="s">
        <v>6802</v>
      </c>
      <c r="F134" s="16" t="s">
        <v>6659</v>
      </c>
      <c r="G134" s="16" t="s">
        <v>7063</v>
      </c>
      <c r="H134" s="16" t="s">
        <v>6661</v>
      </c>
      <c r="I134" s="16" t="s">
        <v>6662</v>
      </c>
    </row>
    <row r="135" spans="1:9">
      <c r="A135" s="18" t="s">
        <v>2676</v>
      </c>
      <c r="B135" s="18" t="s">
        <v>7064</v>
      </c>
      <c r="C135" s="18" t="s">
        <v>7065</v>
      </c>
      <c r="D135" s="18">
        <v>4300798606</v>
      </c>
      <c r="E135" s="18" t="s">
        <v>6710</v>
      </c>
      <c r="F135" s="18" t="s">
        <v>6659</v>
      </c>
      <c r="G135" s="18" t="s">
        <v>7066</v>
      </c>
      <c r="H135" s="18" t="s">
        <v>6671</v>
      </c>
      <c r="I135" s="18" t="s">
        <v>6712</v>
      </c>
    </row>
    <row r="136" spans="1:9">
      <c r="A136" s="16" t="s">
        <v>321</v>
      </c>
      <c r="B136" s="16" t="s">
        <v>7067</v>
      </c>
      <c r="C136" s="16" t="s">
        <v>7068</v>
      </c>
      <c r="D136" s="16">
        <v>1895620909</v>
      </c>
      <c r="E136" s="16" t="s">
        <v>6715</v>
      </c>
      <c r="F136" s="16" t="s">
        <v>6659</v>
      </c>
      <c r="G136" s="16" t="s">
        <v>7069</v>
      </c>
      <c r="H136" s="16" t="s">
        <v>6686</v>
      </c>
      <c r="I136" s="16" t="s">
        <v>6662</v>
      </c>
    </row>
    <row r="137" spans="1:9">
      <c r="A137" s="18" t="s">
        <v>628</v>
      </c>
      <c r="B137" s="18" t="s">
        <v>7070</v>
      </c>
      <c r="C137" s="18" t="s">
        <v>7071</v>
      </c>
      <c r="D137" s="18">
        <v>917887927446</v>
      </c>
      <c r="E137" s="18" t="s">
        <v>6674</v>
      </c>
      <c r="F137" s="18" t="s">
        <v>6659</v>
      </c>
      <c r="G137" s="18" t="s">
        <v>7072</v>
      </c>
      <c r="H137" s="18" t="s">
        <v>6686</v>
      </c>
      <c r="I137" s="18" t="s">
        <v>6662</v>
      </c>
    </row>
    <row r="138" spans="1:9">
      <c r="A138" s="16" t="s">
        <v>349</v>
      </c>
      <c r="B138" s="16" t="s">
        <v>7073</v>
      </c>
      <c r="C138" s="16" t="s">
        <v>7074</v>
      </c>
      <c r="D138" s="16">
        <v>910406447156</v>
      </c>
      <c r="E138" s="16" t="s">
        <v>6715</v>
      </c>
      <c r="F138" s="16" t="s">
        <v>6659</v>
      </c>
      <c r="G138" s="16" t="s">
        <v>6987</v>
      </c>
      <c r="H138" s="16" t="s">
        <v>6671</v>
      </c>
      <c r="I138" s="16" t="s">
        <v>6662</v>
      </c>
    </row>
    <row r="139" spans="1:9">
      <c r="A139" s="18" t="s">
        <v>1631</v>
      </c>
      <c r="B139" s="18" t="s">
        <v>7075</v>
      </c>
      <c r="C139" s="18" t="s">
        <v>7076</v>
      </c>
      <c r="D139" s="18">
        <v>4411685178</v>
      </c>
      <c r="E139" s="18" t="s">
        <v>6752</v>
      </c>
      <c r="F139" s="18" t="s">
        <v>6659</v>
      </c>
      <c r="G139" s="18" t="s">
        <v>7077</v>
      </c>
      <c r="H139" s="18" t="s">
        <v>6686</v>
      </c>
      <c r="I139" s="18" t="s">
        <v>6662</v>
      </c>
    </row>
    <row r="140" spans="1:9">
      <c r="A140" s="16" t="s">
        <v>1589</v>
      </c>
      <c r="B140" s="16" t="s">
        <v>7078</v>
      </c>
      <c r="C140" s="16" t="s">
        <v>7079</v>
      </c>
      <c r="D140" s="16">
        <v>8920032819</v>
      </c>
      <c r="E140" s="16" t="s">
        <v>6752</v>
      </c>
      <c r="F140" s="16" t="s">
        <v>6659</v>
      </c>
      <c r="G140" s="16" t="s">
        <v>7040</v>
      </c>
      <c r="H140" s="16" t="s">
        <v>6671</v>
      </c>
      <c r="I140" s="16" t="s">
        <v>6662</v>
      </c>
    </row>
    <row r="141" spans="1:9">
      <c r="A141" s="18" t="s">
        <v>424</v>
      </c>
      <c r="B141" s="18" t="s">
        <v>7080</v>
      </c>
      <c r="C141" s="18" t="s">
        <v>7081</v>
      </c>
      <c r="D141" s="18">
        <v>918271988938</v>
      </c>
      <c r="E141" s="18" t="s">
        <v>6692</v>
      </c>
      <c r="F141" s="18" t="s">
        <v>6659</v>
      </c>
      <c r="G141" s="18" t="s">
        <v>7082</v>
      </c>
      <c r="H141" s="18" t="s">
        <v>6671</v>
      </c>
      <c r="I141" s="18" t="s">
        <v>6662</v>
      </c>
    </row>
    <row r="142" spans="1:9">
      <c r="A142" s="16" t="s">
        <v>2033</v>
      </c>
      <c r="B142" s="16" t="s">
        <v>7083</v>
      </c>
      <c r="C142" s="16" t="s">
        <v>7084</v>
      </c>
      <c r="D142" s="16">
        <v>3195669600</v>
      </c>
      <c r="E142" s="16" t="s">
        <v>6696</v>
      </c>
      <c r="F142" s="16" t="s">
        <v>6659</v>
      </c>
      <c r="G142" s="16" t="s">
        <v>7085</v>
      </c>
      <c r="H142" s="16" t="s">
        <v>6661</v>
      </c>
      <c r="I142" s="16" t="s">
        <v>6712</v>
      </c>
    </row>
    <row r="143" spans="1:9">
      <c r="A143" s="18" t="s">
        <v>1452</v>
      </c>
      <c r="B143" s="18" t="s">
        <v>7086</v>
      </c>
      <c r="C143" s="18" t="s">
        <v>7087</v>
      </c>
      <c r="D143" s="18">
        <v>5525913644</v>
      </c>
      <c r="E143" s="18" t="s">
        <v>6665</v>
      </c>
      <c r="F143" s="18" t="s">
        <v>6659</v>
      </c>
      <c r="G143" s="18" t="s">
        <v>6932</v>
      </c>
      <c r="H143" s="18" t="s">
        <v>6671</v>
      </c>
      <c r="I143" s="18" t="s">
        <v>6662</v>
      </c>
    </row>
    <row r="144" spans="1:9">
      <c r="A144" s="16" t="s">
        <v>1150</v>
      </c>
      <c r="B144" s="16" t="s">
        <v>7088</v>
      </c>
      <c r="C144" s="16" t="s">
        <v>7089</v>
      </c>
      <c r="D144" s="16">
        <v>913319755720</v>
      </c>
      <c r="E144" s="16" t="s">
        <v>6665</v>
      </c>
      <c r="F144" s="16" t="s">
        <v>6659</v>
      </c>
      <c r="G144" s="16" t="s">
        <v>6703</v>
      </c>
      <c r="H144" s="16" t="s">
        <v>6661</v>
      </c>
      <c r="I144" s="16" t="s">
        <v>6662</v>
      </c>
    </row>
    <row r="145" spans="1:9">
      <c r="A145" s="18" t="s">
        <v>1070</v>
      </c>
      <c r="B145" s="18" t="s">
        <v>7090</v>
      </c>
      <c r="C145" s="18" t="s">
        <v>7091</v>
      </c>
      <c r="D145" s="18">
        <v>911318472554</v>
      </c>
      <c r="E145" s="18" t="s">
        <v>6752</v>
      </c>
      <c r="F145" s="18" t="s">
        <v>6659</v>
      </c>
      <c r="G145" s="18" t="s">
        <v>6666</v>
      </c>
      <c r="H145" s="18" t="s">
        <v>6671</v>
      </c>
      <c r="I145" s="18" t="s">
        <v>6712</v>
      </c>
    </row>
    <row r="146" spans="1:9">
      <c r="A146" s="16" t="s">
        <v>1257</v>
      </c>
      <c r="B146" s="16" t="s">
        <v>7092</v>
      </c>
      <c r="C146" s="16" t="s">
        <v>7093</v>
      </c>
      <c r="D146" s="16">
        <v>1684125409</v>
      </c>
      <c r="E146" s="16" t="s">
        <v>6752</v>
      </c>
      <c r="F146" s="16" t="s">
        <v>6659</v>
      </c>
      <c r="G146" s="16" t="s">
        <v>7094</v>
      </c>
      <c r="H146" s="16" t="s">
        <v>6686</v>
      </c>
      <c r="I146" s="16" t="s">
        <v>6712</v>
      </c>
    </row>
    <row r="147" spans="1:9">
      <c r="A147" s="18" t="s">
        <v>1988</v>
      </c>
      <c r="B147" s="18" t="s">
        <v>7095</v>
      </c>
      <c r="C147" s="18" t="s">
        <v>7096</v>
      </c>
      <c r="D147" s="18">
        <v>651400436</v>
      </c>
      <c r="E147" s="18" t="s">
        <v>6665</v>
      </c>
      <c r="F147" s="18" t="s">
        <v>6659</v>
      </c>
      <c r="G147" s="18" t="s">
        <v>7097</v>
      </c>
      <c r="H147" s="18" t="s">
        <v>6671</v>
      </c>
      <c r="I147" s="18" t="s">
        <v>6662</v>
      </c>
    </row>
    <row r="148" spans="1:9">
      <c r="A148" s="16" t="s">
        <v>723</v>
      </c>
      <c r="B148" s="16" t="s">
        <v>7098</v>
      </c>
      <c r="C148" s="16" t="s">
        <v>7099</v>
      </c>
      <c r="D148" s="16">
        <v>2233672339</v>
      </c>
      <c r="E148" s="16" t="s">
        <v>6706</v>
      </c>
      <c r="F148" s="16" t="s">
        <v>6659</v>
      </c>
      <c r="G148" s="16" t="s">
        <v>7100</v>
      </c>
      <c r="H148" s="16" t="s">
        <v>6661</v>
      </c>
      <c r="I148" s="16" t="s">
        <v>6662</v>
      </c>
    </row>
    <row r="149" spans="1:9">
      <c r="A149" s="18" t="s">
        <v>1455</v>
      </c>
      <c r="B149" s="18" t="s">
        <v>7101</v>
      </c>
      <c r="C149" s="18" t="s">
        <v>7102</v>
      </c>
      <c r="D149" s="18">
        <v>917744692476</v>
      </c>
      <c r="E149" s="18" t="s">
        <v>6674</v>
      </c>
      <c r="F149" s="18" t="s">
        <v>6659</v>
      </c>
      <c r="G149" s="18" t="s">
        <v>7103</v>
      </c>
      <c r="H149" s="18" t="s">
        <v>6661</v>
      </c>
      <c r="I149" s="18" t="s">
        <v>6712</v>
      </c>
    </row>
    <row r="150" spans="1:9">
      <c r="A150" s="16" t="s">
        <v>121</v>
      </c>
      <c r="B150" s="16" t="s">
        <v>7104</v>
      </c>
      <c r="C150" s="16" t="s">
        <v>7105</v>
      </c>
      <c r="D150" s="16">
        <v>1952022754</v>
      </c>
      <c r="E150" s="16" t="s">
        <v>6802</v>
      </c>
      <c r="F150" s="16" t="s">
        <v>6659</v>
      </c>
      <c r="G150" s="16" t="s">
        <v>7106</v>
      </c>
      <c r="H150" s="16" t="s">
        <v>6671</v>
      </c>
      <c r="I150" s="16" t="s">
        <v>6662</v>
      </c>
    </row>
    <row r="151" spans="1:9">
      <c r="A151" s="18" t="s">
        <v>1900</v>
      </c>
      <c r="B151" s="18" t="s">
        <v>7107</v>
      </c>
      <c r="C151" s="18" t="s">
        <v>7108</v>
      </c>
      <c r="D151" s="18">
        <v>3133966783</v>
      </c>
      <c r="E151" s="18" t="s">
        <v>6678</v>
      </c>
      <c r="F151" s="18" t="s">
        <v>6659</v>
      </c>
      <c r="G151" s="18" t="s">
        <v>7109</v>
      </c>
      <c r="H151" s="18" t="s">
        <v>6661</v>
      </c>
      <c r="I151" s="18" t="s">
        <v>6712</v>
      </c>
    </row>
    <row r="152" spans="1:9">
      <c r="A152" s="16" t="s">
        <v>464</v>
      </c>
      <c r="B152" s="16" t="s">
        <v>7110</v>
      </c>
      <c r="C152" s="16" t="s">
        <v>7111</v>
      </c>
      <c r="D152" s="16">
        <v>4042619101</v>
      </c>
      <c r="E152" s="16" t="s">
        <v>6752</v>
      </c>
      <c r="F152" s="16" t="s">
        <v>6659</v>
      </c>
      <c r="G152" s="16" t="s">
        <v>7112</v>
      </c>
      <c r="H152" s="16" t="s">
        <v>6661</v>
      </c>
      <c r="I152" s="16" t="s">
        <v>6712</v>
      </c>
    </row>
    <row r="153" spans="1:9">
      <c r="A153" s="18" t="s">
        <v>1081</v>
      </c>
      <c r="B153" s="18" t="s">
        <v>7113</v>
      </c>
      <c r="C153" s="18" t="s">
        <v>7114</v>
      </c>
      <c r="D153" s="18">
        <v>910759162306</v>
      </c>
      <c r="E153" s="18" t="s">
        <v>6678</v>
      </c>
      <c r="F153" s="18" t="s">
        <v>6659</v>
      </c>
      <c r="G153" s="18" t="s">
        <v>7115</v>
      </c>
      <c r="H153" s="18" t="s">
        <v>6671</v>
      </c>
      <c r="I153" s="18" t="s">
        <v>6662</v>
      </c>
    </row>
    <row r="154" spans="1:9">
      <c r="A154" s="16" t="s">
        <v>1612</v>
      </c>
      <c r="B154" s="16" t="s">
        <v>7116</v>
      </c>
      <c r="C154" s="16" t="s">
        <v>7117</v>
      </c>
      <c r="D154" s="16">
        <v>917453431954</v>
      </c>
      <c r="E154" s="16" t="s">
        <v>6752</v>
      </c>
      <c r="F154" s="16" t="s">
        <v>6659</v>
      </c>
      <c r="G154" s="16" t="s">
        <v>7118</v>
      </c>
      <c r="H154" s="16" t="s">
        <v>6671</v>
      </c>
      <c r="I154" s="16" t="s">
        <v>6712</v>
      </c>
    </row>
    <row r="155" spans="1:9">
      <c r="A155" s="18" t="s">
        <v>2619</v>
      </c>
      <c r="B155" s="18" t="s">
        <v>7119</v>
      </c>
      <c r="C155" s="18" t="s">
        <v>7120</v>
      </c>
      <c r="D155" s="18">
        <v>5126562810</v>
      </c>
      <c r="E155" s="18" t="s">
        <v>6678</v>
      </c>
      <c r="F155" s="18" t="s">
        <v>6659</v>
      </c>
      <c r="G155" s="18" t="s">
        <v>7121</v>
      </c>
      <c r="H155" s="18" t="s">
        <v>6686</v>
      </c>
      <c r="I155" s="18" t="s">
        <v>6712</v>
      </c>
    </row>
    <row r="156" spans="1:9">
      <c r="A156" s="16" t="s">
        <v>3454</v>
      </c>
      <c r="B156" s="16" t="s">
        <v>7122</v>
      </c>
      <c r="C156" s="16" t="s">
        <v>7123</v>
      </c>
      <c r="D156" s="16">
        <v>1131874924</v>
      </c>
      <c r="E156" s="16" t="s">
        <v>6752</v>
      </c>
      <c r="F156" s="16" t="s">
        <v>6659</v>
      </c>
      <c r="G156" s="16" t="s">
        <v>7124</v>
      </c>
      <c r="H156" s="16" t="s">
        <v>6661</v>
      </c>
      <c r="I156" s="16" t="s">
        <v>6662</v>
      </c>
    </row>
    <row r="157" spans="1:9">
      <c r="A157" s="18" t="s">
        <v>2937</v>
      </c>
      <c r="B157" s="18" t="s">
        <v>7125</v>
      </c>
      <c r="C157" s="18" t="s">
        <v>7126</v>
      </c>
      <c r="D157" s="18">
        <v>3976299455</v>
      </c>
      <c r="E157" s="18" t="s">
        <v>6752</v>
      </c>
      <c r="F157" s="18" t="s">
        <v>6659</v>
      </c>
      <c r="G157" s="18" t="s">
        <v>7127</v>
      </c>
      <c r="H157" s="18" t="s">
        <v>6686</v>
      </c>
      <c r="I157" s="18" t="s">
        <v>6712</v>
      </c>
    </row>
    <row r="158" spans="1:9">
      <c r="A158" s="16" t="s">
        <v>1694</v>
      </c>
      <c r="B158" s="16" t="s">
        <v>7128</v>
      </c>
      <c r="C158" s="16" t="s">
        <v>7129</v>
      </c>
      <c r="D158" s="16">
        <v>5571777546</v>
      </c>
      <c r="E158" s="16" t="s">
        <v>6710</v>
      </c>
      <c r="F158" s="16" t="s">
        <v>6659</v>
      </c>
      <c r="G158" s="16" t="s">
        <v>7130</v>
      </c>
      <c r="H158" s="16" t="s">
        <v>6686</v>
      </c>
      <c r="I158" s="16" t="s">
        <v>6712</v>
      </c>
    </row>
    <row r="159" spans="1:9">
      <c r="A159" s="18" t="s">
        <v>427</v>
      </c>
      <c r="B159" s="18" t="s">
        <v>7131</v>
      </c>
      <c r="C159" s="18" t="s">
        <v>7132</v>
      </c>
      <c r="D159" s="18">
        <v>3823819600</v>
      </c>
      <c r="E159" s="18" t="s">
        <v>6752</v>
      </c>
      <c r="F159" s="18" t="s">
        <v>6659</v>
      </c>
      <c r="G159" s="18" t="s">
        <v>7133</v>
      </c>
      <c r="H159" s="18" t="s">
        <v>6671</v>
      </c>
      <c r="I159" s="18" t="s">
        <v>6662</v>
      </c>
    </row>
    <row r="160" spans="1:9">
      <c r="A160" s="16" t="s">
        <v>394</v>
      </c>
      <c r="B160" s="16" t="s">
        <v>7134</v>
      </c>
      <c r="C160" s="16" t="s">
        <v>7135</v>
      </c>
      <c r="D160" s="16">
        <v>913072646245</v>
      </c>
      <c r="E160" s="16" t="s">
        <v>6658</v>
      </c>
      <c r="F160" s="16" t="s">
        <v>6659</v>
      </c>
      <c r="G160" s="16" t="s">
        <v>7136</v>
      </c>
      <c r="H160" s="16" t="s">
        <v>6671</v>
      </c>
      <c r="I160" s="16" t="s">
        <v>6662</v>
      </c>
    </row>
    <row r="161" spans="1:9">
      <c r="A161" s="18" t="s">
        <v>1182</v>
      </c>
      <c r="B161" s="18" t="s">
        <v>7137</v>
      </c>
      <c r="C161" s="18" t="s">
        <v>7138</v>
      </c>
      <c r="D161" s="18">
        <v>913061951215</v>
      </c>
      <c r="E161" s="18" t="s">
        <v>6696</v>
      </c>
      <c r="F161" s="18" t="s">
        <v>6659</v>
      </c>
      <c r="G161" s="18" t="s">
        <v>7139</v>
      </c>
      <c r="H161" s="18" t="s">
        <v>6686</v>
      </c>
      <c r="I161" s="18" t="s">
        <v>6712</v>
      </c>
    </row>
    <row r="162" spans="1:9">
      <c r="A162" s="16" t="s">
        <v>623</v>
      </c>
      <c r="B162" s="16" t="s">
        <v>7140</v>
      </c>
      <c r="C162" s="16" t="s">
        <v>7141</v>
      </c>
      <c r="D162" s="16">
        <v>2999669242</v>
      </c>
      <c r="E162" s="16" t="s">
        <v>6802</v>
      </c>
      <c r="F162" s="16" t="s">
        <v>6659</v>
      </c>
      <c r="G162" s="16" t="s">
        <v>7142</v>
      </c>
      <c r="H162" s="16" t="s">
        <v>6661</v>
      </c>
      <c r="I162" s="16" t="s">
        <v>6662</v>
      </c>
    </row>
    <row r="163" spans="1:9">
      <c r="A163" s="18" t="s">
        <v>3834</v>
      </c>
      <c r="B163" s="18" t="s">
        <v>7143</v>
      </c>
      <c r="C163" s="18" t="s">
        <v>7144</v>
      </c>
      <c r="D163" s="18">
        <v>3763245038</v>
      </c>
      <c r="E163" s="18" t="s">
        <v>6802</v>
      </c>
      <c r="F163" s="18" t="s">
        <v>6659</v>
      </c>
      <c r="G163" s="18" t="s">
        <v>7145</v>
      </c>
      <c r="H163" s="18" t="s">
        <v>6671</v>
      </c>
      <c r="I163" s="18" t="s">
        <v>6662</v>
      </c>
    </row>
    <row r="164" spans="1:9">
      <c r="A164" s="16" t="s">
        <v>1961</v>
      </c>
      <c r="B164" s="16" t="s">
        <v>7146</v>
      </c>
      <c r="C164" s="16" t="s">
        <v>7147</v>
      </c>
      <c r="D164" s="16">
        <v>916050308455</v>
      </c>
      <c r="E164" s="16" t="s">
        <v>6706</v>
      </c>
      <c r="F164" s="16" t="s">
        <v>6659</v>
      </c>
      <c r="G164" s="16" t="s">
        <v>7148</v>
      </c>
      <c r="H164" s="16" t="s">
        <v>6686</v>
      </c>
      <c r="I164" s="16" t="s">
        <v>6662</v>
      </c>
    </row>
    <row r="165" spans="1:9">
      <c r="A165" s="18" t="s">
        <v>2147</v>
      </c>
      <c r="B165" s="18" t="s">
        <v>7149</v>
      </c>
      <c r="C165" s="18" t="s">
        <v>7150</v>
      </c>
      <c r="D165" s="18">
        <v>5115288615</v>
      </c>
      <c r="E165" s="18" t="s">
        <v>6674</v>
      </c>
      <c r="F165" s="18" t="s">
        <v>6659</v>
      </c>
      <c r="G165" s="18" t="s">
        <v>7148</v>
      </c>
      <c r="H165" s="18" t="s">
        <v>6661</v>
      </c>
      <c r="I165" s="18" t="s">
        <v>6712</v>
      </c>
    </row>
    <row r="166" spans="1:9">
      <c r="A166" s="16" t="s">
        <v>2289</v>
      </c>
      <c r="B166" s="16" t="s">
        <v>7151</v>
      </c>
      <c r="C166" s="16" t="s">
        <v>7152</v>
      </c>
      <c r="D166" s="16">
        <v>7314921585</v>
      </c>
      <c r="E166" s="16" t="s">
        <v>6715</v>
      </c>
      <c r="F166" s="16" t="s">
        <v>6659</v>
      </c>
      <c r="G166" s="16" t="s">
        <v>7153</v>
      </c>
      <c r="H166" s="16" t="s">
        <v>6671</v>
      </c>
      <c r="I166" s="16" t="s">
        <v>6662</v>
      </c>
    </row>
    <row r="167" spans="1:9">
      <c r="A167" s="18" t="s">
        <v>3332</v>
      </c>
      <c r="B167" s="18" t="s">
        <v>7154</v>
      </c>
      <c r="C167" s="18" t="s">
        <v>7155</v>
      </c>
      <c r="D167" s="18">
        <v>1668373689</v>
      </c>
      <c r="E167" s="18" t="s">
        <v>6715</v>
      </c>
      <c r="F167" s="18" t="s">
        <v>6659</v>
      </c>
      <c r="G167" s="18" t="s">
        <v>6941</v>
      </c>
      <c r="H167" s="18" t="s">
        <v>6686</v>
      </c>
      <c r="I167" s="18" t="s">
        <v>6662</v>
      </c>
    </row>
    <row r="168" spans="1:9">
      <c r="A168" s="16" t="s">
        <v>845</v>
      </c>
      <c r="B168" s="16" t="s">
        <v>7156</v>
      </c>
      <c r="C168" s="16" t="s">
        <v>7157</v>
      </c>
      <c r="D168" s="16">
        <v>244116869</v>
      </c>
      <c r="E168" s="16" t="s">
        <v>6692</v>
      </c>
      <c r="F168" s="16" t="s">
        <v>6659</v>
      </c>
      <c r="G168" s="16" t="s">
        <v>7158</v>
      </c>
      <c r="H168" s="16" t="s">
        <v>6686</v>
      </c>
      <c r="I168" s="16" t="s">
        <v>6712</v>
      </c>
    </row>
    <row r="169" spans="1:9">
      <c r="A169" s="18" t="s">
        <v>1102</v>
      </c>
      <c r="B169" s="18" t="s">
        <v>7159</v>
      </c>
      <c r="C169" s="18" t="s">
        <v>7160</v>
      </c>
      <c r="D169" s="18">
        <v>910906678327</v>
      </c>
      <c r="E169" s="18" t="s">
        <v>6706</v>
      </c>
      <c r="F169" s="18" t="s">
        <v>6659</v>
      </c>
      <c r="G169" s="18" t="s">
        <v>7161</v>
      </c>
      <c r="H169" s="18" t="s">
        <v>6671</v>
      </c>
      <c r="I169" s="18" t="s">
        <v>6662</v>
      </c>
    </row>
    <row r="170" spans="1:9">
      <c r="A170" s="16" t="s">
        <v>1781</v>
      </c>
      <c r="B170" s="16" t="s">
        <v>7162</v>
      </c>
      <c r="C170" s="16" t="s">
        <v>7163</v>
      </c>
      <c r="D170" s="16">
        <v>411725947</v>
      </c>
      <c r="E170" s="16" t="s">
        <v>6715</v>
      </c>
      <c r="F170" s="16" t="s">
        <v>6659</v>
      </c>
      <c r="G170" s="16" t="s">
        <v>7164</v>
      </c>
      <c r="H170" s="16" t="s">
        <v>6661</v>
      </c>
      <c r="I170" s="16" t="s">
        <v>6662</v>
      </c>
    </row>
    <row r="171" spans="1:9">
      <c r="A171" s="18" t="s">
        <v>216</v>
      </c>
      <c r="B171" s="18" t="s">
        <v>7165</v>
      </c>
      <c r="C171" s="18" t="s">
        <v>7166</v>
      </c>
      <c r="D171" s="18">
        <v>8159267480</v>
      </c>
      <c r="E171" s="18" t="s">
        <v>6706</v>
      </c>
      <c r="F171" s="18" t="s">
        <v>6659</v>
      </c>
      <c r="G171" s="18" t="s">
        <v>7139</v>
      </c>
      <c r="H171" s="18" t="s">
        <v>6686</v>
      </c>
      <c r="I171" s="18" t="s">
        <v>6662</v>
      </c>
    </row>
    <row r="172" spans="1:9">
      <c r="A172" s="16" t="s">
        <v>875</v>
      </c>
      <c r="B172" s="16" t="s">
        <v>7167</v>
      </c>
      <c r="C172" s="16" t="s">
        <v>7168</v>
      </c>
      <c r="D172" s="16">
        <v>8098256081</v>
      </c>
      <c r="E172" s="16" t="s">
        <v>6710</v>
      </c>
      <c r="F172" s="16" t="s">
        <v>6659</v>
      </c>
      <c r="G172" s="16" t="s">
        <v>7169</v>
      </c>
      <c r="H172" s="16" t="s">
        <v>6671</v>
      </c>
      <c r="I172" s="16" t="s">
        <v>6712</v>
      </c>
    </row>
    <row r="173" spans="1:9">
      <c r="A173" s="18" t="s">
        <v>400</v>
      </c>
      <c r="B173" s="18" t="s">
        <v>7170</v>
      </c>
      <c r="C173" s="18" t="s">
        <v>7171</v>
      </c>
      <c r="D173" s="18">
        <v>914655690061</v>
      </c>
      <c r="E173" s="18" t="s">
        <v>6802</v>
      </c>
      <c r="F173" s="18" t="s">
        <v>6659</v>
      </c>
      <c r="G173" s="18" t="s">
        <v>7172</v>
      </c>
      <c r="H173" s="18" t="s">
        <v>6686</v>
      </c>
      <c r="I173" s="18" t="s">
        <v>6712</v>
      </c>
    </row>
    <row r="174" spans="1:9">
      <c r="A174" s="16" t="s">
        <v>2375</v>
      </c>
      <c r="B174" s="16" t="s">
        <v>7173</v>
      </c>
      <c r="C174" s="16" t="s">
        <v>7174</v>
      </c>
      <c r="D174" s="16">
        <v>4992671195</v>
      </c>
      <c r="E174" s="16" t="s">
        <v>6678</v>
      </c>
      <c r="F174" s="16" t="s">
        <v>6659</v>
      </c>
      <c r="G174" s="16" t="s">
        <v>7175</v>
      </c>
      <c r="H174" s="16" t="s">
        <v>6661</v>
      </c>
      <c r="I174" s="16" t="s">
        <v>6712</v>
      </c>
    </row>
    <row r="175" spans="1:9">
      <c r="A175" s="18" t="s">
        <v>941</v>
      </c>
      <c r="B175" s="18" t="s">
        <v>7176</v>
      </c>
      <c r="C175" s="18" t="s">
        <v>7177</v>
      </c>
      <c r="D175" s="18">
        <v>2773423981</v>
      </c>
      <c r="E175" s="18" t="s">
        <v>6715</v>
      </c>
      <c r="F175" s="18" t="s">
        <v>6659</v>
      </c>
      <c r="G175" s="18" t="s">
        <v>7178</v>
      </c>
      <c r="H175" s="18" t="s">
        <v>6671</v>
      </c>
      <c r="I175" s="18" t="s">
        <v>6662</v>
      </c>
    </row>
    <row r="176" spans="1:9">
      <c r="A176" s="16" t="s">
        <v>947</v>
      </c>
      <c r="B176" s="16" t="s">
        <v>7179</v>
      </c>
      <c r="C176" s="16" t="s">
        <v>7180</v>
      </c>
      <c r="D176" s="16">
        <v>918813160897</v>
      </c>
      <c r="E176" s="16" t="s">
        <v>6706</v>
      </c>
      <c r="F176" s="16" t="s">
        <v>6659</v>
      </c>
      <c r="G176" s="16" t="s">
        <v>6756</v>
      </c>
      <c r="H176" s="16" t="s">
        <v>6661</v>
      </c>
      <c r="I176" s="16" t="s">
        <v>6712</v>
      </c>
    </row>
    <row r="177" spans="1:9">
      <c r="A177" s="18" t="s">
        <v>969</v>
      </c>
      <c r="B177" s="18" t="s">
        <v>7181</v>
      </c>
      <c r="C177" s="18" t="s">
        <v>7182</v>
      </c>
      <c r="D177" s="18">
        <v>929360887</v>
      </c>
      <c r="E177" s="18" t="s">
        <v>6674</v>
      </c>
      <c r="F177" s="18" t="s">
        <v>6659</v>
      </c>
      <c r="G177" s="18" t="s">
        <v>7183</v>
      </c>
      <c r="H177" s="18" t="s">
        <v>6686</v>
      </c>
      <c r="I177" s="18" t="s">
        <v>6662</v>
      </c>
    </row>
    <row r="178" spans="1:9">
      <c r="A178" s="16" t="s">
        <v>307</v>
      </c>
      <c r="B178" s="16" t="s">
        <v>7184</v>
      </c>
      <c r="C178" s="16" t="s">
        <v>7185</v>
      </c>
      <c r="D178" s="16">
        <v>914761085110</v>
      </c>
      <c r="E178" s="16" t="s">
        <v>6752</v>
      </c>
      <c r="F178" s="16" t="s">
        <v>6659</v>
      </c>
      <c r="G178" s="16" t="s">
        <v>7186</v>
      </c>
      <c r="H178" s="16" t="s">
        <v>6686</v>
      </c>
      <c r="I178" s="16" t="s">
        <v>6662</v>
      </c>
    </row>
    <row r="179" spans="1:9">
      <c r="A179" s="18" t="s">
        <v>1767</v>
      </c>
      <c r="B179" s="18" t="s">
        <v>7187</v>
      </c>
      <c r="C179" s="18" t="s">
        <v>7188</v>
      </c>
      <c r="D179" s="18">
        <v>1235283158</v>
      </c>
      <c r="E179" s="18" t="s">
        <v>6706</v>
      </c>
      <c r="F179" s="18" t="s">
        <v>6659</v>
      </c>
      <c r="G179" s="18" t="s">
        <v>7189</v>
      </c>
      <c r="H179" s="18" t="s">
        <v>6686</v>
      </c>
      <c r="I179" s="18" t="s">
        <v>6712</v>
      </c>
    </row>
    <row r="180" spans="1:9">
      <c r="A180" s="16" t="s">
        <v>2411</v>
      </c>
      <c r="B180" s="16" t="s">
        <v>7190</v>
      </c>
      <c r="C180" s="16" t="s">
        <v>7191</v>
      </c>
      <c r="D180" s="16">
        <v>914023323284</v>
      </c>
      <c r="E180" s="16" t="s">
        <v>6706</v>
      </c>
      <c r="F180" s="16" t="s">
        <v>6659</v>
      </c>
      <c r="G180" s="16" t="s">
        <v>7192</v>
      </c>
      <c r="H180" s="16" t="s">
        <v>6686</v>
      </c>
      <c r="I180" s="16" t="s">
        <v>6712</v>
      </c>
    </row>
    <row r="181" spans="1:9">
      <c r="A181" s="18" t="s">
        <v>1120</v>
      </c>
      <c r="B181" s="18" t="s">
        <v>7193</v>
      </c>
      <c r="C181" s="18" t="s">
        <v>7194</v>
      </c>
      <c r="D181" s="18">
        <v>266560668</v>
      </c>
      <c r="E181" s="18" t="s">
        <v>6674</v>
      </c>
      <c r="F181" s="18" t="s">
        <v>6659</v>
      </c>
      <c r="G181" s="18" t="s">
        <v>7195</v>
      </c>
      <c r="H181" s="18" t="s">
        <v>6671</v>
      </c>
      <c r="I181" s="18" t="s">
        <v>6662</v>
      </c>
    </row>
    <row r="182" spans="1:9">
      <c r="A182" s="16" t="s">
        <v>1776</v>
      </c>
      <c r="B182" s="16" t="s">
        <v>7196</v>
      </c>
      <c r="C182" s="16" t="s">
        <v>7197</v>
      </c>
      <c r="D182" s="16">
        <v>746654105</v>
      </c>
      <c r="E182" s="16" t="s">
        <v>6665</v>
      </c>
      <c r="F182" s="16" t="s">
        <v>6659</v>
      </c>
      <c r="G182" s="16" t="s">
        <v>7198</v>
      </c>
      <c r="H182" s="16" t="s">
        <v>6671</v>
      </c>
      <c r="I182" s="16" t="s">
        <v>6662</v>
      </c>
    </row>
    <row r="183" spans="1:9">
      <c r="A183" s="18" t="s">
        <v>1598</v>
      </c>
      <c r="B183" s="18" t="s">
        <v>7199</v>
      </c>
      <c r="C183" s="18" t="s">
        <v>7200</v>
      </c>
      <c r="D183" s="18">
        <v>9066028509</v>
      </c>
      <c r="E183" s="18" t="s">
        <v>6674</v>
      </c>
      <c r="F183" s="18" t="s">
        <v>6659</v>
      </c>
      <c r="G183" s="18" t="s">
        <v>6880</v>
      </c>
      <c r="H183" s="18" t="s">
        <v>6661</v>
      </c>
      <c r="I183" s="18" t="s">
        <v>6712</v>
      </c>
    </row>
    <row r="184" spans="1:9">
      <c r="A184" s="16" t="s">
        <v>841</v>
      </c>
      <c r="B184" s="16" t="s">
        <v>7201</v>
      </c>
      <c r="C184" s="16" t="s">
        <v>7202</v>
      </c>
      <c r="D184" s="16">
        <v>912840661807</v>
      </c>
      <c r="E184" s="16" t="s">
        <v>6674</v>
      </c>
      <c r="F184" s="16" t="s">
        <v>6659</v>
      </c>
      <c r="G184" s="16" t="s">
        <v>6682</v>
      </c>
      <c r="H184" s="16" t="s">
        <v>6671</v>
      </c>
      <c r="I184" s="16" t="s">
        <v>6662</v>
      </c>
    </row>
    <row r="185" spans="1:9">
      <c r="A185" s="18" t="s">
        <v>332</v>
      </c>
      <c r="B185" s="18" t="s">
        <v>7203</v>
      </c>
      <c r="C185" s="18" t="s">
        <v>7204</v>
      </c>
      <c r="D185" s="18">
        <v>1332706732</v>
      </c>
      <c r="E185" s="18" t="s">
        <v>6752</v>
      </c>
      <c r="F185" s="18" t="s">
        <v>6659</v>
      </c>
      <c r="G185" s="18" t="s">
        <v>7205</v>
      </c>
      <c r="H185" s="18" t="s">
        <v>6671</v>
      </c>
      <c r="I185" s="18" t="s">
        <v>6662</v>
      </c>
    </row>
    <row r="186" spans="1:9">
      <c r="A186" s="16" t="s">
        <v>681</v>
      </c>
      <c r="B186" s="16" t="s">
        <v>7206</v>
      </c>
      <c r="C186" s="16" t="s">
        <v>7207</v>
      </c>
      <c r="D186" s="16">
        <v>919927371285</v>
      </c>
      <c r="E186" s="16" t="s">
        <v>6752</v>
      </c>
      <c r="F186" s="16" t="s">
        <v>6659</v>
      </c>
      <c r="G186" s="16" t="s">
        <v>7106</v>
      </c>
      <c r="H186" s="16" t="s">
        <v>6671</v>
      </c>
      <c r="I186" s="16" t="s">
        <v>6662</v>
      </c>
    </row>
    <row r="187" spans="1:9">
      <c r="A187" s="18" t="s">
        <v>1137</v>
      </c>
      <c r="B187" s="18" t="s">
        <v>7208</v>
      </c>
      <c r="C187" s="18" t="s">
        <v>7209</v>
      </c>
      <c r="D187" s="18">
        <v>5491550221</v>
      </c>
      <c r="E187" s="18" t="s">
        <v>6802</v>
      </c>
      <c r="F187" s="18" t="s">
        <v>6659</v>
      </c>
      <c r="G187" s="18" t="s">
        <v>7210</v>
      </c>
      <c r="H187" s="18" t="s">
        <v>6671</v>
      </c>
      <c r="I187" s="18" t="s">
        <v>6662</v>
      </c>
    </row>
    <row r="188" spans="1:9">
      <c r="A188" s="16" t="s">
        <v>595</v>
      </c>
      <c r="B188" s="16" t="s">
        <v>7211</v>
      </c>
      <c r="C188" s="16" t="s">
        <v>7212</v>
      </c>
      <c r="D188" s="16">
        <v>8627091856</v>
      </c>
      <c r="E188" s="16" t="s">
        <v>6669</v>
      </c>
      <c r="F188" s="16" t="s">
        <v>6659</v>
      </c>
      <c r="G188" s="16" t="s">
        <v>6762</v>
      </c>
      <c r="H188" s="16" t="s">
        <v>6661</v>
      </c>
      <c r="I188" s="16" t="s">
        <v>6712</v>
      </c>
    </row>
    <row r="189" spans="1:9">
      <c r="A189" s="18" t="s">
        <v>557</v>
      </c>
      <c r="B189" s="18" t="s">
        <v>7213</v>
      </c>
      <c r="C189" s="18" t="s">
        <v>7214</v>
      </c>
      <c r="D189" s="18">
        <v>659515803</v>
      </c>
      <c r="E189" s="18" t="s">
        <v>6692</v>
      </c>
      <c r="F189" s="18" t="s">
        <v>6659</v>
      </c>
      <c r="G189" s="18" t="s">
        <v>6889</v>
      </c>
      <c r="H189" s="18" t="s">
        <v>6661</v>
      </c>
      <c r="I189" s="18" t="s">
        <v>6662</v>
      </c>
    </row>
    <row r="190" spans="1:9">
      <c r="A190" s="16" t="s">
        <v>922</v>
      </c>
      <c r="B190" s="16" t="s">
        <v>7215</v>
      </c>
      <c r="C190" s="16" t="s">
        <v>7216</v>
      </c>
      <c r="D190" s="16">
        <v>2787330024</v>
      </c>
      <c r="E190" s="16" t="s">
        <v>6715</v>
      </c>
      <c r="F190" s="16" t="s">
        <v>6659</v>
      </c>
      <c r="G190" s="16" t="s">
        <v>7217</v>
      </c>
      <c r="H190" s="16" t="s">
        <v>6671</v>
      </c>
      <c r="I190" s="16" t="s">
        <v>6712</v>
      </c>
    </row>
    <row r="191" spans="1:9">
      <c r="A191" s="18" t="s">
        <v>1410</v>
      </c>
      <c r="B191" s="18" t="s">
        <v>7218</v>
      </c>
      <c r="C191" s="18" t="s">
        <v>7219</v>
      </c>
      <c r="D191" s="18">
        <v>917207888354</v>
      </c>
      <c r="E191" s="18" t="s">
        <v>6706</v>
      </c>
      <c r="F191" s="18" t="s">
        <v>6659</v>
      </c>
      <c r="G191" s="18" t="s">
        <v>7220</v>
      </c>
      <c r="H191" s="18" t="s">
        <v>6671</v>
      </c>
      <c r="I191" s="18" t="s">
        <v>6662</v>
      </c>
    </row>
    <row r="192" spans="1:9">
      <c r="A192" s="16" t="s">
        <v>944</v>
      </c>
      <c r="B192" s="16" t="s">
        <v>7221</v>
      </c>
      <c r="C192" s="16" t="s">
        <v>7222</v>
      </c>
      <c r="D192" s="16">
        <v>918982290579</v>
      </c>
      <c r="E192" s="16" t="s">
        <v>6669</v>
      </c>
      <c r="F192" s="16" t="s">
        <v>6659</v>
      </c>
      <c r="G192" s="16" t="s">
        <v>7178</v>
      </c>
      <c r="H192" s="16" t="s">
        <v>6671</v>
      </c>
      <c r="I192" s="16" t="s">
        <v>6662</v>
      </c>
    </row>
    <row r="193" spans="1:9">
      <c r="A193" s="18" t="s">
        <v>4388</v>
      </c>
      <c r="B193" s="18" t="s">
        <v>7223</v>
      </c>
      <c r="C193" s="18" t="s">
        <v>7224</v>
      </c>
      <c r="D193" s="18">
        <v>917221104865</v>
      </c>
      <c r="E193" s="18" t="s">
        <v>6692</v>
      </c>
      <c r="F193" s="18" t="s">
        <v>6659</v>
      </c>
      <c r="G193" s="18" t="s">
        <v>7225</v>
      </c>
      <c r="H193" s="18" t="s">
        <v>6671</v>
      </c>
      <c r="I193" s="18" t="s">
        <v>6662</v>
      </c>
    </row>
    <row r="194" spans="1:9">
      <c r="A194" s="16" t="s">
        <v>835</v>
      </c>
      <c r="B194" s="16" t="s">
        <v>7226</v>
      </c>
      <c r="C194" s="16" t="s">
        <v>7227</v>
      </c>
      <c r="D194" s="16">
        <v>1121539007</v>
      </c>
      <c r="E194" s="16" t="s">
        <v>6715</v>
      </c>
      <c r="F194" s="16" t="s">
        <v>6659</v>
      </c>
      <c r="G194" s="16" t="s">
        <v>7112</v>
      </c>
      <c r="H194" s="16" t="s">
        <v>6661</v>
      </c>
      <c r="I194" s="16" t="s">
        <v>6662</v>
      </c>
    </row>
    <row r="195" spans="1:9">
      <c r="A195" s="18" t="s">
        <v>1226</v>
      </c>
      <c r="B195" s="18" t="s">
        <v>7228</v>
      </c>
      <c r="C195" s="18" t="s">
        <v>7229</v>
      </c>
      <c r="D195" s="18">
        <v>8884860575</v>
      </c>
      <c r="E195" s="18" t="s">
        <v>6710</v>
      </c>
      <c r="F195" s="18" t="s">
        <v>6659</v>
      </c>
      <c r="G195" s="18" t="s">
        <v>6978</v>
      </c>
      <c r="H195" s="18" t="s">
        <v>6686</v>
      </c>
      <c r="I195" s="18" t="s">
        <v>6662</v>
      </c>
    </row>
    <row r="196" spans="1:9">
      <c r="A196" s="16" t="s">
        <v>2038</v>
      </c>
      <c r="B196" s="16" t="s">
        <v>7230</v>
      </c>
      <c r="C196" s="16" t="s">
        <v>7231</v>
      </c>
      <c r="D196" s="16">
        <v>3943558455</v>
      </c>
      <c r="E196" s="16" t="s">
        <v>6696</v>
      </c>
      <c r="F196" s="16" t="s">
        <v>6659</v>
      </c>
      <c r="G196" s="16" t="s">
        <v>7232</v>
      </c>
      <c r="H196" s="16" t="s">
        <v>6661</v>
      </c>
      <c r="I196" s="16" t="s">
        <v>6712</v>
      </c>
    </row>
    <row r="197" spans="1:9">
      <c r="A197" s="18" t="s">
        <v>1345</v>
      </c>
      <c r="B197" s="18" t="s">
        <v>7233</v>
      </c>
      <c r="C197" s="18" t="s">
        <v>7234</v>
      </c>
      <c r="D197" s="18">
        <v>4472141855</v>
      </c>
      <c r="E197" s="18" t="s">
        <v>6752</v>
      </c>
      <c r="F197" s="18" t="s">
        <v>6659</v>
      </c>
      <c r="G197" s="18" t="s">
        <v>7235</v>
      </c>
      <c r="H197" s="18" t="s">
        <v>6661</v>
      </c>
      <c r="I197" s="18" t="s">
        <v>6662</v>
      </c>
    </row>
    <row r="198" spans="1:9">
      <c r="A198" s="16" t="s">
        <v>329</v>
      </c>
      <c r="B198" s="16" t="s">
        <v>7236</v>
      </c>
      <c r="C198" s="16" t="s">
        <v>7237</v>
      </c>
      <c r="D198" s="16">
        <v>913447287970</v>
      </c>
      <c r="E198" s="16" t="s">
        <v>6710</v>
      </c>
      <c r="F198" s="16" t="s">
        <v>6659</v>
      </c>
      <c r="G198" s="16" t="s">
        <v>7238</v>
      </c>
      <c r="H198" s="16" t="s">
        <v>6686</v>
      </c>
      <c r="I198" s="16" t="s">
        <v>6662</v>
      </c>
    </row>
    <row r="199" spans="1:9">
      <c r="A199" s="18" t="s">
        <v>519</v>
      </c>
      <c r="B199" s="18" t="s">
        <v>7239</v>
      </c>
      <c r="C199" s="18" t="s">
        <v>7240</v>
      </c>
      <c r="D199" s="18">
        <v>914127153496</v>
      </c>
      <c r="E199" s="18" t="s">
        <v>6802</v>
      </c>
      <c r="F199" s="18" t="s">
        <v>6659</v>
      </c>
      <c r="G199" s="18" t="s">
        <v>7241</v>
      </c>
      <c r="H199" s="18" t="s">
        <v>6671</v>
      </c>
      <c r="I199" s="18" t="s">
        <v>6662</v>
      </c>
    </row>
    <row r="200" spans="1:9">
      <c r="A200" s="16" t="s">
        <v>878</v>
      </c>
      <c r="B200" s="16" t="s">
        <v>7242</v>
      </c>
      <c r="C200" s="16" t="s">
        <v>7243</v>
      </c>
      <c r="D200" s="16">
        <v>8170682210</v>
      </c>
      <c r="E200" s="16" t="s">
        <v>6692</v>
      </c>
      <c r="F200" s="16" t="s">
        <v>6659</v>
      </c>
      <c r="G200" s="16" t="s">
        <v>7244</v>
      </c>
      <c r="H200" s="16" t="s">
        <v>6671</v>
      </c>
      <c r="I200" s="16" t="s">
        <v>6712</v>
      </c>
    </row>
    <row r="201" spans="1:9">
      <c r="A201" s="18" t="s">
        <v>1622</v>
      </c>
      <c r="B201" s="18" t="s">
        <v>7245</v>
      </c>
      <c r="C201" s="18" t="s">
        <v>7246</v>
      </c>
      <c r="D201" s="18">
        <v>913899182634</v>
      </c>
      <c r="E201" s="18" t="s">
        <v>6752</v>
      </c>
      <c r="F201" s="18" t="s">
        <v>6659</v>
      </c>
      <c r="G201" s="18" t="s">
        <v>7247</v>
      </c>
      <c r="H201" s="18" t="s">
        <v>6686</v>
      </c>
      <c r="I201" s="18" t="s">
        <v>6662</v>
      </c>
    </row>
    <row r="202" spans="1:9">
      <c r="A202" s="16" t="s">
        <v>3142</v>
      </c>
      <c r="B202" s="16" t="s">
        <v>7248</v>
      </c>
      <c r="C202" s="16" t="s">
        <v>7249</v>
      </c>
      <c r="D202" s="16">
        <v>1142159365</v>
      </c>
      <c r="E202" s="16" t="s">
        <v>6715</v>
      </c>
      <c r="F202" s="16" t="s">
        <v>6659</v>
      </c>
      <c r="G202" s="16" t="s">
        <v>6895</v>
      </c>
      <c r="H202" s="16" t="s">
        <v>6686</v>
      </c>
      <c r="I202" s="16" t="s">
        <v>6662</v>
      </c>
    </row>
    <row r="203" spans="1:9">
      <c r="A203" s="18" t="s">
        <v>482</v>
      </c>
      <c r="B203" s="18" t="s">
        <v>7250</v>
      </c>
      <c r="C203" s="18" t="s">
        <v>7251</v>
      </c>
      <c r="D203" s="18">
        <v>1253951115</v>
      </c>
      <c r="E203" s="18" t="s">
        <v>6658</v>
      </c>
      <c r="F203" s="18" t="s">
        <v>6659</v>
      </c>
      <c r="G203" s="18" t="s">
        <v>6666</v>
      </c>
      <c r="H203" s="18" t="s">
        <v>6686</v>
      </c>
      <c r="I203" s="18" t="s">
        <v>6712</v>
      </c>
    </row>
    <row r="204" spans="1:9">
      <c r="A204" s="16" t="s">
        <v>430</v>
      </c>
      <c r="B204" s="16" t="s">
        <v>7252</v>
      </c>
      <c r="C204" s="16" t="s">
        <v>7253</v>
      </c>
      <c r="D204" s="16">
        <v>3225174917</v>
      </c>
      <c r="E204" s="16" t="s">
        <v>6752</v>
      </c>
      <c r="F204" s="16" t="s">
        <v>6659</v>
      </c>
      <c r="G204" s="16" t="s">
        <v>7254</v>
      </c>
      <c r="H204" s="16" t="s">
        <v>6671</v>
      </c>
      <c r="I204" s="16" t="s">
        <v>6662</v>
      </c>
    </row>
    <row r="205" spans="1:9">
      <c r="A205" s="18" t="s">
        <v>361</v>
      </c>
      <c r="B205" s="18" t="s">
        <v>7255</v>
      </c>
      <c r="C205" s="18" t="s">
        <v>7256</v>
      </c>
      <c r="D205" s="18">
        <v>7490872458</v>
      </c>
      <c r="E205" s="18" t="s">
        <v>6696</v>
      </c>
      <c r="F205" s="18" t="s">
        <v>6659</v>
      </c>
      <c r="G205" s="18" t="s">
        <v>7066</v>
      </c>
      <c r="H205" s="18" t="s">
        <v>6661</v>
      </c>
      <c r="I205" s="18" t="s">
        <v>6662</v>
      </c>
    </row>
    <row r="206" spans="1:9">
      <c r="A206" s="16" t="s">
        <v>1840</v>
      </c>
      <c r="B206" s="16" t="s">
        <v>7257</v>
      </c>
      <c r="C206" s="16" t="s">
        <v>7258</v>
      </c>
      <c r="D206" s="16">
        <v>7425674424</v>
      </c>
      <c r="E206" s="16" t="s">
        <v>6802</v>
      </c>
      <c r="F206" s="16" t="s">
        <v>6659</v>
      </c>
      <c r="G206" s="16" t="s">
        <v>7259</v>
      </c>
      <c r="H206" s="16" t="s">
        <v>6686</v>
      </c>
      <c r="I206" s="16" t="s">
        <v>6662</v>
      </c>
    </row>
    <row r="207" spans="1:9">
      <c r="A207" s="18" t="s">
        <v>1162</v>
      </c>
      <c r="B207" s="18" t="s">
        <v>7260</v>
      </c>
      <c r="C207" s="18" t="s">
        <v>7261</v>
      </c>
      <c r="D207" s="18">
        <v>5290310171</v>
      </c>
      <c r="E207" s="18" t="s">
        <v>6692</v>
      </c>
      <c r="F207" s="18" t="s">
        <v>6659</v>
      </c>
      <c r="G207" s="18" t="s">
        <v>7262</v>
      </c>
      <c r="H207" s="18" t="s">
        <v>6686</v>
      </c>
      <c r="I207" s="18" t="s">
        <v>6662</v>
      </c>
    </row>
    <row r="208" spans="1:9">
      <c r="A208" s="16" t="s">
        <v>1788</v>
      </c>
      <c r="B208" s="16" t="s">
        <v>7263</v>
      </c>
      <c r="C208" s="16" t="s">
        <v>7264</v>
      </c>
      <c r="D208" s="16">
        <v>9258097308</v>
      </c>
      <c r="E208" s="16" t="s">
        <v>6669</v>
      </c>
      <c r="F208" s="16" t="s">
        <v>6659</v>
      </c>
      <c r="G208" s="16" t="s">
        <v>7265</v>
      </c>
      <c r="H208" s="16" t="s">
        <v>6686</v>
      </c>
      <c r="I208" s="16" t="s">
        <v>6662</v>
      </c>
    </row>
    <row r="209" spans="1:9">
      <c r="A209" s="18" t="s">
        <v>250</v>
      </c>
      <c r="B209" s="18" t="s">
        <v>7266</v>
      </c>
      <c r="C209" s="18" t="s">
        <v>7267</v>
      </c>
      <c r="D209" s="18">
        <v>8992607156</v>
      </c>
      <c r="E209" s="18" t="s">
        <v>6665</v>
      </c>
      <c r="F209" s="18" t="s">
        <v>6659</v>
      </c>
      <c r="G209" s="18" t="s">
        <v>7268</v>
      </c>
      <c r="H209" s="18" t="s">
        <v>6661</v>
      </c>
      <c r="I209" s="18" t="s">
        <v>6662</v>
      </c>
    </row>
    <row r="210" spans="1:9">
      <c r="A210" s="16" t="s">
        <v>649</v>
      </c>
      <c r="B210" s="16" t="s">
        <v>7269</v>
      </c>
      <c r="C210" s="16" t="s">
        <v>7270</v>
      </c>
      <c r="D210" s="16">
        <v>3729215895</v>
      </c>
      <c r="E210" s="16" t="s">
        <v>6752</v>
      </c>
      <c r="F210" s="16" t="s">
        <v>6659</v>
      </c>
      <c r="G210" s="16" t="s">
        <v>7271</v>
      </c>
      <c r="H210" s="16" t="s">
        <v>6671</v>
      </c>
      <c r="I210" s="16" t="s">
        <v>6712</v>
      </c>
    </row>
    <row r="211" spans="1:9">
      <c r="A211" s="18" t="s">
        <v>566</v>
      </c>
      <c r="B211" s="18" t="s">
        <v>7272</v>
      </c>
      <c r="C211" s="18" t="s">
        <v>7273</v>
      </c>
      <c r="D211" s="18">
        <v>6088479522</v>
      </c>
      <c r="E211" s="18" t="s">
        <v>6752</v>
      </c>
      <c r="F211" s="18" t="s">
        <v>6659</v>
      </c>
      <c r="G211" s="18" t="s">
        <v>7274</v>
      </c>
      <c r="H211" s="18" t="s">
        <v>6671</v>
      </c>
      <c r="I211" s="18" t="s">
        <v>6662</v>
      </c>
    </row>
    <row r="212" spans="1:9">
      <c r="A212" s="16" t="s">
        <v>2220</v>
      </c>
      <c r="B212" s="16" t="s">
        <v>7275</v>
      </c>
      <c r="C212" s="16" t="s">
        <v>7276</v>
      </c>
      <c r="D212" s="16">
        <v>9520101348</v>
      </c>
      <c r="E212" s="16" t="s">
        <v>6674</v>
      </c>
      <c r="F212" s="16" t="s">
        <v>6659</v>
      </c>
      <c r="G212" s="16" t="s">
        <v>7277</v>
      </c>
      <c r="H212" s="16" t="s">
        <v>6661</v>
      </c>
      <c r="I212" s="16" t="s">
        <v>6662</v>
      </c>
    </row>
    <row r="213" spans="1:9">
      <c r="A213" s="18" t="s">
        <v>660</v>
      </c>
      <c r="B213" s="18" t="s">
        <v>7278</v>
      </c>
      <c r="C213" s="18" t="s">
        <v>7279</v>
      </c>
      <c r="D213" s="18">
        <v>3210610145</v>
      </c>
      <c r="E213" s="18" t="s">
        <v>6669</v>
      </c>
      <c r="F213" s="18" t="s">
        <v>6659</v>
      </c>
      <c r="G213" s="18" t="s">
        <v>7280</v>
      </c>
      <c r="H213" s="18" t="s">
        <v>6661</v>
      </c>
      <c r="I213" s="18" t="s">
        <v>6662</v>
      </c>
    </row>
    <row r="214" spans="1:9">
      <c r="A214" s="16" t="s">
        <v>1125</v>
      </c>
      <c r="B214" s="16" t="s">
        <v>7281</v>
      </c>
      <c r="C214" s="16" t="s">
        <v>7282</v>
      </c>
      <c r="D214" s="16">
        <v>7772562881</v>
      </c>
      <c r="E214" s="16" t="s">
        <v>6696</v>
      </c>
      <c r="F214" s="16" t="s">
        <v>6659</v>
      </c>
      <c r="G214" s="16" t="s">
        <v>7283</v>
      </c>
      <c r="H214" s="16" t="s">
        <v>6686</v>
      </c>
      <c r="I214" s="16" t="s">
        <v>6662</v>
      </c>
    </row>
    <row r="215" spans="1:9">
      <c r="A215" s="18" t="s">
        <v>4302</v>
      </c>
      <c r="B215" s="18" t="s">
        <v>7284</v>
      </c>
      <c r="C215" s="18" t="s">
        <v>7285</v>
      </c>
      <c r="D215" s="18">
        <v>913801791021</v>
      </c>
      <c r="E215" s="18" t="s">
        <v>6706</v>
      </c>
      <c r="F215" s="18" t="s">
        <v>6659</v>
      </c>
      <c r="G215" s="18" t="s">
        <v>7286</v>
      </c>
      <c r="H215" s="18" t="s">
        <v>6671</v>
      </c>
      <c r="I215" s="18" t="s">
        <v>6662</v>
      </c>
    </row>
    <row r="216" spans="1:9">
      <c r="A216" s="16" t="s">
        <v>562</v>
      </c>
      <c r="B216" s="16" t="s">
        <v>7287</v>
      </c>
      <c r="C216" s="16" t="s">
        <v>7288</v>
      </c>
      <c r="D216" s="16">
        <v>912119477428</v>
      </c>
      <c r="E216" s="16" t="s">
        <v>6669</v>
      </c>
      <c r="F216" s="16" t="s">
        <v>6659</v>
      </c>
      <c r="G216" s="16" t="s">
        <v>7158</v>
      </c>
      <c r="H216" s="16" t="s">
        <v>6686</v>
      </c>
      <c r="I216" s="16" t="s">
        <v>6662</v>
      </c>
    </row>
    <row r="217" spans="1:9">
      <c r="A217" s="18" t="s">
        <v>1737</v>
      </c>
      <c r="B217" s="18" t="s">
        <v>7289</v>
      </c>
      <c r="C217" s="18" t="s">
        <v>7290</v>
      </c>
      <c r="D217" s="18">
        <v>2242873499</v>
      </c>
      <c r="E217" s="18" t="s">
        <v>6665</v>
      </c>
      <c r="F217" s="18" t="s">
        <v>6659</v>
      </c>
      <c r="G217" s="18" t="s">
        <v>7291</v>
      </c>
      <c r="H217" s="18" t="s">
        <v>6661</v>
      </c>
      <c r="I217" s="18" t="s">
        <v>6662</v>
      </c>
    </row>
    <row r="218" spans="1:9">
      <c r="A218" s="16" t="s">
        <v>1356</v>
      </c>
      <c r="B218" s="16" t="s">
        <v>7292</v>
      </c>
      <c r="C218" s="16" t="s">
        <v>7293</v>
      </c>
      <c r="D218" s="16">
        <v>3375414643</v>
      </c>
      <c r="E218" s="16" t="s">
        <v>6658</v>
      </c>
      <c r="F218" s="16" t="s">
        <v>6659</v>
      </c>
      <c r="G218" s="16" t="s">
        <v>7294</v>
      </c>
      <c r="H218" s="16" t="s">
        <v>6671</v>
      </c>
      <c r="I218" s="16" t="s">
        <v>6662</v>
      </c>
    </row>
    <row r="219" spans="1:9">
      <c r="A219" s="18" t="s">
        <v>1144</v>
      </c>
      <c r="B219" s="18" t="s">
        <v>7295</v>
      </c>
      <c r="C219" s="18" t="s">
        <v>7296</v>
      </c>
      <c r="D219" s="18">
        <v>919917103156</v>
      </c>
      <c r="E219" s="18" t="s">
        <v>6669</v>
      </c>
      <c r="F219" s="18" t="s">
        <v>6659</v>
      </c>
      <c r="G219" s="18" t="s">
        <v>6803</v>
      </c>
      <c r="H219" s="18" t="s">
        <v>6661</v>
      </c>
      <c r="I219" s="18" t="s">
        <v>6662</v>
      </c>
    </row>
    <row r="220" spans="1:9">
      <c r="A220" s="16" t="s">
        <v>209</v>
      </c>
      <c r="B220" s="16" t="s">
        <v>7297</v>
      </c>
      <c r="C220" s="16" t="s">
        <v>7298</v>
      </c>
      <c r="D220" s="16">
        <v>8078110701</v>
      </c>
      <c r="E220" s="16" t="s">
        <v>6752</v>
      </c>
      <c r="F220" s="16" t="s">
        <v>6659</v>
      </c>
      <c r="G220" s="16" t="s">
        <v>7299</v>
      </c>
      <c r="H220" s="16" t="s">
        <v>6686</v>
      </c>
      <c r="I220" s="16" t="s">
        <v>6662</v>
      </c>
    </row>
    <row r="221" spans="1:9">
      <c r="A221" s="18" t="s">
        <v>1391</v>
      </c>
      <c r="B221" s="18" t="s">
        <v>7300</v>
      </c>
      <c r="C221" s="18" t="s">
        <v>7301</v>
      </c>
      <c r="D221" s="18">
        <v>432480520</v>
      </c>
      <c r="E221" s="18" t="s">
        <v>6678</v>
      </c>
      <c r="F221" s="18" t="s">
        <v>6659</v>
      </c>
      <c r="G221" s="18" t="s">
        <v>7302</v>
      </c>
      <c r="H221" s="18" t="s">
        <v>6671</v>
      </c>
      <c r="I221" s="18" t="s">
        <v>6662</v>
      </c>
    </row>
    <row r="222" spans="1:9">
      <c r="A222" s="16" t="s">
        <v>858</v>
      </c>
      <c r="B222" s="16" t="s">
        <v>7303</v>
      </c>
      <c r="C222" s="16" t="s">
        <v>7304</v>
      </c>
      <c r="D222" s="16">
        <v>7019587110</v>
      </c>
      <c r="E222" s="16" t="s">
        <v>6665</v>
      </c>
      <c r="F222" s="16" t="s">
        <v>6659</v>
      </c>
      <c r="G222" s="16" t="s">
        <v>7305</v>
      </c>
      <c r="H222" s="16" t="s">
        <v>6686</v>
      </c>
      <c r="I222" s="16" t="s">
        <v>6662</v>
      </c>
    </row>
    <row r="223" spans="1:9">
      <c r="A223" s="18" t="s">
        <v>1191</v>
      </c>
      <c r="B223" s="18" t="s">
        <v>7306</v>
      </c>
      <c r="C223" s="18" t="s">
        <v>7307</v>
      </c>
      <c r="D223" s="18">
        <v>918508639343</v>
      </c>
      <c r="E223" s="18" t="s">
        <v>6692</v>
      </c>
      <c r="F223" s="18" t="s">
        <v>6659</v>
      </c>
      <c r="G223" s="18" t="s">
        <v>7308</v>
      </c>
      <c r="H223" s="18" t="s">
        <v>6661</v>
      </c>
      <c r="I223" s="18" t="s">
        <v>6662</v>
      </c>
    </row>
    <row r="224" spans="1:9">
      <c r="A224" s="16" t="s">
        <v>2043</v>
      </c>
      <c r="B224" s="16" t="s">
        <v>7309</v>
      </c>
      <c r="C224" s="16" t="s">
        <v>7310</v>
      </c>
      <c r="D224" s="16">
        <v>2704057094</v>
      </c>
      <c r="E224" s="16" t="s">
        <v>6692</v>
      </c>
      <c r="F224" s="16" t="s">
        <v>6659</v>
      </c>
      <c r="G224" s="16" t="s">
        <v>7205</v>
      </c>
      <c r="H224" s="16" t="s">
        <v>6661</v>
      </c>
      <c r="I224" s="16" t="s">
        <v>6712</v>
      </c>
    </row>
    <row r="225" spans="1:9">
      <c r="A225" s="18" t="s">
        <v>1067</v>
      </c>
      <c r="B225" s="18" t="s">
        <v>7311</v>
      </c>
      <c r="C225" s="18" t="s">
        <v>7312</v>
      </c>
      <c r="D225" s="18">
        <v>918475841547</v>
      </c>
      <c r="E225" s="18" t="s">
        <v>6692</v>
      </c>
      <c r="F225" s="18" t="s">
        <v>6659</v>
      </c>
      <c r="G225" s="18" t="s">
        <v>7313</v>
      </c>
      <c r="H225" s="18" t="s">
        <v>6671</v>
      </c>
      <c r="I225" s="18" t="s">
        <v>6712</v>
      </c>
    </row>
    <row r="226" spans="1:9">
      <c r="A226" s="16" t="s">
        <v>811</v>
      </c>
      <c r="B226" s="16" t="s">
        <v>7314</v>
      </c>
      <c r="C226" s="16" t="s">
        <v>7315</v>
      </c>
      <c r="D226" s="16">
        <v>2298066106</v>
      </c>
      <c r="E226" s="16" t="s">
        <v>6752</v>
      </c>
      <c r="F226" s="16" t="s">
        <v>6659</v>
      </c>
      <c r="G226" s="16" t="s">
        <v>7316</v>
      </c>
      <c r="H226" s="16" t="s">
        <v>6661</v>
      </c>
      <c r="I226" s="16" t="s">
        <v>6712</v>
      </c>
    </row>
    <row r="227" spans="1:9">
      <c r="A227" s="18" t="s">
        <v>2546</v>
      </c>
      <c r="B227" s="18" t="s">
        <v>7317</v>
      </c>
      <c r="C227" s="18" t="s">
        <v>7318</v>
      </c>
      <c r="D227" s="18">
        <v>6503390769</v>
      </c>
      <c r="E227" s="18" t="s">
        <v>6692</v>
      </c>
      <c r="F227" s="18" t="s">
        <v>6659</v>
      </c>
      <c r="G227" s="18" t="s">
        <v>7319</v>
      </c>
      <c r="H227" s="18" t="s">
        <v>6686</v>
      </c>
      <c r="I227" s="18" t="s">
        <v>6662</v>
      </c>
    </row>
    <row r="228" spans="1:9">
      <c r="A228" s="16" t="s">
        <v>1311</v>
      </c>
      <c r="B228" s="16" t="s">
        <v>7320</v>
      </c>
      <c r="C228" s="16" t="s">
        <v>7321</v>
      </c>
      <c r="D228" s="16">
        <v>545036977</v>
      </c>
      <c r="E228" s="16" t="s">
        <v>6802</v>
      </c>
      <c r="F228" s="16" t="s">
        <v>6659</v>
      </c>
      <c r="G228" s="16" t="s">
        <v>6693</v>
      </c>
      <c r="H228" s="16" t="s">
        <v>6661</v>
      </c>
      <c r="I228" s="16" t="s">
        <v>6662</v>
      </c>
    </row>
    <row r="229" spans="1:9">
      <c r="A229" s="18" t="s">
        <v>436</v>
      </c>
      <c r="B229" s="18" t="s">
        <v>7322</v>
      </c>
      <c r="C229" s="18" t="s">
        <v>7323</v>
      </c>
      <c r="D229" s="18">
        <v>913353124398</v>
      </c>
      <c r="E229" s="18" t="s">
        <v>6752</v>
      </c>
      <c r="F229" s="18" t="s">
        <v>6659</v>
      </c>
      <c r="G229" s="18" t="s">
        <v>7324</v>
      </c>
      <c r="H229" s="18" t="s">
        <v>6661</v>
      </c>
      <c r="I229" s="18" t="s">
        <v>6712</v>
      </c>
    </row>
    <row r="230" spans="1:9">
      <c r="A230" s="16" t="s">
        <v>853</v>
      </c>
      <c r="B230" s="16" t="s">
        <v>7325</v>
      </c>
      <c r="C230" s="16" t="s">
        <v>7326</v>
      </c>
      <c r="D230" s="16">
        <v>4635184241</v>
      </c>
      <c r="E230" s="16" t="s">
        <v>6752</v>
      </c>
      <c r="F230" s="16" t="s">
        <v>6659</v>
      </c>
      <c r="G230" s="16" t="s">
        <v>7327</v>
      </c>
      <c r="H230" s="16" t="s">
        <v>6661</v>
      </c>
      <c r="I230" s="16" t="s">
        <v>6662</v>
      </c>
    </row>
    <row r="231" spans="1:9">
      <c r="A231" s="18" t="s">
        <v>3700</v>
      </c>
      <c r="B231" s="18" t="s">
        <v>7328</v>
      </c>
      <c r="C231" s="18" t="s">
        <v>7329</v>
      </c>
      <c r="D231" s="18">
        <v>2210854028</v>
      </c>
      <c r="E231" s="18" t="s">
        <v>6674</v>
      </c>
      <c r="F231" s="18" t="s">
        <v>6659</v>
      </c>
      <c r="G231" s="18" t="s">
        <v>7330</v>
      </c>
      <c r="H231" s="18" t="s">
        <v>6661</v>
      </c>
      <c r="I231" s="18" t="s">
        <v>6662</v>
      </c>
    </row>
    <row r="232" spans="1:9">
      <c r="A232" s="16" t="s">
        <v>342</v>
      </c>
      <c r="B232" s="16" t="s">
        <v>7331</v>
      </c>
      <c r="C232" s="16" t="s">
        <v>7332</v>
      </c>
      <c r="D232" s="16">
        <v>2407463944</v>
      </c>
      <c r="E232" s="16" t="s">
        <v>6692</v>
      </c>
      <c r="F232" s="16" t="s">
        <v>6659</v>
      </c>
      <c r="G232" s="16" t="s">
        <v>6935</v>
      </c>
      <c r="H232" s="16" t="s">
        <v>6661</v>
      </c>
      <c r="I232" s="16" t="s">
        <v>6712</v>
      </c>
    </row>
    <row r="233" spans="1:9">
      <c r="A233" s="18" t="s">
        <v>620</v>
      </c>
      <c r="B233" s="18" t="s">
        <v>7333</v>
      </c>
      <c r="C233" s="18" t="s">
        <v>7334</v>
      </c>
      <c r="D233" s="18">
        <v>831663498</v>
      </c>
      <c r="E233" s="18" t="s">
        <v>6678</v>
      </c>
      <c r="F233" s="18" t="s">
        <v>6659</v>
      </c>
      <c r="G233" s="18" t="s">
        <v>7335</v>
      </c>
      <c r="H233" s="18" t="s">
        <v>6686</v>
      </c>
      <c r="I233" s="18" t="s">
        <v>6662</v>
      </c>
    </row>
    <row r="234" spans="1:9">
      <c r="A234" s="16" t="s">
        <v>178</v>
      </c>
      <c r="B234" s="16" t="s">
        <v>7336</v>
      </c>
      <c r="C234" s="16" t="s">
        <v>7337</v>
      </c>
      <c r="D234" s="16">
        <v>913330278809</v>
      </c>
      <c r="E234" s="16" t="s">
        <v>6715</v>
      </c>
      <c r="F234" s="16" t="s">
        <v>6659</v>
      </c>
      <c r="G234" s="16" t="s">
        <v>7338</v>
      </c>
      <c r="H234" s="16" t="s">
        <v>6661</v>
      </c>
      <c r="I234" s="16" t="s">
        <v>6712</v>
      </c>
    </row>
    <row r="235" spans="1:9">
      <c r="A235" s="18" t="s">
        <v>1105</v>
      </c>
      <c r="B235" s="18" t="s">
        <v>7339</v>
      </c>
      <c r="C235" s="18" t="s">
        <v>7340</v>
      </c>
      <c r="D235" s="18">
        <v>917700844883</v>
      </c>
      <c r="E235" s="18" t="s">
        <v>6752</v>
      </c>
      <c r="F235" s="18" t="s">
        <v>6659</v>
      </c>
      <c r="G235" s="18" t="s">
        <v>7341</v>
      </c>
      <c r="H235" s="18" t="s">
        <v>6686</v>
      </c>
      <c r="I235" s="18" t="s">
        <v>6662</v>
      </c>
    </row>
    <row r="236" spans="1:9">
      <c r="A236" s="16" t="s">
        <v>1477</v>
      </c>
      <c r="B236" s="16" t="s">
        <v>7342</v>
      </c>
      <c r="C236" s="16" t="s">
        <v>7343</v>
      </c>
      <c r="D236" s="16">
        <v>53545429</v>
      </c>
      <c r="E236" s="16" t="s">
        <v>6706</v>
      </c>
      <c r="F236" s="16" t="s">
        <v>6659</v>
      </c>
      <c r="G236" s="16" t="s">
        <v>7344</v>
      </c>
      <c r="H236" s="16" t="s">
        <v>6686</v>
      </c>
      <c r="I236" s="16" t="s">
        <v>6662</v>
      </c>
    </row>
    <row r="237" spans="1:9">
      <c r="A237" s="18" t="s">
        <v>2238</v>
      </c>
      <c r="B237" s="18" t="s">
        <v>7345</v>
      </c>
      <c r="C237" s="18" t="s">
        <v>7346</v>
      </c>
      <c r="D237" s="18">
        <v>911896598227</v>
      </c>
      <c r="E237" s="18" t="s">
        <v>6715</v>
      </c>
      <c r="F237" s="18" t="s">
        <v>6659</v>
      </c>
      <c r="G237" s="18" t="s">
        <v>7347</v>
      </c>
      <c r="H237" s="18" t="s">
        <v>6671</v>
      </c>
      <c r="I237" s="18" t="s">
        <v>6662</v>
      </c>
    </row>
    <row r="238" spans="1:9">
      <c r="A238" s="16" t="s">
        <v>293</v>
      </c>
      <c r="B238" s="16" t="s">
        <v>7348</v>
      </c>
      <c r="C238" s="16" t="s">
        <v>7349</v>
      </c>
      <c r="D238" s="16">
        <v>916044055463</v>
      </c>
      <c r="E238" s="16" t="s">
        <v>6665</v>
      </c>
      <c r="F238" s="16" t="s">
        <v>6659</v>
      </c>
      <c r="G238" s="16" t="s">
        <v>6803</v>
      </c>
      <c r="H238" s="16" t="s">
        <v>6671</v>
      </c>
      <c r="I238" s="16" t="s">
        <v>6662</v>
      </c>
    </row>
    <row r="239" spans="1:9">
      <c r="A239" s="18" t="s">
        <v>903</v>
      </c>
      <c r="B239" s="18" t="s">
        <v>7350</v>
      </c>
      <c r="C239" s="18" t="s">
        <v>7351</v>
      </c>
      <c r="D239" s="18">
        <v>777397813</v>
      </c>
      <c r="E239" s="18" t="s">
        <v>6658</v>
      </c>
      <c r="F239" s="18" t="s">
        <v>6659</v>
      </c>
      <c r="G239" s="18" t="s">
        <v>7352</v>
      </c>
      <c r="H239" s="18" t="s">
        <v>6661</v>
      </c>
      <c r="I239" s="18" t="s">
        <v>6662</v>
      </c>
    </row>
    <row r="240" spans="1:9">
      <c r="A240" s="16" t="s">
        <v>227</v>
      </c>
      <c r="B240" s="16" t="s">
        <v>7353</v>
      </c>
      <c r="C240" s="16" t="s">
        <v>7354</v>
      </c>
      <c r="D240" s="16">
        <v>7511198564</v>
      </c>
      <c r="E240" s="16" t="s">
        <v>6658</v>
      </c>
      <c r="F240" s="16" t="s">
        <v>6659</v>
      </c>
      <c r="G240" s="16" t="s">
        <v>7355</v>
      </c>
      <c r="H240" s="16" t="s">
        <v>6661</v>
      </c>
      <c r="I240" s="16" t="s">
        <v>6662</v>
      </c>
    </row>
    <row r="241" spans="1:9">
      <c r="A241" s="18" t="s">
        <v>152</v>
      </c>
      <c r="B241" s="18" t="s">
        <v>7356</v>
      </c>
      <c r="C241" s="18" t="s">
        <v>7357</v>
      </c>
      <c r="D241" s="18">
        <v>5092020895</v>
      </c>
      <c r="E241" s="18" t="s">
        <v>6669</v>
      </c>
      <c r="F241" s="18" t="s">
        <v>6659</v>
      </c>
      <c r="G241" s="18" t="s">
        <v>7358</v>
      </c>
      <c r="H241" s="18" t="s">
        <v>6671</v>
      </c>
      <c r="I241" s="18" t="s">
        <v>6662</v>
      </c>
    </row>
    <row r="242" spans="1:9">
      <c r="A242" s="16" t="s">
        <v>1095</v>
      </c>
      <c r="B242" s="16" t="s">
        <v>7359</v>
      </c>
      <c r="C242" s="16" t="s">
        <v>7360</v>
      </c>
      <c r="D242" s="16">
        <v>260251273</v>
      </c>
      <c r="E242" s="16" t="s">
        <v>6665</v>
      </c>
      <c r="F242" s="16" t="s">
        <v>6659</v>
      </c>
      <c r="G242" s="16" t="s">
        <v>7361</v>
      </c>
      <c r="H242" s="16" t="s">
        <v>6686</v>
      </c>
      <c r="I242" s="16" t="s">
        <v>6662</v>
      </c>
    </row>
    <row r="243" spans="1:9">
      <c r="A243" s="18" t="s">
        <v>1496</v>
      </c>
      <c r="B243" s="18" t="s">
        <v>7362</v>
      </c>
      <c r="C243" s="18" t="s">
        <v>7363</v>
      </c>
      <c r="D243" s="18">
        <v>2238622733</v>
      </c>
      <c r="E243" s="18" t="s">
        <v>6752</v>
      </c>
      <c r="F243" s="18" t="s">
        <v>6659</v>
      </c>
      <c r="G243" s="18" t="s">
        <v>7364</v>
      </c>
      <c r="H243" s="18" t="s">
        <v>6661</v>
      </c>
      <c r="I243" s="18" t="s">
        <v>6662</v>
      </c>
    </row>
    <row r="244" spans="1:9">
      <c r="A244" s="16" t="s">
        <v>522</v>
      </c>
      <c r="B244" s="16" t="s">
        <v>7365</v>
      </c>
      <c r="C244" s="16" t="s">
        <v>7366</v>
      </c>
      <c r="D244" s="16">
        <v>912785037760</v>
      </c>
      <c r="E244" s="16" t="s">
        <v>6710</v>
      </c>
      <c r="F244" s="16" t="s">
        <v>6659</v>
      </c>
      <c r="G244" s="16" t="s">
        <v>6892</v>
      </c>
      <c r="H244" s="16" t="s">
        <v>6671</v>
      </c>
      <c r="I244" s="16" t="s">
        <v>6662</v>
      </c>
    </row>
    <row r="245" spans="1:9">
      <c r="A245" s="18" t="s">
        <v>779</v>
      </c>
      <c r="B245" s="18" t="s">
        <v>7367</v>
      </c>
      <c r="C245" s="18" t="s">
        <v>7368</v>
      </c>
      <c r="D245" s="18">
        <v>6955965289</v>
      </c>
      <c r="E245" s="18" t="s">
        <v>6706</v>
      </c>
      <c r="F245" s="18" t="s">
        <v>6659</v>
      </c>
      <c r="G245" s="18" t="s">
        <v>7369</v>
      </c>
      <c r="H245" s="18" t="s">
        <v>6661</v>
      </c>
      <c r="I245" s="18" t="s">
        <v>6662</v>
      </c>
    </row>
    <row r="246" spans="1:9">
      <c r="A246" s="16" t="s">
        <v>2727</v>
      </c>
      <c r="B246" s="16" t="s">
        <v>7370</v>
      </c>
      <c r="C246" s="16" t="s">
        <v>7371</v>
      </c>
      <c r="D246" s="16">
        <v>2107102862</v>
      </c>
      <c r="E246" s="16" t="s">
        <v>6802</v>
      </c>
      <c r="F246" s="16" t="s">
        <v>6659</v>
      </c>
      <c r="G246" s="16" t="s">
        <v>7372</v>
      </c>
      <c r="H246" s="16" t="s">
        <v>6686</v>
      </c>
      <c r="I246" s="16" t="s">
        <v>6712</v>
      </c>
    </row>
    <row r="247" spans="1:9">
      <c r="A247" s="18" t="s">
        <v>442</v>
      </c>
      <c r="B247" s="18" t="s">
        <v>7373</v>
      </c>
      <c r="C247" s="18" t="s">
        <v>7374</v>
      </c>
      <c r="D247" s="18">
        <v>4962982188</v>
      </c>
      <c r="E247" s="18" t="s">
        <v>6674</v>
      </c>
      <c r="F247" s="18" t="s">
        <v>6659</v>
      </c>
      <c r="G247" s="18" t="s">
        <v>7375</v>
      </c>
      <c r="H247" s="18" t="s">
        <v>6661</v>
      </c>
      <c r="I247" s="18" t="s">
        <v>6712</v>
      </c>
    </row>
    <row r="248" spans="1:9">
      <c r="A248" s="16" t="s">
        <v>3580</v>
      </c>
      <c r="B248" s="16" t="s">
        <v>7376</v>
      </c>
      <c r="C248" s="16" t="s">
        <v>7377</v>
      </c>
      <c r="D248" s="16">
        <v>9532322357</v>
      </c>
      <c r="E248" s="16" t="s">
        <v>6669</v>
      </c>
      <c r="F248" s="16" t="s">
        <v>6659</v>
      </c>
      <c r="G248" s="16" t="s">
        <v>7378</v>
      </c>
      <c r="H248" s="16" t="s">
        <v>6671</v>
      </c>
      <c r="I248" s="16" t="s">
        <v>6712</v>
      </c>
    </row>
    <row r="249" spans="1:9">
      <c r="A249" s="18" t="s">
        <v>866</v>
      </c>
      <c r="B249" s="18" t="s">
        <v>7379</v>
      </c>
      <c r="C249" s="18" t="s">
        <v>7380</v>
      </c>
      <c r="D249" s="18">
        <v>916502153925</v>
      </c>
      <c r="E249" s="18" t="s">
        <v>6658</v>
      </c>
      <c r="F249" s="18" t="s">
        <v>6659</v>
      </c>
      <c r="G249" s="18" t="s">
        <v>7136</v>
      </c>
      <c r="H249" s="18" t="s">
        <v>6686</v>
      </c>
      <c r="I249" s="18" t="s">
        <v>6662</v>
      </c>
    </row>
    <row r="250" spans="1:9">
      <c r="A250" s="16" t="s">
        <v>2247</v>
      </c>
      <c r="B250" s="16" t="s">
        <v>7381</v>
      </c>
      <c r="C250" s="16" t="s">
        <v>7382</v>
      </c>
      <c r="D250" s="16">
        <v>1390913093</v>
      </c>
      <c r="E250" s="16" t="s">
        <v>6706</v>
      </c>
      <c r="F250" s="16" t="s">
        <v>6659</v>
      </c>
      <c r="G250" s="16" t="s">
        <v>7383</v>
      </c>
      <c r="H250" s="16" t="s">
        <v>6686</v>
      </c>
      <c r="I250" s="16" t="s">
        <v>6662</v>
      </c>
    </row>
    <row r="251" spans="1:9">
      <c r="A251" s="18" t="s">
        <v>1615</v>
      </c>
      <c r="B251" s="18" t="s">
        <v>7384</v>
      </c>
      <c r="C251" s="18" t="s">
        <v>7385</v>
      </c>
      <c r="D251" s="18">
        <v>913043932165</v>
      </c>
      <c r="E251" s="18" t="s">
        <v>6752</v>
      </c>
      <c r="F251" s="18" t="s">
        <v>6659</v>
      </c>
      <c r="G251" s="18" t="s">
        <v>7100</v>
      </c>
      <c r="H251" s="18" t="s">
        <v>6661</v>
      </c>
      <c r="I251" s="18" t="s">
        <v>6662</v>
      </c>
    </row>
    <row r="252" spans="1:9">
      <c r="A252" s="16" t="s">
        <v>113</v>
      </c>
      <c r="B252" s="16" t="s">
        <v>7386</v>
      </c>
      <c r="C252" s="16" t="s">
        <v>7387</v>
      </c>
      <c r="D252" s="16">
        <v>2557301736</v>
      </c>
      <c r="E252" s="16" t="s">
        <v>6706</v>
      </c>
      <c r="F252" s="16" t="s">
        <v>6659</v>
      </c>
      <c r="G252" s="16" t="s">
        <v>7388</v>
      </c>
      <c r="H252" s="16" t="s">
        <v>6671</v>
      </c>
      <c r="I252" s="16" t="s">
        <v>6662</v>
      </c>
    </row>
    <row r="253" spans="1:9">
      <c r="A253" s="18" t="s">
        <v>268</v>
      </c>
      <c r="B253" s="18" t="s">
        <v>7389</v>
      </c>
      <c r="C253" s="18" t="s">
        <v>7390</v>
      </c>
      <c r="D253" s="18">
        <v>4185196971</v>
      </c>
      <c r="E253" s="18" t="s">
        <v>6674</v>
      </c>
      <c r="F253" s="18" t="s">
        <v>6659</v>
      </c>
      <c r="G253" s="18" t="s">
        <v>7391</v>
      </c>
      <c r="H253" s="18" t="s">
        <v>6661</v>
      </c>
      <c r="I253" s="18" t="s">
        <v>6662</v>
      </c>
    </row>
    <row r="254" spans="1:9">
      <c r="A254" s="16" t="s">
        <v>2404</v>
      </c>
      <c r="B254" s="16" t="s">
        <v>7392</v>
      </c>
      <c r="C254" s="16" t="s">
        <v>7393</v>
      </c>
      <c r="D254" s="16">
        <v>912372576065</v>
      </c>
      <c r="E254" s="16" t="s">
        <v>6715</v>
      </c>
      <c r="F254" s="16" t="s">
        <v>6659</v>
      </c>
      <c r="G254" s="16" t="s">
        <v>7394</v>
      </c>
      <c r="H254" s="16" t="s">
        <v>6671</v>
      </c>
      <c r="I254" s="16" t="s">
        <v>6712</v>
      </c>
    </row>
    <row r="255" spans="1:9">
      <c r="A255" s="18" t="s">
        <v>1920</v>
      </c>
      <c r="B255" s="18" t="s">
        <v>7395</v>
      </c>
      <c r="C255" s="18" t="s">
        <v>7396</v>
      </c>
      <c r="D255" s="18">
        <v>9669504206</v>
      </c>
      <c r="E255" s="18" t="s">
        <v>6710</v>
      </c>
      <c r="F255" s="18" t="s">
        <v>6659</v>
      </c>
      <c r="G255" s="18" t="s">
        <v>7397</v>
      </c>
      <c r="H255" s="18" t="s">
        <v>6686</v>
      </c>
      <c r="I255" s="18" t="s">
        <v>6662</v>
      </c>
    </row>
    <row r="256" spans="1:9">
      <c r="A256" s="16" t="s">
        <v>1603</v>
      </c>
      <c r="B256" s="16" t="s">
        <v>7398</v>
      </c>
      <c r="C256" s="16" t="s">
        <v>7399</v>
      </c>
      <c r="D256" s="16">
        <v>3609439359</v>
      </c>
      <c r="E256" s="16" t="s">
        <v>6802</v>
      </c>
      <c r="F256" s="16" t="s">
        <v>6659</v>
      </c>
      <c r="G256" s="16" t="s">
        <v>6803</v>
      </c>
      <c r="H256" s="16" t="s">
        <v>6686</v>
      </c>
      <c r="I256" s="16" t="s">
        <v>6662</v>
      </c>
    </row>
    <row r="257" spans="1:9">
      <c r="A257" s="18" t="s">
        <v>756</v>
      </c>
      <c r="B257" s="18" t="s">
        <v>7400</v>
      </c>
      <c r="C257" s="18" t="s">
        <v>7401</v>
      </c>
      <c r="D257" s="18">
        <v>1941458263</v>
      </c>
      <c r="E257" s="18" t="s">
        <v>6692</v>
      </c>
      <c r="F257" s="18" t="s">
        <v>6659</v>
      </c>
      <c r="G257" s="18" t="s">
        <v>7402</v>
      </c>
      <c r="H257" s="18" t="s">
        <v>6661</v>
      </c>
      <c r="I257" s="18" t="s">
        <v>6712</v>
      </c>
    </row>
    <row r="258" spans="1:9">
      <c r="A258" s="16" t="s">
        <v>1704</v>
      </c>
      <c r="B258" s="16" t="s">
        <v>7403</v>
      </c>
      <c r="C258" s="16" t="s">
        <v>7404</v>
      </c>
      <c r="D258" s="16">
        <v>3908692060</v>
      </c>
      <c r="E258" s="16" t="s">
        <v>6710</v>
      </c>
      <c r="F258" s="16" t="s">
        <v>6659</v>
      </c>
      <c r="G258" s="16" t="s">
        <v>7241</v>
      </c>
      <c r="H258" s="16" t="s">
        <v>6686</v>
      </c>
      <c r="I258" s="16" t="s">
        <v>6712</v>
      </c>
    </row>
    <row r="259" spans="1:9">
      <c r="A259" s="18" t="s">
        <v>409</v>
      </c>
      <c r="B259" s="18" t="s">
        <v>7405</v>
      </c>
      <c r="C259" s="18" t="s">
        <v>7406</v>
      </c>
      <c r="D259" s="18">
        <v>1131325556</v>
      </c>
      <c r="E259" s="18" t="s">
        <v>6696</v>
      </c>
      <c r="F259" s="18" t="s">
        <v>6659</v>
      </c>
      <c r="G259" s="18" t="s">
        <v>7195</v>
      </c>
      <c r="H259" s="18" t="s">
        <v>6686</v>
      </c>
      <c r="I259" s="18" t="s">
        <v>6662</v>
      </c>
    </row>
    <row r="260" spans="1:9">
      <c r="A260" s="16" t="s">
        <v>2313</v>
      </c>
      <c r="B260" s="16" t="s">
        <v>7407</v>
      </c>
      <c r="C260" s="16" t="s">
        <v>7408</v>
      </c>
      <c r="D260" s="16">
        <v>7229886235</v>
      </c>
      <c r="E260" s="16" t="s">
        <v>6658</v>
      </c>
      <c r="F260" s="16" t="s">
        <v>6659</v>
      </c>
      <c r="G260" s="16" t="s">
        <v>7409</v>
      </c>
      <c r="H260" s="16" t="s">
        <v>6661</v>
      </c>
      <c r="I260" s="16" t="s">
        <v>6662</v>
      </c>
    </row>
    <row r="261" spans="1:9">
      <c r="A261" s="18" t="s">
        <v>589</v>
      </c>
      <c r="B261" s="18" t="s">
        <v>7410</v>
      </c>
      <c r="C261" s="18" t="s">
        <v>7411</v>
      </c>
      <c r="D261" s="18">
        <v>7881220852</v>
      </c>
      <c r="E261" s="18" t="s">
        <v>6752</v>
      </c>
      <c r="F261" s="18" t="s">
        <v>6659</v>
      </c>
      <c r="G261" s="18" t="s">
        <v>7412</v>
      </c>
      <c r="H261" s="18" t="s">
        <v>6686</v>
      </c>
      <c r="I261" s="18" t="s">
        <v>6662</v>
      </c>
    </row>
    <row r="262" spans="1:9">
      <c r="A262" s="16" t="s">
        <v>987</v>
      </c>
      <c r="B262" s="16" t="s">
        <v>7413</v>
      </c>
      <c r="C262" s="16" t="s">
        <v>7414</v>
      </c>
      <c r="D262" s="16">
        <v>913690470964</v>
      </c>
      <c r="E262" s="16" t="s">
        <v>6678</v>
      </c>
      <c r="F262" s="16" t="s">
        <v>6659</v>
      </c>
      <c r="G262" s="16" t="s">
        <v>7327</v>
      </c>
      <c r="H262" s="16" t="s">
        <v>6661</v>
      </c>
      <c r="I262" s="16" t="s">
        <v>6662</v>
      </c>
    </row>
    <row r="263" spans="1:9">
      <c r="A263" s="18" t="s">
        <v>1314</v>
      </c>
      <c r="B263" s="18" t="s">
        <v>7415</v>
      </c>
      <c r="C263" s="18" t="s">
        <v>7416</v>
      </c>
      <c r="D263" s="18">
        <v>2089699009</v>
      </c>
      <c r="E263" s="18" t="s">
        <v>6692</v>
      </c>
      <c r="F263" s="18" t="s">
        <v>6659</v>
      </c>
      <c r="G263" s="18" t="s">
        <v>7417</v>
      </c>
      <c r="H263" s="18" t="s">
        <v>6686</v>
      </c>
      <c r="I263" s="18" t="s">
        <v>6662</v>
      </c>
    </row>
    <row r="264" spans="1:9">
      <c r="A264" s="16" t="s">
        <v>275</v>
      </c>
      <c r="B264" s="16" t="s">
        <v>7418</v>
      </c>
      <c r="C264" s="16" t="s">
        <v>7419</v>
      </c>
      <c r="D264" s="16">
        <v>5445445988</v>
      </c>
      <c r="E264" s="16" t="s">
        <v>6706</v>
      </c>
      <c r="F264" s="16" t="s">
        <v>6659</v>
      </c>
      <c r="G264" s="16" t="s">
        <v>7420</v>
      </c>
      <c r="H264" s="16" t="s">
        <v>6671</v>
      </c>
      <c r="I264" s="16" t="s">
        <v>6712</v>
      </c>
    </row>
    <row r="265" spans="1:9">
      <c r="A265" s="18" t="s">
        <v>2906</v>
      </c>
      <c r="B265" s="18" t="s">
        <v>7421</v>
      </c>
      <c r="C265" s="18" t="s">
        <v>7422</v>
      </c>
      <c r="D265" s="18">
        <v>9387982394</v>
      </c>
      <c r="E265" s="18" t="s">
        <v>6710</v>
      </c>
      <c r="F265" s="18" t="s">
        <v>6659</v>
      </c>
      <c r="G265" s="18" t="s">
        <v>7423</v>
      </c>
      <c r="H265" s="18" t="s">
        <v>6671</v>
      </c>
      <c r="I265" s="18" t="s">
        <v>6662</v>
      </c>
    </row>
    <row r="266" spans="1:9">
      <c r="A266" s="16" t="s">
        <v>762</v>
      </c>
      <c r="B266" s="16" t="s">
        <v>7424</v>
      </c>
      <c r="C266" s="16" t="s">
        <v>7425</v>
      </c>
      <c r="D266" s="16">
        <v>253625669</v>
      </c>
      <c r="E266" s="16" t="s">
        <v>6665</v>
      </c>
      <c r="F266" s="16" t="s">
        <v>6659</v>
      </c>
      <c r="G266" s="16" t="s">
        <v>7426</v>
      </c>
      <c r="H266" s="16" t="s">
        <v>6671</v>
      </c>
      <c r="I266" s="16" t="s">
        <v>6662</v>
      </c>
    </row>
    <row r="267" spans="1:9">
      <c r="A267" s="18" t="s">
        <v>3703</v>
      </c>
      <c r="B267" s="18" t="s">
        <v>7427</v>
      </c>
      <c r="C267" s="18" t="s">
        <v>7428</v>
      </c>
      <c r="D267" s="18">
        <v>915060602277</v>
      </c>
      <c r="E267" s="18" t="s">
        <v>6752</v>
      </c>
      <c r="F267" s="18" t="s">
        <v>6659</v>
      </c>
      <c r="G267" s="18" t="s">
        <v>7429</v>
      </c>
      <c r="H267" s="18" t="s">
        <v>6671</v>
      </c>
      <c r="I267" s="18" t="s">
        <v>6662</v>
      </c>
    </row>
    <row r="268" spans="1:9">
      <c r="A268" s="16" t="s">
        <v>3632</v>
      </c>
      <c r="B268" s="16" t="s">
        <v>7430</v>
      </c>
      <c r="C268" s="16" t="s">
        <v>7431</v>
      </c>
      <c r="D268" s="16">
        <v>158083287</v>
      </c>
      <c r="E268" s="16" t="s">
        <v>6665</v>
      </c>
      <c r="F268" s="16" t="s">
        <v>6659</v>
      </c>
      <c r="G268" s="16" t="s">
        <v>7432</v>
      </c>
      <c r="H268" s="16" t="s">
        <v>6686</v>
      </c>
      <c r="I268" s="16" t="s">
        <v>6662</v>
      </c>
    </row>
    <row r="269" spans="1:9">
      <c r="A269" s="18" t="s">
        <v>704</v>
      </c>
      <c r="B269" s="18" t="s">
        <v>7433</v>
      </c>
      <c r="C269" s="18" t="s">
        <v>7434</v>
      </c>
      <c r="D269" s="18">
        <v>6218550309</v>
      </c>
      <c r="E269" s="18" t="s">
        <v>6752</v>
      </c>
      <c r="F269" s="18" t="s">
        <v>6659</v>
      </c>
      <c r="G269" s="18" t="s">
        <v>7435</v>
      </c>
      <c r="H269" s="18" t="s">
        <v>6671</v>
      </c>
      <c r="I269" s="18" t="s">
        <v>6662</v>
      </c>
    </row>
    <row r="270" spans="1:9">
      <c r="A270" s="16" t="s">
        <v>1515</v>
      </c>
      <c r="B270" s="16" t="s">
        <v>7436</v>
      </c>
      <c r="C270" s="16" t="s">
        <v>7437</v>
      </c>
      <c r="D270" s="16">
        <v>2124026644</v>
      </c>
      <c r="E270" s="16" t="s">
        <v>6710</v>
      </c>
      <c r="F270" s="16" t="s">
        <v>6659</v>
      </c>
      <c r="G270" s="16" t="s">
        <v>7438</v>
      </c>
      <c r="H270" s="16" t="s">
        <v>6671</v>
      </c>
      <c r="I270" s="16" t="s">
        <v>6712</v>
      </c>
    </row>
    <row r="271" spans="1:9">
      <c r="A271" s="18" t="s">
        <v>455</v>
      </c>
      <c r="B271" s="18" t="s">
        <v>7439</v>
      </c>
      <c r="C271" s="18" t="s">
        <v>7440</v>
      </c>
      <c r="D271" s="18">
        <v>914530685867</v>
      </c>
      <c r="E271" s="18" t="s">
        <v>6802</v>
      </c>
      <c r="F271" s="18" t="s">
        <v>6659</v>
      </c>
      <c r="G271" s="18" t="s">
        <v>7441</v>
      </c>
      <c r="H271" s="18" t="s">
        <v>6686</v>
      </c>
      <c r="I271" s="18" t="s">
        <v>6662</v>
      </c>
    </row>
    <row r="272" spans="1:9">
      <c r="A272" s="16" t="s">
        <v>2167</v>
      </c>
      <c r="B272" s="16" t="s">
        <v>7442</v>
      </c>
      <c r="C272" s="16" t="s">
        <v>7443</v>
      </c>
      <c r="D272" s="16">
        <v>919610644721</v>
      </c>
      <c r="E272" s="16" t="s">
        <v>6706</v>
      </c>
      <c r="F272" s="16" t="s">
        <v>6659</v>
      </c>
      <c r="G272" s="16" t="s">
        <v>7355</v>
      </c>
      <c r="H272" s="16" t="s">
        <v>6661</v>
      </c>
      <c r="I272" s="16" t="s">
        <v>6662</v>
      </c>
    </row>
    <row r="273" spans="1:9">
      <c r="A273" s="18" t="s">
        <v>1672</v>
      </c>
      <c r="B273" s="18" t="s">
        <v>7444</v>
      </c>
      <c r="C273" s="18" t="s">
        <v>7445</v>
      </c>
      <c r="D273" s="18">
        <v>917950973178</v>
      </c>
      <c r="E273" s="18" t="s">
        <v>6658</v>
      </c>
      <c r="F273" s="18" t="s">
        <v>6659</v>
      </c>
      <c r="G273" s="18" t="s">
        <v>7446</v>
      </c>
      <c r="H273" s="18" t="s">
        <v>6686</v>
      </c>
      <c r="I273" s="18" t="s">
        <v>6712</v>
      </c>
    </row>
    <row r="274" spans="1:9">
      <c r="A274" s="16" t="s">
        <v>1413</v>
      </c>
      <c r="B274" s="16" t="s">
        <v>7447</v>
      </c>
      <c r="C274" s="16" t="s">
        <v>7448</v>
      </c>
      <c r="D274" s="16">
        <v>917313946921</v>
      </c>
      <c r="E274" s="16" t="s">
        <v>6802</v>
      </c>
      <c r="F274" s="16" t="s">
        <v>6659</v>
      </c>
      <c r="G274" s="16" t="s">
        <v>7372</v>
      </c>
      <c r="H274" s="16" t="s">
        <v>6686</v>
      </c>
      <c r="I274" s="16" t="s">
        <v>6712</v>
      </c>
    </row>
    <row r="275" spans="1:9">
      <c r="A275" s="18" t="s">
        <v>782</v>
      </c>
      <c r="B275" s="18" t="s">
        <v>7449</v>
      </c>
      <c r="C275" s="18" t="s">
        <v>7450</v>
      </c>
      <c r="D275" s="18">
        <v>912319264320</v>
      </c>
      <c r="E275" s="18" t="s">
        <v>6678</v>
      </c>
      <c r="F275" s="18" t="s">
        <v>6659</v>
      </c>
      <c r="G275" s="18" t="s">
        <v>7451</v>
      </c>
      <c r="H275" s="18" t="s">
        <v>6671</v>
      </c>
      <c r="I275" s="18" t="s">
        <v>6662</v>
      </c>
    </row>
    <row r="276" spans="1:9">
      <c r="A276" s="16" t="s">
        <v>634</v>
      </c>
      <c r="B276" s="16" t="s">
        <v>7452</v>
      </c>
      <c r="C276" s="16" t="s">
        <v>7453</v>
      </c>
      <c r="D276" s="16">
        <v>916767533196</v>
      </c>
      <c r="E276" s="16" t="s">
        <v>6752</v>
      </c>
      <c r="F276" s="16" t="s">
        <v>6659</v>
      </c>
      <c r="G276" s="16" t="s">
        <v>6984</v>
      </c>
      <c r="H276" s="16" t="s">
        <v>6686</v>
      </c>
      <c r="I276" s="16" t="s">
        <v>6662</v>
      </c>
    </row>
    <row r="277" spans="1:9">
      <c r="A277" s="18" t="s">
        <v>212</v>
      </c>
      <c r="B277" s="18" t="s">
        <v>7454</v>
      </c>
      <c r="C277" s="18" t="s">
        <v>7455</v>
      </c>
      <c r="D277" s="18">
        <v>7059566704</v>
      </c>
      <c r="E277" s="18" t="s">
        <v>6802</v>
      </c>
      <c r="F277" s="18" t="s">
        <v>6659</v>
      </c>
      <c r="G277" s="18" t="s">
        <v>7355</v>
      </c>
      <c r="H277" s="18" t="s">
        <v>6686</v>
      </c>
      <c r="I277" s="18" t="s">
        <v>6662</v>
      </c>
    </row>
    <row r="278" spans="1:9">
      <c r="A278" s="16" t="s">
        <v>1336</v>
      </c>
      <c r="B278" s="16" t="s">
        <v>7456</v>
      </c>
      <c r="C278" s="16" t="s">
        <v>7457</v>
      </c>
      <c r="D278" s="16">
        <v>8284047630</v>
      </c>
      <c r="E278" s="16" t="s">
        <v>6678</v>
      </c>
      <c r="F278" s="16" t="s">
        <v>6659</v>
      </c>
      <c r="G278" s="16" t="s">
        <v>7458</v>
      </c>
      <c r="H278" s="16" t="s">
        <v>6671</v>
      </c>
      <c r="I278" s="16" t="s">
        <v>6712</v>
      </c>
    </row>
    <row r="279" spans="1:9">
      <c r="A279" s="18" t="s">
        <v>416</v>
      </c>
      <c r="B279" s="18" t="s">
        <v>7459</v>
      </c>
      <c r="C279" s="18" t="s">
        <v>7460</v>
      </c>
      <c r="D279" s="18">
        <v>2143611184</v>
      </c>
      <c r="E279" s="18" t="s">
        <v>6658</v>
      </c>
      <c r="F279" s="18" t="s">
        <v>6659</v>
      </c>
      <c r="G279" s="18" t="s">
        <v>7461</v>
      </c>
      <c r="H279" s="18" t="s">
        <v>6686</v>
      </c>
      <c r="I279" s="18" t="s">
        <v>6712</v>
      </c>
    </row>
    <row r="280" spans="1:9">
      <c r="A280" s="16" t="s">
        <v>3164</v>
      </c>
      <c r="B280" s="16" t="s">
        <v>7462</v>
      </c>
      <c r="C280" s="16" t="s">
        <v>7463</v>
      </c>
      <c r="D280" s="16">
        <v>5894328538</v>
      </c>
      <c r="E280" s="16" t="s">
        <v>6706</v>
      </c>
      <c r="F280" s="16" t="s">
        <v>6659</v>
      </c>
      <c r="G280" s="16" t="s">
        <v>7464</v>
      </c>
      <c r="H280" s="16" t="s">
        <v>6686</v>
      </c>
      <c r="I280" s="16" t="s">
        <v>6712</v>
      </c>
    </row>
    <row r="281" spans="1:9">
      <c r="A281" s="18" t="s">
        <v>472</v>
      </c>
      <c r="B281" s="18" t="s">
        <v>7465</v>
      </c>
      <c r="C281" s="18" t="s">
        <v>7466</v>
      </c>
      <c r="D281" s="18">
        <v>919028921175</v>
      </c>
      <c r="E281" s="18" t="s">
        <v>6692</v>
      </c>
      <c r="F281" s="18" t="s">
        <v>6659</v>
      </c>
      <c r="G281" s="18" t="s">
        <v>6799</v>
      </c>
      <c r="H281" s="18" t="s">
        <v>6661</v>
      </c>
      <c r="I281" s="18" t="s">
        <v>6662</v>
      </c>
    </row>
    <row r="282" spans="1:9">
      <c r="A282" s="16" t="s">
        <v>1557</v>
      </c>
      <c r="B282" s="16" t="s">
        <v>7467</v>
      </c>
      <c r="C282" s="16" t="s">
        <v>7468</v>
      </c>
      <c r="D282" s="16">
        <v>208484926</v>
      </c>
      <c r="E282" s="16" t="s">
        <v>6715</v>
      </c>
      <c r="F282" s="16" t="s">
        <v>6659</v>
      </c>
      <c r="G282" s="16" t="s">
        <v>7469</v>
      </c>
      <c r="H282" s="16" t="s">
        <v>6671</v>
      </c>
      <c r="I282" s="16" t="s">
        <v>6712</v>
      </c>
    </row>
    <row r="283" spans="1:9">
      <c r="A283" s="18" t="s">
        <v>169</v>
      </c>
      <c r="B283" s="18" t="s">
        <v>7470</v>
      </c>
      <c r="C283" s="18" t="s">
        <v>7471</v>
      </c>
      <c r="D283" s="18">
        <v>910601289606</v>
      </c>
      <c r="E283" s="18" t="s">
        <v>6802</v>
      </c>
      <c r="F283" s="18" t="s">
        <v>6659</v>
      </c>
      <c r="G283" s="18" t="s">
        <v>7472</v>
      </c>
      <c r="H283" s="18" t="s">
        <v>6686</v>
      </c>
      <c r="I283" s="18" t="s">
        <v>6662</v>
      </c>
    </row>
    <row r="284" spans="1:9">
      <c r="A284" s="16" t="s">
        <v>314</v>
      </c>
      <c r="B284" s="16" t="s">
        <v>7473</v>
      </c>
      <c r="C284" s="16" t="s">
        <v>7474</v>
      </c>
      <c r="D284" s="16">
        <v>8609443983</v>
      </c>
      <c r="E284" s="16" t="s">
        <v>6696</v>
      </c>
      <c r="F284" s="16" t="s">
        <v>6659</v>
      </c>
      <c r="G284" s="16" t="s">
        <v>7037</v>
      </c>
      <c r="H284" s="16" t="s">
        <v>6671</v>
      </c>
      <c r="I284" s="16" t="s">
        <v>6712</v>
      </c>
    </row>
    <row r="285" spans="1:9">
      <c r="A285" s="18" t="s">
        <v>1073</v>
      </c>
      <c r="B285" s="18" t="s">
        <v>7475</v>
      </c>
      <c r="C285" s="18" t="s">
        <v>7476</v>
      </c>
      <c r="D285" s="18">
        <v>910998412904</v>
      </c>
      <c r="E285" s="18" t="s">
        <v>6752</v>
      </c>
      <c r="F285" s="18" t="s">
        <v>6659</v>
      </c>
      <c r="G285" s="18" t="s">
        <v>7477</v>
      </c>
      <c r="H285" s="18" t="s">
        <v>6686</v>
      </c>
      <c r="I285" s="18" t="s">
        <v>6712</v>
      </c>
    </row>
    <row r="286" spans="1:9">
      <c r="A286" s="16" t="s">
        <v>2384</v>
      </c>
      <c r="B286" s="16" t="s">
        <v>7478</v>
      </c>
      <c r="C286" s="16" t="s">
        <v>7479</v>
      </c>
      <c r="D286" s="16">
        <v>5196303794</v>
      </c>
      <c r="E286" s="16" t="s">
        <v>6665</v>
      </c>
      <c r="F286" s="16" t="s">
        <v>6659</v>
      </c>
      <c r="G286" s="16" t="s">
        <v>7225</v>
      </c>
      <c r="H286" s="16" t="s">
        <v>6671</v>
      </c>
      <c r="I286" s="16" t="s">
        <v>6662</v>
      </c>
    </row>
    <row r="287" spans="1:9">
      <c r="A287" s="18" t="s">
        <v>535</v>
      </c>
      <c r="B287" s="18" t="s">
        <v>7480</v>
      </c>
      <c r="C287" s="18" t="s">
        <v>7481</v>
      </c>
      <c r="D287" s="18">
        <v>1998492746</v>
      </c>
      <c r="E287" s="18" t="s">
        <v>6706</v>
      </c>
      <c r="F287" s="18" t="s">
        <v>6659</v>
      </c>
      <c r="G287" s="18" t="s">
        <v>7482</v>
      </c>
      <c r="H287" s="18" t="s">
        <v>6661</v>
      </c>
      <c r="I287" s="18" t="s">
        <v>6662</v>
      </c>
    </row>
    <row r="288" spans="1:9">
      <c r="A288" s="16" t="s">
        <v>2265</v>
      </c>
      <c r="B288" s="16" t="s">
        <v>7483</v>
      </c>
      <c r="C288" s="16" t="s">
        <v>7484</v>
      </c>
      <c r="D288" s="16">
        <v>6494063242</v>
      </c>
      <c r="E288" s="16" t="s">
        <v>6669</v>
      </c>
      <c r="F288" s="16" t="s">
        <v>6659</v>
      </c>
      <c r="G288" s="16" t="s">
        <v>7485</v>
      </c>
      <c r="H288" s="16" t="s">
        <v>6686</v>
      </c>
      <c r="I288" s="16" t="s">
        <v>6662</v>
      </c>
    </row>
    <row r="289" spans="1:9">
      <c r="A289" s="18" t="s">
        <v>1837</v>
      </c>
      <c r="B289" s="18" t="s">
        <v>7486</v>
      </c>
      <c r="C289" s="18" t="s">
        <v>7487</v>
      </c>
      <c r="D289" s="18">
        <v>7276636201</v>
      </c>
      <c r="E289" s="18" t="s">
        <v>6710</v>
      </c>
      <c r="F289" s="18" t="s">
        <v>6659</v>
      </c>
      <c r="G289" s="18" t="s">
        <v>7488</v>
      </c>
      <c r="H289" s="18" t="s">
        <v>6661</v>
      </c>
      <c r="I289" s="18" t="s">
        <v>6662</v>
      </c>
    </row>
    <row r="290" spans="1:9">
      <c r="A290" s="16" t="s">
        <v>377</v>
      </c>
      <c r="B290" s="16" t="s">
        <v>7489</v>
      </c>
      <c r="C290" s="16" t="s">
        <v>7490</v>
      </c>
      <c r="D290" s="16">
        <v>7925989665</v>
      </c>
      <c r="E290" s="16" t="s">
        <v>6802</v>
      </c>
      <c r="F290" s="16" t="s">
        <v>6659</v>
      </c>
      <c r="G290" s="16" t="s">
        <v>7491</v>
      </c>
      <c r="H290" s="16" t="s">
        <v>6671</v>
      </c>
      <c r="I290" s="16" t="s">
        <v>6712</v>
      </c>
    </row>
    <row r="291" spans="1:9">
      <c r="A291" s="18" t="s">
        <v>1375</v>
      </c>
      <c r="B291" s="18" t="s">
        <v>7492</v>
      </c>
      <c r="C291" s="18" t="s">
        <v>7493</v>
      </c>
      <c r="D291" s="18">
        <v>1350390525</v>
      </c>
      <c r="E291" s="18" t="s">
        <v>6658</v>
      </c>
      <c r="F291" s="18" t="s">
        <v>6659</v>
      </c>
      <c r="G291" s="18" t="s">
        <v>7494</v>
      </c>
      <c r="H291" s="18" t="s">
        <v>6686</v>
      </c>
      <c r="I291" s="18" t="s">
        <v>6662</v>
      </c>
    </row>
    <row r="292" spans="1:9">
      <c r="A292" s="16" t="s">
        <v>814</v>
      </c>
      <c r="B292" s="16" t="s">
        <v>7495</v>
      </c>
      <c r="C292" s="16" t="s">
        <v>7496</v>
      </c>
      <c r="D292" s="16">
        <v>6740823982</v>
      </c>
      <c r="E292" s="16" t="s">
        <v>6674</v>
      </c>
      <c r="F292" s="16" t="s">
        <v>6659</v>
      </c>
      <c r="G292" s="16" t="s">
        <v>7497</v>
      </c>
      <c r="H292" s="16" t="s">
        <v>6671</v>
      </c>
      <c r="I292" s="16" t="s">
        <v>6662</v>
      </c>
    </row>
    <row r="293" spans="1:9">
      <c r="A293" s="18" t="s">
        <v>1480</v>
      </c>
      <c r="B293" s="18" t="s">
        <v>7498</v>
      </c>
      <c r="C293" s="18" t="s">
        <v>7499</v>
      </c>
      <c r="D293" s="18">
        <v>916453436145</v>
      </c>
      <c r="E293" s="18" t="s">
        <v>6710</v>
      </c>
      <c r="F293" s="18" t="s">
        <v>6659</v>
      </c>
      <c r="G293" s="18" t="s">
        <v>7020</v>
      </c>
      <c r="H293" s="18" t="s">
        <v>6661</v>
      </c>
      <c r="I293" s="18" t="s">
        <v>6662</v>
      </c>
    </row>
    <row r="294" spans="1:9">
      <c r="A294" s="16" t="s">
        <v>495</v>
      </c>
      <c r="B294" s="16" t="s">
        <v>7500</v>
      </c>
      <c r="C294" s="16" t="s">
        <v>7501</v>
      </c>
      <c r="D294" s="16">
        <v>917255143294</v>
      </c>
      <c r="E294" s="16" t="s">
        <v>6692</v>
      </c>
      <c r="F294" s="16" t="s">
        <v>6659</v>
      </c>
      <c r="G294" s="16" t="s">
        <v>7005</v>
      </c>
      <c r="H294" s="16" t="s">
        <v>6686</v>
      </c>
      <c r="I294" s="16" t="s">
        <v>6662</v>
      </c>
    </row>
    <row r="295" spans="1:9">
      <c r="A295" s="18" t="s">
        <v>997</v>
      </c>
      <c r="B295" s="18" t="s">
        <v>7502</v>
      </c>
      <c r="C295" s="18" t="s">
        <v>7503</v>
      </c>
      <c r="D295" s="18">
        <v>919476286043</v>
      </c>
      <c r="E295" s="18" t="s">
        <v>6710</v>
      </c>
      <c r="F295" s="18" t="s">
        <v>6659</v>
      </c>
      <c r="G295" s="18" t="s">
        <v>7504</v>
      </c>
      <c r="H295" s="18" t="s">
        <v>6661</v>
      </c>
      <c r="I295" s="18" t="s">
        <v>6712</v>
      </c>
    </row>
    <row r="296" spans="1:9">
      <c r="A296" s="16" t="s">
        <v>734</v>
      </c>
      <c r="B296" s="16" t="s">
        <v>7505</v>
      </c>
      <c r="C296" s="16" t="s">
        <v>7506</v>
      </c>
      <c r="D296" s="16">
        <v>5743411391</v>
      </c>
      <c r="E296" s="16" t="s">
        <v>6710</v>
      </c>
      <c r="F296" s="16" t="s">
        <v>6659</v>
      </c>
      <c r="G296" s="16" t="s">
        <v>7507</v>
      </c>
      <c r="H296" s="16" t="s">
        <v>6671</v>
      </c>
      <c r="I296" s="16" t="s">
        <v>6662</v>
      </c>
    </row>
    <row r="297" spans="1:9">
      <c r="A297" s="18" t="s">
        <v>990</v>
      </c>
      <c r="B297" s="18" t="s">
        <v>7508</v>
      </c>
      <c r="C297" s="18" t="s">
        <v>7509</v>
      </c>
      <c r="D297" s="18">
        <v>5218405355</v>
      </c>
      <c r="E297" s="18" t="s">
        <v>6710</v>
      </c>
      <c r="F297" s="18" t="s">
        <v>6659</v>
      </c>
      <c r="G297" s="18" t="s">
        <v>7294</v>
      </c>
      <c r="H297" s="18" t="s">
        <v>6671</v>
      </c>
      <c r="I297" s="18" t="s">
        <v>6712</v>
      </c>
    </row>
    <row r="298" spans="1:9">
      <c r="A298" s="16" t="s">
        <v>1282</v>
      </c>
      <c r="B298" s="16" t="s">
        <v>7510</v>
      </c>
      <c r="C298" s="16" t="s">
        <v>7511</v>
      </c>
      <c r="D298" s="16">
        <v>917080052404</v>
      </c>
      <c r="E298" s="16" t="s">
        <v>6678</v>
      </c>
      <c r="F298" s="16" t="s">
        <v>6659</v>
      </c>
      <c r="G298" s="16" t="s">
        <v>7512</v>
      </c>
      <c r="H298" s="16" t="s">
        <v>6661</v>
      </c>
      <c r="I298" s="16" t="s">
        <v>6662</v>
      </c>
    </row>
    <row r="299" spans="1:9">
      <c r="A299" s="18" t="s">
        <v>1091</v>
      </c>
      <c r="B299" s="18" t="s">
        <v>7513</v>
      </c>
      <c r="C299" s="18" t="s">
        <v>7514</v>
      </c>
      <c r="D299" s="18">
        <v>919632807716</v>
      </c>
      <c r="E299" s="18" t="s">
        <v>6710</v>
      </c>
      <c r="F299" s="18" t="s">
        <v>6659</v>
      </c>
      <c r="G299" s="18" t="s">
        <v>7515</v>
      </c>
      <c r="H299" s="18" t="s">
        <v>6671</v>
      </c>
      <c r="I299" s="18" t="s">
        <v>6712</v>
      </c>
    </row>
    <row r="300" spans="1:9">
      <c r="A300" s="16" t="s">
        <v>2497</v>
      </c>
      <c r="B300" s="16" t="s">
        <v>7516</v>
      </c>
      <c r="C300" s="16" t="s">
        <v>7517</v>
      </c>
      <c r="D300" s="16">
        <v>9298417983</v>
      </c>
      <c r="E300" s="16" t="s">
        <v>6669</v>
      </c>
      <c r="F300" s="16" t="s">
        <v>6659</v>
      </c>
      <c r="G300" s="16" t="s">
        <v>7518</v>
      </c>
      <c r="H300" s="16" t="s">
        <v>6661</v>
      </c>
      <c r="I300" s="16" t="s">
        <v>6662</v>
      </c>
    </row>
    <row r="301" spans="1:9">
      <c r="A301" s="18" t="s">
        <v>3585</v>
      </c>
      <c r="B301" s="18" t="s">
        <v>7519</v>
      </c>
      <c r="C301" s="18" t="s">
        <v>7520</v>
      </c>
      <c r="D301" s="18">
        <v>917588286218</v>
      </c>
      <c r="E301" s="18" t="s">
        <v>6710</v>
      </c>
      <c r="F301" s="18" t="s">
        <v>6659</v>
      </c>
      <c r="G301" s="18" t="s">
        <v>7521</v>
      </c>
      <c r="H301" s="18" t="s">
        <v>6671</v>
      </c>
      <c r="I301" s="18" t="s">
        <v>6712</v>
      </c>
    </row>
    <row r="302" spans="1:9">
      <c r="A302" s="16" t="s">
        <v>128</v>
      </c>
      <c r="B302" s="16" t="s">
        <v>7522</v>
      </c>
      <c r="C302" s="16" t="s">
        <v>7523</v>
      </c>
      <c r="D302" s="16">
        <v>918118721982</v>
      </c>
      <c r="E302" s="16" t="s">
        <v>6802</v>
      </c>
      <c r="F302" s="16" t="s">
        <v>6659</v>
      </c>
      <c r="G302" s="16" t="s">
        <v>7524</v>
      </c>
      <c r="H302" s="16" t="s">
        <v>6671</v>
      </c>
      <c r="I302" s="16" t="s">
        <v>6662</v>
      </c>
    </row>
    <row r="303" spans="1:9">
      <c r="A303" s="18" t="s">
        <v>380</v>
      </c>
      <c r="B303" s="18" t="s">
        <v>7525</v>
      </c>
      <c r="C303" s="18" t="s">
        <v>7526</v>
      </c>
      <c r="D303" s="18">
        <v>910599014765</v>
      </c>
      <c r="E303" s="18" t="s">
        <v>6674</v>
      </c>
      <c r="F303" s="18" t="s">
        <v>6659</v>
      </c>
      <c r="G303" s="18" t="s">
        <v>7438</v>
      </c>
      <c r="H303" s="18" t="s">
        <v>6686</v>
      </c>
      <c r="I303" s="18" t="s">
        <v>6712</v>
      </c>
    </row>
    <row r="304" spans="1:9">
      <c r="A304" s="16" t="s">
        <v>2673</v>
      </c>
      <c r="B304" s="16" t="s">
        <v>7527</v>
      </c>
      <c r="C304" s="16" t="s">
        <v>7528</v>
      </c>
      <c r="D304" s="16">
        <v>2255608600</v>
      </c>
      <c r="E304" s="16" t="s">
        <v>6696</v>
      </c>
      <c r="F304" s="16" t="s">
        <v>6659</v>
      </c>
      <c r="G304" s="16" t="s">
        <v>7529</v>
      </c>
      <c r="H304" s="16" t="s">
        <v>6686</v>
      </c>
      <c r="I304" s="16" t="s">
        <v>6662</v>
      </c>
    </row>
    <row r="305" spans="1:9">
      <c r="A305" s="18" t="s">
        <v>318</v>
      </c>
      <c r="B305" s="18" t="s">
        <v>7530</v>
      </c>
      <c r="C305" s="18" t="s">
        <v>7531</v>
      </c>
      <c r="D305" s="18">
        <v>197740092</v>
      </c>
      <c r="E305" s="18" t="s">
        <v>6678</v>
      </c>
      <c r="F305" s="18" t="s">
        <v>6659</v>
      </c>
      <c r="G305" s="18" t="s">
        <v>7254</v>
      </c>
      <c r="H305" s="18" t="s">
        <v>6686</v>
      </c>
      <c r="I305" s="18" t="s">
        <v>6662</v>
      </c>
    </row>
    <row r="306" spans="1:9">
      <c r="A306" s="16" t="s">
        <v>386</v>
      </c>
      <c r="B306" s="16" t="s">
        <v>7532</v>
      </c>
      <c r="C306" s="16" t="s">
        <v>7533</v>
      </c>
      <c r="D306" s="16">
        <v>918803203673</v>
      </c>
      <c r="E306" s="16" t="s">
        <v>6802</v>
      </c>
      <c r="F306" s="16" t="s">
        <v>6659</v>
      </c>
      <c r="G306" s="16" t="s">
        <v>6774</v>
      </c>
      <c r="H306" s="16" t="s">
        <v>6661</v>
      </c>
      <c r="I306" s="16" t="s">
        <v>6662</v>
      </c>
    </row>
    <row r="307" spans="1:9">
      <c r="A307" s="18" t="s">
        <v>2451</v>
      </c>
      <c r="B307" s="18" t="s">
        <v>7534</v>
      </c>
      <c r="C307" s="18" t="s">
        <v>7535</v>
      </c>
      <c r="D307" s="18">
        <v>9571656965</v>
      </c>
      <c r="E307" s="18" t="s">
        <v>6706</v>
      </c>
      <c r="F307" s="18" t="s">
        <v>6659</v>
      </c>
      <c r="G307" s="18" t="s">
        <v>7536</v>
      </c>
      <c r="H307" s="18" t="s">
        <v>6671</v>
      </c>
      <c r="I307" s="18" t="s">
        <v>6662</v>
      </c>
    </row>
    <row r="308" spans="1:9">
      <c r="A308" s="16" t="s">
        <v>203</v>
      </c>
      <c r="B308" s="16" t="s">
        <v>7537</v>
      </c>
      <c r="C308" s="16" t="s">
        <v>7538</v>
      </c>
      <c r="D308" s="16">
        <v>268202728</v>
      </c>
      <c r="E308" s="16" t="s">
        <v>6715</v>
      </c>
      <c r="F308" s="16" t="s">
        <v>6659</v>
      </c>
      <c r="G308" s="16" t="s">
        <v>7539</v>
      </c>
      <c r="H308" s="16" t="s">
        <v>6661</v>
      </c>
      <c r="I308" s="16" t="s">
        <v>6662</v>
      </c>
    </row>
    <row r="309" spans="1:9">
      <c r="A309" s="18" t="s">
        <v>1548</v>
      </c>
      <c r="B309" s="18" t="s">
        <v>7540</v>
      </c>
      <c r="C309" s="18" t="s">
        <v>7541</v>
      </c>
      <c r="D309" s="18">
        <v>911784876042</v>
      </c>
      <c r="E309" s="18" t="s">
        <v>6692</v>
      </c>
      <c r="F309" s="18" t="s">
        <v>6659</v>
      </c>
      <c r="G309" s="18" t="s">
        <v>7316</v>
      </c>
      <c r="H309" s="18" t="s">
        <v>6686</v>
      </c>
      <c r="I309" s="18" t="s">
        <v>6662</v>
      </c>
    </row>
    <row r="310" spans="1:9">
      <c r="A310" s="16" t="s">
        <v>1523</v>
      </c>
      <c r="B310" s="16" t="s">
        <v>7542</v>
      </c>
      <c r="C310" s="16" t="s">
        <v>7543</v>
      </c>
      <c r="D310" s="16">
        <v>2821828283</v>
      </c>
      <c r="E310" s="16" t="s">
        <v>6752</v>
      </c>
      <c r="F310" s="16" t="s">
        <v>6659</v>
      </c>
      <c r="G310" s="16" t="s">
        <v>7544</v>
      </c>
      <c r="H310" s="16" t="s">
        <v>6686</v>
      </c>
      <c r="I310" s="16" t="s">
        <v>6662</v>
      </c>
    </row>
    <row r="311" spans="1:9">
      <c r="A311" s="18" t="s">
        <v>2585</v>
      </c>
      <c r="B311" s="18" t="s">
        <v>7545</v>
      </c>
      <c r="C311" s="18" t="s">
        <v>7546</v>
      </c>
      <c r="D311" s="18">
        <v>9764111453</v>
      </c>
      <c r="E311" s="18" t="s">
        <v>6658</v>
      </c>
      <c r="F311" s="18" t="s">
        <v>6659</v>
      </c>
      <c r="G311" s="18" t="s">
        <v>6944</v>
      </c>
      <c r="H311" s="18" t="s">
        <v>6686</v>
      </c>
      <c r="I311" s="18" t="s">
        <v>6712</v>
      </c>
    </row>
    <row r="312" spans="1:9">
      <c r="A312" s="16" t="s">
        <v>478</v>
      </c>
      <c r="B312" s="16" t="s">
        <v>7547</v>
      </c>
      <c r="C312" s="16" t="s">
        <v>7548</v>
      </c>
      <c r="D312" s="16">
        <v>916619148101</v>
      </c>
      <c r="E312" s="16" t="s">
        <v>6692</v>
      </c>
      <c r="F312" s="16" t="s">
        <v>6659</v>
      </c>
      <c r="G312" s="16" t="s">
        <v>7549</v>
      </c>
      <c r="H312" s="16" t="s">
        <v>6671</v>
      </c>
      <c r="I312" s="16" t="s">
        <v>6712</v>
      </c>
    </row>
    <row r="313" spans="1:9">
      <c r="A313" s="18" t="s">
        <v>913</v>
      </c>
      <c r="B313" s="18" t="s">
        <v>7550</v>
      </c>
      <c r="C313" s="18" t="s">
        <v>7551</v>
      </c>
      <c r="D313" s="18">
        <v>6694965538</v>
      </c>
      <c r="E313" s="18" t="s">
        <v>6692</v>
      </c>
      <c r="F313" s="18" t="s">
        <v>6659</v>
      </c>
      <c r="G313" s="18" t="s">
        <v>7274</v>
      </c>
      <c r="H313" s="18" t="s">
        <v>6686</v>
      </c>
      <c r="I313" s="18" t="s">
        <v>6712</v>
      </c>
    </row>
    <row r="314" spans="1:9">
      <c r="A314" s="16" t="s">
        <v>2106</v>
      </c>
      <c r="B314" s="16" t="s">
        <v>7552</v>
      </c>
      <c r="C314" s="16" t="s">
        <v>7553</v>
      </c>
      <c r="D314" s="16">
        <v>4087481168</v>
      </c>
      <c r="E314" s="16" t="s">
        <v>6706</v>
      </c>
      <c r="F314" s="16" t="s">
        <v>6659</v>
      </c>
      <c r="G314" s="16" t="s">
        <v>6682</v>
      </c>
      <c r="H314" s="16" t="s">
        <v>6686</v>
      </c>
      <c r="I314" s="16" t="s">
        <v>6662</v>
      </c>
    </row>
    <row r="315" spans="1:9">
      <c r="A315" s="18" t="s">
        <v>925</v>
      </c>
      <c r="B315" s="18" t="s">
        <v>7554</v>
      </c>
      <c r="C315" s="18" t="s">
        <v>7555</v>
      </c>
      <c r="D315" s="18">
        <v>7205065063</v>
      </c>
      <c r="E315" s="18" t="s">
        <v>6715</v>
      </c>
      <c r="F315" s="18" t="s">
        <v>6659</v>
      </c>
      <c r="G315" s="18" t="s">
        <v>7556</v>
      </c>
      <c r="H315" s="18" t="s">
        <v>6686</v>
      </c>
      <c r="I315" s="18" t="s">
        <v>6662</v>
      </c>
    </row>
    <row r="316" spans="1:9">
      <c r="A316" s="16" t="s">
        <v>746</v>
      </c>
      <c r="B316" s="16" t="s">
        <v>7557</v>
      </c>
      <c r="C316" s="16" t="s">
        <v>7558</v>
      </c>
      <c r="D316" s="16">
        <v>917874557951</v>
      </c>
      <c r="E316" s="16" t="s">
        <v>6692</v>
      </c>
      <c r="F316" s="16" t="s">
        <v>6659</v>
      </c>
      <c r="G316" s="16" t="s">
        <v>7383</v>
      </c>
      <c r="H316" s="16" t="s">
        <v>6661</v>
      </c>
      <c r="I316" s="16" t="s">
        <v>6712</v>
      </c>
    </row>
    <row r="317" spans="1:9">
      <c r="A317" s="18" t="s">
        <v>827</v>
      </c>
      <c r="B317" s="18" t="s">
        <v>7559</v>
      </c>
      <c r="C317" s="18" t="s">
        <v>7560</v>
      </c>
      <c r="D317" s="18">
        <v>916940175319</v>
      </c>
      <c r="E317" s="18" t="s">
        <v>6706</v>
      </c>
      <c r="F317" s="18" t="s">
        <v>6659</v>
      </c>
      <c r="G317" s="18" t="s">
        <v>7561</v>
      </c>
      <c r="H317" s="18" t="s">
        <v>6686</v>
      </c>
      <c r="I317" s="18" t="s">
        <v>6662</v>
      </c>
    </row>
    <row r="318" spans="1:9">
      <c r="A318" s="16" t="s">
        <v>1088</v>
      </c>
      <c r="B318" s="16" t="s">
        <v>7562</v>
      </c>
      <c r="C318" s="16" t="s">
        <v>7563</v>
      </c>
      <c r="D318" s="16">
        <v>360174937</v>
      </c>
      <c r="E318" s="16" t="s">
        <v>6710</v>
      </c>
      <c r="F318" s="16" t="s">
        <v>6659</v>
      </c>
      <c r="G318" s="16" t="s">
        <v>7461</v>
      </c>
      <c r="H318" s="16" t="s">
        <v>6671</v>
      </c>
      <c r="I318" s="16" t="s">
        <v>6712</v>
      </c>
    </row>
    <row r="319" spans="1:9">
      <c r="A319" s="18" t="s">
        <v>542</v>
      </c>
      <c r="B319" s="18" t="s">
        <v>7564</v>
      </c>
      <c r="C319" s="18" t="s">
        <v>7565</v>
      </c>
      <c r="D319" s="18">
        <v>4587356838</v>
      </c>
      <c r="E319" s="18" t="s">
        <v>6669</v>
      </c>
      <c r="F319" s="18" t="s">
        <v>6659</v>
      </c>
      <c r="G319" s="18" t="s">
        <v>7566</v>
      </c>
      <c r="H319" s="18" t="s">
        <v>6686</v>
      </c>
      <c r="I319" s="18" t="s">
        <v>6712</v>
      </c>
    </row>
    <row r="320" spans="1:9">
      <c r="A320" s="16" t="s">
        <v>955</v>
      </c>
      <c r="B320" s="16" t="s">
        <v>7567</v>
      </c>
      <c r="C320" s="16" t="s">
        <v>7568</v>
      </c>
      <c r="D320" s="16">
        <v>916189097883</v>
      </c>
      <c r="E320" s="16" t="s">
        <v>6665</v>
      </c>
      <c r="F320" s="16" t="s">
        <v>6659</v>
      </c>
      <c r="G320" s="16" t="s">
        <v>7569</v>
      </c>
      <c r="H320" s="16" t="s">
        <v>6671</v>
      </c>
      <c r="I320" s="16" t="s">
        <v>6712</v>
      </c>
    </row>
    <row r="321" spans="1:9">
      <c r="A321" s="18" t="s">
        <v>3825</v>
      </c>
      <c r="B321" s="18" t="s">
        <v>7570</v>
      </c>
      <c r="C321" s="18" t="s">
        <v>7571</v>
      </c>
      <c r="D321" s="18">
        <v>574290183</v>
      </c>
      <c r="E321" s="18" t="s">
        <v>6710</v>
      </c>
      <c r="F321" s="18" t="s">
        <v>6659</v>
      </c>
      <c r="G321" s="18" t="s">
        <v>7572</v>
      </c>
      <c r="H321" s="18" t="s">
        <v>6661</v>
      </c>
      <c r="I321" s="18" t="s">
        <v>6662</v>
      </c>
    </row>
    <row r="322" spans="1:9">
      <c r="A322" s="16" t="s">
        <v>830</v>
      </c>
      <c r="B322" s="16" t="s">
        <v>7573</v>
      </c>
      <c r="C322" s="16" t="s">
        <v>7574</v>
      </c>
      <c r="D322" s="16">
        <v>1285406129</v>
      </c>
      <c r="E322" s="16" t="s">
        <v>6669</v>
      </c>
      <c r="F322" s="16" t="s">
        <v>6659</v>
      </c>
      <c r="G322" s="16" t="s">
        <v>7575</v>
      </c>
      <c r="H322" s="16" t="s">
        <v>6671</v>
      </c>
      <c r="I322" s="16" t="s">
        <v>6662</v>
      </c>
    </row>
    <row r="323" spans="1:9">
      <c r="A323" s="18" t="s">
        <v>2654</v>
      </c>
      <c r="B323" s="18" t="s">
        <v>7576</v>
      </c>
      <c r="C323" s="18" t="s">
        <v>7577</v>
      </c>
      <c r="D323" s="18">
        <v>8441921430</v>
      </c>
      <c r="E323" s="18" t="s">
        <v>6710</v>
      </c>
      <c r="F323" s="18" t="s">
        <v>6659</v>
      </c>
      <c r="G323" s="18" t="s">
        <v>7578</v>
      </c>
      <c r="H323" s="18" t="s">
        <v>6661</v>
      </c>
      <c r="I323" s="18" t="s">
        <v>6712</v>
      </c>
    </row>
    <row r="324" spans="1:9">
      <c r="A324" s="16" t="s">
        <v>1036</v>
      </c>
      <c r="B324" s="16" t="s">
        <v>7579</v>
      </c>
      <c r="C324" s="16" t="s">
        <v>7580</v>
      </c>
      <c r="D324" s="16">
        <v>6602278132</v>
      </c>
      <c r="E324" s="16" t="s">
        <v>6674</v>
      </c>
      <c r="F324" s="16" t="s">
        <v>6659</v>
      </c>
      <c r="G324" s="16" t="s">
        <v>7232</v>
      </c>
      <c r="H324" s="16" t="s">
        <v>6686</v>
      </c>
      <c r="I324" s="16" t="s">
        <v>6712</v>
      </c>
    </row>
    <row r="325" spans="1:9">
      <c r="A325" s="18" t="s">
        <v>850</v>
      </c>
      <c r="B325" s="18" t="s">
        <v>7581</v>
      </c>
      <c r="C325" s="18" t="s">
        <v>7582</v>
      </c>
      <c r="D325" s="18">
        <v>4850170346</v>
      </c>
      <c r="E325" s="18" t="s">
        <v>6715</v>
      </c>
      <c r="F325" s="18" t="s">
        <v>6659</v>
      </c>
      <c r="G325" s="18" t="s">
        <v>7361</v>
      </c>
      <c r="H325" s="18" t="s">
        <v>6686</v>
      </c>
      <c r="I325" s="18" t="s">
        <v>6662</v>
      </c>
    </row>
    <row r="326" spans="1:9">
      <c r="A326" s="16" t="s">
        <v>3942</v>
      </c>
      <c r="B326" s="16" t="s">
        <v>7583</v>
      </c>
      <c r="C326" s="16" t="s">
        <v>7584</v>
      </c>
      <c r="D326" s="16">
        <v>1824525121</v>
      </c>
      <c r="E326" s="16" t="s">
        <v>6692</v>
      </c>
      <c r="F326" s="16" t="s">
        <v>6659</v>
      </c>
      <c r="G326" s="16" t="s">
        <v>7585</v>
      </c>
      <c r="H326" s="16" t="s">
        <v>6686</v>
      </c>
      <c r="I326" s="16" t="s">
        <v>6662</v>
      </c>
    </row>
    <row r="327" spans="1:9">
      <c r="A327" s="18" t="s">
        <v>1754</v>
      </c>
      <c r="B327" s="18" t="s">
        <v>7586</v>
      </c>
      <c r="C327" s="18" t="s">
        <v>7587</v>
      </c>
      <c r="D327" s="18">
        <v>1563536252</v>
      </c>
      <c r="E327" s="18" t="s">
        <v>6665</v>
      </c>
      <c r="F327" s="18" t="s">
        <v>6659</v>
      </c>
      <c r="G327" s="18" t="s">
        <v>7588</v>
      </c>
      <c r="H327" s="18" t="s">
        <v>6661</v>
      </c>
      <c r="I327" s="18" t="s">
        <v>6712</v>
      </c>
    </row>
    <row r="328" spans="1:9">
      <c r="A328" s="16" t="s">
        <v>1873</v>
      </c>
      <c r="B328" s="16" t="s">
        <v>7589</v>
      </c>
      <c r="C328" s="16" t="s">
        <v>7590</v>
      </c>
      <c r="D328" s="16">
        <v>6115234024</v>
      </c>
      <c r="E328" s="16" t="s">
        <v>6696</v>
      </c>
      <c r="F328" s="16" t="s">
        <v>6659</v>
      </c>
      <c r="G328" s="16" t="s">
        <v>7591</v>
      </c>
      <c r="H328" s="16" t="s">
        <v>6671</v>
      </c>
      <c r="I328" s="16" t="s">
        <v>6662</v>
      </c>
    </row>
    <row r="329" spans="1:9">
      <c r="A329" s="18" t="s">
        <v>769</v>
      </c>
      <c r="B329" s="18" t="s">
        <v>7592</v>
      </c>
      <c r="C329" s="18" t="s">
        <v>7593</v>
      </c>
      <c r="D329" s="18">
        <v>9390902514</v>
      </c>
      <c r="E329" s="18" t="s">
        <v>6802</v>
      </c>
      <c r="F329" s="18" t="s">
        <v>6659</v>
      </c>
      <c r="G329" s="18" t="s">
        <v>7139</v>
      </c>
      <c r="H329" s="18" t="s">
        <v>6686</v>
      </c>
      <c r="I329" s="18" t="s">
        <v>6712</v>
      </c>
    </row>
    <row r="330" spans="1:9">
      <c r="A330" s="16" t="s">
        <v>2120</v>
      </c>
      <c r="B330" s="16" t="s">
        <v>7594</v>
      </c>
      <c r="C330" s="16" t="s">
        <v>7595</v>
      </c>
      <c r="D330" s="16">
        <v>4046540066</v>
      </c>
      <c r="E330" s="16" t="s">
        <v>6692</v>
      </c>
      <c r="F330" s="16" t="s">
        <v>6659</v>
      </c>
      <c r="G330" s="16" t="s">
        <v>7596</v>
      </c>
      <c r="H330" s="16" t="s">
        <v>6671</v>
      </c>
      <c r="I330" s="16" t="s">
        <v>6712</v>
      </c>
    </row>
    <row r="331" spans="1:9">
      <c r="A331" s="18" t="s">
        <v>3105</v>
      </c>
      <c r="B331" s="18" t="s">
        <v>7597</v>
      </c>
      <c r="C331" s="18" t="s">
        <v>7598</v>
      </c>
      <c r="D331" s="18">
        <v>8266954620</v>
      </c>
      <c r="E331" s="18" t="s">
        <v>6658</v>
      </c>
      <c r="F331" s="18" t="s">
        <v>6659</v>
      </c>
      <c r="G331" s="18" t="s">
        <v>7599</v>
      </c>
      <c r="H331" s="18" t="s">
        <v>6686</v>
      </c>
      <c r="I331" s="18" t="s">
        <v>6712</v>
      </c>
    </row>
    <row r="332" spans="1:9">
      <c r="A332" s="16" t="s">
        <v>5115</v>
      </c>
      <c r="B332" s="16" t="s">
        <v>7600</v>
      </c>
      <c r="C332" s="16" t="s">
        <v>7601</v>
      </c>
      <c r="D332" s="16">
        <v>31549651</v>
      </c>
      <c r="E332" s="16" t="s">
        <v>6665</v>
      </c>
      <c r="F332" s="16" t="s">
        <v>6659</v>
      </c>
      <c r="G332" s="16" t="s">
        <v>7602</v>
      </c>
      <c r="H332" s="16" t="s">
        <v>6671</v>
      </c>
      <c r="I332" s="16" t="s">
        <v>6662</v>
      </c>
    </row>
    <row r="333" spans="1:9">
      <c r="A333" s="18" t="s">
        <v>3828</v>
      </c>
      <c r="B333" s="18" t="s">
        <v>7603</v>
      </c>
      <c r="C333" s="18" t="s">
        <v>7604</v>
      </c>
      <c r="D333" s="18">
        <v>8899205052</v>
      </c>
      <c r="E333" s="18" t="s">
        <v>6678</v>
      </c>
      <c r="F333" s="18" t="s">
        <v>6659</v>
      </c>
      <c r="G333" s="18" t="s">
        <v>7504</v>
      </c>
      <c r="H333" s="18" t="s">
        <v>6686</v>
      </c>
      <c r="I333" s="18" t="s">
        <v>6662</v>
      </c>
    </row>
    <row r="334" spans="1:9">
      <c r="A334" s="16" t="s">
        <v>637</v>
      </c>
      <c r="B334" s="16" t="s">
        <v>7605</v>
      </c>
      <c r="C334" s="16" t="s">
        <v>7606</v>
      </c>
      <c r="D334" s="16">
        <v>3108418821</v>
      </c>
      <c r="E334" s="16" t="s">
        <v>6674</v>
      </c>
      <c r="F334" s="16" t="s">
        <v>6659</v>
      </c>
      <c r="G334" s="16" t="s">
        <v>7607</v>
      </c>
      <c r="H334" s="16" t="s">
        <v>6686</v>
      </c>
      <c r="I334" s="16" t="s">
        <v>6662</v>
      </c>
    </row>
    <row r="335" spans="1:9">
      <c r="A335" s="18" t="s">
        <v>286</v>
      </c>
      <c r="B335" s="18" t="s">
        <v>7608</v>
      </c>
      <c r="C335" s="18" t="s">
        <v>7609</v>
      </c>
      <c r="D335" s="18">
        <v>919316549439</v>
      </c>
      <c r="E335" s="18" t="s">
        <v>6696</v>
      </c>
      <c r="F335" s="18" t="s">
        <v>6659</v>
      </c>
      <c r="G335" s="18" t="s">
        <v>7610</v>
      </c>
      <c r="H335" s="18" t="s">
        <v>6671</v>
      </c>
      <c r="I335" s="18" t="s">
        <v>6662</v>
      </c>
    </row>
    <row r="336" spans="1:9">
      <c r="A336" s="16" t="s">
        <v>684</v>
      </c>
      <c r="B336" s="16" t="s">
        <v>7611</v>
      </c>
      <c r="C336" s="16" t="s">
        <v>7612</v>
      </c>
      <c r="D336" s="16">
        <v>5319175062</v>
      </c>
      <c r="E336" s="16" t="s">
        <v>6715</v>
      </c>
      <c r="F336" s="16" t="s">
        <v>6659</v>
      </c>
      <c r="G336" s="16" t="s">
        <v>7613</v>
      </c>
      <c r="H336" s="16" t="s">
        <v>6686</v>
      </c>
      <c r="I336" s="16" t="s">
        <v>6712</v>
      </c>
    </row>
    <row r="337" spans="1:9">
      <c r="A337" s="18" t="s">
        <v>710</v>
      </c>
      <c r="B337" s="18" t="s">
        <v>7614</v>
      </c>
      <c r="C337" s="18" t="s">
        <v>7615</v>
      </c>
      <c r="D337" s="18">
        <v>7353661528</v>
      </c>
      <c r="E337" s="18" t="s">
        <v>6658</v>
      </c>
      <c r="F337" s="18" t="s">
        <v>6659</v>
      </c>
      <c r="G337" s="18" t="s">
        <v>7616</v>
      </c>
      <c r="H337" s="18" t="s">
        <v>6671</v>
      </c>
      <c r="I337" s="18" t="s">
        <v>6662</v>
      </c>
    </row>
    <row r="338" spans="1:9">
      <c r="A338" s="16" t="s">
        <v>1245</v>
      </c>
      <c r="B338" s="16" t="s">
        <v>7617</v>
      </c>
      <c r="C338" s="16" t="s">
        <v>7618</v>
      </c>
      <c r="D338" s="16">
        <v>5098924249</v>
      </c>
      <c r="E338" s="16" t="s">
        <v>6715</v>
      </c>
      <c r="F338" s="16" t="s">
        <v>6659</v>
      </c>
      <c r="G338" s="16" t="s">
        <v>7002</v>
      </c>
      <c r="H338" s="16" t="s">
        <v>6671</v>
      </c>
      <c r="I338" s="16" t="s">
        <v>6662</v>
      </c>
    </row>
    <row r="339" spans="1:9">
      <c r="A339" s="18" t="s">
        <v>1439</v>
      </c>
      <c r="B339" s="18" t="s">
        <v>7619</v>
      </c>
      <c r="C339" s="18" t="s">
        <v>7620</v>
      </c>
      <c r="D339" s="18">
        <v>7622628797</v>
      </c>
      <c r="E339" s="18" t="s">
        <v>6665</v>
      </c>
      <c r="F339" s="18" t="s">
        <v>6659</v>
      </c>
      <c r="G339" s="18" t="s">
        <v>7536</v>
      </c>
      <c r="H339" s="18" t="s">
        <v>6671</v>
      </c>
      <c r="I339" s="18" t="s">
        <v>6662</v>
      </c>
    </row>
    <row r="340" spans="1:9">
      <c r="A340" s="16" t="s">
        <v>631</v>
      </c>
      <c r="B340" s="16" t="s">
        <v>7621</v>
      </c>
      <c r="C340" s="16" t="s">
        <v>7622</v>
      </c>
      <c r="D340" s="16">
        <v>59418749</v>
      </c>
      <c r="E340" s="16" t="s">
        <v>6752</v>
      </c>
      <c r="F340" s="16" t="s">
        <v>6659</v>
      </c>
      <c r="G340" s="16" t="s">
        <v>7623</v>
      </c>
      <c r="H340" s="16" t="s">
        <v>6671</v>
      </c>
      <c r="I340" s="16" t="s">
        <v>6662</v>
      </c>
    </row>
    <row r="341" spans="1:9">
      <c r="A341" s="18" t="s">
        <v>2560</v>
      </c>
      <c r="B341" s="18" t="s">
        <v>7624</v>
      </c>
      <c r="C341" s="18" t="s">
        <v>7625</v>
      </c>
      <c r="D341" s="18">
        <v>2092360023</v>
      </c>
      <c r="E341" s="18" t="s">
        <v>6658</v>
      </c>
      <c r="F341" s="18" t="s">
        <v>6659</v>
      </c>
      <c r="G341" s="18" t="s">
        <v>7060</v>
      </c>
      <c r="H341" s="18" t="s">
        <v>6661</v>
      </c>
      <c r="I341" s="18" t="s">
        <v>6662</v>
      </c>
    </row>
    <row r="342" spans="1:9">
      <c r="A342" s="16" t="s">
        <v>2614</v>
      </c>
      <c r="B342" s="16" t="s">
        <v>7626</v>
      </c>
      <c r="C342" s="16" t="s">
        <v>7627</v>
      </c>
      <c r="D342" s="16">
        <v>7509589716</v>
      </c>
      <c r="E342" s="16" t="s">
        <v>6692</v>
      </c>
      <c r="F342" s="16" t="s">
        <v>6659</v>
      </c>
      <c r="G342" s="16" t="s">
        <v>7491</v>
      </c>
      <c r="H342" s="16" t="s">
        <v>6686</v>
      </c>
      <c r="I342" s="16" t="s">
        <v>6662</v>
      </c>
    </row>
    <row r="343" spans="1:9">
      <c r="A343" s="18" t="s">
        <v>1041</v>
      </c>
      <c r="B343" s="18" t="s">
        <v>7628</v>
      </c>
      <c r="C343" s="18" t="s">
        <v>7629</v>
      </c>
      <c r="D343" s="18">
        <v>4024251641</v>
      </c>
      <c r="E343" s="18" t="s">
        <v>6678</v>
      </c>
      <c r="F343" s="18" t="s">
        <v>6659</v>
      </c>
      <c r="G343" s="18" t="s">
        <v>7515</v>
      </c>
      <c r="H343" s="18" t="s">
        <v>6661</v>
      </c>
      <c r="I343" s="18" t="s">
        <v>6662</v>
      </c>
    </row>
    <row r="344" spans="1:9">
      <c r="A344" s="16" t="s">
        <v>2577</v>
      </c>
      <c r="B344" s="16" t="s">
        <v>7630</v>
      </c>
      <c r="C344" s="16" t="s">
        <v>7631</v>
      </c>
      <c r="D344" s="16">
        <v>914142662858</v>
      </c>
      <c r="E344" s="16" t="s">
        <v>6710</v>
      </c>
      <c r="F344" s="16" t="s">
        <v>6659</v>
      </c>
      <c r="G344" s="16" t="s">
        <v>7616</v>
      </c>
      <c r="H344" s="16" t="s">
        <v>6671</v>
      </c>
      <c r="I344" s="16" t="s">
        <v>6662</v>
      </c>
    </row>
    <row r="345" spans="1:9">
      <c r="A345" s="18" t="s">
        <v>617</v>
      </c>
      <c r="B345" s="18" t="s">
        <v>7632</v>
      </c>
      <c r="C345" s="18" t="s">
        <v>7633</v>
      </c>
      <c r="D345" s="18">
        <v>916667494896</v>
      </c>
      <c r="E345" s="18" t="s">
        <v>6706</v>
      </c>
      <c r="F345" s="18" t="s">
        <v>6659</v>
      </c>
      <c r="G345" s="18" t="s">
        <v>7634</v>
      </c>
      <c r="H345" s="18" t="s">
        <v>6671</v>
      </c>
      <c r="I345" s="18" t="s">
        <v>6662</v>
      </c>
    </row>
    <row r="346" spans="1:9">
      <c r="A346" s="16" t="s">
        <v>3127</v>
      </c>
      <c r="B346" s="16" t="s">
        <v>7635</v>
      </c>
      <c r="C346" s="16" t="s">
        <v>7636</v>
      </c>
      <c r="D346" s="16">
        <v>6115506743</v>
      </c>
      <c r="E346" s="16" t="s">
        <v>6706</v>
      </c>
      <c r="F346" s="16" t="s">
        <v>6659</v>
      </c>
      <c r="G346" s="16" t="s">
        <v>6898</v>
      </c>
      <c r="H346" s="16" t="s">
        <v>6671</v>
      </c>
      <c r="I346" s="16" t="s">
        <v>6662</v>
      </c>
    </row>
    <row r="347" spans="1:9">
      <c r="A347" s="18" t="s">
        <v>246</v>
      </c>
      <c r="B347" s="18" t="s">
        <v>7637</v>
      </c>
      <c r="C347" s="18" t="s">
        <v>7638</v>
      </c>
      <c r="D347" s="18">
        <v>8830121346</v>
      </c>
      <c r="E347" s="18" t="s">
        <v>6715</v>
      </c>
      <c r="F347" s="18" t="s">
        <v>6659</v>
      </c>
      <c r="G347" s="18" t="s">
        <v>7472</v>
      </c>
      <c r="H347" s="18" t="s">
        <v>6686</v>
      </c>
      <c r="I347" s="18" t="s">
        <v>6712</v>
      </c>
    </row>
    <row r="348" spans="1:9">
      <c r="A348" s="16" t="s">
        <v>353</v>
      </c>
      <c r="B348" s="16" t="s">
        <v>7639</v>
      </c>
      <c r="C348" s="16" t="s">
        <v>7640</v>
      </c>
      <c r="D348" s="16">
        <v>918962626377</v>
      </c>
      <c r="E348" s="16" t="s">
        <v>6674</v>
      </c>
      <c r="F348" s="16" t="s">
        <v>6659</v>
      </c>
      <c r="G348" s="16" t="s">
        <v>7641</v>
      </c>
      <c r="H348" s="16" t="s">
        <v>6671</v>
      </c>
      <c r="I348" s="16" t="s">
        <v>6662</v>
      </c>
    </row>
    <row r="349" spans="1:9">
      <c r="A349" s="18" t="s">
        <v>1545</v>
      </c>
      <c r="B349" s="18" t="s">
        <v>7642</v>
      </c>
      <c r="C349" s="18" t="s">
        <v>7643</v>
      </c>
      <c r="D349" s="18">
        <v>8456553118</v>
      </c>
      <c r="E349" s="18" t="s">
        <v>6752</v>
      </c>
      <c r="F349" s="18" t="s">
        <v>6659</v>
      </c>
      <c r="G349" s="18" t="s">
        <v>7524</v>
      </c>
      <c r="H349" s="18" t="s">
        <v>6661</v>
      </c>
      <c r="I349" s="18" t="s">
        <v>6712</v>
      </c>
    </row>
    <row r="350" spans="1:9">
      <c r="A350" s="16" t="s">
        <v>1252</v>
      </c>
      <c r="B350" s="16" t="s">
        <v>7644</v>
      </c>
      <c r="C350" s="16" t="s">
        <v>7645</v>
      </c>
      <c r="D350" s="16">
        <v>6170781634</v>
      </c>
      <c r="E350" s="16" t="s">
        <v>6710</v>
      </c>
      <c r="F350" s="16" t="s">
        <v>6659</v>
      </c>
      <c r="G350" s="16" t="s">
        <v>7646</v>
      </c>
      <c r="H350" s="16" t="s">
        <v>6686</v>
      </c>
      <c r="I350" s="16" t="s">
        <v>6662</v>
      </c>
    </row>
    <row r="351" spans="1:9">
      <c r="A351" s="18" t="s">
        <v>439</v>
      </c>
      <c r="B351" s="18" t="s">
        <v>7647</v>
      </c>
      <c r="C351" s="18" t="s">
        <v>7648</v>
      </c>
      <c r="D351" s="18">
        <v>2269215042</v>
      </c>
      <c r="E351" s="18" t="s">
        <v>6696</v>
      </c>
      <c r="F351" s="18" t="s">
        <v>6659</v>
      </c>
      <c r="G351" s="18" t="s">
        <v>7649</v>
      </c>
      <c r="H351" s="18" t="s">
        <v>6661</v>
      </c>
      <c r="I351" s="18" t="s">
        <v>6662</v>
      </c>
    </row>
    <row r="352" spans="1:9">
      <c r="A352" s="16" t="s">
        <v>507</v>
      </c>
      <c r="B352" s="16" t="s">
        <v>7650</v>
      </c>
      <c r="C352" s="16" t="s">
        <v>7651</v>
      </c>
      <c r="D352" s="16">
        <v>313851212</v>
      </c>
      <c r="E352" s="16" t="s">
        <v>6658</v>
      </c>
      <c r="F352" s="16" t="s">
        <v>6659</v>
      </c>
      <c r="G352" s="16" t="s">
        <v>6871</v>
      </c>
      <c r="H352" s="16" t="s">
        <v>6686</v>
      </c>
      <c r="I352" s="16" t="s">
        <v>6662</v>
      </c>
    </row>
    <row r="353" spans="1:9">
      <c r="A353" s="18" t="s">
        <v>698</v>
      </c>
      <c r="B353" s="18" t="s">
        <v>7652</v>
      </c>
      <c r="C353" s="18" t="s">
        <v>7653</v>
      </c>
      <c r="D353" s="18">
        <v>910744999907</v>
      </c>
      <c r="E353" s="18" t="s">
        <v>6710</v>
      </c>
      <c r="F353" s="18" t="s">
        <v>6659</v>
      </c>
      <c r="G353" s="18" t="s">
        <v>7186</v>
      </c>
      <c r="H353" s="18" t="s">
        <v>6671</v>
      </c>
      <c r="I353" s="18" t="s">
        <v>6662</v>
      </c>
    </row>
    <row r="354" spans="1:9">
      <c r="A354" s="16" t="s">
        <v>753</v>
      </c>
      <c r="B354" s="16" t="s">
        <v>7654</v>
      </c>
      <c r="C354" s="16" t="s">
        <v>7655</v>
      </c>
      <c r="D354" s="16">
        <v>982797246</v>
      </c>
      <c r="E354" s="16" t="s">
        <v>6674</v>
      </c>
      <c r="F354" s="16" t="s">
        <v>6659</v>
      </c>
      <c r="G354" s="16" t="s">
        <v>7656</v>
      </c>
      <c r="H354" s="16" t="s">
        <v>6686</v>
      </c>
      <c r="I354" s="16" t="s">
        <v>6662</v>
      </c>
    </row>
    <row r="355" spans="1:9">
      <c r="A355" s="18" t="s">
        <v>1382</v>
      </c>
      <c r="B355" s="18" t="s">
        <v>7657</v>
      </c>
      <c r="C355" s="18" t="s">
        <v>7658</v>
      </c>
      <c r="D355" s="18">
        <v>918711147912</v>
      </c>
      <c r="E355" s="18" t="s">
        <v>6715</v>
      </c>
      <c r="F355" s="18" t="s">
        <v>6659</v>
      </c>
      <c r="G355" s="18" t="s">
        <v>7659</v>
      </c>
      <c r="H355" s="18" t="s">
        <v>6661</v>
      </c>
      <c r="I355" s="18" t="s">
        <v>6662</v>
      </c>
    </row>
    <row r="356" spans="1:9">
      <c r="A356" s="16" t="s">
        <v>1236</v>
      </c>
      <c r="B356" s="16" t="s">
        <v>7660</v>
      </c>
      <c r="C356" s="16" t="s">
        <v>7661</v>
      </c>
      <c r="D356" s="16">
        <v>5918559280</v>
      </c>
      <c r="E356" s="16" t="s">
        <v>6678</v>
      </c>
      <c r="F356" s="16" t="s">
        <v>6659</v>
      </c>
      <c r="G356" s="16" t="s">
        <v>7397</v>
      </c>
      <c r="H356" s="16" t="s">
        <v>6661</v>
      </c>
      <c r="I356" s="16" t="s">
        <v>6662</v>
      </c>
    </row>
    <row r="357" spans="1:9">
      <c r="A357" s="18" t="s">
        <v>2050</v>
      </c>
      <c r="B357" s="18" t="s">
        <v>7662</v>
      </c>
      <c r="C357" s="18" t="s">
        <v>7663</v>
      </c>
      <c r="D357" s="18">
        <v>915269530716</v>
      </c>
      <c r="E357" s="18" t="s">
        <v>6665</v>
      </c>
      <c r="F357" s="18" t="s">
        <v>6659</v>
      </c>
      <c r="G357" s="18" t="s">
        <v>7664</v>
      </c>
      <c r="H357" s="18" t="s">
        <v>6686</v>
      </c>
      <c r="I357" s="18" t="s">
        <v>6712</v>
      </c>
    </row>
    <row r="358" spans="1:9">
      <c r="A358" s="16" t="s">
        <v>577</v>
      </c>
      <c r="B358" s="16" t="s">
        <v>7665</v>
      </c>
      <c r="C358" s="16" t="s">
        <v>7666</v>
      </c>
      <c r="D358" s="16">
        <v>6226471477</v>
      </c>
      <c r="E358" s="16" t="s">
        <v>6715</v>
      </c>
      <c r="F358" s="16" t="s">
        <v>6659</v>
      </c>
      <c r="G358" s="16" t="s">
        <v>7667</v>
      </c>
      <c r="H358" s="16" t="s">
        <v>6661</v>
      </c>
      <c r="I358" s="16" t="s">
        <v>6662</v>
      </c>
    </row>
    <row r="359" spans="1:9">
      <c r="A359" s="18" t="s">
        <v>1219</v>
      </c>
      <c r="B359" s="18" t="s">
        <v>7668</v>
      </c>
      <c r="C359" s="18" t="s">
        <v>7669</v>
      </c>
      <c r="D359" s="18">
        <v>911179158619</v>
      </c>
      <c r="E359" s="18" t="s">
        <v>6802</v>
      </c>
      <c r="F359" s="18" t="s">
        <v>6659</v>
      </c>
      <c r="G359" s="18" t="s">
        <v>7670</v>
      </c>
      <c r="H359" s="18" t="s">
        <v>6671</v>
      </c>
      <c r="I359" s="18" t="s">
        <v>6662</v>
      </c>
    </row>
    <row r="360" spans="1:9">
      <c r="A360" s="16" t="s">
        <v>182</v>
      </c>
      <c r="B360" s="16" t="s">
        <v>7671</v>
      </c>
      <c r="C360" s="16" t="s">
        <v>7672</v>
      </c>
      <c r="D360" s="16">
        <v>5389498951</v>
      </c>
      <c r="E360" s="16" t="s">
        <v>6658</v>
      </c>
      <c r="F360" s="16" t="s">
        <v>6659</v>
      </c>
      <c r="G360" s="16" t="s">
        <v>7673</v>
      </c>
      <c r="H360" s="16" t="s">
        <v>6671</v>
      </c>
      <c r="I360" s="16" t="s">
        <v>6712</v>
      </c>
    </row>
    <row r="361" spans="1:9">
      <c r="A361" s="18" t="s">
        <v>2722</v>
      </c>
      <c r="B361" s="18" t="s">
        <v>7674</v>
      </c>
      <c r="C361" s="18" t="s">
        <v>7675</v>
      </c>
      <c r="D361" s="18">
        <v>918354341402</v>
      </c>
      <c r="E361" s="18" t="s">
        <v>6674</v>
      </c>
      <c r="F361" s="18" t="s">
        <v>6659</v>
      </c>
      <c r="G361" s="18" t="s">
        <v>6854</v>
      </c>
      <c r="H361" s="18" t="s">
        <v>6686</v>
      </c>
      <c r="I361" s="18" t="s">
        <v>6712</v>
      </c>
    </row>
    <row r="362" spans="1:9">
      <c r="A362" s="16" t="s">
        <v>728</v>
      </c>
      <c r="B362" s="16" t="s">
        <v>7676</v>
      </c>
      <c r="C362" s="16" t="s">
        <v>7677</v>
      </c>
      <c r="D362" s="16">
        <v>802352907</v>
      </c>
      <c r="E362" s="16" t="s">
        <v>6715</v>
      </c>
      <c r="F362" s="16" t="s">
        <v>6659</v>
      </c>
      <c r="G362" s="16" t="s">
        <v>7678</v>
      </c>
      <c r="H362" s="16" t="s">
        <v>6686</v>
      </c>
      <c r="I362" s="16" t="s">
        <v>6662</v>
      </c>
    </row>
    <row r="363" spans="1:9">
      <c r="A363" s="18" t="s">
        <v>325</v>
      </c>
      <c r="B363" s="18" t="s">
        <v>7679</v>
      </c>
      <c r="C363" s="18" t="s">
        <v>7680</v>
      </c>
      <c r="D363" s="18">
        <v>3683091117</v>
      </c>
      <c r="E363" s="18" t="s">
        <v>6674</v>
      </c>
      <c r="F363" s="18" t="s">
        <v>6659</v>
      </c>
      <c r="G363" s="18" t="s">
        <v>7034</v>
      </c>
      <c r="H363" s="18" t="s">
        <v>6661</v>
      </c>
      <c r="I363" s="18" t="s">
        <v>6662</v>
      </c>
    </row>
    <row r="364" spans="1:9">
      <c r="A364" s="16" t="s">
        <v>908</v>
      </c>
      <c r="B364" s="16" t="s">
        <v>7681</v>
      </c>
      <c r="C364" s="16" t="s">
        <v>7682</v>
      </c>
      <c r="D364" s="16">
        <v>919387507013</v>
      </c>
      <c r="E364" s="16" t="s">
        <v>6658</v>
      </c>
      <c r="F364" s="16" t="s">
        <v>6659</v>
      </c>
      <c r="G364" s="16" t="s">
        <v>7683</v>
      </c>
      <c r="H364" s="16" t="s">
        <v>6671</v>
      </c>
      <c r="I364" s="16" t="s">
        <v>6662</v>
      </c>
    </row>
    <row r="365" spans="1:9">
      <c r="A365" s="18" t="s">
        <v>872</v>
      </c>
      <c r="B365" s="18" t="s">
        <v>7684</v>
      </c>
      <c r="C365" s="18" t="s">
        <v>7685</v>
      </c>
      <c r="D365" s="18">
        <v>538022303</v>
      </c>
      <c r="E365" s="18" t="s">
        <v>6696</v>
      </c>
      <c r="F365" s="18" t="s">
        <v>6659</v>
      </c>
      <c r="G365" s="18" t="s">
        <v>7277</v>
      </c>
      <c r="H365" s="18" t="s">
        <v>6671</v>
      </c>
      <c r="I365" s="18" t="s">
        <v>6662</v>
      </c>
    </row>
    <row r="366" spans="1:9">
      <c r="A366" s="16" t="s">
        <v>271</v>
      </c>
      <c r="B366" s="16" t="s">
        <v>7686</v>
      </c>
      <c r="C366" s="16" t="s">
        <v>7687</v>
      </c>
      <c r="D366" s="16">
        <v>4777961972</v>
      </c>
      <c r="E366" s="16" t="s">
        <v>6678</v>
      </c>
      <c r="F366" s="16" t="s">
        <v>6659</v>
      </c>
      <c r="G366" s="16" t="s">
        <v>7688</v>
      </c>
      <c r="H366" s="16" t="s">
        <v>6661</v>
      </c>
      <c r="I366" s="16" t="s">
        <v>6712</v>
      </c>
    </row>
    <row r="367" spans="1:9">
      <c r="A367" s="18" t="s">
        <v>3475</v>
      </c>
      <c r="B367" s="18" t="s">
        <v>7689</v>
      </c>
      <c r="C367" s="18" t="s">
        <v>7690</v>
      </c>
      <c r="D367" s="18">
        <v>313202802</v>
      </c>
      <c r="E367" s="18" t="s">
        <v>6669</v>
      </c>
      <c r="F367" s="18" t="s">
        <v>6659</v>
      </c>
      <c r="G367" s="18" t="s">
        <v>7691</v>
      </c>
      <c r="H367" s="18" t="s">
        <v>6671</v>
      </c>
      <c r="I367" s="18" t="s">
        <v>6662</v>
      </c>
    </row>
    <row r="368" spans="1:9">
      <c r="A368" s="16" t="s">
        <v>1302</v>
      </c>
      <c r="B368" s="16" t="s">
        <v>7692</v>
      </c>
      <c r="C368" s="16" t="s">
        <v>7693</v>
      </c>
      <c r="D368" s="16">
        <v>4099990361</v>
      </c>
      <c r="E368" s="16" t="s">
        <v>6710</v>
      </c>
      <c r="F368" s="16" t="s">
        <v>6659</v>
      </c>
      <c r="G368" s="16" t="s">
        <v>7694</v>
      </c>
      <c r="H368" s="16" t="s">
        <v>6661</v>
      </c>
      <c r="I368" s="16" t="s">
        <v>6662</v>
      </c>
    </row>
    <row r="369" spans="1:9">
      <c r="A369" s="18" t="s">
        <v>1850</v>
      </c>
      <c r="B369" s="18" t="s">
        <v>7695</v>
      </c>
      <c r="C369" s="18" t="s">
        <v>7696</v>
      </c>
      <c r="D369" s="18">
        <v>7113170312</v>
      </c>
      <c r="E369" s="18" t="s">
        <v>6706</v>
      </c>
      <c r="F369" s="18" t="s">
        <v>6659</v>
      </c>
      <c r="G369" s="18" t="s">
        <v>7697</v>
      </c>
      <c r="H369" s="18" t="s">
        <v>6686</v>
      </c>
      <c r="I369" s="18" t="s">
        <v>6662</v>
      </c>
    </row>
    <row r="370" spans="1:9">
      <c r="A370" s="16" t="s">
        <v>1895</v>
      </c>
      <c r="B370" s="16" t="s">
        <v>7698</v>
      </c>
      <c r="C370" s="16" t="s">
        <v>7699</v>
      </c>
      <c r="D370" s="16">
        <v>914225904833</v>
      </c>
      <c r="E370" s="16" t="s">
        <v>6669</v>
      </c>
      <c r="F370" s="16" t="s">
        <v>6659</v>
      </c>
      <c r="G370" s="16" t="s">
        <v>7472</v>
      </c>
      <c r="H370" s="16" t="s">
        <v>6686</v>
      </c>
      <c r="I370" s="16" t="s">
        <v>6662</v>
      </c>
    </row>
    <row r="371" spans="1:9">
      <c r="A371" s="18" t="s">
        <v>311</v>
      </c>
      <c r="B371" s="18" t="s">
        <v>7700</v>
      </c>
      <c r="C371" s="18" t="s">
        <v>7701</v>
      </c>
      <c r="D371" s="18">
        <v>3929062215</v>
      </c>
      <c r="E371" s="18" t="s">
        <v>6696</v>
      </c>
      <c r="F371" s="18" t="s">
        <v>6659</v>
      </c>
      <c r="G371" s="18" t="s">
        <v>7142</v>
      </c>
      <c r="H371" s="18" t="s">
        <v>6671</v>
      </c>
      <c r="I371" s="18" t="s">
        <v>6662</v>
      </c>
    </row>
    <row r="372" spans="1:9">
      <c r="A372" s="16" t="s">
        <v>583</v>
      </c>
      <c r="B372" s="16" t="s">
        <v>7702</v>
      </c>
      <c r="C372" s="16" t="s">
        <v>7703</v>
      </c>
      <c r="D372" s="16">
        <v>1334222300</v>
      </c>
      <c r="E372" s="16" t="s">
        <v>6692</v>
      </c>
      <c r="F372" s="16" t="s">
        <v>6659</v>
      </c>
      <c r="G372" s="16" t="s">
        <v>7205</v>
      </c>
      <c r="H372" s="16" t="s">
        <v>6671</v>
      </c>
      <c r="I372" s="16" t="s">
        <v>6662</v>
      </c>
    </row>
    <row r="373" spans="1:9">
      <c r="A373" s="18" t="s">
        <v>195</v>
      </c>
      <c r="B373" s="18" t="s">
        <v>7704</v>
      </c>
      <c r="C373" s="18" t="s">
        <v>7705</v>
      </c>
      <c r="D373" s="18">
        <v>918490164104</v>
      </c>
      <c r="E373" s="18" t="s">
        <v>6669</v>
      </c>
      <c r="F373" s="18" t="s">
        <v>6659</v>
      </c>
      <c r="G373" s="18" t="s">
        <v>7124</v>
      </c>
      <c r="H373" s="18" t="s">
        <v>6686</v>
      </c>
      <c r="I373" s="18" t="s">
        <v>6662</v>
      </c>
    </row>
    <row r="374" spans="1:9">
      <c r="A374" s="16" t="s">
        <v>191</v>
      </c>
      <c r="B374" s="16" t="s">
        <v>7706</v>
      </c>
      <c r="C374" s="16" t="s">
        <v>7707</v>
      </c>
      <c r="D374" s="16">
        <v>9935137227</v>
      </c>
      <c r="E374" s="16" t="s">
        <v>6678</v>
      </c>
      <c r="F374" s="16" t="s">
        <v>6659</v>
      </c>
      <c r="G374" s="16" t="s">
        <v>7708</v>
      </c>
      <c r="H374" s="16" t="s">
        <v>6686</v>
      </c>
      <c r="I374" s="16" t="s">
        <v>6662</v>
      </c>
    </row>
    <row r="375" spans="1:9">
      <c r="A375" s="18" t="s">
        <v>2995</v>
      </c>
      <c r="B375" s="18" t="s">
        <v>7709</v>
      </c>
      <c r="C375" s="18" t="s">
        <v>7710</v>
      </c>
      <c r="D375" s="18">
        <v>917881337643</v>
      </c>
      <c r="E375" s="18" t="s">
        <v>6706</v>
      </c>
      <c r="F375" s="18" t="s">
        <v>6659</v>
      </c>
      <c r="G375" s="18" t="s">
        <v>7711</v>
      </c>
      <c r="H375" s="18" t="s">
        <v>6661</v>
      </c>
      <c r="I375" s="18" t="s">
        <v>6712</v>
      </c>
    </row>
    <row r="376" spans="1:9">
      <c r="A376" s="16" t="s">
        <v>2229</v>
      </c>
      <c r="B376" s="16" t="s">
        <v>7712</v>
      </c>
      <c r="C376" s="16" t="s">
        <v>7713</v>
      </c>
      <c r="D376" s="16">
        <v>9505566554</v>
      </c>
      <c r="E376" s="16" t="s">
        <v>6710</v>
      </c>
      <c r="F376" s="16" t="s">
        <v>6659</v>
      </c>
      <c r="G376" s="16" t="s">
        <v>7714</v>
      </c>
      <c r="H376" s="16" t="s">
        <v>6671</v>
      </c>
      <c r="I376" s="16" t="s">
        <v>6712</v>
      </c>
    </row>
    <row r="377" spans="1:9">
      <c r="A377" s="18" t="s">
        <v>574</v>
      </c>
      <c r="B377" s="18" t="s">
        <v>7715</v>
      </c>
      <c r="C377" s="18" t="s">
        <v>7716</v>
      </c>
      <c r="D377" s="18">
        <v>915019523862</v>
      </c>
      <c r="E377" s="18" t="s">
        <v>6669</v>
      </c>
      <c r="F377" s="18" t="s">
        <v>6659</v>
      </c>
      <c r="G377" s="18" t="s">
        <v>7355</v>
      </c>
      <c r="H377" s="18" t="s">
        <v>6661</v>
      </c>
      <c r="I377" s="18" t="s">
        <v>6662</v>
      </c>
    </row>
    <row r="378" spans="1:9">
      <c r="A378" s="16" t="s">
        <v>2334</v>
      </c>
      <c r="B378" s="16" t="s">
        <v>7717</v>
      </c>
      <c r="C378" s="16" t="s">
        <v>7718</v>
      </c>
      <c r="D378" s="16">
        <v>7786567503</v>
      </c>
      <c r="E378" s="16" t="s">
        <v>6665</v>
      </c>
      <c r="F378" s="16" t="s">
        <v>6659</v>
      </c>
      <c r="G378" s="16" t="s">
        <v>7719</v>
      </c>
      <c r="H378" s="16" t="s">
        <v>6686</v>
      </c>
      <c r="I378" s="16" t="s">
        <v>6662</v>
      </c>
    </row>
    <row r="379" spans="1:9">
      <c r="A379" s="18" t="s">
        <v>610</v>
      </c>
      <c r="B379" s="18" t="s">
        <v>7720</v>
      </c>
      <c r="C379" s="18" t="s">
        <v>7721</v>
      </c>
      <c r="D379" s="18">
        <v>3260363623</v>
      </c>
      <c r="E379" s="18" t="s">
        <v>6706</v>
      </c>
      <c r="F379" s="18" t="s">
        <v>6659</v>
      </c>
      <c r="G379" s="18" t="s">
        <v>6725</v>
      </c>
      <c r="H379" s="18" t="s">
        <v>6686</v>
      </c>
      <c r="I379" s="18" t="s">
        <v>6662</v>
      </c>
    </row>
    <row r="380" spans="1:9">
      <c r="A380" s="16" t="s">
        <v>235</v>
      </c>
      <c r="B380" s="16" t="s">
        <v>7722</v>
      </c>
      <c r="C380" s="16" t="s">
        <v>7723</v>
      </c>
      <c r="D380" s="16">
        <v>7899367130</v>
      </c>
      <c r="E380" s="16" t="s">
        <v>6706</v>
      </c>
      <c r="F380" s="16" t="s">
        <v>6659</v>
      </c>
      <c r="G380" s="16" t="s">
        <v>7217</v>
      </c>
      <c r="H380" s="16" t="s">
        <v>6686</v>
      </c>
      <c r="I380" s="16" t="s">
        <v>6662</v>
      </c>
    </row>
    <row r="381" spans="1:9">
      <c r="A381" s="18" t="s">
        <v>510</v>
      </c>
      <c r="B381" s="18" t="s">
        <v>7724</v>
      </c>
      <c r="C381" s="18" t="s">
        <v>7725</v>
      </c>
      <c r="D381" s="18">
        <v>7324684704</v>
      </c>
      <c r="E381" s="18" t="s">
        <v>6802</v>
      </c>
      <c r="F381" s="18" t="s">
        <v>6659</v>
      </c>
      <c r="G381" s="18" t="s">
        <v>7726</v>
      </c>
      <c r="H381" s="18" t="s">
        <v>6671</v>
      </c>
      <c r="I381" s="18" t="s">
        <v>6712</v>
      </c>
    </row>
    <row r="382" spans="1:9">
      <c r="A382" s="16" t="s">
        <v>1540</v>
      </c>
      <c r="B382" s="16" t="s">
        <v>7727</v>
      </c>
      <c r="C382" s="16" t="s">
        <v>7728</v>
      </c>
      <c r="D382" s="16">
        <v>8665355044</v>
      </c>
      <c r="E382" s="16" t="s">
        <v>6658</v>
      </c>
      <c r="F382" s="16" t="s">
        <v>6659</v>
      </c>
      <c r="G382" s="16" t="s">
        <v>6911</v>
      </c>
      <c r="H382" s="16" t="s">
        <v>6661</v>
      </c>
      <c r="I382" s="16" t="s">
        <v>6662</v>
      </c>
    </row>
    <row r="383" spans="1:9">
      <c r="A383" s="18" t="s">
        <v>264</v>
      </c>
      <c r="B383" s="18" t="s">
        <v>7729</v>
      </c>
      <c r="C383" s="18" t="s">
        <v>7730</v>
      </c>
      <c r="D383" s="18">
        <v>2522293659</v>
      </c>
      <c r="E383" s="18" t="s">
        <v>6669</v>
      </c>
      <c r="F383" s="18" t="s">
        <v>6659</v>
      </c>
      <c r="G383" s="18" t="s">
        <v>6700</v>
      </c>
      <c r="H383" s="18" t="s">
        <v>6671</v>
      </c>
      <c r="I383" s="18" t="s">
        <v>6662</v>
      </c>
    </row>
    <row r="384" spans="1:9">
      <c r="A384" s="16" t="s">
        <v>4215</v>
      </c>
      <c r="B384" s="16" t="s">
        <v>7731</v>
      </c>
      <c r="C384" s="16" t="s">
        <v>7732</v>
      </c>
      <c r="D384" s="16">
        <v>6164397135</v>
      </c>
      <c r="E384" s="16" t="s">
        <v>6678</v>
      </c>
      <c r="F384" s="16" t="s">
        <v>6659</v>
      </c>
      <c r="G384" s="16" t="s">
        <v>7733</v>
      </c>
      <c r="H384" s="16" t="s">
        <v>6661</v>
      </c>
      <c r="I384" s="16" t="s">
        <v>6662</v>
      </c>
    </row>
    <row r="385" spans="1:9">
      <c r="A385" s="18" t="s">
        <v>1518</v>
      </c>
      <c r="B385" s="18" t="s">
        <v>7734</v>
      </c>
      <c r="C385" s="18" t="s">
        <v>7735</v>
      </c>
      <c r="D385" s="18">
        <v>3255599150</v>
      </c>
      <c r="E385" s="18" t="s">
        <v>6678</v>
      </c>
      <c r="F385" s="18" t="s">
        <v>6659</v>
      </c>
      <c r="G385" s="18" t="s">
        <v>7736</v>
      </c>
      <c r="H385" s="18" t="s">
        <v>6686</v>
      </c>
      <c r="I385" s="18" t="s">
        <v>6662</v>
      </c>
    </row>
    <row r="386" spans="1:9">
      <c r="A386" s="16" t="s">
        <v>4945</v>
      </c>
      <c r="B386" s="16" t="s">
        <v>7737</v>
      </c>
      <c r="C386" s="16" t="s">
        <v>7738</v>
      </c>
      <c r="D386" s="16">
        <v>916123405398</v>
      </c>
      <c r="E386" s="16" t="s">
        <v>6696</v>
      </c>
      <c r="F386" s="16" t="s">
        <v>6659</v>
      </c>
      <c r="G386" s="16" t="s">
        <v>6862</v>
      </c>
      <c r="H386" s="16" t="s">
        <v>6671</v>
      </c>
      <c r="I386" s="16" t="s">
        <v>6712</v>
      </c>
    </row>
    <row r="387" spans="1:9">
      <c r="A387" s="18" t="s">
        <v>1575</v>
      </c>
      <c r="B387" s="18" t="s">
        <v>7739</v>
      </c>
      <c r="C387" s="18" t="s">
        <v>7740</v>
      </c>
      <c r="D387" s="18">
        <v>919696887547</v>
      </c>
      <c r="E387" s="18" t="s">
        <v>6669</v>
      </c>
      <c r="F387" s="18" t="s">
        <v>6659</v>
      </c>
      <c r="G387" s="18" t="s">
        <v>6827</v>
      </c>
      <c r="H387" s="18" t="s">
        <v>6661</v>
      </c>
      <c r="I387" s="18" t="s">
        <v>6712</v>
      </c>
    </row>
    <row r="388" spans="1:9">
      <c r="A388" s="16" t="s">
        <v>1995</v>
      </c>
      <c r="B388" s="16" t="s">
        <v>7741</v>
      </c>
      <c r="C388" s="16" t="s">
        <v>7742</v>
      </c>
      <c r="D388" s="16">
        <v>3293526633</v>
      </c>
      <c r="E388" s="16" t="s">
        <v>6692</v>
      </c>
      <c r="F388" s="16" t="s">
        <v>6659</v>
      </c>
      <c r="G388" s="16" t="s">
        <v>7743</v>
      </c>
      <c r="H388" s="16" t="s">
        <v>6686</v>
      </c>
      <c r="I388" s="16" t="s">
        <v>6662</v>
      </c>
    </row>
    <row r="389" spans="1:9">
      <c r="A389" s="18" t="s">
        <v>2609</v>
      </c>
      <c r="B389" s="18" t="s">
        <v>7744</v>
      </c>
      <c r="C389" s="18" t="s">
        <v>7745</v>
      </c>
      <c r="D389" s="18">
        <v>5518454515</v>
      </c>
      <c r="E389" s="18" t="s">
        <v>6665</v>
      </c>
      <c r="F389" s="18" t="s">
        <v>6659</v>
      </c>
      <c r="G389" s="18" t="s">
        <v>6799</v>
      </c>
      <c r="H389" s="18" t="s">
        <v>6661</v>
      </c>
      <c r="I389" s="18" t="s">
        <v>6662</v>
      </c>
    </row>
    <row r="390" spans="1:9">
      <c r="A390" s="16" t="s">
        <v>952</v>
      </c>
      <c r="B390" s="16" t="s">
        <v>7746</v>
      </c>
      <c r="C390" s="16" t="s">
        <v>7747</v>
      </c>
      <c r="D390" s="16">
        <v>919191840068</v>
      </c>
      <c r="E390" s="16" t="s">
        <v>6658</v>
      </c>
      <c r="F390" s="16" t="s">
        <v>6659</v>
      </c>
      <c r="G390" s="16" t="s">
        <v>7748</v>
      </c>
      <c r="H390" s="16" t="s">
        <v>6686</v>
      </c>
      <c r="I390" s="16" t="s">
        <v>6712</v>
      </c>
    </row>
    <row r="391" spans="1:9">
      <c r="A391" s="18" t="s">
        <v>219</v>
      </c>
      <c r="B391" s="18" t="s">
        <v>7749</v>
      </c>
      <c r="C391" s="18" t="s">
        <v>7750</v>
      </c>
      <c r="D391" s="18">
        <v>6580628582</v>
      </c>
      <c r="E391" s="18" t="s">
        <v>6658</v>
      </c>
      <c r="F391" s="18" t="s">
        <v>6659</v>
      </c>
      <c r="G391" s="18" t="s">
        <v>7751</v>
      </c>
      <c r="H391" s="18" t="s">
        <v>6686</v>
      </c>
      <c r="I391" s="18" t="s">
        <v>6662</v>
      </c>
    </row>
    <row r="392" spans="1:9">
      <c r="A392" s="16" t="s">
        <v>1466</v>
      </c>
      <c r="B392" s="16" t="s">
        <v>7752</v>
      </c>
      <c r="C392" s="16" t="s">
        <v>7753</v>
      </c>
      <c r="D392" s="16">
        <v>2441358418</v>
      </c>
      <c r="E392" s="16" t="s">
        <v>6706</v>
      </c>
      <c r="F392" s="16" t="s">
        <v>6659</v>
      </c>
      <c r="G392" s="16" t="s">
        <v>6703</v>
      </c>
      <c r="H392" s="16" t="s">
        <v>6671</v>
      </c>
      <c r="I392" s="16" t="s">
        <v>6712</v>
      </c>
    </row>
    <row r="393" spans="1:9">
      <c r="A393" s="18" t="s">
        <v>1165</v>
      </c>
      <c r="B393" s="18" t="s">
        <v>7754</v>
      </c>
      <c r="C393" s="18" t="s">
        <v>7755</v>
      </c>
      <c r="D393" s="18">
        <v>7248461051</v>
      </c>
      <c r="E393" s="18" t="s">
        <v>6715</v>
      </c>
      <c r="F393" s="18" t="s">
        <v>6659</v>
      </c>
      <c r="G393" s="18" t="s">
        <v>7756</v>
      </c>
      <c r="H393" s="18" t="s">
        <v>6671</v>
      </c>
      <c r="I393" s="18" t="s">
        <v>6662</v>
      </c>
    </row>
    <row r="394" spans="1:9">
      <c r="A394" s="16" t="s">
        <v>707</v>
      </c>
      <c r="B394" s="16" t="s">
        <v>7757</v>
      </c>
      <c r="C394" s="16" t="s">
        <v>7758</v>
      </c>
      <c r="D394" s="16">
        <v>2129414916</v>
      </c>
      <c r="E394" s="16" t="s">
        <v>6674</v>
      </c>
      <c r="F394" s="16" t="s">
        <v>6659</v>
      </c>
      <c r="G394" s="16" t="s">
        <v>7759</v>
      </c>
      <c r="H394" s="16" t="s">
        <v>6671</v>
      </c>
      <c r="I394" s="16" t="s">
        <v>6712</v>
      </c>
    </row>
    <row r="395" spans="1:9">
      <c r="A395" s="18" t="s">
        <v>673</v>
      </c>
      <c r="B395" s="18" t="s">
        <v>7760</v>
      </c>
      <c r="C395" s="18" t="s">
        <v>7761</v>
      </c>
      <c r="D395" s="18">
        <v>9307214243</v>
      </c>
      <c r="E395" s="18" t="s">
        <v>6669</v>
      </c>
      <c r="F395" s="18" t="s">
        <v>6659</v>
      </c>
      <c r="G395" s="18" t="s">
        <v>6711</v>
      </c>
      <c r="H395" s="18" t="s">
        <v>6686</v>
      </c>
      <c r="I395" s="18" t="s">
        <v>6662</v>
      </c>
    </row>
    <row r="396" spans="1:9">
      <c r="A396" s="16" t="s">
        <v>2830</v>
      </c>
      <c r="B396" s="16" t="s">
        <v>7762</v>
      </c>
      <c r="C396" s="16" t="s">
        <v>7763</v>
      </c>
      <c r="D396" s="16">
        <v>912824599731</v>
      </c>
      <c r="E396" s="16" t="s">
        <v>6669</v>
      </c>
      <c r="F396" s="16" t="s">
        <v>6659</v>
      </c>
      <c r="G396" s="16" t="s">
        <v>7764</v>
      </c>
      <c r="H396" s="16" t="s">
        <v>6686</v>
      </c>
      <c r="I396" s="16" t="s">
        <v>6712</v>
      </c>
    </row>
    <row r="397" spans="1:9">
      <c r="A397" s="18" t="s">
        <v>2763</v>
      </c>
      <c r="B397" s="18" t="s">
        <v>7765</v>
      </c>
      <c r="C397" s="18" t="s">
        <v>7766</v>
      </c>
      <c r="D397" s="18">
        <v>7713840414</v>
      </c>
      <c r="E397" s="18" t="s">
        <v>6674</v>
      </c>
      <c r="F397" s="18" t="s">
        <v>6659</v>
      </c>
      <c r="G397" s="18" t="s">
        <v>7767</v>
      </c>
      <c r="H397" s="18" t="s">
        <v>6661</v>
      </c>
      <c r="I397" s="18" t="s">
        <v>6712</v>
      </c>
    </row>
    <row r="398" spans="1:9">
      <c r="A398" s="16" t="s">
        <v>338</v>
      </c>
      <c r="B398" s="16" t="s">
        <v>7768</v>
      </c>
      <c r="C398" s="16" t="s">
        <v>7769</v>
      </c>
      <c r="D398" s="16">
        <v>917266534815</v>
      </c>
      <c r="E398" s="16" t="s">
        <v>6710</v>
      </c>
      <c r="F398" s="16" t="s">
        <v>6659</v>
      </c>
      <c r="G398" s="16" t="s">
        <v>7770</v>
      </c>
      <c r="H398" s="16" t="s">
        <v>6686</v>
      </c>
      <c r="I398" s="16" t="s">
        <v>6662</v>
      </c>
    </row>
    <row r="399" spans="1:9">
      <c r="A399" s="18" t="s">
        <v>799</v>
      </c>
      <c r="B399" s="18" t="s">
        <v>7771</v>
      </c>
      <c r="C399" s="18" t="s">
        <v>7772</v>
      </c>
      <c r="D399" s="18">
        <v>1530909611</v>
      </c>
      <c r="E399" s="18" t="s">
        <v>6710</v>
      </c>
      <c r="F399" s="18" t="s">
        <v>6659</v>
      </c>
      <c r="G399" s="18" t="s">
        <v>7773</v>
      </c>
      <c r="H399" s="18" t="s">
        <v>6661</v>
      </c>
      <c r="I399" s="18" t="s">
        <v>6662</v>
      </c>
    </row>
    <row r="400" spans="1:9">
      <c r="A400" s="16" t="s">
        <v>1322</v>
      </c>
      <c r="B400" s="16" t="s">
        <v>7774</v>
      </c>
      <c r="C400" s="16" t="s">
        <v>7775</v>
      </c>
      <c r="D400" s="16">
        <v>4568989024</v>
      </c>
      <c r="E400" s="16" t="s">
        <v>6665</v>
      </c>
      <c r="F400" s="16" t="s">
        <v>6659</v>
      </c>
      <c r="G400" s="16" t="s">
        <v>7776</v>
      </c>
      <c r="H400" s="16" t="s">
        <v>6686</v>
      </c>
      <c r="I400" s="16" t="s">
        <v>6662</v>
      </c>
    </row>
    <row r="401" spans="1:9">
      <c r="A401" s="18" t="s">
        <v>890</v>
      </c>
      <c r="B401" s="18" t="s">
        <v>7777</v>
      </c>
      <c r="C401" s="18" t="s">
        <v>7778</v>
      </c>
      <c r="D401" s="18">
        <v>5440661666</v>
      </c>
      <c r="E401" s="18" t="s">
        <v>6802</v>
      </c>
      <c r="F401" s="18" t="s">
        <v>6659</v>
      </c>
      <c r="G401" s="18" t="s">
        <v>6693</v>
      </c>
      <c r="H401" s="18" t="s">
        <v>6686</v>
      </c>
      <c r="I401" s="18" t="s">
        <v>6662</v>
      </c>
    </row>
    <row r="402" spans="1:9">
      <c r="A402" s="16" t="s">
        <v>290</v>
      </c>
      <c r="B402" s="16" t="s">
        <v>7779</v>
      </c>
      <c r="C402" s="16" t="s">
        <v>7780</v>
      </c>
      <c r="D402" s="16">
        <v>836184616</v>
      </c>
      <c r="E402" s="16" t="s">
        <v>6715</v>
      </c>
      <c r="F402" s="16" t="s">
        <v>6659</v>
      </c>
      <c r="G402" s="16" t="s">
        <v>6743</v>
      </c>
      <c r="H402" s="16" t="s">
        <v>6671</v>
      </c>
      <c r="I402" s="16" t="s">
        <v>6662</v>
      </c>
    </row>
    <row r="403" spans="1:9">
      <c r="A403" s="18" t="s">
        <v>2799</v>
      </c>
      <c r="B403" s="18" t="s">
        <v>7781</v>
      </c>
      <c r="C403" s="18" t="s">
        <v>7782</v>
      </c>
      <c r="D403" s="18">
        <v>9190337394</v>
      </c>
      <c r="E403" s="18" t="s">
        <v>6802</v>
      </c>
      <c r="F403" s="18" t="s">
        <v>6659</v>
      </c>
      <c r="G403" s="18" t="s">
        <v>7432</v>
      </c>
      <c r="H403" s="18" t="s">
        <v>6661</v>
      </c>
      <c r="I403" s="18" t="s">
        <v>6712</v>
      </c>
    </row>
    <row r="404" spans="1:9">
      <c r="A404" s="16" t="s">
        <v>667</v>
      </c>
      <c r="B404" s="16" t="s">
        <v>7783</v>
      </c>
      <c r="C404" s="16" t="s">
        <v>7784</v>
      </c>
      <c r="D404" s="16">
        <v>916125380265</v>
      </c>
      <c r="E404" s="16" t="s">
        <v>6710</v>
      </c>
      <c r="F404" s="16" t="s">
        <v>6659</v>
      </c>
      <c r="G404" s="16" t="s">
        <v>7785</v>
      </c>
      <c r="H404" s="16" t="s">
        <v>6661</v>
      </c>
      <c r="I404" s="16" t="s">
        <v>6662</v>
      </c>
    </row>
    <row r="405" spans="1:9">
      <c r="A405" s="18" t="s">
        <v>2858</v>
      </c>
      <c r="B405" s="18" t="s">
        <v>7786</v>
      </c>
      <c r="C405" s="18" t="s">
        <v>7787</v>
      </c>
      <c r="D405" s="18">
        <v>9450391599</v>
      </c>
      <c r="E405" s="18" t="s">
        <v>6706</v>
      </c>
      <c r="F405" s="18" t="s">
        <v>6659</v>
      </c>
      <c r="G405" s="18" t="s">
        <v>7788</v>
      </c>
      <c r="H405" s="18" t="s">
        <v>6686</v>
      </c>
      <c r="I405" s="18" t="s">
        <v>6662</v>
      </c>
    </row>
    <row r="406" spans="1:9">
      <c r="A406" s="16" t="s">
        <v>296</v>
      </c>
      <c r="B406" s="16" t="s">
        <v>7789</v>
      </c>
      <c r="C406" s="16" t="s">
        <v>7790</v>
      </c>
      <c r="D406" s="16">
        <v>8913082816</v>
      </c>
      <c r="E406" s="16" t="s">
        <v>6692</v>
      </c>
      <c r="F406" s="16" t="s">
        <v>6659</v>
      </c>
      <c r="G406" s="16" t="s">
        <v>7791</v>
      </c>
      <c r="H406" s="16" t="s">
        <v>6661</v>
      </c>
      <c r="I406" s="16" t="s">
        <v>6712</v>
      </c>
    </row>
    <row r="407" spans="1:9">
      <c r="A407" s="18" t="s">
        <v>460</v>
      </c>
      <c r="B407" s="18" t="s">
        <v>7792</v>
      </c>
      <c r="C407" s="18" t="s">
        <v>7793</v>
      </c>
      <c r="D407" s="18">
        <v>4876947223</v>
      </c>
      <c r="E407" s="18" t="s">
        <v>6696</v>
      </c>
      <c r="F407" s="18" t="s">
        <v>6659</v>
      </c>
      <c r="G407" s="18" t="s">
        <v>7714</v>
      </c>
      <c r="H407" s="18" t="s">
        <v>6686</v>
      </c>
      <c r="I407" s="18" t="s">
        <v>6662</v>
      </c>
    </row>
    <row r="408" spans="1:9">
      <c r="A408" s="16" t="s">
        <v>2741</v>
      </c>
      <c r="B408" s="16" t="s">
        <v>7794</v>
      </c>
      <c r="C408" s="16" t="s">
        <v>7795</v>
      </c>
      <c r="D408" s="16">
        <v>911034355291</v>
      </c>
      <c r="E408" s="16" t="s">
        <v>6710</v>
      </c>
      <c r="F408" s="16" t="s">
        <v>6659</v>
      </c>
      <c r="G408" s="16" t="s">
        <v>7575</v>
      </c>
      <c r="H408" s="16" t="s">
        <v>6671</v>
      </c>
      <c r="I408" s="16" t="s">
        <v>6662</v>
      </c>
    </row>
    <row r="409" spans="1:9">
      <c r="A409" s="18" t="s">
        <v>1416</v>
      </c>
      <c r="B409" s="18" t="s">
        <v>7796</v>
      </c>
      <c r="C409" s="18" t="s">
        <v>7797</v>
      </c>
      <c r="D409" s="18">
        <v>5191241339</v>
      </c>
      <c r="E409" s="18" t="s">
        <v>6692</v>
      </c>
      <c r="F409" s="18" t="s">
        <v>6659</v>
      </c>
      <c r="G409" s="18" t="s">
        <v>7115</v>
      </c>
      <c r="H409" s="18" t="s">
        <v>6661</v>
      </c>
      <c r="I409" s="18" t="s">
        <v>6662</v>
      </c>
    </row>
    <row r="410" spans="1:9">
      <c r="A410" s="16" t="s">
        <v>1512</v>
      </c>
      <c r="B410" s="16" t="s">
        <v>7798</v>
      </c>
      <c r="C410" s="16" t="s">
        <v>7799</v>
      </c>
      <c r="D410" s="16">
        <v>3514090130</v>
      </c>
      <c r="E410" s="16" t="s">
        <v>6674</v>
      </c>
      <c r="F410" s="16" t="s">
        <v>6659</v>
      </c>
      <c r="G410" s="16" t="s">
        <v>7458</v>
      </c>
      <c r="H410" s="16" t="s">
        <v>6661</v>
      </c>
      <c r="I410" s="16" t="s">
        <v>6662</v>
      </c>
    </row>
    <row r="411" spans="1:9">
      <c r="A411" s="18" t="s">
        <v>2446</v>
      </c>
      <c r="B411" s="18" t="s">
        <v>7800</v>
      </c>
      <c r="C411" s="18" t="s">
        <v>7801</v>
      </c>
      <c r="D411" s="18">
        <v>916575706267</v>
      </c>
      <c r="E411" s="18" t="s">
        <v>6802</v>
      </c>
      <c r="F411" s="18" t="s">
        <v>6659</v>
      </c>
      <c r="G411" s="18" t="s">
        <v>7186</v>
      </c>
      <c r="H411" s="18" t="s">
        <v>6686</v>
      </c>
      <c r="I411" s="18" t="s">
        <v>6662</v>
      </c>
    </row>
    <row r="412" spans="1:9">
      <c r="A412" s="16" t="s">
        <v>2460</v>
      </c>
      <c r="B412" s="16" t="s">
        <v>7802</v>
      </c>
      <c r="C412" s="16" t="s">
        <v>7803</v>
      </c>
      <c r="D412" s="16">
        <v>912086087043</v>
      </c>
      <c r="E412" s="16" t="s">
        <v>6674</v>
      </c>
      <c r="F412" s="16" t="s">
        <v>6659</v>
      </c>
      <c r="G412" s="16" t="s">
        <v>7804</v>
      </c>
      <c r="H412" s="16" t="s">
        <v>6686</v>
      </c>
      <c r="I412" s="16" t="s">
        <v>6662</v>
      </c>
    </row>
    <row r="413" spans="1:9">
      <c r="A413" s="18" t="s">
        <v>759</v>
      </c>
      <c r="B413" s="18" t="s">
        <v>7805</v>
      </c>
      <c r="C413" s="18" t="s">
        <v>7806</v>
      </c>
      <c r="D413" s="18">
        <v>2559869247</v>
      </c>
      <c r="E413" s="18" t="s">
        <v>6802</v>
      </c>
      <c r="F413" s="18" t="s">
        <v>6659</v>
      </c>
      <c r="G413" s="18" t="s">
        <v>7588</v>
      </c>
      <c r="H413" s="18" t="s">
        <v>6686</v>
      </c>
      <c r="I413" s="18" t="s">
        <v>6662</v>
      </c>
    </row>
    <row r="414" spans="1:9">
      <c r="A414" s="16" t="s">
        <v>3512</v>
      </c>
      <c r="B414" s="16" t="s">
        <v>7807</v>
      </c>
      <c r="C414" s="16" t="s">
        <v>7808</v>
      </c>
      <c r="D414" s="16">
        <v>916112040003</v>
      </c>
      <c r="E414" s="16" t="s">
        <v>6678</v>
      </c>
      <c r="F414" s="16" t="s">
        <v>6659</v>
      </c>
      <c r="G414" s="16" t="s">
        <v>6842</v>
      </c>
      <c r="H414" s="16" t="s">
        <v>6671</v>
      </c>
      <c r="I414" s="16" t="s">
        <v>6712</v>
      </c>
    </row>
    <row r="415" spans="1:9">
      <c r="A415" s="18" t="s">
        <v>791</v>
      </c>
      <c r="B415" s="18" t="s">
        <v>7809</v>
      </c>
      <c r="C415" s="18" t="s">
        <v>7810</v>
      </c>
      <c r="D415" s="18">
        <v>911159503847</v>
      </c>
      <c r="E415" s="18" t="s">
        <v>6696</v>
      </c>
      <c r="F415" s="18" t="s">
        <v>6659</v>
      </c>
      <c r="G415" s="18" t="s">
        <v>6703</v>
      </c>
      <c r="H415" s="18" t="s">
        <v>6661</v>
      </c>
      <c r="I415" s="18" t="s">
        <v>6662</v>
      </c>
    </row>
    <row r="416" spans="1:9">
      <c r="A416" s="16" t="s">
        <v>447</v>
      </c>
      <c r="B416" s="16" t="s">
        <v>7811</v>
      </c>
      <c r="C416" s="16" t="s">
        <v>7812</v>
      </c>
      <c r="D416" s="16">
        <v>917085296950</v>
      </c>
      <c r="E416" s="16" t="s">
        <v>6674</v>
      </c>
      <c r="F416" s="16" t="s">
        <v>6659</v>
      </c>
      <c r="G416" s="16" t="s">
        <v>7048</v>
      </c>
      <c r="H416" s="16" t="s">
        <v>6686</v>
      </c>
      <c r="I416" s="16" t="s">
        <v>6662</v>
      </c>
    </row>
    <row r="417" spans="1:9">
      <c r="A417" s="18" t="s">
        <v>1682</v>
      </c>
      <c r="B417" s="18" t="s">
        <v>7813</v>
      </c>
      <c r="C417" s="18" t="s">
        <v>7814</v>
      </c>
      <c r="D417" s="18">
        <v>911686625379</v>
      </c>
      <c r="E417" s="18" t="s">
        <v>6696</v>
      </c>
      <c r="F417" s="18" t="s">
        <v>6659</v>
      </c>
      <c r="G417" s="18" t="s">
        <v>7815</v>
      </c>
      <c r="H417" s="18" t="s">
        <v>6671</v>
      </c>
      <c r="I417" s="18" t="s">
        <v>6662</v>
      </c>
    </row>
    <row r="418" spans="1:9">
      <c r="A418" s="16" t="s">
        <v>1572</v>
      </c>
      <c r="B418" s="16" t="s">
        <v>7816</v>
      </c>
      <c r="C418" s="16" t="s">
        <v>7817</v>
      </c>
      <c r="D418" s="16">
        <v>916726710388</v>
      </c>
      <c r="E418" s="16" t="s">
        <v>6669</v>
      </c>
      <c r="F418" s="16" t="s">
        <v>6659</v>
      </c>
      <c r="G418" s="16" t="s">
        <v>7280</v>
      </c>
      <c r="H418" s="16" t="s">
        <v>6671</v>
      </c>
      <c r="I418" s="16" t="s">
        <v>6662</v>
      </c>
    </row>
    <row r="419" spans="1:9">
      <c r="A419" s="18" t="s">
        <v>1554</v>
      </c>
      <c r="B419" s="18" t="s">
        <v>7818</v>
      </c>
      <c r="C419" s="18" t="s">
        <v>7819</v>
      </c>
      <c r="D419" s="18">
        <v>6613968212</v>
      </c>
      <c r="E419" s="18" t="s">
        <v>6706</v>
      </c>
      <c r="F419" s="18" t="s">
        <v>6659</v>
      </c>
      <c r="G419" s="18" t="s">
        <v>7820</v>
      </c>
      <c r="H419" s="18" t="s">
        <v>6661</v>
      </c>
      <c r="I419" s="18" t="s">
        <v>6712</v>
      </c>
    </row>
    <row r="420" spans="1:9">
      <c r="A420" s="16" t="s">
        <v>646</v>
      </c>
      <c r="B420" s="16" t="s">
        <v>7821</v>
      </c>
      <c r="C420" s="16" t="s">
        <v>7822</v>
      </c>
      <c r="D420" s="16">
        <v>41731504</v>
      </c>
      <c r="E420" s="16" t="s">
        <v>6715</v>
      </c>
      <c r="F420" s="16" t="s">
        <v>6659</v>
      </c>
      <c r="G420" s="16" t="s">
        <v>7823</v>
      </c>
      <c r="H420" s="16" t="s">
        <v>6686</v>
      </c>
      <c r="I420" s="16" t="s">
        <v>6712</v>
      </c>
    </row>
    <row r="421" spans="1:9">
      <c r="A421" s="18" t="s">
        <v>1802</v>
      </c>
      <c r="B421" s="18" t="s">
        <v>7824</v>
      </c>
      <c r="C421" s="18" t="s">
        <v>7825</v>
      </c>
      <c r="D421" s="18">
        <v>1256952378</v>
      </c>
      <c r="E421" s="18" t="s">
        <v>6658</v>
      </c>
      <c r="F421" s="18" t="s">
        <v>6659</v>
      </c>
      <c r="G421" s="18" t="s">
        <v>7238</v>
      </c>
      <c r="H421" s="18" t="s">
        <v>6686</v>
      </c>
      <c r="I421" s="18" t="s">
        <v>6712</v>
      </c>
    </row>
    <row r="422" spans="1:9">
      <c r="A422" s="16" t="s">
        <v>740</v>
      </c>
      <c r="B422" s="16" t="s">
        <v>7826</v>
      </c>
      <c r="C422" s="16" t="s">
        <v>7827</v>
      </c>
      <c r="D422" s="16">
        <v>910966102883</v>
      </c>
      <c r="E422" s="16" t="s">
        <v>6706</v>
      </c>
      <c r="F422" s="16" t="s">
        <v>6659</v>
      </c>
      <c r="G422" s="16" t="s">
        <v>6857</v>
      </c>
      <c r="H422" s="16" t="s">
        <v>6671</v>
      </c>
      <c r="I422" s="16" t="s">
        <v>6662</v>
      </c>
    </row>
    <row r="423" spans="1:9">
      <c r="A423" s="18" t="s">
        <v>498</v>
      </c>
      <c r="B423" s="18" t="s">
        <v>7828</v>
      </c>
      <c r="C423" s="18" t="s">
        <v>7829</v>
      </c>
      <c r="D423" s="18">
        <v>918490260115</v>
      </c>
      <c r="E423" s="18" t="s">
        <v>6706</v>
      </c>
      <c r="F423" s="18" t="s">
        <v>6659</v>
      </c>
      <c r="G423" s="18" t="s">
        <v>6722</v>
      </c>
      <c r="H423" s="18" t="s">
        <v>6686</v>
      </c>
      <c r="I423" s="18" t="s">
        <v>6662</v>
      </c>
    </row>
    <row r="424" spans="1:9">
      <c r="A424" s="16" t="s">
        <v>2101</v>
      </c>
      <c r="B424" s="16" t="s">
        <v>7830</v>
      </c>
      <c r="C424" s="16" t="s">
        <v>7831</v>
      </c>
      <c r="D424" s="16">
        <v>8522147072</v>
      </c>
      <c r="E424" s="16" t="s">
        <v>6696</v>
      </c>
      <c r="F424" s="16" t="s">
        <v>6659</v>
      </c>
      <c r="G424" s="16" t="s">
        <v>7832</v>
      </c>
      <c r="H424" s="16" t="s">
        <v>6661</v>
      </c>
      <c r="I424" s="16" t="s">
        <v>6662</v>
      </c>
    </row>
    <row r="425" spans="1:9">
      <c r="A425" s="18" t="s">
        <v>1368</v>
      </c>
      <c r="B425" s="18" t="s">
        <v>7833</v>
      </c>
      <c r="C425" s="18" t="s">
        <v>7834</v>
      </c>
      <c r="D425" s="18">
        <v>2616397786</v>
      </c>
      <c r="E425" s="18" t="s">
        <v>6658</v>
      </c>
      <c r="F425" s="18" t="s">
        <v>6659</v>
      </c>
      <c r="G425" s="18" t="s">
        <v>7835</v>
      </c>
      <c r="H425" s="18" t="s">
        <v>6671</v>
      </c>
      <c r="I425" s="18" t="s">
        <v>6662</v>
      </c>
    </row>
    <row r="426" spans="1:9">
      <c r="A426" s="16" t="s">
        <v>1342</v>
      </c>
      <c r="B426" s="16" t="s">
        <v>7836</v>
      </c>
      <c r="C426" s="16" t="s">
        <v>7837</v>
      </c>
      <c r="D426" s="16">
        <v>911291198715</v>
      </c>
      <c r="E426" s="16" t="s">
        <v>6696</v>
      </c>
      <c r="F426" s="16" t="s">
        <v>6659</v>
      </c>
      <c r="G426" s="16" t="s">
        <v>7838</v>
      </c>
      <c r="H426" s="16" t="s">
        <v>6686</v>
      </c>
      <c r="I426" s="16" t="s">
        <v>6662</v>
      </c>
    </row>
    <row r="427" spans="1:9">
      <c r="A427" s="18" t="s">
        <v>3267</v>
      </c>
      <c r="B427" s="18" t="s">
        <v>7839</v>
      </c>
      <c r="C427" s="18" t="s">
        <v>7840</v>
      </c>
      <c r="D427" s="18">
        <v>8936935224</v>
      </c>
      <c r="E427" s="18" t="s">
        <v>6710</v>
      </c>
      <c r="F427" s="18" t="s">
        <v>6659</v>
      </c>
      <c r="G427" s="18" t="s">
        <v>7841</v>
      </c>
      <c r="H427" s="18" t="s">
        <v>6661</v>
      </c>
      <c r="I427" s="18" t="s">
        <v>6662</v>
      </c>
    </row>
    <row r="428" spans="1:9">
      <c r="A428" s="16" t="s">
        <v>3441</v>
      </c>
      <c r="B428" s="16" t="s">
        <v>7842</v>
      </c>
      <c r="C428" s="16" t="s">
        <v>7843</v>
      </c>
      <c r="D428" s="16">
        <v>919014917571</v>
      </c>
      <c r="E428" s="16" t="s">
        <v>6692</v>
      </c>
      <c r="F428" s="16" t="s">
        <v>6659</v>
      </c>
      <c r="G428" s="16" t="s">
        <v>7844</v>
      </c>
      <c r="H428" s="16" t="s">
        <v>6661</v>
      </c>
      <c r="I428" s="16" t="s">
        <v>6662</v>
      </c>
    </row>
    <row r="429" spans="1:9">
      <c r="A429" s="18" t="s">
        <v>3153</v>
      </c>
      <c r="B429" s="18" t="s">
        <v>7845</v>
      </c>
      <c r="C429" s="18" t="s">
        <v>7846</v>
      </c>
      <c r="D429" s="18">
        <v>916324529284</v>
      </c>
      <c r="E429" s="18" t="s">
        <v>6710</v>
      </c>
      <c r="F429" s="18" t="s">
        <v>6659</v>
      </c>
      <c r="G429" s="18" t="s">
        <v>7847</v>
      </c>
      <c r="H429" s="18" t="s">
        <v>6661</v>
      </c>
      <c r="I429" s="18" t="s">
        <v>6662</v>
      </c>
    </row>
    <row r="430" spans="1:9">
      <c r="A430" s="16" t="s">
        <v>513</v>
      </c>
      <c r="B430" s="16" t="s">
        <v>7848</v>
      </c>
      <c r="C430" s="16" t="s">
        <v>7849</v>
      </c>
      <c r="D430" s="16">
        <v>8060386299</v>
      </c>
      <c r="E430" s="16" t="s">
        <v>6710</v>
      </c>
      <c r="F430" s="16" t="s">
        <v>6659</v>
      </c>
      <c r="G430" s="16" t="s">
        <v>7420</v>
      </c>
      <c r="H430" s="16" t="s">
        <v>6686</v>
      </c>
      <c r="I430" s="16" t="s">
        <v>6662</v>
      </c>
    </row>
    <row r="431" spans="1:9">
      <c r="A431" s="18" t="s">
        <v>586</v>
      </c>
      <c r="B431" s="18" t="s">
        <v>7850</v>
      </c>
      <c r="C431" s="18" t="s">
        <v>7851</v>
      </c>
      <c r="D431" s="18">
        <v>378520204</v>
      </c>
      <c r="E431" s="18" t="s">
        <v>6715</v>
      </c>
      <c r="F431" s="18" t="s">
        <v>6659</v>
      </c>
      <c r="G431" s="18" t="s">
        <v>6935</v>
      </c>
      <c r="H431" s="18" t="s">
        <v>6686</v>
      </c>
      <c r="I431" s="18" t="s">
        <v>6662</v>
      </c>
    </row>
    <row r="432" spans="1:9">
      <c r="A432" s="16" t="s">
        <v>492</v>
      </c>
      <c r="B432" s="16" t="s">
        <v>7852</v>
      </c>
      <c r="C432" s="16" t="s">
        <v>7853</v>
      </c>
      <c r="D432" s="16">
        <v>3310681004</v>
      </c>
      <c r="E432" s="16" t="s">
        <v>6715</v>
      </c>
      <c r="F432" s="16" t="s">
        <v>6659</v>
      </c>
      <c r="G432" s="16" t="s">
        <v>6981</v>
      </c>
      <c r="H432" s="16" t="s">
        <v>6671</v>
      </c>
      <c r="I432" s="16" t="s">
        <v>6662</v>
      </c>
    </row>
    <row r="433" spans="1:9">
      <c r="A433" s="18" t="s">
        <v>3831</v>
      </c>
      <c r="B433" s="18" t="s">
        <v>7854</v>
      </c>
      <c r="C433" s="18" t="s">
        <v>7855</v>
      </c>
      <c r="D433" s="18">
        <v>916128156974</v>
      </c>
      <c r="E433" s="18" t="s">
        <v>6696</v>
      </c>
      <c r="F433" s="18" t="s">
        <v>6659</v>
      </c>
      <c r="G433" s="18" t="s">
        <v>7856</v>
      </c>
      <c r="H433" s="18" t="s">
        <v>6671</v>
      </c>
      <c r="I433" s="18" t="s">
        <v>6662</v>
      </c>
    </row>
    <row r="434" spans="1:9">
      <c r="A434" s="16" t="s">
        <v>486</v>
      </c>
      <c r="B434" s="16" t="s">
        <v>7857</v>
      </c>
      <c r="C434" s="16" t="s">
        <v>7858</v>
      </c>
      <c r="D434" s="16">
        <v>3176037322</v>
      </c>
      <c r="E434" s="16" t="s">
        <v>6658</v>
      </c>
      <c r="F434" s="16" t="s">
        <v>6659</v>
      </c>
      <c r="G434" s="16" t="s">
        <v>7136</v>
      </c>
      <c r="H434" s="16" t="s">
        <v>6686</v>
      </c>
      <c r="I434" s="16" t="s">
        <v>6662</v>
      </c>
    </row>
    <row r="435" spans="1:9">
      <c r="A435" s="18" t="s">
        <v>450</v>
      </c>
      <c r="B435" s="18" t="s">
        <v>7859</v>
      </c>
      <c r="C435" s="18" t="s">
        <v>7860</v>
      </c>
      <c r="D435" s="18">
        <v>7073662274</v>
      </c>
      <c r="E435" s="18" t="s">
        <v>6692</v>
      </c>
      <c r="F435" s="18" t="s">
        <v>6659</v>
      </c>
      <c r="G435" s="18" t="s">
        <v>7861</v>
      </c>
      <c r="H435" s="18" t="s">
        <v>6671</v>
      </c>
      <c r="I435" s="18" t="s">
        <v>6662</v>
      </c>
    </row>
    <row r="436" spans="1:9">
      <c r="A436" s="16" t="s">
        <v>383</v>
      </c>
      <c r="B436" s="16" t="s">
        <v>7862</v>
      </c>
      <c r="C436" s="16" t="s">
        <v>7863</v>
      </c>
      <c r="D436" s="16">
        <v>8496763915</v>
      </c>
      <c r="E436" s="16" t="s">
        <v>6658</v>
      </c>
      <c r="F436" s="16" t="s">
        <v>6659</v>
      </c>
      <c r="G436" s="16" t="s">
        <v>6799</v>
      </c>
      <c r="H436" s="16" t="s">
        <v>6686</v>
      </c>
      <c r="I436" s="16" t="s">
        <v>6662</v>
      </c>
    </row>
    <row r="437" spans="1:9">
      <c r="A437" s="18" t="s">
        <v>2096</v>
      </c>
      <c r="B437" s="18" t="s">
        <v>7864</v>
      </c>
      <c r="C437" s="18" t="s">
        <v>7865</v>
      </c>
      <c r="D437" s="18">
        <v>914889000583</v>
      </c>
      <c r="E437" s="18" t="s">
        <v>6674</v>
      </c>
      <c r="F437" s="18" t="s">
        <v>6659</v>
      </c>
      <c r="G437" s="18" t="s">
        <v>7866</v>
      </c>
      <c r="H437" s="18" t="s">
        <v>6686</v>
      </c>
      <c r="I437" s="18" t="s">
        <v>6712</v>
      </c>
    </row>
    <row r="438" spans="1:9">
      <c r="A438" s="16" t="s">
        <v>1033</v>
      </c>
      <c r="B438" s="16" t="s">
        <v>7867</v>
      </c>
      <c r="C438" s="16" t="s">
        <v>7868</v>
      </c>
      <c r="D438" s="16">
        <v>912581663538</v>
      </c>
      <c r="E438" s="16" t="s">
        <v>6710</v>
      </c>
      <c r="F438" s="16" t="s">
        <v>6659</v>
      </c>
      <c r="G438" s="16" t="s">
        <v>7869</v>
      </c>
      <c r="H438" s="16" t="s">
        <v>6661</v>
      </c>
      <c r="I438" s="16" t="s">
        <v>6662</v>
      </c>
    </row>
    <row r="439" spans="1:9">
      <c r="A439" s="18" t="s">
        <v>2082</v>
      </c>
      <c r="B439" s="18" t="s">
        <v>7870</v>
      </c>
      <c r="C439" s="18" t="s">
        <v>7871</v>
      </c>
      <c r="D439" s="18">
        <v>6412726879</v>
      </c>
      <c r="E439" s="18" t="s">
        <v>6706</v>
      </c>
      <c r="F439" s="18" t="s">
        <v>6659</v>
      </c>
      <c r="G439" s="18" t="s">
        <v>7872</v>
      </c>
      <c r="H439" s="18" t="s">
        <v>6686</v>
      </c>
      <c r="I439" s="18" t="s">
        <v>6662</v>
      </c>
    </row>
    <row r="440" spans="1:9">
      <c r="A440" s="16" t="s">
        <v>1018</v>
      </c>
      <c r="B440" s="16" t="s">
        <v>7873</v>
      </c>
      <c r="C440" s="16" t="s">
        <v>7874</v>
      </c>
      <c r="D440" s="16">
        <v>6009703688</v>
      </c>
      <c r="E440" s="16" t="s">
        <v>6669</v>
      </c>
      <c r="F440" s="16" t="s">
        <v>6659</v>
      </c>
      <c r="G440" s="16" t="s">
        <v>6774</v>
      </c>
      <c r="H440" s="16" t="s">
        <v>6661</v>
      </c>
      <c r="I440" s="16" t="s">
        <v>6662</v>
      </c>
    </row>
    <row r="441" spans="1:9">
      <c r="A441" s="18" t="s">
        <v>2681</v>
      </c>
      <c r="B441" s="18" t="s">
        <v>7875</v>
      </c>
      <c r="C441" s="18" t="s">
        <v>7876</v>
      </c>
      <c r="D441" s="18">
        <v>9200547128</v>
      </c>
      <c r="E441" s="18" t="s">
        <v>6715</v>
      </c>
      <c r="F441" s="18" t="s">
        <v>6659</v>
      </c>
      <c r="G441" s="18" t="s">
        <v>7008</v>
      </c>
      <c r="H441" s="18" t="s">
        <v>6671</v>
      </c>
      <c r="I441" s="18" t="s">
        <v>6662</v>
      </c>
    </row>
    <row r="442" spans="1:9">
      <c r="A442" s="16" t="s">
        <v>4375</v>
      </c>
      <c r="B442" s="16" t="s">
        <v>7877</v>
      </c>
      <c r="C442" s="16" t="s">
        <v>7878</v>
      </c>
      <c r="D442" s="16">
        <v>1844043330</v>
      </c>
      <c r="E442" s="16" t="s">
        <v>6752</v>
      </c>
      <c r="F442" s="16" t="s">
        <v>6659</v>
      </c>
      <c r="G442" s="16" t="s">
        <v>7879</v>
      </c>
      <c r="H442" s="16" t="s">
        <v>6671</v>
      </c>
      <c r="I442" s="16" t="s">
        <v>6662</v>
      </c>
    </row>
    <row r="443" spans="1:9">
      <c r="A443" s="18" t="s">
        <v>883</v>
      </c>
      <c r="B443" s="18" t="s">
        <v>7880</v>
      </c>
      <c r="C443" s="18" t="s">
        <v>7881</v>
      </c>
      <c r="D443" s="18">
        <v>919196370693</v>
      </c>
      <c r="E443" s="18" t="s">
        <v>6752</v>
      </c>
      <c r="F443" s="18" t="s">
        <v>6659</v>
      </c>
      <c r="G443" s="18" t="s">
        <v>7882</v>
      </c>
      <c r="H443" s="18" t="s">
        <v>6661</v>
      </c>
      <c r="I443" s="18" t="s">
        <v>6712</v>
      </c>
    </row>
    <row r="444" spans="1:9">
      <c r="A444" s="16" t="s">
        <v>3055</v>
      </c>
      <c r="B444" s="16" t="s">
        <v>7883</v>
      </c>
      <c r="C444" s="16" t="s">
        <v>7884</v>
      </c>
      <c r="D444" s="16">
        <v>5712981464</v>
      </c>
      <c r="E444" s="16" t="s">
        <v>6696</v>
      </c>
      <c r="F444" s="16" t="s">
        <v>6659</v>
      </c>
      <c r="G444" s="16" t="s">
        <v>7885</v>
      </c>
      <c r="H444" s="16" t="s">
        <v>6671</v>
      </c>
      <c r="I444" s="16" t="s">
        <v>6662</v>
      </c>
    </row>
    <row r="445" spans="1:9">
      <c r="A445" s="18" t="s">
        <v>4307</v>
      </c>
      <c r="B445" s="18" t="s">
        <v>7886</v>
      </c>
      <c r="C445" s="18" t="s">
        <v>7887</v>
      </c>
      <c r="D445" s="18">
        <v>7680365281</v>
      </c>
      <c r="E445" s="18" t="s">
        <v>6802</v>
      </c>
      <c r="F445" s="18" t="s">
        <v>6659</v>
      </c>
      <c r="G445" s="18" t="s">
        <v>6929</v>
      </c>
      <c r="H445" s="18" t="s">
        <v>6661</v>
      </c>
      <c r="I445" s="18" t="s">
        <v>6662</v>
      </c>
    </row>
    <row r="446" spans="1:9">
      <c r="A446" s="16" t="s">
        <v>1740</v>
      </c>
      <c r="B446" s="16" t="s">
        <v>7888</v>
      </c>
      <c r="C446" s="16" t="s">
        <v>7889</v>
      </c>
      <c r="D446" s="16">
        <v>913578465318</v>
      </c>
      <c r="E446" s="16" t="s">
        <v>6752</v>
      </c>
      <c r="F446" s="16" t="s">
        <v>6659</v>
      </c>
      <c r="G446" s="16" t="s">
        <v>7890</v>
      </c>
      <c r="H446" s="16" t="s">
        <v>6671</v>
      </c>
      <c r="I446" s="16" t="s">
        <v>6662</v>
      </c>
    </row>
    <row r="447" spans="1:9">
      <c r="A447" s="18" t="s">
        <v>1807</v>
      </c>
      <c r="B447" s="18" t="s">
        <v>7891</v>
      </c>
      <c r="C447" s="18" t="s">
        <v>7892</v>
      </c>
      <c r="D447" s="18">
        <v>918904722046</v>
      </c>
      <c r="E447" s="18" t="s">
        <v>6696</v>
      </c>
      <c r="F447" s="18" t="s">
        <v>6659</v>
      </c>
      <c r="G447" s="18" t="s">
        <v>7893</v>
      </c>
      <c r="H447" s="18" t="s">
        <v>6686</v>
      </c>
      <c r="I447" s="18" t="s">
        <v>6712</v>
      </c>
    </row>
    <row r="448" spans="1:9">
      <c r="A448" s="16" t="s">
        <v>2195</v>
      </c>
      <c r="B448" s="16" t="s">
        <v>7894</v>
      </c>
      <c r="C448" s="16" t="s">
        <v>7895</v>
      </c>
      <c r="D448" s="16">
        <v>657097968</v>
      </c>
      <c r="E448" s="16" t="s">
        <v>6706</v>
      </c>
      <c r="F448" s="16" t="s">
        <v>6659</v>
      </c>
      <c r="G448" s="16" t="s">
        <v>7896</v>
      </c>
      <c r="H448" s="16" t="s">
        <v>6686</v>
      </c>
      <c r="I448" s="16" t="s">
        <v>6662</v>
      </c>
    </row>
    <row r="449" spans="1:9">
      <c r="A449" s="18" t="s">
        <v>657</v>
      </c>
      <c r="B449" s="18" t="s">
        <v>7897</v>
      </c>
      <c r="C449" s="18" t="s">
        <v>7898</v>
      </c>
      <c r="D449" s="18">
        <v>913880545032</v>
      </c>
      <c r="E449" s="18" t="s">
        <v>6710</v>
      </c>
      <c r="F449" s="18" t="s">
        <v>6659</v>
      </c>
      <c r="G449" s="18" t="s">
        <v>7432</v>
      </c>
      <c r="H449" s="18" t="s">
        <v>6671</v>
      </c>
      <c r="I449" s="18" t="s">
        <v>6662</v>
      </c>
    </row>
    <row r="450" spans="1:9">
      <c r="A450" s="16" t="s">
        <v>368</v>
      </c>
      <c r="B450" s="16" t="s">
        <v>7899</v>
      </c>
      <c r="C450" s="16" t="s">
        <v>7900</v>
      </c>
      <c r="D450" s="16">
        <v>912530237689</v>
      </c>
      <c r="E450" s="16" t="s">
        <v>6658</v>
      </c>
      <c r="F450" s="16" t="s">
        <v>6659</v>
      </c>
      <c r="G450" s="16" t="s">
        <v>7901</v>
      </c>
      <c r="H450" s="16" t="s">
        <v>6671</v>
      </c>
      <c r="I450" s="16" t="s">
        <v>6662</v>
      </c>
    </row>
    <row r="451" spans="1:9">
      <c r="A451" s="18" t="s">
        <v>357</v>
      </c>
      <c r="B451" s="18" t="s">
        <v>7902</v>
      </c>
      <c r="C451" s="18" t="s">
        <v>7903</v>
      </c>
      <c r="D451" s="18">
        <v>914620922829</v>
      </c>
      <c r="E451" s="18" t="s">
        <v>6692</v>
      </c>
      <c r="F451" s="18" t="s">
        <v>6659</v>
      </c>
      <c r="G451" s="18" t="s">
        <v>7904</v>
      </c>
      <c r="H451" s="18" t="s">
        <v>6671</v>
      </c>
      <c r="I451" s="18" t="s">
        <v>6712</v>
      </c>
    </row>
    <row r="452" spans="1:9">
      <c r="A452" s="16" t="s">
        <v>1173</v>
      </c>
      <c r="B452" s="16" t="s">
        <v>7905</v>
      </c>
      <c r="C452" s="16" t="s">
        <v>7906</v>
      </c>
      <c r="D452" s="16">
        <v>9303457449</v>
      </c>
      <c r="E452" s="16" t="s">
        <v>6802</v>
      </c>
      <c r="F452" s="16" t="s">
        <v>6659</v>
      </c>
      <c r="G452" s="16" t="s">
        <v>7907</v>
      </c>
      <c r="H452" s="16" t="s">
        <v>6686</v>
      </c>
      <c r="I452" s="16" t="s">
        <v>6662</v>
      </c>
    </row>
    <row r="453" spans="1:9">
      <c r="A453" s="18" t="s">
        <v>2865</v>
      </c>
      <c r="B453" s="18" t="s">
        <v>7908</v>
      </c>
      <c r="C453" s="18" t="s">
        <v>7909</v>
      </c>
      <c r="D453" s="18">
        <v>910363828418</v>
      </c>
      <c r="E453" s="18" t="s">
        <v>6802</v>
      </c>
      <c r="F453" s="18" t="s">
        <v>6659</v>
      </c>
      <c r="G453" s="18" t="s">
        <v>7488</v>
      </c>
      <c r="H453" s="18" t="s">
        <v>6686</v>
      </c>
      <c r="I453" s="18" t="s">
        <v>6662</v>
      </c>
    </row>
    <row r="454" spans="1:9">
      <c r="A454" s="16" t="s">
        <v>1651</v>
      </c>
      <c r="B454" s="16" t="s">
        <v>7910</v>
      </c>
      <c r="C454" s="16" t="s">
        <v>7911</v>
      </c>
      <c r="D454" s="16">
        <v>2067329561</v>
      </c>
      <c r="E454" s="16" t="s">
        <v>6669</v>
      </c>
      <c r="F454" s="16" t="s">
        <v>6659</v>
      </c>
      <c r="G454" s="16" t="s">
        <v>6753</v>
      </c>
      <c r="H454" s="16" t="s">
        <v>6671</v>
      </c>
      <c r="I454" s="16" t="s">
        <v>6662</v>
      </c>
    </row>
    <row r="455" spans="1:9">
      <c r="A455" s="18" t="s">
        <v>2306</v>
      </c>
      <c r="B455" s="18" t="s">
        <v>7912</v>
      </c>
      <c r="C455" s="18" t="s">
        <v>7913</v>
      </c>
      <c r="D455" s="18">
        <v>5915068675</v>
      </c>
      <c r="E455" s="18" t="s">
        <v>6669</v>
      </c>
      <c r="F455" s="18" t="s">
        <v>6659</v>
      </c>
      <c r="G455" s="18" t="s">
        <v>7378</v>
      </c>
      <c r="H455" s="18" t="s">
        <v>6661</v>
      </c>
      <c r="I455" s="18" t="s">
        <v>6662</v>
      </c>
    </row>
    <row r="456" spans="1:9">
      <c r="A456" s="16" t="s">
        <v>165</v>
      </c>
      <c r="B456" s="16" t="s">
        <v>7914</v>
      </c>
      <c r="C456" s="16" t="s">
        <v>7915</v>
      </c>
      <c r="D456" s="16">
        <v>915086733197</v>
      </c>
      <c r="E456" s="16" t="s">
        <v>6710</v>
      </c>
      <c r="F456" s="16" t="s">
        <v>6659</v>
      </c>
      <c r="G456" s="16" t="s">
        <v>7477</v>
      </c>
      <c r="H456" s="16" t="s">
        <v>6686</v>
      </c>
      <c r="I456" s="16" t="s">
        <v>6712</v>
      </c>
    </row>
    <row r="457" spans="1:9">
      <c r="A457" s="18" t="s">
        <v>2490</v>
      </c>
      <c r="B457" s="18" t="s">
        <v>7916</v>
      </c>
      <c r="C457" s="18" t="s">
        <v>7917</v>
      </c>
      <c r="D457" s="18">
        <v>6509347215</v>
      </c>
      <c r="E457" s="18" t="s">
        <v>6669</v>
      </c>
      <c r="F457" s="18" t="s">
        <v>6659</v>
      </c>
      <c r="G457" s="18" t="s">
        <v>7409</v>
      </c>
      <c r="H457" s="18" t="s">
        <v>6671</v>
      </c>
      <c r="I457" s="18" t="s">
        <v>6712</v>
      </c>
    </row>
    <row r="458" spans="1:9">
      <c r="A458" s="16" t="s">
        <v>187</v>
      </c>
      <c r="B458" s="16" t="s">
        <v>7918</v>
      </c>
      <c r="C458" s="16" t="s">
        <v>7919</v>
      </c>
      <c r="D458" s="16">
        <v>912996323504</v>
      </c>
      <c r="E458" s="16" t="s">
        <v>6658</v>
      </c>
      <c r="F458" s="16" t="s">
        <v>6659</v>
      </c>
      <c r="G458" s="16" t="s">
        <v>7683</v>
      </c>
      <c r="H458" s="16" t="s">
        <v>6671</v>
      </c>
      <c r="I458" s="16" t="s">
        <v>6662</v>
      </c>
    </row>
    <row r="459" spans="1:9">
      <c r="A459" s="18" t="s">
        <v>545</v>
      </c>
      <c r="B459" s="18" t="s">
        <v>7920</v>
      </c>
      <c r="C459" s="18" t="s">
        <v>7921</v>
      </c>
      <c r="D459" s="18">
        <v>917146279892</v>
      </c>
      <c r="E459" s="18" t="s">
        <v>6696</v>
      </c>
      <c r="F459" s="18" t="s">
        <v>6659</v>
      </c>
      <c r="G459" s="18" t="s">
        <v>6799</v>
      </c>
      <c r="H459" s="18" t="s">
        <v>6661</v>
      </c>
      <c r="I459" s="18" t="s">
        <v>6662</v>
      </c>
    </row>
    <row r="460" spans="1:9">
      <c r="A460" s="16" t="s">
        <v>1295</v>
      </c>
      <c r="B460" s="16" t="s">
        <v>7922</v>
      </c>
      <c r="C460" s="16" t="s">
        <v>7923</v>
      </c>
      <c r="D460" s="16">
        <v>2391253328</v>
      </c>
      <c r="E460" s="16" t="s">
        <v>6665</v>
      </c>
      <c r="F460" s="16" t="s">
        <v>6659</v>
      </c>
      <c r="G460" s="16" t="s">
        <v>7924</v>
      </c>
      <c r="H460" s="16" t="s">
        <v>6686</v>
      </c>
      <c r="I460" s="16" t="s">
        <v>6712</v>
      </c>
    </row>
    <row r="461" spans="1:9">
      <c r="A461" s="18" t="s">
        <v>1469</v>
      </c>
      <c r="B461" s="18" t="s">
        <v>7925</v>
      </c>
      <c r="C461" s="18" t="s">
        <v>7926</v>
      </c>
      <c r="D461" s="18">
        <v>910743536193</v>
      </c>
      <c r="E461" s="18" t="s">
        <v>6665</v>
      </c>
      <c r="F461" s="18" t="s">
        <v>6659</v>
      </c>
      <c r="G461" s="18" t="s">
        <v>6818</v>
      </c>
      <c r="H461" s="18" t="s">
        <v>6661</v>
      </c>
      <c r="I461" s="18" t="s">
        <v>6712</v>
      </c>
    </row>
    <row r="462" spans="1:9">
      <c r="A462" s="16" t="s">
        <v>530</v>
      </c>
      <c r="B462" s="16" t="s">
        <v>7927</v>
      </c>
      <c r="C462" s="16" t="s">
        <v>7928</v>
      </c>
      <c r="D462" s="16">
        <v>919006682374</v>
      </c>
      <c r="E462" s="16" t="s">
        <v>6658</v>
      </c>
      <c r="F462" s="16" t="s">
        <v>6659</v>
      </c>
      <c r="G462" s="16" t="s">
        <v>6898</v>
      </c>
      <c r="H462" s="16" t="s">
        <v>6686</v>
      </c>
      <c r="I462" s="16" t="s">
        <v>6712</v>
      </c>
    </row>
    <row r="463" spans="1:9">
      <c r="A463" s="18" t="s">
        <v>554</v>
      </c>
      <c r="B463" s="18" t="s">
        <v>7929</v>
      </c>
      <c r="C463" s="18" t="s">
        <v>7930</v>
      </c>
      <c r="D463" s="18">
        <v>3061306324</v>
      </c>
      <c r="E463" s="18" t="s">
        <v>6678</v>
      </c>
      <c r="F463" s="18" t="s">
        <v>6659</v>
      </c>
      <c r="G463" s="18" t="s">
        <v>7305</v>
      </c>
      <c r="H463" s="18" t="s">
        <v>6671</v>
      </c>
      <c r="I463" s="18" t="s">
        <v>6712</v>
      </c>
    </row>
    <row r="464" spans="1:9">
      <c r="A464" s="16" t="s">
        <v>974</v>
      </c>
      <c r="B464" s="16" t="s">
        <v>7931</v>
      </c>
      <c r="C464" s="16" t="s">
        <v>7932</v>
      </c>
      <c r="D464" s="16">
        <v>914170035956</v>
      </c>
      <c r="E464" s="16" t="s">
        <v>6678</v>
      </c>
      <c r="F464" s="16" t="s">
        <v>6659</v>
      </c>
      <c r="G464" s="16" t="s">
        <v>7933</v>
      </c>
      <c r="H464" s="16" t="s">
        <v>6661</v>
      </c>
      <c r="I464" s="16" t="s">
        <v>6662</v>
      </c>
    </row>
    <row r="465" spans="1:9">
      <c r="A465" s="18" t="s">
        <v>279</v>
      </c>
      <c r="B465" s="18" t="s">
        <v>7934</v>
      </c>
      <c r="C465" s="18" t="s">
        <v>7935</v>
      </c>
      <c r="D465" s="18">
        <v>7036867569</v>
      </c>
      <c r="E465" s="18" t="s">
        <v>6715</v>
      </c>
      <c r="F465" s="18" t="s">
        <v>6659</v>
      </c>
      <c r="G465" s="18" t="s">
        <v>7591</v>
      </c>
      <c r="H465" s="18" t="s">
        <v>6661</v>
      </c>
      <c r="I465" s="18" t="s">
        <v>6662</v>
      </c>
    </row>
    <row r="466" spans="1:9">
      <c r="A466" s="16" t="s">
        <v>2469</v>
      </c>
      <c r="B466" s="16" t="s">
        <v>7936</v>
      </c>
      <c r="C466" s="16" t="s">
        <v>7937</v>
      </c>
      <c r="D466" s="16">
        <v>1655511497</v>
      </c>
      <c r="E466" s="16" t="s">
        <v>6802</v>
      </c>
      <c r="F466" s="16" t="s">
        <v>6659</v>
      </c>
      <c r="G466" s="16" t="s">
        <v>7938</v>
      </c>
      <c r="H466" s="16" t="s">
        <v>6661</v>
      </c>
      <c r="I466" s="16" t="s">
        <v>6712</v>
      </c>
    </row>
    <row r="467" spans="1:9">
      <c r="A467" s="18" t="s">
        <v>1214</v>
      </c>
      <c r="B467" s="18" t="s">
        <v>7939</v>
      </c>
      <c r="C467" s="18" t="s">
        <v>7940</v>
      </c>
      <c r="D467" s="18">
        <v>490684213</v>
      </c>
      <c r="E467" s="18" t="s">
        <v>6715</v>
      </c>
      <c r="F467" s="18" t="s">
        <v>6659</v>
      </c>
      <c r="G467" s="18" t="s">
        <v>6972</v>
      </c>
      <c r="H467" s="18" t="s">
        <v>6661</v>
      </c>
      <c r="I467" s="18" t="s">
        <v>6662</v>
      </c>
    </row>
    <row r="468" spans="1:9">
      <c r="A468" s="16" t="s">
        <v>1933</v>
      </c>
      <c r="B468" s="16" t="s">
        <v>7941</v>
      </c>
      <c r="C468" s="16" t="s">
        <v>7942</v>
      </c>
      <c r="D468" s="16">
        <v>2113687282</v>
      </c>
      <c r="E468" s="16" t="s">
        <v>6706</v>
      </c>
      <c r="F468" s="16" t="s">
        <v>6659</v>
      </c>
      <c r="G468" s="16" t="s">
        <v>7691</v>
      </c>
      <c r="H468" s="16" t="s">
        <v>6686</v>
      </c>
      <c r="I468" s="16" t="s">
        <v>6662</v>
      </c>
    </row>
    <row r="469" spans="1:9">
      <c r="A469" s="18" t="s">
        <v>2109</v>
      </c>
      <c r="B469" s="18" t="s">
        <v>7943</v>
      </c>
      <c r="C469" s="18" t="s">
        <v>7944</v>
      </c>
      <c r="D469" s="18">
        <v>914940265910</v>
      </c>
      <c r="E469" s="18" t="s">
        <v>6752</v>
      </c>
      <c r="F469" s="18" t="s">
        <v>6659</v>
      </c>
      <c r="G469" s="18" t="s">
        <v>7678</v>
      </c>
      <c r="H469" s="18" t="s">
        <v>6671</v>
      </c>
      <c r="I469" s="18" t="s">
        <v>6662</v>
      </c>
    </row>
    <row r="470" spans="1:9">
      <c r="A470" s="16" t="s">
        <v>299</v>
      </c>
      <c r="B470" s="16" t="s">
        <v>7945</v>
      </c>
      <c r="C470" s="16" t="s">
        <v>7946</v>
      </c>
      <c r="D470" s="16">
        <v>6820813264</v>
      </c>
      <c r="E470" s="16" t="s">
        <v>6752</v>
      </c>
      <c r="F470" s="16" t="s">
        <v>6659</v>
      </c>
      <c r="G470" s="16" t="s">
        <v>7947</v>
      </c>
      <c r="H470" s="16" t="s">
        <v>6661</v>
      </c>
      <c r="I470" s="16" t="s">
        <v>6662</v>
      </c>
    </row>
    <row r="471" spans="1:9">
      <c r="A471" s="18" t="s">
        <v>2286</v>
      </c>
      <c r="B471" s="18" t="s">
        <v>7948</v>
      </c>
      <c r="C471" s="18" t="s">
        <v>7949</v>
      </c>
      <c r="D471" s="18">
        <v>3702284118</v>
      </c>
      <c r="E471" s="18" t="s">
        <v>6752</v>
      </c>
      <c r="F471" s="18" t="s">
        <v>6659</v>
      </c>
      <c r="G471" s="18" t="s">
        <v>7950</v>
      </c>
      <c r="H471" s="18" t="s">
        <v>6661</v>
      </c>
      <c r="I471" s="18" t="s">
        <v>6662</v>
      </c>
    </row>
    <row r="472" spans="1:9">
      <c r="A472" s="16" t="s">
        <v>977</v>
      </c>
      <c r="B472" s="16" t="s">
        <v>7951</v>
      </c>
      <c r="C472" s="16" t="s">
        <v>7952</v>
      </c>
      <c r="D472" s="16">
        <v>2849332978</v>
      </c>
      <c r="E472" s="16" t="s">
        <v>6752</v>
      </c>
      <c r="F472" s="16" t="s">
        <v>6659</v>
      </c>
      <c r="G472" s="16" t="s">
        <v>7953</v>
      </c>
      <c r="H472" s="16" t="s">
        <v>6686</v>
      </c>
      <c r="I472" s="16" t="s">
        <v>6712</v>
      </c>
    </row>
    <row r="473" spans="1:9">
      <c r="A473" s="18" t="s">
        <v>605</v>
      </c>
      <c r="B473" s="18" t="s">
        <v>7954</v>
      </c>
      <c r="C473" s="18" t="s">
        <v>7955</v>
      </c>
      <c r="D473" s="18">
        <v>911786772348</v>
      </c>
      <c r="E473" s="18" t="s">
        <v>6706</v>
      </c>
      <c r="F473" s="18" t="s">
        <v>6659</v>
      </c>
      <c r="G473" s="18" t="s">
        <v>7956</v>
      </c>
      <c r="H473" s="18" t="s">
        <v>6671</v>
      </c>
      <c r="I473" s="18" t="s">
        <v>6662</v>
      </c>
    </row>
    <row r="474" spans="1:9">
      <c r="A474" s="16" t="s">
        <v>935</v>
      </c>
      <c r="B474" s="16" t="s">
        <v>7957</v>
      </c>
      <c r="C474" s="16" t="s">
        <v>7958</v>
      </c>
      <c r="D474" s="16">
        <v>7029767509</v>
      </c>
      <c r="E474" s="16" t="s">
        <v>6665</v>
      </c>
      <c r="F474" s="16" t="s">
        <v>6659</v>
      </c>
      <c r="G474" s="16" t="s">
        <v>6975</v>
      </c>
      <c r="H474" s="16" t="s">
        <v>6671</v>
      </c>
      <c r="I474" s="16" t="s">
        <v>6662</v>
      </c>
    </row>
    <row r="475" spans="1:9">
      <c r="A475" s="18" t="s">
        <v>893</v>
      </c>
      <c r="B475" s="18" t="s">
        <v>7959</v>
      </c>
      <c r="C475" s="18" t="s">
        <v>7960</v>
      </c>
      <c r="D475" s="18">
        <v>5008991481</v>
      </c>
      <c r="E475" s="18" t="s">
        <v>6674</v>
      </c>
      <c r="F475" s="18" t="s">
        <v>6659</v>
      </c>
      <c r="G475" s="18" t="s">
        <v>7391</v>
      </c>
      <c r="H475" s="18" t="s">
        <v>6671</v>
      </c>
      <c r="I475" s="18" t="s">
        <v>6662</v>
      </c>
    </row>
    <row r="476" spans="1:9">
      <c r="A476" s="16" t="s">
        <v>863</v>
      </c>
      <c r="B476" s="16" t="s">
        <v>7961</v>
      </c>
      <c r="C476" s="16" t="s">
        <v>7962</v>
      </c>
      <c r="D476" s="16">
        <v>5117261150</v>
      </c>
      <c r="E476" s="16" t="s">
        <v>6678</v>
      </c>
      <c r="F476" s="16" t="s">
        <v>6659</v>
      </c>
      <c r="G476" s="16" t="s">
        <v>7616</v>
      </c>
      <c r="H476" s="16" t="s">
        <v>6661</v>
      </c>
      <c r="I476" s="16" t="s">
        <v>6662</v>
      </c>
    </row>
    <row r="477" spans="1:9">
      <c r="A477" s="18" t="s">
        <v>1111</v>
      </c>
      <c r="B477" s="18" t="s">
        <v>7963</v>
      </c>
      <c r="C477" s="18" t="s">
        <v>7964</v>
      </c>
      <c r="D477" s="18">
        <v>910245508643</v>
      </c>
      <c r="E477" s="18" t="s">
        <v>6658</v>
      </c>
      <c r="F477" s="18" t="s">
        <v>6659</v>
      </c>
      <c r="G477" s="18" t="s">
        <v>7965</v>
      </c>
      <c r="H477" s="18" t="s">
        <v>6686</v>
      </c>
      <c r="I477" s="18" t="s">
        <v>6662</v>
      </c>
    </row>
    <row r="478" spans="1:9">
      <c r="A478" s="16" t="s">
        <v>406</v>
      </c>
      <c r="B478" s="16" t="s">
        <v>7966</v>
      </c>
      <c r="C478" s="16" t="s">
        <v>7967</v>
      </c>
      <c r="D478" s="16">
        <v>1776951232</v>
      </c>
      <c r="E478" s="16" t="s">
        <v>6692</v>
      </c>
      <c r="F478" s="16" t="s">
        <v>6659</v>
      </c>
      <c r="G478" s="16" t="s">
        <v>7968</v>
      </c>
      <c r="H478" s="16" t="s">
        <v>6686</v>
      </c>
      <c r="I478" s="16" t="s">
        <v>6712</v>
      </c>
    </row>
    <row r="479" spans="1:9">
      <c r="A479" s="18" t="s">
        <v>1911</v>
      </c>
      <c r="B479" s="18" t="s">
        <v>7969</v>
      </c>
      <c r="C479" s="18" t="s">
        <v>7970</v>
      </c>
      <c r="D479" s="18">
        <v>915311285250</v>
      </c>
      <c r="E479" s="18" t="s">
        <v>6706</v>
      </c>
      <c r="F479" s="18" t="s">
        <v>6659</v>
      </c>
      <c r="G479" s="18" t="s">
        <v>7971</v>
      </c>
      <c r="H479" s="18" t="s">
        <v>6661</v>
      </c>
      <c r="I479" s="18" t="s">
        <v>6712</v>
      </c>
    </row>
    <row r="480" spans="1:9">
      <c r="A480" s="16" t="s">
        <v>243</v>
      </c>
      <c r="B480" s="16" t="s">
        <v>7972</v>
      </c>
      <c r="C480" s="16" t="s">
        <v>7973</v>
      </c>
      <c r="D480" s="16">
        <v>914071472190</v>
      </c>
      <c r="E480" s="16" t="s">
        <v>6752</v>
      </c>
      <c r="F480" s="16" t="s">
        <v>6659</v>
      </c>
      <c r="G480" s="16" t="s">
        <v>7832</v>
      </c>
      <c r="H480" s="16" t="s">
        <v>6686</v>
      </c>
      <c r="I480" s="16" t="s">
        <v>6712</v>
      </c>
    </row>
    <row r="481" spans="1:9">
      <c r="A481" s="18" t="s">
        <v>148</v>
      </c>
      <c r="B481" s="18" t="s">
        <v>7974</v>
      </c>
      <c r="C481" s="18" t="s">
        <v>7975</v>
      </c>
      <c r="D481" s="18">
        <v>4160094821</v>
      </c>
      <c r="E481" s="18" t="s">
        <v>6674</v>
      </c>
      <c r="F481" s="18" t="s">
        <v>6659</v>
      </c>
      <c r="G481" s="18" t="s">
        <v>7148</v>
      </c>
      <c r="H481" s="18" t="s">
        <v>6686</v>
      </c>
      <c r="I481" s="18" t="s">
        <v>6662</v>
      </c>
    </row>
    <row r="482" spans="1:9">
      <c r="A482" s="16" t="s">
        <v>1663</v>
      </c>
      <c r="B482" s="16" t="s">
        <v>7976</v>
      </c>
      <c r="C482" s="16" t="s">
        <v>7977</v>
      </c>
      <c r="D482" s="16">
        <v>4502859077</v>
      </c>
      <c r="E482" s="16" t="s">
        <v>6706</v>
      </c>
      <c r="F482" s="16" t="s">
        <v>6659</v>
      </c>
      <c r="G482" s="16" t="s">
        <v>6999</v>
      </c>
      <c r="H482" s="16" t="s">
        <v>6661</v>
      </c>
      <c r="I482" s="16" t="s">
        <v>6662</v>
      </c>
    </row>
    <row r="483" spans="1:9">
      <c r="A483" s="18" t="s">
        <v>2736</v>
      </c>
      <c r="B483" s="18" t="s">
        <v>7978</v>
      </c>
      <c r="C483" s="18" t="s">
        <v>7979</v>
      </c>
      <c r="D483" s="18">
        <v>914149710227</v>
      </c>
      <c r="E483" s="18" t="s">
        <v>6696</v>
      </c>
      <c r="F483" s="18" t="s">
        <v>6659</v>
      </c>
      <c r="G483" s="18" t="s">
        <v>7031</v>
      </c>
      <c r="H483" s="18" t="s">
        <v>6661</v>
      </c>
      <c r="I483" s="18" t="s">
        <v>6712</v>
      </c>
    </row>
    <row r="484" spans="1:9">
      <c r="A484" s="16" t="s">
        <v>1168</v>
      </c>
      <c r="B484" s="16" t="s">
        <v>7980</v>
      </c>
      <c r="C484" s="16" t="s">
        <v>7981</v>
      </c>
      <c r="D484" s="16">
        <v>2126789000</v>
      </c>
      <c r="E484" s="16" t="s">
        <v>6696</v>
      </c>
      <c r="F484" s="16" t="s">
        <v>6659</v>
      </c>
      <c r="G484" s="16" t="s">
        <v>7982</v>
      </c>
      <c r="H484" s="16" t="s">
        <v>6661</v>
      </c>
      <c r="I484" s="16" t="s">
        <v>6662</v>
      </c>
    </row>
    <row r="485" spans="1:9">
      <c r="A485" s="18" t="s">
        <v>1679</v>
      </c>
      <c r="B485" s="18" t="s">
        <v>7983</v>
      </c>
      <c r="C485" s="18" t="s">
        <v>7984</v>
      </c>
      <c r="D485" s="18">
        <v>5683389912</v>
      </c>
      <c r="E485" s="18" t="s">
        <v>6752</v>
      </c>
      <c r="F485" s="18" t="s">
        <v>6659</v>
      </c>
      <c r="G485" s="18" t="s">
        <v>7569</v>
      </c>
      <c r="H485" s="18" t="s">
        <v>6671</v>
      </c>
      <c r="I485" s="18" t="s">
        <v>6712</v>
      </c>
    </row>
    <row r="486" spans="1:9">
      <c r="A486" s="16" t="s">
        <v>695</v>
      </c>
      <c r="B486" s="16" t="s">
        <v>7985</v>
      </c>
      <c r="C486" s="16" t="s">
        <v>7986</v>
      </c>
      <c r="D486" s="16">
        <v>7532755423</v>
      </c>
      <c r="E486" s="16" t="s">
        <v>6669</v>
      </c>
      <c r="F486" s="16" t="s">
        <v>6659</v>
      </c>
      <c r="G486" s="16" t="s">
        <v>7987</v>
      </c>
      <c r="H486" s="16" t="s">
        <v>6686</v>
      </c>
      <c r="I486" s="16" t="s">
        <v>6662</v>
      </c>
    </row>
    <row r="487" spans="1:9">
      <c r="A487" s="18" t="s">
        <v>5160</v>
      </c>
      <c r="B487" s="18" t="s">
        <v>7988</v>
      </c>
      <c r="C487" s="18" t="s">
        <v>7989</v>
      </c>
      <c r="D487" s="18">
        <v>918417298674</v>
      </c>
      <c r="E487" s="18" t="s">
        <v>6658</v>
      </c>
      <c r="F487" s="18" t="s">
        <v>6659</v>
      </c>
      <c r="G487" s="18" t="s">
        <v>7990</v>
      </c>
      <c r="H487" s="18" t="s">
        <v>6661</v>
      </c>
      <c r="I487" s="18" t="s">
        <v>6662</v>
      </c>
    </row>
    <row r="488" spans="1:9">
      <c r="A488" s="16" t="s">
        <v>2847</v>
      </c>
      <c r="B488" s="16" t="s">
        <v>7991</v>
      </c>
      <c r="C488" s="16" t="s">
        <v>7992</v>
      </c>
      <c r="D488" s="16">
        <v>1302542264</v>
      </c>
      <c r="E488" s="16" t="s">
        <v>6802</v>
      </c>
      <c r="F488" s="16" t="s">
        <v>6659</v>
      </c>
      <c r="G488" s="16" t="s">
        <v>6984</v>
      </c>
      <c r="H488" s="16" t="s">
        <v>6671</v>
      </c>
      <c r="I488" s="16" t="s">
        <v>6712</v>
      </c>
    </row>
    <row r="489" spans="1:9">
      <c r="A489" s="18" t="s">
        <v>1434</v>
      </c>
      <c r="B489" s="18" t="s">
        <v>7993</v>
      </c>
      <c r="C489" s="18" t="s">
        <v>7994</v>
      </c>
      <c r="D489" s="18">
        <v>6967860171</v>
      </c>
      <c r="E489" s="18" t="s">
        <v>6678</v>
      </c>
      <c r="F489" s="18" t="s">
        <v>6659</v>
      </c>
      <c r="G489" s="18" t="s">
        <v>7995</v>
      </c>
      <c r="H489" s="18" t="s">
        <v>6686</v>
      </c>
      <c r="I489" s="18" t="s">
        <v>6662</v>
      </c>
    </row>
    <row r="490" spans="1:9">
      <c r="A490" s="16" t="s">
        <v>161</v>
      </c>
      <c r="B490" s="16" t="s">
        <v>7996</v>
      </c>
      <c r="C490" s="16" t="s">
        <v>7997</v>
      </c>
      <c r="D490" s="16">
        <v>4052778857</v>
      </c>
      <c r="E490" s="16" t="s">
        <v>6665</v>
      </c>
      <c r="F490" s="16" t="s">
        <v>6659</v>
      </c>
      <c r="G490" s="16" t="s">
        <v>7435</v>
      </c>
      <c r="H490" s="16" t="s">
        <v>6686</v>
      </c>
      <c r="I490" s="16" t="s">
        <v>6662</v>
      </c>
    </row>
    <row r="491" spans="1:9">
      <c r="A491" s="18" t="s">
        <v>1023</v>
      </c>
      <c r="B491" s="18" t="s">
        <v>7998</v>
      </c>
      <c r="C491" s="18" t="s">
        <v>7999</v>
      </c>
      <c r="D491" s="18">
        <v>5509671085</v>
      </c>
      <c r="E491" s="18" t="s">
        <v>6706</v>
      </c>
      <c r="F491" s="18" t="s">
        <v>6659</v>
      </c>
      <c r="G491" s="18" t="s">
        <v>6926</v>
      </c>
      <c r="H491" s="18" t="s">
        <v>6671</v>
      </c>
      <c r="I491" s="18" t="s">
        <v>6712</v>
      </c>
    </row>
    <row r="492" spans="1:9">
      <c r="A492" s="16" t="s">
        <v>1155</v>
      </c>
      <c r="B492" s="16" t="s">
        <v>8000</v>
      </c>
      <c r="C492" s="16" t="s">
        <v>8001</v>
      </c>
      <c r="D492" s="16">
        <v>9180594982</v>
      </c>
      <c r="E492" s="16" t="s">
        <v>6658</v>
      </c>
      <c r="F492" s="16" t="s">
        <v>6659</v>
      </c>
      <c r="G492" s="16" t="s">
        <v>7694</v>
      </c>
      <c r="H492" s="16" t="s">
        <v>6661</v>
      </c>
      <c r="I492" s="16" t="s">
        <v>6712</v>
      </c>
    </row>
    <row r="493" spans="1:9">
      <c r="A493" s="18" t="s">
        <v>1396</v>
      </c>
      <c r="B493" s="18" t="s">
        <v>8002</v>
      </c>
      <c r="C493" s="18" t="s">
        <v>8003</v>
      </c>
      <c r="D493" s="18">
        <v>5337415633</v>
      </c>
      <c r="E493" s="18" t="s">
        <v>6715</v>
      </c>
      <c r="F493" s="18" t="s">
        <v>6659</v>
      </c>
      <c r="G493" s="18" t="s">
        <v>8004</v>
      </c>
      <c r="H493" s="18" t="s">
        <v>6671</v>
      </c>
      <c r="I493" s="18" t="s">
        <v>6662</v>
      </c>
    </row>
    <row r="494" spans="1:9">
      <c r="A494" s="16" t="s">
        <v>900</v>
      </c>
      <c r="B494" s="16" t="s">
        <v>8005</v>
      </c>
      <c r="C494" s="16" t="s">
        <v>8006</v>
      </c>
      <c r="D494" s="16">
        <v>6080349221</v>
      </c>
      <c r="E494" s="16" t="s">
        <v>6715</v>
      </c>
      <c r="F494" s="16" t="s">
        <v>6659</v>
      </c>
      <c r="G494" s="16" t="s">
        <v>7965</v>
      </c>
      <c r="H494" s="16" t="s">
        <v>6661</v>
      </c>
      <c r="I494" s="16" t="s">
        <v>6662</v>
      </c>
    </row>
    <row r="495" spans="1:9">
      <c r="A495" s="18" t="s">
        <v>135</v>
      </c>
      <c r="B495" s="18" t="s">
        <v>8007</v>
      </c>
      <c r="C495" s="18" t="s">
        <v>8008</v>
      </c>
      <c r="D495" s="18">
        <v>3398805701</v>
      </c>
      <c r="E495" s="18" t="s">
        <v>6706</v>
      </c>
      <c r="F495" s="18" t="s">
        <v>6659</v>
      </c>
      <c r="G495" s="18" t="s">
        <v>7451</v>
      </c>
      <c r="H495" s="18" t="s">
        <v>6661</v>
      </c>
      <c r="I495" s="18" t="s">
        <v>6662</v>
      </c>
    </row>
    <row r="496" spans="1:9">
      <c r="A496" s="16" t="s">
        <v>1551</v>
      </c>
      <c r="B496" s="16" t="s">
        <v>8009</v>
      </c>
      <c r="C496" s="16" t="s">
        <v>8010</v>
      </c>
      <c r="D496" s="16">
        <v>1320360744</v>
      </c>
      <c r="E496" s="16" t="s">
        <v>6715</v>
      </c>
      <c r="F496" s="16" t="s">
        <v>6659</v>
      </c>
      <c r="G496" s="16" t="s">
        <v>8011</v>
      </c>
      <c r="H496" s="16" t="s">
        <v>6686</v>
      </c>
      <c r="I496" s="16" t="s">
        <v>6662</v>
      </c>
    </row>
    <row r="497" spans="1:9">
      <c r="A497" s="18" t="s">
        <v>2091</v>
      </c>
      <c r="B497" s="18" t="s">
        <v>8012</v>
      </c>
      <c r="C497" s="18" t="s">
        <v>8013</v>
      </c>
      <c r="D497" s="18">
        <v>5483483907</v>
      </c>
      <c r="E497" s="18" t="s">
        <v>6658</v>
      </c>
      <c r="F497" s="18" t="s">
        <v>6659</v>
      </c>
      <c r="G497" s="18" t="s">
        <v>8014</v>
      </c>
      <c r="H497" s="18" t="s">
        <v>6671</v>
      </c>
      <c r="I497" s="18" t="s">
        <v>6712</v>
      </c>
    </row>
    <row r="498" spans="1:9">
      <c r="A498" s="16" t="s">
        <v>1713</v>
      </c>
      <c r="B498" s="16" t="s">
        <v>8015</v>
      </c>
      <c r="C498" s="16" t="s">
        <v>8016</v>
      </c>
      <c r="D498" s="16">
        <v>7625694900</v>
      </c>
      <c r="E498" s="16" t="s">
        <v>6678</v>
      </c>
      <c r="F498" s="16" t="s">
        <v>6659</v>
      </c>
      <c r="G498" s="16" t="s">
        <v>6911</v>
      </c>
      <c r="H498" s="16" t="s">
        <v>6671</v>
      </c>
      <c r="I498" s="16" t="s">
        <v>6662</v>
      </c>
    </row>
    <row r="499" spans="1:9">
      <c r="A499" s="18" t="s">
        <v>1654</v>
      </c>
      <c r="B499" s="18" t="s">
        <v>8017</v>
      </c>
      <c r="C499" s="18" t="s">
        <v>8018</v>
      </c>
      <c r="D499" s="18">
        <v>6906036317</v>
      </c>
      <c r="E499" s="18" t="s">
        <v>6678</v>
      </c>
      <c r="F499" s="18" t="s">
        <v>6659</v>
      </c>
      <c r="G499" s="18" t="s">
        <v>6799</v>
      </c>
      <c r="H499" s="18" t="s">
        <v>6661</v>
      </c>
      <c r="I499" s="18" t="s">
        <v>6662</v>
      </c>
    </row>
    <row r="500" spans="1:9">
      <c r="A500" s="16" t="s">
        <v>1562</v>
      </c>
      <c r="B500" s="16" t="s">
        <v>8019</v>
      </c>
      <c r="C500" s="16" t="s">
        <v>8020</v>
      </c>
      <c r="D500" s="16">
        <v>990836270</v>
      </c>
      <c r="E500" s="16" t="s">
        <v>6674</v>
      </c>
      <c r="F500" s="16" t="s">
        <v>6659</v>
      </c>
      <c r="G500" s="16" t="s">
        <v>7195</v>
      </c>
      <c r="H500" s="16" t="s">
        <v>6671</v>
      </c>
      <c r="I500" s="16" t="s">
        <v>6662</v>
      </c>
    </row>
    <row r="501" spans="1:9">
      <c r="A501" s="18" t="s">
        <v>2262</v>
      </c>
      <c r="B501" s="18" t="s">
        <v>8021</v>
      </c>
      <c r="C501" s="18" t="s">
        <v>8022</v>
      </c>
      <c r="D501" s="18">
        <v>4273465930</v>
      </c>
      <c r="E501" s="18" t="s">
        <v>6692</v>
      </c>
      <c r="F501" s="18" t="s">
        <v>6659</v>
      </c>
      <c r="G501" s="18" t="s">
        <v>8023</v>
      </c>
      <c r="H501" s="18" t="s">
        <v>6671</v>
      </c>
      <c r="I501" s="18" t="s">
        <v>6662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1"/>
  <sheetViews>
    <sheetView showGridLines="0" zoomScaleNormal="100" workbookViewId="0">
      <pane ySplit="1" topLeftCell="A37" activePane="bottomLeft" state="frozen"/>
      <selection pane="bottomLeft"/>
    </sheetView>
  </sheetViews>
  <sheetFormatPr defaultColWidth="8.7109375" defaultRowHeight="14.45"/>
  <cols>
    <col min="1" max="1" width="10" customWidth="1"/>
    <col min="2" max="2" width="19" customWidth="1"/>
    <col min="3" max="3" width="14" customWidth="1"/>
    <col min="4" max="4" width="17" customWidth="1"/>
    <col min="5" max="6" width="14" customWidth="1"/>
    <col min="7" max="7" width="8" customWidth="1"/>
    <col min="8" max="8" width="18" customWidth="1"/>
    <col min="9" max="9" width="11" customWidth="1"/>
  </cols>
  <sheetData>
    <row r="1" spans="1:9" ht="24.75" customHeight="1">
      <c r="A1" s="22" t="s">
        <v>95</v>
      </c>
      <c r="B1" s="22" t="s">
        <v>8024</v>
      </c>
      <c r="C1" s="22" t="s">
        <v>6650</v>
      </c>
      <c r="D1" s="22" t="s">
        <v>8025</v>
      </c>
      <c r="E1" s="22" t="s">
        <v>8026</v>
      </c>
      <c r="F1" s="22" t="s">
        <v>8027</v>
      </c>
      <c r="G1" s="22" t="s">
        <v>8028</v>
      </c>
      <c r="H1" s="22" t="s">
        <v>8029</v>
      </c>
      <c r="I1" s="22" t="s">
        <v>8030</v>
      </c>
    </row>
    <row r="2" spans="1:9">
      <c r="A2" s="16" t="s">
        <v>304</v>
      </c>
      <c r="B2" s="16" t="s">
        <v>8031</v>
      </c>
      <c r="C2" s="16">
        <v>915568472739</v>
      </c>
      <c r="D2" s="16" t="s">
        <v>6658</v>
      </c>
      <c r="E2" s="16" t="s">
        <v>8032</v>
      </c>
      <c r="F2" s="16" t="s">
        <v>8033</v>
      </c>
      <c r="G2" s="16">
        <v>4.5</v>
      </c>
      <c r="H2" s="16">
        <v>262</v>
      </c>
      <c r="I2" s="16" t="b">
        <f>TRUE()</f>
        <v>1</v>
      </c>
    </row>
    <row r="3" spans="1:9">
      <c r="A3" s="18" t="s">
        <v>308</v>
      </c>
      <c r="B3" s="18" t="s">
        <v>8034</v>
      </c>
      <c r="C3" s="18">
        <v>2982885788</v>
      </c>
      <c r="D3" s="18" t="s">
        <v>6669</v>
      </c>
      <c r="E3" s="18" t="s">
        <v>8032</v>
      </c>
      <c r="F3" s="18" t="s">
        <v>8035</v>
      </c>
      <c r="G3" s="18">
        <v>3.3</v>
      </c>
      <c r="H3" s="18">
        <v>1168</v>
      </c>
      <c r="I3" s="18" t="b">
        <f>TRUE()</f>
        <v>1</v>
      </c>
    </row>
    <row r="4" spans="1:9">
      <c r="A4" s="16" t="s">
        <v>122</v>
      </c>
      <c r="B4" s="16" t="s">
        <v>8036</v>
      </c>
      <c r="C4" s="16">
        <v>5733475732</v>
      </c>
      <c r="D4" s="16" t="s">
        <v>6710</v>
      </c>
      <c r="E4" s="16" t="s">
        <v>8037</v>
      </c>
      <c r="F4" s="16" t="s">
        <v>7423</v>
      </c>
      <c r="G4" s="16">
        <v>5</v>
      </c>
      <c r="H4" s="16">
        <v>1030</v>
      </c>
      <c r="I4" s="16" t="b">
        <f>TRUE()</f>
        <v>1</v>
      </c>
    </row>
    <row r="5" spans="1:9">
      <c r="A5" s="18" t="s">
        <v>174</v>
      </c>
      <c r="B5" s="18" t="s">
        <v>8038</v>
      </c>
      <c r="C5" s="18">
        <v>6591781079</v>
      </c>
      <c r="D5" s="18" t="s">
        <v>6802</v>
      </c>
      <c r="E5" s="18" t="s">
        <v>8037</v>
      </c>
      <c r="F5" s="18" t="s">
        <v>8039</v>
      </c>
      <c r="G5" s="18">
        <v>3.3</v>
      </c>
      <c r="H5" s="18">
        <v>462</v>
      </c>
      <c r="I5" s="18" t="b">
        <f>TRUE()</f>
        <v>1</v>
      </c>
    </row>
    <row r="6" spans="1:9">
      <c r="A6" s="16" t="s">
        <v>183</v>
      </c>
      <c r="B6" s="16" t="s">
        <v>8040</v>
      </c>
      <c r="C6" s="16">
        <v>8332341767</v>
      </c>
      <c r="D6" s="16" t="s">
        <v>6665</v>
      </c>
      <c r="E6" s="16" t="s">
        <v>8037</v>
      </c>
      <c r="F6" s="16" t="s">
        <v>8041</v>
      </c>
      <c r="G6" s="16">
        <v>4.9000000000000004</v>
      </c>
      <c r="H6" s="16">
        <v>1105</v>
      </c>
      <c r="I6" s="16" t="b">
        <f>TRUE()</f>
        <v>1</v>
      </c>
    </row>
    <row r="7" spans="1:9">
      <c r="A7" s="18" t="s">
        <v>300</v>
      </c>
      <c r="B7" s="18" t="s">
        <v>8042</v>
      </c>
      <c r="C7" s="18">
        <v>8624789987</v>
      </c>
      <c r="D7" s="18" t="s">
        <v>6678</v>
      </c>
      <c r="E7" s="18" t="s">
        <v>8032</v>
      </c>
      <c r="F7" s="18" t="s">
        <v>8043</v>
      </c>
      <c r="G7" s="18">
        <v>3.3</v>
      </c>
      <c r="H7" s="18">
        <v>441</v>
      </c>
      <c r="I7" s="18" t="b">
        <f>TRUE()</f>
        <v>1</v>
      </c>
    </row>
    <row r="8" spans="1:9">
      <c r="A8" s="16" t="s">
        <v>228</v>
      </c>
      <c r="B8" s="16" t="s">
        <v>8044</v>
      </c>
      <c r="C8" s="16">
        <v>917726473054</v>
      </c>
      <c r="D8" s="16" t="s">
        <v>6674</v>
      </c>
      <c r="E8" s="16" t="s">
        <v>8045</v>
      </c>
      <c r="F8" s="16" t="s">
        <v>8046</v>
      </c>
      <c r="G8" s="16">
        <v>3.7</v>
      </c>
      <c r="H8" s="16">
        <v>803</v>
      </c>
      <c r="I8" s="16" t="b">
        <f>TRUE()</f>
        <v>1</v>
      </c>
    </row>
    <row r="9" spans="1:9">
      <c r="A9" s="18" t="s">
        <v>487</v>
      </c>
      <c r="B9" s="18" t="s">
        <v>8047</v>
      </c>
      <c r="C9" s="18">
        <v>8703767881</v>
      </c>
      <c r="D9" s="18" t="s">
        <v>6706</v>
      </c>
      <c r="E9" s="18" t="s">
        <v>8045</v>
      </c>
      <c r="F9" s="18" t="s">
        <v>8048</v>
      </c>
      <c r="G9" s="18">
        <v>4.8</v>
      </c>
      <c r="H9" s="18">
        <v>841</v>
      </c>
      <c r="I9" s="18" t="b">
        <f>TRUE()</f>
        <v>1</v>
      </c>
    </row>
    <row r="10" spans="1:9">
      <c r="A10" s="16" t="s">
        <v>179</v>
      </c>
      <c r="B10" s="16" t="s">
        <v>8049</v>
      </c>
      <c r="C10" s="16">
        <v>4970025717</v>
      </c>
      <c r="D10" s="16" t="s">
        <v>6802</v>
      </c>
      <c r="E10" s="16" t="s">
        <v>8032</v>
      </c>
      <c r="F10" s="16" t="s">
        <v>8050</v>
      </c>
      <c r="G10" s="16">
        <v>3.9</v>
      </c>
      <c r="H10" s="16">
        <v>1113</v>
      </c>
      <c r="I10" s="16" t="b">
        <f>TRUE()</f>
        <v>1</v>
      </c>
    </row>
    <row r="11" spans="1:9">
      <c r="A11" s="18" t="s">
        <v>842</v>
      </c>
      <c r="B11" s="18" t="s">
        <v>8051</v>
      </c>
      <c r="C11" s="18">
        <v>1196557632</v>
      </c>
      <c r="D11" s="18" t="s">
        <v>6658</v>
      </c>
      <c r="E11" s="18" t="s">
        <v>8045</v>
      </c>
      <c r="F11" s="18" t="s">
        <v>8052</v>
      </c>
      <c r="G11" s="18">
        <v>3.3</v>
      </c>
      <c r="H11" s="18">
        <v>419</v>
      </c>
      <c r="I11" s="18" t="b">
        <f>TRUE()</f>
        <v>1</v>
      </c>
    </row>
    <row r="12" spans="1:9">
      <c r="A12" s="16" t="s">
        <v>315</v>
      </c>
      <c r="B12" s="16" t="s">
        <v>8053</v>
      </c>
      <c r="C12" s="16">
        <v>3132955696</v>
      </c>
      <c r="D12" s="16" t="s">
        <v>6696</v>
      </c>
      <c r="E12" s="16" t="s">
        <v>8037</v>
      </c>
      <c r="F12" s="16" t="s">
        <v>8054</v>
      </c>
      <c r="G12" s="16">
        <v>3.8</v>
      </c>
      <c r="H12" s="16">
        <v>655</v>
      </c>
      <c r="I12" s="16" t="b">
        <f>TRUE()</f>
        <v>1</v>
      </c>
    </row>
    <row r="13" spans="1:9">
      <c r="A13" s="18" t="s">
        <v>536</v>
      </c>
      <c r="B13" s="18" t="s">
        <v>8055</v>
      </c>
      <c r="C13" s="18">
        <v>915292947117</v>
      </c>
      <c r="D13" s="18" t="s">
        <v>6715</v>
      </c>
      <c r="E13" s="18" t="s">
        <v>8045</v>
      </c>
      <c r="F13" s="18" t="s">
        <v>8056</v>
      </c>
      <c r="G13" s="18">
        <v>3.5</v>
      </c>
      <c r="H13" s="18">
        <v>959</v>
      </c>
      <c r="I13" s="18" t="b">
        <f>TRUE()</f>
        <v>1</v>
      </c>
    </row>
    <row r="14" spans="1:9">
      <c r="A14" s="16" t="s">
        <v>232</v>
      </c>
      <c r="B14" s="16" t="s">
        <v>8057</v>
      </c>
      <c r="C14" s="16">
        <v>1207664960</v>
      </c>
      <c r="D14" s="16" t="s">
        <v>6674</v>
      </c>
      <c r="E14" s="16" t="s">
        <v>8045</v>
      </c>
      <c r="F14" s="16" t="s">
        <v>8058</v>
      </c>
      <c r="G14" s="16">
        <v>4.3</v>
      </c>
      <c r="H14" s="16">
        <v>940</v>
      </c>
      <c r="I14" s="16" t="b">
        <f>TRUE()</f>
        <v>1</v>
      </c>
    </row>
    <row r="15" spans="1:9">
      <c r="A15" s="18" t="s">
        <v>362</v>
      </c>
      <c r="B15" s="18" t="s">
        <v>8059</v>
      </c>
      <c r="C15" s="18">
        <v>911096972</v>
      </c>
      <c r="D15" s="18" t="s">
        <v>6674</v>
      </c>
      <c r="E15" s="18" t="s">
        <v>8037</v>
      </c>
      <c r="F15" s="18" t="s">
        <v>8060</v>
      </c>
      <c r="G15" s="18">
        <v>3.9</v>
      </c>
      <c r="H15" s="18">
        <v>377</v>
      </c>
      <c r="I15" s="18" t="b">
        <f>FALSE()</f>
        <v>0</v>
      </c>
    </row>
    <row r="16" spans="1:9">
      <c r="A16" s="16" t="s">
        <v>192</v>
      </c>
      <c r="B16" s="16" t="s">
        <v>8061</v>
      </c>
      <c r="C16" s="16">
        <v>4649418950</v>
      </c>
      <c r="D16" s="16" t="s">
        <v>6802</v>
      </c>
      <c r="E16" s="16" t="s">
        <v>8045</v>
      </c>
      <c r="F16" s="16" t="s">
        <v>8048</v>
      </c>
      <c r="G16" s="16">
        <v>3.3</v>
      </c>
      <c r="H16" s="16">
        <v>187</v>
      </c>
      <c r="I16" s="16" t="b">
        <f>TRUE()</f>
        <v>1</v>
      </c>
    </row>
    <row r="17" spans="1:9">
      <c r="A17" s="18" t="s">
        <v>129</v>
      </c>
      <c r="B17" s="18" t="s">
        <v>8062</v>
      </c>
      <c r="C17" s="18">
        <v>915741072706</v>
      </c>
      <c r="D17" s="18" t="s">
        <v>6710</v>
      </c>
      <c r="E17" s="18" t="s">
        <v>8032</v>
      </c>
      <c r="F17" s="18" t="s">
        <v>8063</v>
      </c>
      <c r="G17" s="18">
        <v>3.9</v>
      </c>
      <c r="H17" s="18">
        <v>116</v>
      </c>
      <c r="I17" s="18" t="b">
        <f>TRUE()</f>
        <v>1</v>
      </c>
    </row>
    <row r="18" spans="1:9">
      <c r="A18" s="16" t="s">
        <v>343</v>
      </c>
      <c r="B18" s="16" t="s">
        <v>8064</v>
      </c>
      <c r="C18" s="16">
        <v>910079088320</v>
      </c>
      <c r="D18" s="16" t="s">
        <v>6710</v>
      </c>
      <c r="E18" s="16" t="s">
        <v>8032</v>
      </c>
      <c r="F18" s="16" t="s">
        <v>8065</v>
      </c>
      <c r="G18" s="16">
        <v>3.9</v>
      </c>
      <c r="H18" s="16">
        <v>207</v>
      </c>
      <c r="I18" s="16" t="b">
        <f>TRUE()</f>
        <v>1</v>
      </c>
    </row>
    <row r="19" spans="1:9">
      <c r="A19" s="18" t="s">
        <v>153</v>
      </c>
      <c r="B19" s="18" t="s">
        <v>8066</v>
      </c>
      <c r="C19" s="18">
        <v>916830284600</v>
      </c>
      <c r="D19" s="18" t="s">
        <v>6678</v>
      </c>
      <c r="E19" s="18" t="s">
        <v>8032</v>
      </c>
      <c r="F19" s="18" t="s">
        <v>8067</v>
      </c>
      <c r="G19" s="18">
        <v>3.8</v>
      </c>
      <c r="H19" s="18">
        <v>620</v>
      </c>
      <c r="I19" s="18" t="b">
        <f>TRUE()</f>
        <v>1</v>
      </c>
    </row>
    <row r="20" spans="1:9">
      <c r="A20" s="16" t="s">
        <v>413</v>
      </c>
      <c r="B20" s="16" t="s">
        <v>8068</v>
      </c>
      <c r="C20" s="16">
        <v>5317517468</v>
      </c>
      <c r="D20" s="16" t="s">
        <v>6658</v>
      </c>
      <c r="E20" s="16" t="s">
        <v>8037</v>
      </c>
      <c r="F20" s="16" t="s">
        <v>8069</v>
      </c>
      <c r="G20" s="16">
        <v>4.0999999999999996</v>
      </c>
      <c r="H20" s="16">
        <v>842</v>
      </c>
      <c r="I20" s="16" t="b">
        <f>FALSE()</f>
        <v>0</v>
      </c>
    </row>
    <row r="21" spans="1:9">
      <c r="A21" s="18" t="s">
        <v>261</v>
      </c>
      <c r="B21" s="18" t="s">
        <v>8070</v>
      </c>
      <c r="C21" s="18">
        <v>910258418881</v>
      </c>
      <c r="D21" s="18" t="s">
        <v>6658</v>
      </c>
      <c r="E21" s="18" t="s">
        <v>8032</v>
      </c>
      <c r="F21" s="18" t="s">
        <v>8071</v>
      </c>
      <c r="G21" s="18">
        <v>4.5</v>
      </c>
      <c r="H21" s="18">
        <v>489</v>
      </c>
      <c r="I21" s="18" t="b">
        <f>FALSE()</f>
        <v>0</v>
      </c>
    </row>
    <row r="22" spans="1:9">
      <c r="A22" s="16" t="s">
        <v>114</v>
      </c>
      <c r="B22" s="16" t="s">
        <v>8072</v>
      </c>
      <c r="C22" s="16">
        <v>912953477158</v>
      </c>
      <c r="D22" s="16" t="s">
        <v>6692</v>
      </c>
      <c r="E22" s="16" t="s">
        <v>8045</v>
      </c>
      <c r="F22" s="16" t="s">
        <v>8073</v>
      </c>
      <c r="G22" s="16">
        <v>3.6</v>
      </c>
      <c r="H22" s="16">
        <v>327</v>
      </c>
      <c r="I22" s="16" t="b">
        <f>TRUE()</f>
        <v>1</v>
      </c>
    </row>
    <row r="23" spans="1:9">
      <c r="A23" s="18" t="s">
        <v>162</v>
      </c>
      <c r="B23" s="18" t="s">
        <v>8074</v>
      </c>
      <c r="C23" s="18">
        <v>9287400839</v>
      </c>
      <c r="D23" s="18" t="s">
        <v>6752</v>
      </c>
      <c r="E23" s="18" t="s">
        <v>8037</v>
      </c>
      <c r="F23" s="18" t="s">
        <v>8075</v>
      </c>
      <c r="G23" s="18">
        <v>5</v>
      </c>
      <c r="H23" s="18">
        <v>704</v>
      </c>
      <c r="I23" s="18" t="b">
        <f>TRUE()</f>
        <v>1</v>
      </c>
    </row>
    <row r="24" spans="1:9">
      <c r="A24" s="16" t="s">
        <v>265</v>
      </c>
      <c r="B24" s="16" t="s">
        <v>8076</v>
      </c>
      <c r="C24" s="16">
        <v>912174980349</v>
      </c>
      <c r="D24" s="16" t="s">
        <v>6669</v>
      </c>
      <c r="E24" s="16" t="s">
        <v>8037</v>
      </c>
      <c r="F24" s="16" t="s">
        <v>7691</v>
      </c>
      <c r="G24" s="16">
        <v>4.2</v>
      </c>
      <c r="H24" s="16">
        <v>664</v>
      </c>
      <c r="I24" s="16" t="b">
        <f>TRUE()</f>
        <v>1</v>
      </c>
    </row>
    <row r="25" spans="1:9">
      <c r="A25" s="18" t="s">
        <v>358</v>
      </c>
      <c r="B25" s="18" t="s">
        <v>8077</v>
      </c>
      <c r="C25" s="18">
        <v>8790610624</v>
      </c>
      <c r="D25" s="18" t="s">
        <v>6669</v>
      </c>
      <c r="E25" s="18" t="s">
        <v>8045</v>
      </c>
      <c r="F25" s="18" t="s">
        <v>8078</v>
      </c>
      <c r="G25" s="18">
        <v>4.5999999999999996</v>
      </c>
      <c r="H25" s="18">
        <v>1091</v>
      </c>
      <c r="I25" s="18" t="b">
        <f>TRUE()</f>
        <v>1</v>
      </c>
    </row>
    <row r="26" spans="1:9">
      <c r="A26" s="16" t="s">
        <v>188</v>
      </c>
      <c r="B26" s="16" t="s">
        <v>8079</v>
      </c>
      <c r="C26" s="16">
        <v>917122779577</v>
      </c>
      <c r="D26" s="16" t="s">
        <v>6665</v>
      </c>
      <c r="E26" s="16" t="s">
        <v>8037</v>
      </c>
      <c r="F26" s="16" t="s">
        <v>8080</v>
      </c>
      <c r="G26" s="16">
        <v>4.5999999999999996</v>
      </c>
      <c r="H26" s="16">
        <v>103</v>
      </c>
      <c r="I26" s="16" t="b">
        <f>TRUE()</f>
        <v>1</v>
      </c>
    </row>
    <row r="27" spans="1:9">
      <c r="A27" s="18" t="s">
        <v>354</v>
      </c>
      <c r="B27" s="18" t="s">
        <v>8081</v>
      </c>
      <c r="C27" s="18">
        <v>6697434384</v>
      </c>
      <c r="D27" s="18" t="s">
        <v>6715</v>
      </c>
      <c r="E27" s="18" t="s">
        <v>8032</v>
      </c>
      <c r="F27" s="18" t="s">
        <v>7045</v>
      </c>
      <c r="G27" s="18">
        <v>4.5999999999999996</v>
      </c>
      <c r="H27" s="18">
        <v>1179</v>
      </c>
      <c r="I27" s="18" t="b">
        <f>TRUE()</f>
        <v>1</v>
      </c>
    </row>
    <row r="28" spans="1:9">
      <c r="A28" s="16" t="s">
        <v>276</v>
      </c>
      <c r="B28" s="16" t="s">
        <v>8082</v>
      </c>
      <c r="C28" s="16">
        <v>971322746</v>
      </c>
      <c r="D28" s="16" t="s">
        <v>6658</v>
      </c>
      <c r="E28" s="16" t="s">
        <v>8037</v>
      </c>
      <c r="F28" s="16" t="s">
        <v>8083</v>
      </c>
      <c r="G28" s="16">
        <v>3.9</v>
      </c>
      <c r="H28" s="16">
        <v>1030</v>
      </c>
      <c r="I28" s="16" t="b">
        <f>TRUE()</f>
        <v>1</v>
      </c>
    </row>
    <row r="29" spans="1:9">
      <c r="A29" s="18" t="s">
        <v>247</v>
      </c>
      <c r="B29" s="18" t="s">
        <v>8084</v>
      </c>
      <c r="C29" s="18">
        <v>6351163847</v>
      </c>
      <c r="D29" s="18" t="s">
        <v>6706</v>
      </c>
      <c r="E29" s="18" t="s">
        <v>8045</v>
      </c>
      <c r="F29" s="18" t="s">
        <v>8085</v>
      </c>
      <c r="G29" s="18">
        <v>3.4</v>
      </c>
      <c r="H29" s="18">
        <v>699</v>
      </c>
      <c r="I29" s="18" t="b">
        <f>TRUE()</f>
        <v>1</v>
      </c>
    </row>
    <row r="30" spans="1:9">
      <c r="A30" s="16" t="s">
        <v>717</v>
      </c>
      <c r="B30" s="16" t="s">
        <v>8086</v>
      </c>
      <c r="C30" s="16">
        <v>911015085537</v>
      </c>
      <c r="D30" s="16" t="s">
        <v>6752</v>
      </c>
      <c r="E30" s="16" t="s">
        <v>8032</v>
      </c>
      <c r="F30" s="16" t="s">
        <v>8087</v>
      </c>
      <c r="G30" s="16">
        <v>3.8</v>
      </c>
      <c r="H30" s="16">
        <v>1179</v>
      </c>
      <c r="I30" s="16" t="b">
        <f>TRUE()</f>
        <v>1</v>
      </c>
    </row>
    <row r="31" spans="1:9">
      <c r="A31" s="18" t="s">
        <v>251</v>
      </c>
      <c r="B31" s="18" t="s">
        <v>8088</v>
      </c>
      <c r="C31" s="18">
        <v>1020594712</v>
      </c>
      <c r="D31" s="18" t="s">
        <v>6802</v>
      </c>
      <c r="E31" s="18" t="s">
        <v>8037</v>
      </c>
      <c r="F31" s="18" t="s">
        <v>8089</v>
      </c>
      <c r="G31" s="18">
        <v>4.0999999999999996</v>
      </c>
      <c r="H31" s="18">
        <v>163</v>
      </c>
      <c r="I31" s="18" t="b">
        <f>TRUE()</f>
        <v>1</v>
      </c>
    </row>
    <row r="32" spans="1:9">
      <c r="A32" s="16" t="s">
        <v>213</v>
      </c>
      <c r="B32" s="16" t="s">
        <v>8090</v>
      </c>
      <c r="C32" s="16">
        <v>5660906124</v>
      </c>
      <c r="D32" s="16" t="s">
        <v>6678</v>
      </c>
      <c r="E32" s="16" t="s">
        <v>8037</v>
      </c>
      <c r="F32" s="16" t="s">
        <v>8091</v>
      </c>
      <c r="G32" s="16">
        <v>3.5</v>
      </c>
      <c r="H32" s="16">
        <v>710</v>
      </c>
      <c r="I32" s="16" t="b">
        <f>FALSE()</f>
        <v>0</v>
      </c>
    </row>
    <row r="33" spans="1:9">
      <c r="A33" s="18" t="s">
        <v>236</v>
      </c>
      <c r="B33" s="18" t="s">
        <v>8092</v>
      </c>
      <c r="C33" s="18">
        <v>1726672060</v>
      </c>
      <c r="D33" s="18" t="s">
        <v>6665</v>
      </c>
      <c r="E33" s="18" t="s">
        <v>8032</v>
      </c>
      <c r="F33" s="18" t="s">
        <v>7031</v>
      </c>
      <c r="G33" s="18">
        <v>4.8</v>
      </c>
      <c r="H33" s="18">
        <v>211</v>
      </c>
      <c r="I33" s="18" t="b">
        <f>TRUE()</f>
        <v>1</v>
      </c>
    </row>
    <row r="34" spans="1:9">
      <c r="A34" s="16" t="s">
        <v>431</v>
      </c>
      <c r="B34" s="16" t="s">
        <v>8093</v>
      </c>
      <c r="C34" s="16">
        <v>721770913</v>
      </c>
      <c r="D34" s="16" t="s">
        <v>6710</v>
      </c>
      <c r="E34" s="16" t="s">
        <v>8045</v>
      </c>
      <c r="F34" s="16" t="s">
        <v>8094</v>
      </c>
      <c r="G34" s="16">
        <v>3.4</v>
      </c>
      <c r="H34" s="16">
        <v>670</v>
      </c>
      <c r="I34" s="16" t="b">
        <f>TRUE()</f>
        <v>1</v>
      </c>
    </row>
    <row r="35" spans="1:9">
      <c r="A35" s="18" t="s">
        <v>750</v>
      </c>
      <c r="B35" s="18" t="s">
        <v>8095</v>
      </c>
      <c r="C35" s="18">
        <v>4050003532</v>
      </c>
      <c r="D35" s="18" t="s">
        <v>6658</v>
      </c>
      <c r="E35" s="18" t="s">
        <v>8045</v>
      </c>
      <c r="F35" s="18" t="s">
        <v>8096</v>
      </c>
      <c r="G35" s="18">
        <v>4.3</v>
      </c>
      <c r="H35" s="18">
        <v>365</v>
      </c>
      <c r="I35" s="18" t="b">
        <f>TRUE()</f>
        <v>1</v>
      </c>
    </row>
    <row r="36" spans="1:9">
      <c r="A36" s="16" t="s">
        <v>339</v>
      </c>
      <c r="B36" s="16" t="s">
        <v>8097</v>
      </c>
      <c r="C36" s="16">
        <v>7176498828</v>
      </c>
      <c r="D36" s="16" t="s">
        <v>6715</v>
      </c>
      <c r="E36" s="16" t="s">
        <v>8045</v>
      </c>
      <c r="F36" s="16" t="s">
        <v>7375</v>
      </c>
      <c r="G36" s="16">
        <v>3.8</v>
      </c>
      <c r="H36" s="16">
        <v>134</v>
      </c>
      <c r="I36" s="16" t="b">
        <f>TRUE()</f>
        <v>1</v>
      </c>
    </row>
    <row r="37" spans="1:9">
      <c r="A37" s="18" t="s">
        <v>136</v>
      </c>
      <c r="B37" s="18" t="s">
        <v>8098</v>
      </c>
      <c r="C37" s="18">
        <v>1094831925</v>
      </c>
      <c r="D37" s="18" t="s">
        <v>6674</v>
      </c>
      <c r="E37" s="18" t="s">
        <v>8037</v>
      </c>
      <c r="F37" s="18" t="s">
        <v>8099</v>
      </c>
      <c r="G37" s="18">
        <v>4.9000000000000004</v>
      </c>
      <c r="H37" s="18">
        <v>592</v>
      </c>
      <c r="I37" s="18" t="b">
        <f>TRUE()</f>
        <v>1</v>
      </c>
    </row>
    <row r="38" spans="1:9">
      <c r="A38" s="16" t="s">
        <v>483</v>
      </c>
      <c r="B38" s="16" t="s">
        <v>8100</v>
      </c>
      <c r="C38" s="16">
        <v>1284951012</v>
      </c>
      <c r="D38" s="16" t="s">
        <v>6715</v>
      </c>
      <c r="E38" s="16" t="s">
        <v>8032</v>
      </c>
      <c r="F38" s="16" t="s">
        <v>8101</v>
      </c>
      <c r="G38" s="16">
        <v>4.0999999999999996</v>
      </c>
      <c r="H38" s="16">
        <v>1167</v>
      </c>
      <c r="I38" s="16" t="b">
        <f>TRUE()</f>
        <v>1</v>
      </c>
    </row>
    <row r="39" spans="1:9">
      <c r="A39" s="18" t="s">
        <v>220</v>
      </c>
      <c r="B39" s="18" t="s">
        <v>8102</v>
      </c>
      <c r="C39" s="18">
        <v>4603335483</v>
      </c>
      <c r="D39" s="18" t="s">
        <v>6692</v>
      </c>
      <c r="E39" s="18" t="s">
        <v>8032</v>
      </c>
      <c r="F39" s="18" t="s">
        <v>8103</v>
      </c>
      <c r="G39" s="18">
        <v>4.5999999999999996</v>
      </c>
      <c r="H39" s="18">
        <v>881</v>
      </c>
      <c r="I39" s="18" t="b">
        <f>TRUE()</f>
        <v>1</v>
      </c>
    </row>
    <row r="40" spans="1:9">
      <c r="A40" s="16" t="s">
        <v>287</v>
      </c>
      <c r="B40" s="16" t="s">
        <v>8104</v>
      </c>
      <c r="C40" s="16">
        <v>910837900348</v>
      </c>
      <c r="D40" s="16" t="s">
        <v>6658</v>
      </c>
      <c r="E40" s="16" t="s">
        <v>8045</v>
      </c>
      <c r="F40" s="16" t="s">
        <v>8105</v>
      </c>
      <c r="G40" s="16">
        <v>3.5</v>
      </c>
      <c r="H40" s="16">
        <v>901</v>
      </c>
      <c r="I40" s="16" t="b">
        <f>TRUE()</f>
        <v>1</v>
      </c>
    </row>
    <row r="41" spans="1:9">
      <c r="A41" s="18" t="s">
        <v>157</v>
      </c>
      <c r="B41" s="18" t="s">
        <v>8106</v>
      </c>
      <c r="C41" s="18">
        <v>4378473690</v>
      </c>
      <c r="D41" s="18" t="s">
        <v>6665</v>
      </c>
      <c r="E41" s="18" t="s">
        <v>8032</v>
      </c>
      <c r="F41" s="18" t="s">
        <v>7375</v>
      </c>
      <c r="G41" s="18">
        <v>3.5</v>
      </c>
      <c r="H41" s="18">
        <v>703</v>
      </c>
      <c r="I41" s="18" t="b">
        <f>TRUE()</f>
        <v>1</v>
      </c>
    </row>
    <row r="42" spans="1:9">
      <c r="A42" s="16" t="s">
        <v>461</v>
      </c>
      <c r="B42" s="16" t="s">
        <v>8107</v>
      </c>
      <c r="C42" s="16">
        <v>2146987471</v>
      </c>
      <c r="D42" s="16" t="s">
        <v>6696</v>
      </c>
      <c r="E42" s="16" t="s">
        <v>8032</v>
      </c>
      <c r="F42" s="16" t="s">
        <v>8108</v>
      </c>
      <c r="G42" s="16">
        <v>4.5999999999999996</v>
      </c>
      <c r="H42" s="16">
        <v>1104</v>
      </c>
      <c r="I42" s="16" t="b">
        <f>TRUE()</f>
        <v>1</v>
      </c>
    </row>
    <row r="43" spans="1:9">
      <c r="A43" s="18" t="s">
        <v>143</v>
      </c>
      <c r="B43" s="18" t="s">
        <v>8109</v>
      </c>
      <c r="C43" s="18">
        <v>5784071272</v>
      </c>
      <c r="D43" s="18" t="s">
        <v>6696</v>
      </c>
      <c r="E43" s="18" t="s">
        <v>8037</v>
      </c>
      <c r="F43" s="18" t="s">
        <v>7045</v>
      </c>
      <c r="G43" s="18">
        <v>3.4</v>
      </c>
      <c r="H43" s="18">
        <v>970</v>
      </c>
      <c r="I43" s="18" t="b">
        <f>TRUE()</f>
        <v>1</v>
      </c>
    </row>
    <row r="44" spans="1:9">
      <c r="A44" s="16" t="s">
        <v>322</v>
      </c>
      <c r="B44" s="16" t="s">
        <v>8110</v>
      </c>
      <c r="C44" s="16">
        <v>391884743</v>
      </c>
      <c r="D44" s="16" t="s">
        <v>6658</v>
      </c>
      <c r="E44" s="16" t="s">
        <v>8037</v>
      </c>
      <c r="F44" s="16" t="s">
        <v>8111</v>
      </c>
      <c r="G44" s="16">
        <v>4.9000000000000004</v>
      </c>
      <c r="H44" s="16">
        <v>906</v>
      </c>
      <c r="I44" s="16" t="b">
        <f>TRUE()</f>
        <v>1</v>
      </c>
    </row>
    <row r="45" spans="1:9">
      <c r="A45" s="18" t="s">
        <v>257</v>
      </c>
      <c r="B45" s="18" t="s">
        <v>8112</v>
      </c>
      <c r="C45" s="18">
        <v>4129402291</v>
      </c>
      <c r="D45" s="18" t="s">
        <v>6802</v>
      </c>
      <c r="E45" s="18" t="s">
        <v>8032</v>
      </c>
      <c r="F45" s="18" t="s">
        <v>8113</v>
      </c>
      <c r="G45" s="18">
        <v>4.5</v>
      </c>
      <c r="H45" s="18">
        <v>438</v>
      </c>
      <c r="I45" s="18" t="b">
        <f>TRUE()</f>
        <v>1</v>
      </c>
    </row>
    <row r="46" spans="1:9">
      <c r="A46" s="16" t="s">
        <v>224</v>
      </c>
      <c r="B46" s="16" t="s">
        <v>8114</v>
      </c>
      <c r="C46" s="16">
        <v>4273312848</v>
      </c>
      <c r="D46" s="16" t="s">
        <v>6752</v>
      </c>
      <c r="E46" s="16" t="s">
        <v>8045</v>
      </c>
      <c r="F46" s="16" t="s">
        <v>7045</v>
      </c>
      <c r="G46" s="16">
        <v>4.0999999999999996</v>
      </c>
      <c r="H46" s="16">
        <v>681</v>
      </c>
      <c r="I46" s="16" t="b">
        <f>TRUE()</f>
        <v>1</v>
      </c>
    </row>
    <row r="47" spans="1:9">
      <c r="A47" s="18" t="s">
        <v>166</v>
      </c>
      <c r="B47" s="18" t="s">
        <v>8115</v>
      </c>
      <c r="C47" s="18">
        <v>914792646785</v>
      </c>
      <c r="D47" s="18" t="s">
        <v>6658</v>
      </c>
      <c r="E47" s="18" t="s">
        <v>8032</v>
      </c>
      <c r="F47" s="18" t="s">
        <v>7656</v>
      </c>
      <c r="G47" s="18">
        <v>4</v>
      </c>
      <c r="H47" s="18">
        <v>543</v>
      </c>
      <c r="I47" s="18" t="b">
        <f>TRUE()</f>
        <v>1</v>
      </c>
    </row>
    <row r="48" spans="1:9">
      <c r="A48" s="16" t="s">
        <v>283</v>
      </c>
      <c r="B48" s="16" t="s">
        <v>8116</v>
      </c>
      <c r="C48" s="16">
        <v>916759326605</v>
      </c>
      <c r="D48" s="16" t="s">
        <v>6696</v>
      </c>
      <c r="E48" s="16" t="s">
        <v>8037</v>
      </c>
      <c r="F48" s="16" t="s">
        <v>8117</v>
      </c>
      <c r="G48" s="16">
        <v>3.7</v>
      </c>
      <c r="H48" s="16">
        <v>1013</v>
      </c>
      <c r="I48" s="16" t="b">
        <f>TRUE()</f>
        <v>1</v>
      </c>
    </row>
    <row r="49" spans="1:9">
      <c r="A49" s="18" t="s">
        <v>149</v>
      </c>
      <c r="B49" s="18" t="s">
        <v>8118</v>
      </c>
      <c r="C49" s="18">
        <v>2707336615</v>
      </c>
      <c r="D49" s="18" t="s">
        <v>6674</v>
      </c>
      <c r="E49" s="18" t="s">
        <v>8037</v>
      </c>
      <c r="F49" s="18" t="s">
        <v>8119</v>
      </c>
      <c r="G49" s="18">
        <v>3.4</v>
      </c>
      <c r="H49" s="18">
        <v>591</v>
      </c>
      <c r="I49" s="18" t="b">
        <f>TRUE()</f>
        <v>1</v>
      </c>
    </row>
    <row r="50" spans="1:9">
      <c r="A50" s="16" t="s">
        <v>196</v>
      </c>
      <c r="B50" s="16" t="s">
        <v>8120</v>
      </c>
      <c r="C50" s="16">
        <v>3676007375</v>
      </c>
      <c r="D50" s="16" t="s">
        <v>6706</v>
      </c>
      <c r="E50" s="16" t="s">
        <v>8032</v>
      </c>
      <c r="F50" s="16" t="s">
        <v>8099</v>
      </c>
      <c r="G50" s="16">
        <v>3.9</v>
      </c>
      <c r="H50" s="16">
        <v>1200</v>
      </c>
      <c r="I50" s="16" t="b">
        <f>TRUE()</f>
        <v>1</v>
      </c>
    </row>
    <row r="51" spans="1:9">
      <c r="A51" s="18" t="s">
        <v>204</v>
      </c>
      <c r="B51" s="18" t="s">
        <v>8121</v>
      </c>
      <c r="C51" s="18">
        <v>5437693181</v>
      </c>
      <c r="D51" s="18" t="s">
        <v>6678</v>
      </c>
      <c r="E51" s="18" t="s">
        <v>8032</v>
      </c>
      <c r="F51" s="18" t="s">
        <v>8085</v>
      </c>
      <c r="G51" s="18">
        <v>3.9</v>
      </c>
      <c r="H51" s="18">
        <v>972</v>
      </c>
      <c r="I51" s="18" t="b">
        <f>TRUE()</f>
        <v>1</v>
      </c>
    </row>
    <row r="52" spans="1:9">
      <c r="A52" s="16" t="s">
        <v>272</v>
      </c>
      <c r="B52" s="16" t="s">
        <v>8122</v>
      </c>
      <c r="C52" s="16">
        <v>7313962978</v>
      </c>
      <c r="D52" s="16" t="s">
        <v>6692</v>
      </c>
      <c r="E52" s="16" t="s">
        <v>8045</v>
      </c>
      <c r="F52" s="16" t="s">
        <v>8123</v>
      </c>
      <c r="G52" s="16">
        <v>3.4</v>
      </c>
      <c r="H52" s="16">
        <v>248</v>
      </c>
      <c r="I52" s="16" t="b">
        <f>TRUE()</f>
        <v>1</v>
      </c>
    </row>
    <row r="53" spans="1:9">
      <c r="A53" s="18" t="s">
        <v>326</v>
      </c>
      <c r="B53" s="18" t="s">
        <v>8124</v>
      </c>
      <c r="C53" s="18">
        <v>4245276122</v>
      </c>
      <c r="D53" s="18" t="s">
        <v>6696</v>
      </c>
      <c r="E53" s="18" t="s">
        <v>8045</v>
      </c>
      <c r="F53" s="18" t="s">
        <v>8125</v>
      </c>
      <c r="G53" s="18">
        <v>4.5999999999999996</v>
      </c>
      <c r="H53" s="18">
        <v>457</v>
      </c>
      <c r="I53" s="18" t="b">
        <f>TRUE()</f>
        <v>1</v>
      </c>
    </row>
    <row r="54" spans="1:9">
      <c r="A54" s="16" t="s">
        <v>240</v>
      </c>
      <c r="B54" s="16" t="s">
        <v>8126</v>
      </c>
      <c r="C54" s="16">
        <v>915901239618</v>
      </c>
      <c r="D54" s="16" t="s">
        <v>6706</v>
      </c>
      <c r="E54" s="16" t="s">
        <v>8045</v>
      </c>
      <c r="F54" s="16" t="s">
        <v>8127</v>
      </c>
      <c r="G54" s="16">
        <v>3.3</v>
      </c>
      <c r="H54" s="16">
        <v>330</v>
      </c>
      <c r="I54" s="16" t="b">
        <f>TRUE()</f>
        <v>1</v>
      </c>
    </row>
    <row r="55" spans="1:9">
      <c r="A55" s="18" t="s">
        <v>563</v>
      </c>
      <c r="B55" s="18" t="s">
        <v>8128</v>
      </c>
      <c r="C55" s="18">
        <v>6807414899</v>
      </c>
      <c r="D55" s="18" t="s">
        <v>6752</v>
      </c>
      <c r="E55" s="18" t="s">
        <v>8045</v>
      </c>
      <c r="F55" s="18" t="s">
        <v>8039</v>
      </c>
      <c r="G55" s="18">
        <v>3.5</v>
      </c>
      <c r="H55" s="18">
        <v>1105</v>
      </c>
      <c r="I55" s="18" t="b">
        <f>TRUE()</f>
        <v>1</v>
      </c>
    </row>
    <row r="56" spans="1:9">
      <c r="A56" s="16" t="s">
        <v>350</v>
      </c>
      <c r="B56" s="16" t="s">
        <v>8129</v>
      </c>
      <c r="C56" s="16">
        <v>2826028751</v>
      </c>
      <c r="D56" s="16" t="s">
        <v>6715</v>
      </c>
      <c r="E56" s="16" t="s">
        <v>8032</v>
      </c>
      <c r="F56" s="16" t="s">
        <v>8130</v>
      </c>
      <c r="G56" s="16">
        <v>3.9</v>
      </c>
      <c r="H56" s="16">
        <v>662</v>
      </c>
      <c r="I56" s="16" t="b">
        <f>TRUE()</f>
        <v>1</v>
      </c>
    </row>
    <row r="57" spans="1:9">
      <c r="A57" s="18" t="s">
        <v>1092</v>
      </c>
      <c r="B57" s="18" t="s">
        <v>8131</v>
      </c>
      <c r="C57" s="18">
        <v>1306031329</v>
      </c>
      <c r="D57" s="18" t="s">
        <v>6678</v>
      </c>
      <c r="E57" s="18" t="s">
        <v>8045</v>
      </c>
      <c r="F57" s="18" t="s">
        <v>8132</v>
      </c>
      <c r="G57" s="18">
        <v>4.0999999999999996</v>
      </c>
      <c r="H57" s="18">
        <v>663</v>
      </c>
      <c r="I57" s="18" t="b">
        <f>TRUE()</f>
        <v>1</v>
      </c>
    </row>
    <row r="58" spans="1:9">
      <c r="A58" s="16" t="s">
        <v>479</v>
      </c>
      <c r="B58" s="16" t="s">
        <v>8133</v>
      </c>
      <c r="C58" s="16">
        <v>6467652351</v>
      </c>
      <c r="D58" s="16" t="s">
        <v>6674</v>
      </c>
      <c r="E58" s="16" t="s">
        <v>8032</v>
      </c>
      <c r="F58" s="16" t="s">
        <v>8046</v>
      </c>
      <c r="G58" s="16">
        <v>4.4000000000000004</v>
      </c>
      <c r="H58" s="16">
        <v>903</v>
      </c>
      <c r="I58" s="16" t="b">
        <f>TRUE()</f>
        <v>1</v>
      </c>
    </row>
    <row r="59" spans="1:9">
      <c r="A59" s="18" t="s">
        <v>580</v>
      </c>
      <c r="B59" s="18" t="s">
        <v>8134</v>
      </c>
      <c r="C59" s="18">
        <v>6710003582</v>
      </c>
      <c r="D59" s="18" t="s">
        <v>6669</v>
      </c>
      <c r="E59" s="18" t="s">
        <v>8045</v>
      </c>
      <c r="F59" s="18" t="s">
        <v>8135</v>
      </c>
      <c r="G59" s="18">
        <v>4.3</v>
      </c>
      <c r="H59" s="18">
        <v>593</v>
      </c>
      <c r="I59" s="18" t="b">
        <f>FALSE()</f>
        <v>0</v>
      </c>
    </row>
    <row r="60" spans="1:9">
      <c r="A60" s="16" t="s">
        <v>170</v>
      </c>
      <c r="B60" s="16" t="s">
        <v>8136</v>
      </c>
      <c r="C60" s="16">
        <v>7334670551</v>
      </c>
      <c r="D60" s="16" t="s">
        <v>6715</v>
      </c>
      <c r="E60" s="16" t="s">
        <v>8045</v>
      </c>
      <c r="F60" s="16" t="s">
        <v>8137</v>
      </c>
      <c r="G60" s="16">
        <v>4.5</v>
      </c>
      <c r="H60" s="16">
        <v>1033</v>
      </c>
      <c r="I60" s="16" t="b">
        <f>TRUE()</f>
        <v>1</v>
      </c>
    </row>
    <row r="61" spans="1:9">
      <c r="A61" s="18" t="s">
        <v>611</v>
      </c>
      <c r="B61" s="18" t="s">
        <v>8138</v>
      </c>
      <c r="C61" s="18">
        <v>913024215162</v>
      </c>
      <c r="D61" s="18" t="s">
        <v>6710</v>
      </c>
      <c r="E61" s="18" t="s">
        <v>8045</v>
      </c>
      <c r="F61" s="18" t="s">
        <v>8139</v>
      </c>
      <c r="G61" s="18">
        <v>3.5</v>
      </c>
      <c r="H61" s="18">
        <v>546</v>
      </c>
      <c r="I61" s="18" t="b">
        <f>TRUE()</f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4.45"/>
  <cols>
    <col min="1" max="1" width="13" customWidth="1"/>
    <col min="2" max="2" width="30" customWidth="1"/>
    <col min="3" max="3" width="17" customWidth="1"/>
    <col min="4" max="4" width="18" customWidth="1"/>
    <col min="5" max="5" width="17" customWidth="1"/>
    <col min="6" max="6" width="22" customWidth="1"/>
    <col min="7" max="7" width="16" customWidth="1"/>
  </cols>
  <sheetData>
    <row r="1" spans="1:7" ht="24.75" customHeight="1">
      <c r="A1" s="23" t="s">
        <v>96</v>
      </c>
      <c r="B1" s="23" t="s">
        <v>8140</v>
      </c>
      <c r="C1" s="23" t="s">
        <v>8141</v>
      </c>
      <c r="D1" s="23" t="s">
        <v>8142</v>
      </c>
      <c r="E1" s="23" t="s">
        <v>8143</v>
      </c>
      <c r="F1" s="23" t="s">
        <v>8144</v>
      </c>
      <c r="G1" s="23" t="s">
        <v>8145</v>
      </c>
    </row>
    <row r="2" spans="1:7">
      <c r="A2" s="16" t="s">
        <v>184</v>
      </c>
      <c r="B2" s="16" t="s">
        <v>8146</v>
      </c>
      <c r="C2" s="16" t="s">
        <v>6669</v>
      </c>
      <c r="D2" s="16">
        <v>150</v>
      </c>
      <c r="E2" s="16" t="s">
        <v>8147</v>
      </c>
      <c r="F2" s="16" t="s">
        <v>8148</v>
      </c>
      <c r="G2" s="16" t="b">
        <f>TRUE()</f>
        <v>1</v>
      </c>
    </row>
    <row r="3" spans="1:7">
      <c r="A3" s="18" t="s">
        <v>197</v>
      </c>
      <c r="B3" s="18" t="s">
        <v>8149</v>
      </c>
      <c r="C3" s="18" t="s">
        <v>6658</v>
      </c>
      <c r="D3" s="18">
        <v>150</v>
      </c>
      <c r="E3" s="18" t="s">
        <v>8150</v>
      </c>
      <c r="F3" s="18" t="s">
        <v>8151</v>
      </c>
      <c r="G3" s="18" t="b">
        <f>TRUE()</f>
        <v>1</v>
      </c>
    </row>
    <row r="4" spans="1:7">
      <c r="A4" s="16" t="s">
        <v>137</v>
      </c>
      <c r="B4" s="16" t="s">
        <v>8152</v>
      </c>
      <c r="C4" s="16" t="s">
        <v>6665</v>
      </c>
      <c r="D4" s="16">
        <v>80</v>
      </c>
      <c r="E4" s="16" t="s">
        <v>8153</v>
      </c>
      <c r="F4" s="16" t="s">
        <v>8154</v>
      </c>
      <c r="G4" s="16" t="b">
        <f>TRUE()</f>
        <v>1</v>
      </c>
    </row>
    <row r="5" spans="1:7">
      <c r="A5" s="18" t="s">
        <v>130</v>
      </c>
      <c r="B5" s="18" t="s">
        <v>8155</v>
      </c>
      <c r="C5" s="18" t="s">
        <v>6674</v>
      </c>
      <c r="D5" s="18">
        <v>100</v>
      </c>
      <c r="E5" s="18" t="s">
        <v>8156</v>
      </c>
      <c r="F5" s="18" t="s">
        <v>8157</v>
      </c>
      <c r="G5" s="18" t="b">
        <f>TRUE()</f>
        <v>1</v>
      </c>
    </row>
    <row r="6" spans="1:7">
      <c r="A6" s="16" t="s">
        <v>123</v>
      </c>
      <c r="B6" s="16" t="s">
        <v>8158</v>
      </c>
      <c r="C6" s="16" t="s">
        <v>6752</v>
      </c>
      <c r="D6" s="16">
        <v>150</v>
      </c>
      <c r="E6" s="16" t="s">
        <v>8117</v>
      </c>
      <c r="F6" s="16" t="s">
        <v>8159</v>
      </c>
      <c r="G6" s="16" t="b">
        <f>TRUE()</f>
        <v>1</v>
      </c>
    </row>
    <row r="7" spans="1:7">
      <c r="A7" s="18" t="s">
        <v>205</v>
      </c>
      <c r="B7" s="18" t="s">
        <v>8160</v>
      </c>
      <c r="C7" s="18" t="s">
        <v>6802</v>
      </c>
      <c r="D7" s="18">
        <v>100</v>
      </c>
      <c r="E7" s="18" t="s">
        <v>8161</v>
      </c>
      <c r="F7" s="18" t="s">
        <v>8162</v>
      </c>
      <c r="G7" s="18" t="b">
        <f>TRUE()</f>
        <v>1</v>
      </c>
    </row>
    <row r="8" spans="1:7">
      <c r="A8" s="16" t="s">
        <v>158</v>
      </c>
      <c r="B8" s="16" t="s">
        <v>8163</v>
      </c>
      <c r="C8" s="16" t="s">
        <v>6715</v>
      </c>
      <c r="D8" s="16">
        <v>120</v>
      </c>
      <c r="E8" s="16" t="s">
        <v>8164</v>
      </c>
      <c r="F8" s="16" t="s">
        <v>8165</v>
      </c>
      <c r="G8" s="16" t="b">
        <f>TRUE()</f>
        <v>1</v>
      </c>
    </row>
    <row r="9" spans="1:7">
      <c r="A9" s="18" t="s">
        <v>115</v>
      </c>
      <c r="B9" s="18" t="s">
        <v>8166</v>
      </c>
      <c r="C9" s="18" t="s">
        <v>6710</v>
      </c>
      <c r="D9" s="18">
        <v>120</v>
      </c>
      <c r="E9" s="18" t="s">
        <v>8035</v>
      </c>
      <c r="F9" s="18" t="s">
        <v>8167</v>
      </c>
      <c r="G9" s="18" t="b">
        <f>TRUE()</f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2026-06-09T05:11:32Z</dcterms:created>
  <dcterms:modified xsi:type="dcterms:W3CDTF">2026-07-17T07:44:49Z</dcterms:modified>
  <cp:category/>
  <cp:contentStatus/>
</cp:coreProperties>
</file>